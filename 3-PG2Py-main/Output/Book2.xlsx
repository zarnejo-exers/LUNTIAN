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3-PG2Py-main/Output/"/>
    </mc:Choice>
  </mc:AlternateContent>
  <xr:revisionPtr revIDLastSave="0" documentId="13_ncr:1_{32A097E2-1D56-2449-9FF1-B8DA20CF1F5D}" xr6:coauthVersionLast="47" xr6:coauthVersionMax="47" xr10:uidLastSave="{00000000-0000-0000-0000-000000000000}"/>
  <bookViews>
    <workbookView xWindow="780" yWindow="500" windowWidth="27640" windowHeight="16940" activeTab="1" xr2:uid="{91E09D02-C75F-F545-BC2C-7209A2C11FF3}"/>
  </bookViews>
  <sheets>
    <sheet name="Input - init data frm model c=1" sheetId="5" r:id="rId1"/>
    <sheet name="1_Py3PG2Output" sheetId="7" r:id="rId2"/>
  </sheets>
  <definedNames>
    <definedName name="_xlchart.v1.0" hidden="1">'Input - init data frm model c=1'!$C$1</definedName>
    <definedName name="_xlchart.v1.1" hidden="1">'Input - init data frm model c=1'!$C$2:$C$1370</definedName>
    <definedName name="_xlchart.v1.2" hidden="1">'Input - init data frm model c=1'!$F$1</definedName>
    <definedName name="_xlchart.v1.3" hidden="1">'Input - init data frm model c=1'!$F$2:$F$1370</definedName>
    <definedName name="_xlchart.v1.4" hidden="1">'Input - init data frm model c=1'!$C$1</definedName>
    <definedName name="_xlchart.v1.5" hidden="1">'Input - init data frm model c=1'!$C$2:$C$1370</definedName>
    <definedName name="_xlchart.v1.6" hidden="1">'Input - init data frm model c=1'!$F$1</definedName>
    <definedName name="_xlchart.v1.7" hidden="1">'Input - init data frm model c=1'!$F$2:$F$1370</definedName>
    <definedName name="ExternalData_1" localSheetId="1" hidden="1">'1_Py3PG2Output'!$A$1:$M$1370</definedName>
    <definedName name="ExternalData_1" localSheetId="0" hidden="1">'Input - init data frm model c=1'!$A$1:$G$1370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5" l="1"/>
  <c r="W7" i="5"/>
  <c r="W6" i="5"/>
  <c r="W5" i="5"/>
  <c r="W4" i="5"/>
  <c r="W3" i="5"/>
  <c r="W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466" i="5"/>
  <c r="S467" i="5"/>
  <c r="S468" i="5"/>
  <c r="S469" i="5"/>
  <c r="S470" i="5"/>
  <c r="S471" i="5"/>
  <c r="S472" i="5"/>
  <c r="S473" i="5"/>
  <c r="S474" i="5"/>
  <c r="S475" i="5"/>
  <c r="S476" i="5"/>
  <c r="S477" i="5"/>
  <c r="S478" i="5"/>
  <c r="S479" i="5"/>
  <c r="S480" i="5"/>
  <c r="S481" i="5"/>
  <c r="S482" i="5"/>
  <c r="S483" i="5"/>
  <c r="S484" i="5"/>
  <c r="S485" i="5"/>
  <c r="S486" i="5"/>
  <c r="S487" i="5"/>
  <c r="S488" i="5"/>
  <c r="S489" i="5"/>
  <c r="S490" i="5"/>
  <c r="S491" i="5"/>
  <c r="S492" i="5"/>
  <c r="S493" i="5"/>
  <c r="S494" i="5"/>
  <c r="S495" i="5"/>
  <c r="S496" i="5"/>
  <c r="S497" i="5"/>
  <c r="S498" i="5"/>
  <c r="S499" i="5"/>
  <c r="S500" i="5"/>
  <c r="S501" i="5"/>
  <c r="S502" i="5"/>
  <c r="S503" i="5"/>
  <c r="S504" i="5"/>
  <c r="S505" i="5"/>
  <c r="S506" i="5"/>
  <c r="S507" i="5"/>
  <c r="S508" i="5"/>
  <c r="S509" i="5"/>
  <c r="S510" i="5"/>
  <c r="S511" i="5"/>
  <c r="S512" i="5"/>
  <c r="S513" i="5"/>
  <c r="S514" i="5"/>
  <c r="S515" i="5"/>
  <c r="S516" i="5"/>
  <c r="S517" i="5"/>
  <c r="S518" i="5"/>
  <c r="S519" i="5"/>
  <c r="S520" i="5"/>
  <c r="S521" i="5"/>
  <c r="S522" i="5"/>
  <c r="S523" i="5"/>
  <c r="S524" i="5"/>
  <c r="S525" i="5"/>
  <c r="S526" i="5"/>
  <c r="S527" i="5"/>
  <c r="S528" i="5"/>
  <c r="S529" i="5"/>
  <c r="S530" i="5"/>
  <c r="S531" i="5"/>
  <c r="S532" i="5"/>
  <c r="S533" i="5"/>
  <c r="S534" i="5"/>
  <c r="S535" i="5"/>
  <c r="S536" i="5"/>
  <c r="S537" i="5"/>
  <c r="S538" i="5"/>
  <c r="S539" i="5"/>
  <c r="S540" i="5"/>
  <c r="S541" i="5"/>
  <c r="S542" i="5"/>
  <c r="S543" i="5"/>
  <c r="S544" i="5"/>
  <c r="S545" i="5"/>
  <c r="S546" i="5"/>
  <c r="S547" i="5"/>
  <c r="S548" i="5"/>
  <c r="S549" i="5"/>
  <c r="S550" i="5"/>
  <c r="S551" i="5"/>
  <c r="S552" i="5"/>
  <c r="S553" i="5"/>
  <c r="S554" i="5"/>
  <c r="S555" i="5"/>
  <c r="S556" i="5"/>
  <c r="S557" i="5"/>
  <c r="S558" i="5"/>
  <c r="S559" i="5"/>
  <c r="S560" i="5"/>
  <c r="S561" i="5"/>
  <c r="S562" i="5"/>
  <c r="S563" i="5"/>
  <c r="S564" i="5"/>
  <c r="S565" i="5"/>
  <c r="S566" i="5"/>
  <c r="S567" i="5"/>
  <c r="S568" i="5"/>
  <c r="S569" i="5"/>
  <c r="S570" i="5"/>
  <c r="S571" i="5"/>
  <c r="S572" i="5"/>
  <c r="S573" i="5"/>
  <c r="S574" i="5"/>
  <c r="S575" i="5"/>
  <c r="S576" i="5"/>
  <c r="S577" i="5"/>
  <c r="S578" i="5"/>
  <c r="S579" i="5"/>
  <c r="S580" i="5"/>
  <c r="S581" i="5"/>
  <c r="S582" i="5"/>
  <c r="S583" i="5"/>
  <c r="S584" i="5"/>
  <c r="S585" i="5"/>
  <c r="S586" i="5"/>
  <c r="S587" i="5"/>
  <c r="S588" i="5"/>
  <c r="S589" i="5"/>
  <c r="S590" i="5"/>
  <c r="S591" i="5"/>
  <c r="S592" i="5"/>
  <c r="S593" i="5"/>
  <c r="S594" i="5"/>
  <c r="S595" i="5"/>
  <c r="S596" i="5"/>
  <c r="S597" i="5"/>
  <c r="S598" i="5"/>
  <c r="S599" i="5"/>
  <c r="S600" i="5"/>
  <c r="S601" i="5"/>
  <c r="S602" i="5"/>
  <c r="S603" i="5"/>
  <c r="S604" i="5"/>
  <c r="S605" i="5"/>
  <c r="S606" i="5"/>
  <c r="S607" i="5"/>
  <c r="S608" i="5"/>
  <c r="S609" i="5"/>
  <c r="S610" i="5"/>
  <c r="S611" i="5"/>
  <c r="S612" i="5"/>
  <c r="S613" i="5"/>
  <c r="S614" i="5"/>
  <c r="S615" i="5"/>
  <c r="S616" i="5"/>
  <c r="S617" i="5"/>
  <c r="S618" i="5"/>
  <c r="S619" i="5"/>
  <c r="S620" i="5"/>
  <c r="S621" i="5"/>
  <c r="S622" i="5"/>
  <c r="S623" i="5"/>
  <c r="S624" i="5"/>
  <c r="S625" i="5"/>
  <c r="S626" i="5"/>
  <c r="S627" i="5"/>
  <c r="S628" i="5"/>
  <c r="S629" i="5"/>
  <c r="S630" i="5"/>
  <c r="S631" i="5"/>
  <c r="S632" i="5"/>
  <c r="S633" i="5"/>
  <c r="S634" i="5"/>
  <c r="S635" i="5"/>
  <c r="S636" i="5"/>
  <c r="S637" i="5"/>
  <c r="S638" i="5"/>
  <c r="S639" i="5"/>
  <c r="S640" i="5"/>
  <c r="S641" i="5"/>
  <c r="S642" i="5"/>
  <c r="S643" i="5"/>
  <c r="S644" i="5"/>
  <c r="S645" i="5"/>
  <c r="S646" i="5"/>
  <c r="S647" i="5"/>
  <c r="S648" i="5"/>
  <c r="S649" i="5"/>
  <c r="S650" i="5"/>
  <c r="S651" i="5"/>
  <c r="S652" i="5"/>
  <c r="S653" i="5"/>
  <c r="S654" i="5"/>
  <c r="S655" i="5"/>
  <c r="S656" i="5"/>
  <c r="S657" i="5"/>
  <c r="S658" i="5"/>
  <c r="S659" i="5"/>
  <c r="S660" i="5"/>
  <c r="S661" i="5"/>
  <c r="S662" i="5"/>
  <c r="S663" i="5"/>
  <c r="S664" i="5"/>
  <c r="S665" i="5"/>
  <c r="S666" i="5"/>
  <c r="S667" i="5"/>
  <c r="S668" i="5"/>
  <c r="S669" i="5"/>
  <c r="S670" i="5"/>
  <c r="S671" i="5"/>
  <c r="S672" i="5"/>
  <c r="S673" i="5"/>
  <c r="S674" i="5"/>
  <c r="S675" i="5"/>
  <c r="S676" i="5"/>
  <c r="S677" i="5"/>
  <c r="S678" i="5"/>
  <c r="S679" i="5"/>
  <c r="S680" i="5"/>
  <c r="S681" i="5"/>
  <c r="S682" i="5"/>
  <c r="S683" i="5"/>
  <c r="S684" i="5"/>
  <c r="S685" i="5"/>
  <c r="S686" i="5"/>
  <c r="S687" i="5"/>
  <c r="S688" i="5"/>
  <c r="S689" i="5"/>
  <c r="S690" i="5"/>
  <c r="S691" i="5"/>
  <c r="S692" i="5"/>
  <c r="S693" i="5"/>
  <c r="S694" i="5"/>
  <c r="S695" i="5"/>
  <c r="S696" i="5"/>
  <c r="S697" i="5"/>
  <c r="S698" i="5"/>
  <c r="S699" i="5"/>
  <c r="S700" i="5"/>
  <c r="S701" i="5"/>
  <c r="S702" i="5"/>
  <c r="S703" i="5"/>
  <c r="S704" i="5"/>
  <c r="S705" i="5"/>
  <c r="S706" i="5"/>
  <c r="S707" i="5"/>
  <c r="S708" i="5"/>
  <c r="S709" i="5"/>
  <c r="S710" i="5"/>
  <c r="S711" i="5"/>
  <c r="S712" i="5"/>
  <c r="S713" i="5"/>
  <c r="S714" i="5"/>
  <c r="S715" i="5"/>
  <c r="S716" i="5"/>
  <c r="S717" i="5"/>
  <c r="S718" i="5"/>
  <c r="S719" i="5"/>
  <c r="S720" i="5"/>
  <c r="S721" i="5"/>
  <c r="S722" i="5"/>
  <c r="S723" i="5"/>
  <c r="S724" i="5"/>
  <c r="S725" i="5"/>
  <c r="S726" i="5"/>
  <c r="S727" i="5"/>
  <c r="S728" i="5"/>
  <c r="S729" i="5"/>
  <c r="S730" i="5"/>
  <c r="S731" i="5"/>
  <c r="S732" i="5"/>
  <c r="S733" i="5"/>
  <c r="S734" i="5"/>
  <c r="S735" i="5"/>
  <c r="S736" i="5"/>
  <c r="S737" i="5"/>
  <c r="S738" i="5"/>
  <c r="S739" i="5"/>
  <c r="S740" i="5"/>
  <c r="S741" i="5"/>
  <c r="S742" i="5"/>
  <c r="S743" i="5"/>
  <c r="S744" i="5"/>
  <c r="S745" i="5"/>
  <c r="S746" i="5"/>
  <c r="S747" i="5"/>
  <c r="S748" i="5"/>
  <c r="S749" i="5"/>
  <c r="S750" i="5"/>
  <c r="S751" i="5"/>
  <c r="S752" i="5"/>
  <c r="S753" i="5"/>
  <c r="S754" i="5"/>
  <c r="S755" i="5"/>
  <c r="S756" i="5"/>
  <c r="S757" i="5"/>
  <c r="S758" i="5"/>
  <c r="S759" i="5"/>
  <c r="S760" i="5"/>
  <c r="S761" i="5"/>
  <c r="S762" i="5"/>
  <c r="S763" i="5"/>
  <c r="S764" i="5"/>
  <c r="S765" i="5"/>
  <c r="S766" i="5"/>
  <c r="S767" i="5"/>
  <c r="S768" i="5"/>
  <c r="S769" i="5"/>
  <c r="S770" i="5"/>
  <c r="S771" i="5"/>
  <c r="S772" i="5"/>
  <c r="S773" i="5"/>
  <c r="S774" i="5"/>
  <c r="S775" i="5"/>
  <c r="S776" i="5"/>
  <c r="S777" i="5"/>
  <c r="S778" i="5"/>
  <c r="S779" i="5"/>
  <c r="S780" i="5"/>
  <c r="S781" i="5"/>
  <c r="S782" i="5"/>
  <c r="S783" i="5"/>
  <c r="S784" i="5"/>
  <c r="S785" i="5"/>
  <c r="S786" i="5"/>
  <c r="S787" i="5"/>
  <c r="S788" i="5"/>
  <c r="S789" i="5"/>
  <c r="S790" i="5"/>
  <c r="S791" i="5"/>
  <c r="S792" i="5"/>
  <c r="S793" i="5"/>
  <c r="S794" i="5"/>
  <c r="S795" i="5"/>
  <c r="S796" i="5"/>
  <c r="S797" i="5"/>
  <c r="S798" i="5"/>
  <c r="S799" i="5"/>
  <c r="S800" i="5"/>
  <c r="S801" i="5"/>
  <c r="S802" i="5"/>
  <c r="S803" i="5"/>
  <c r="S804" i="5"/>
  <c r="S805" i="5"/>
  <c r="S806" i="5"/>
  <c r="S807" i="5"/>
  <c r="S808" i="5"/>
  <c r="S809" i="5"/>
  <c r="S810" i="5"/>
  <c r="S811" i="5"/>
  <c r="S812" i="5"/>
  <c r="S813" i="5"/>
  <c r="S814" i="5"/>
  <c r="S815" i="5"/>
  <c r="S816" i="5"/>
  <c r="S817" i="5"/>
  <c r="S818" i="5"/>
  <c r="S819" i="5"/>
  <c r="S820" i="5"/>
  <c r="S821" i="5"/>
  <c r="S822" i="5"/>
  <c r="S823" i="5"/>
  <c r="S824" i="5"/>
  <c r="S825" i="5"/>
  <c r="S826" i="5"/>
  <c r="S827" i="5"/>
  <c r="S828" i="5"/>
  <c r="S829" i="5"/>
  <c r="S830" i="5"/>
  <c r="S831" i="5"/>
  <c r="S832" i="5"/>
  <c r="S833" i="5"/>
  <c r="S834" i="5"/>
  <c r="S835" i="5"/>
  <c r="S836" i="5"/>
  <c r="S837" i="5"/>
  <c r="S838" i="5"/>
  <c r="S839" i="5"/>
  <c r="S840" i="5"/>
  <c r="S841" i="5"/>
  <c r="S842" i="5"/>
  <c r="S843" i="5"/>
  <c r="S844" i="5"/>
  <c r="S845" i="5"/>
  <c r="S846" i="5"/>
  <c r="S847" i="5"/>
  <c r="S848" i="5"/>
  <c r="S849" i="5"/>
  <c r="S850" i="5"/>
  <c r="S851" i="5"/>
  <c r="S852" i="5"/>
  <c r="S853" i="5"/>
  <c r="S854" i="5"/>
  <c r="S855" i="5"/>
  <c r="S856" i="5"/>
  <c r="S857" i="5"/>
  <c r="S858" i="5"/>
  <c r="S859" i="5"/>
  <c r="S860" i="5"/>
  <c r="S861" i="5"/>
  <c r="S862" i="5"/>
  <c r="S863" i="5"/>
  <c r="S864" i="5"/>
  <c r="S865" i="5"/>
  <c r="S866" i="5"/>
  <c r="S867" i="5"/>
  <c r="S868" i="5"/>
  <c r="S869" i="5"/>
  <c r="S870" i="5"/>
  <c r="S871" i="5"/>
  <c r="S872" i="5"/>
  <c r="S873" i="5"/>
  <c r="S874" i="5"/>
  <c r="S875" i="5"/>
  <c r="S876" i="5"/>
  <c r="S877" i="5"/>
  <c r="S878" i="5"/>
  <c r="S879" i="5"/>
  <c r="S880" i="5"/>
  <c r="S881" i="5"/>
  <c r="S882" i="5"/>
  <c r="S883" i="5"/>
  <c r="S884" i="5"/>
  <c r="S885" i="5"/>
  <c r="S886" i="5"/>
  <c r="S887" i="5"/>
  <c r="S888" i="5"/>
  <c r="S889" i="5"/>
  <c r="S890" i="5"/>
  <c r="S891" i="5"/>
  <c r="S892" i="5"/>
  <c r="S893" i="5"/>
  <c r="S894" i="5"/>
  <c r="S895" i="5"/>
  <c r="S896" i="5"/>
  <c r="S897" i="5"/>
  <c r="S898" i="5"/>
  <c r="S899" i="5"/>
  <c r="S900" i="5"/>
  <c r="S901" i="5"/>
  <c r="S902" i="5"/>
  <c r="S903" i="5"/>
  <c r="S904" i="5"/>
  <c r="S905" i="5"/>
  <c r="S906" i="5"/>
  <c r="S907" i="5"/>
  <c r="S908" i="5"/>
  <c r="S909" i="5"/>
  <c r="S910" i="5"/>
  <c r="S911" i="5"/>
  <c r="S912" i="5"/>
  <c r="S913" i="5"/>
  <c r="S914" i="5"/>
  <c r="S915" i="5"/>
  <c r="S916" i="5"/>
  <c r="S917" i="5"/>
  <c r="S918" i="5"/>
  <c r="S919" i="5"/>
  <c r="S920" i="5"/>
  <c r="S921" i="5"/>
  <c r="S922" i="5"/>
  <c r="S923" i="5"/>
  <c r="S924" i="5"/>
  <c r="S925" i="5"/>
  <c r="S926" i="5"/>
  <c r="S927" i="5"/>
  <c r="S928" i="5"/>
  <c r="S929" i="5"/>
  <c r="S930" i="5"/>
  <c r="S931" i="5"/>
  <c r="S932" i="5"/>
  <c r="S933" i="5"/>
  <c r="S934" i="5"/>
  <c r="S935" i="5"/>
  <c r="S936" i="5"/>
  <c r="S937" i="5"/>
  <c r="S938" i="5"/>
  <c r="S939" i="5"/>
  <c r="S940" i="5"/>
  <c r="S941" i="5"/>
  <c r="S942" i="5"/>
  <c r="S943" i="5"/>
  <c r="S944" i="5"/>
  <c r="S945" i="5"/>
  <c r="S946" i="5"/>
  <c r="S947" i="5"/>
  <c r="S948" i="5"/>
  <c r="S949" i="5"/>
  <c r="S950" i="5"/>
  <c r="S951" i="5"/>
  <c r="S952" i="5"/>
  <c r="S953" i="5"/>
  <c r="S954" i="5"/>
  <c r="S955" i="5"/>
  <c r="S956" i="5"/>
  <c r="S957" i="5"/>
  <c r="S958" i="5"/>
  <c r="S959" i="5"/>
  <c r="S960" i="5"/>
  <c r="S961" i="5"/>
  <c r="S962" i="5"/>
  <c r="S963" i="5"/>
  <c r="S964" i="5"/>
  <c r="S965" i="5"/>
  <c r="S966" i="5"/>
  <c r="S967" i="5"/>
  <c r="S968" i="5"/>
  <c r="S969" i="5"/>
  <c r="S970" i="5"/>
  <c r="S971" i="5"/>
  <c r="S972" i="5"/>
  <c r="S973" i="5"/>
  <c r="S974" i="5"/>
  <c r="S975" i="5"/>
  <c r="S976" i="5"/>
  <c r="S977" i="5"/>
  <c r="S978" i="5"/>
  <c r="S979" i="5"/>
  <c r="S980" i="5"/>
  <c r="S981" i="5"/>
  <c r="S982" i="5"/>
  <c r="S983" i="5"/>
  <c r="S984" i="5"/>
  <c r="S985" i="5"/>
  <c r="S986" i="5"/>
  <c r="S987" i="5"/>
  <c r="S988" i="5"/>
  <c r="S989" i="5"/>
  <c r="S990" i="5"/>
  <c r="S991" i="5"/>
  <c r="S992" i="5"/>
  <c r="S993" i="5"/>
  <c r="S994" i="5"/>
  <c r="S995" i="5"/>
  <c r="S996" i="5"/>
  <c r="S997" i="5"/>
  <c r="S998" i="5"/>
  <c r="S999" i="5"/>
  <c r="S1000" i="5"/>
  <c r="S1001" i="5"/>
  <c r="S1002" i="5"/>
  <c r="S1003" i="5"/>
  <c r="S1004" i="5"/>
  <c r="S1005" i="5"/>
  <c r="S1006" i="5"/>
  <c r="S1007" i="5"/>
  <c r="S1008" i="5"/>
  <c r="S1009" i="5"/>
  <c r="S1010" i="5"/>
  <c r="S1011" i="5"/>
  <c r="S1012" i="5"/>
  <c r="S1013" i="5"/>
  <c r="S1014" i="5"/>
  <c r="S1015" i="5"/>
  <c r="S1016" i="5"/>
  <c r="S1017" i="5"/>
  <c r="S1018" i="5"/>
  <c r="S1019" i="5"/>
  <c r="S1020" i="5"/>
  <c r="S1021" i="5"/>
  <c r="S1022" i="5"/>
  <c r="S1023" i="5"/>
  <c r="S1024" i="5"/>
  <c r="S1025" i="5"/>
  <c r="S1026" i="5"/>
  <c r="S1027" i="5"/>
  <c r="S1028" i="5"/>
  <c r="S1029" i="5"/>
  <c r="S1030" i="5"/>
  <c r="S1031" i="5"/>
  <c r="S1032" i="5"/>
  <c r="S1033" i="5"/>
  <c r="S1034" i="5"/>
  <c r="S1035" i="5"/>
  <c r="S1036" i="5"/>
  <c r="S1037" i="5"/>
  <c r="S1038" i="5"/>
  <c r="S1039" i="5"/>
  <c r="S1040" i="5"/>
  <c r="S1041" i="5"/>
  <c r="S1042" i="5"/>
  <c r="S1043" i="5"/>
  <c r="S1044" i="5"/>
  <c r="S1045" i="5"/>
  <c r="S1046" i="5"/>
  <c r="S1047" i="5"/>
  <c r="S1048" i="5"/>
  <c r="S1049" i="5"/>
  <c r="S1050" i="5"/>
  <c r="S1051" i="5"/>
  <c r="S1052" i="5"/>
  <c r="S1053" i="5"/>
  <c r="S1054" i="5"/>
  <c r="S1055" i="5"/>
  <c r="S1056" i="5"/>
  <c r="S1057" i="5"/>
  <c r="S1058" i="5"/>
  <c r="S1059" i="5"/>
  <c r="S1060" i="5"/>
  <c r="S1061" i="5"/>
  <c r="S1062" i="5"/>
  <c r="S1063" i="5"/>
  <c r="S1064" i="5"/>
  <c r="S1065" i="5"/>
  <c r="S1066" i="5"/>
  <c r="S1067" i="5"/>
  <c r="S1068" i="5"/>
  <c r="S1069" i="5"/>
  <c r="S1070" i="5"/>
  <c r="S1071" i="5"/>
  <c r="S1072" i="5"/>
  <c r="S1073" i="5"/>
  <c r="S1074" i="5"/>
  <c r="S1075" i="5"/>
  <c r="S1076" i="5"/>
  <c r="S1077" i="5"/>
  <c r="S1078" i="5"/>
  <c r="S1079" i="5"/>
  <c r="S1080" i="5"/>
  <c r="S1081" i="5"/>
  <c r="S1082" i="5"/>
  <c r="S1083" i="5"/>
  <c r="S1084" i="5"/>
  <c r="S1085" i="5"/>
  <c r="S1086" i="5"/>
  <c r="S1087" i="5"/>
  <c r="S1088" i="5"/>
  <c r="S1089" i="5"/>
  <c r="S1090" i="5"/>
  <c r="S1091" i="5"/>
  <c r="S1092" i="5"/>
  <c r="S1093" i="5"/>
  <c r="S1094" i="5"/>
  <c r="S1095" i="5"/>
  <c r="S1096" i="5"/>
  <c r="S1097" i="5"/>
  <c r="S1098" i="5"/>
  <c r="S1099" i="5"/>
  <c r="S1100" i="5"/>
  <c r="S1101" i="5"/>
  <c r="S1102" i="5"/>
  <c r="S1103" i="5"/>
  <c r="S1104" i="5"/>
  <c r="S1105" i="5"/>
  <c r="S1106" i="5"/>
  <c r="S1107" i="5"/>
  <c r="S1108" i="5"/>
  <c r="S1109" i="5"/>
  <c r="S1110" i="5"/>
  <c r="S1111" i="5"/>
  <c r="S1112" i="5"/>
  <c r="S1113" i="5"/>
  <c r="S1114" i="5"/>
  <c r="S1115" i="5"/>
  <c r="S1116" i="5"/>
  <c r="S1117" i="5"/>
  <c r="S1118" i="5"/>
  <c r="S1119" i="5"/>
  <c r="S1120" i="5"/>
  <c r="S1121" i="5"/>
  <c r="S1122" i="5"/>
  <c r="S1123" i="5"/>
  <c r="S1124" i="5"/>
  <c r="S1125" i="5"/>
  <c r="S1126" i="5"/>
  <c r="S1127" i="5"/>
  <c r="S1128" i="5"/>
  <c r="S1129" i="5"/>
  <c r="S1130" i="5"/>
  <c r="S1131" i="5"/>
  <c r="S1132" i="5"/>
  <c r="S1133" i="5"/>
  <c r="S1134" i="5"/>
  <c r="S1135" i="5"/>
  <c r="S1136" i="5"/>
  <c r="S1137" i="5"/>
  <c r="S1138" i="5"/>
  <c r="S1139" i="5"/>
  <c r="S1140" i="5"/>
  <c r="S1141" i="5"/>
  <c r="S1142" i="5"/>
  <c r="S1143" i="5"/>
  <c r="S1144" i="5"/>
  <c r="S1145" i="5"/>
  <c r="S1146" i="5"/>
  <c r="S1147" i="5"/>
  <c r="S1148" i="5"/>
  <c r="S1149" i="5"/>
  <c r="S1150" i="5"/>
  <c r="S1151" i="5"/>
  <c r="S1152" i="5"/>
  <c r="S1153" i="5"/>
  <c r="S1154" i="5"/>
  <c r="S1155" i="5"/>
  <c r="S1156" i="5"/>
  <c r="S1157" i="5"/>
  <c r="S1158" i="5"/>
  <c r="S1159" i="5"/>
  <c r="S1160" i="5"/>
  <c r="S1161" i="5"/>
  <c r="S1162" i="5"/>
  <c r="S1163" i="5"/>
  <c r="S1164" i="5"/>
  <c r="S1165" i="5"/>
  <c r="S1166" i="5"/>
  <c r="S1167" i="5"/>
  <c r="S1168" i="5"/>
  <c r="S1169" i="5"/>
  <c r="S1170" i="5"/>
  <c r="S1171" i="5"/>
  <c r="S1172" i="5"/>
  <c r="S1173" i="5"/>
  <c r="S1174" i="5"/>
  <c r="S1175" i="5"/>
  <c r="S1176" i="5"/>
  <c r="S1177" i="5"/>
  <c r="S1178" i="5"/>
  <c r="S1179" i="5"/>
  <c r="S1180" i="5"/>
  <c r="S1181" i="5"/>
  <c r="S1182" i="5"/>
  <c r="S1183" i="5"/>
  <c r="S1184" i="5"/>
  <c r="S1185" i="5"/>
  <c r="S1186" i="5"/>
  <c r="S1187" i="5"/>
  <c r="S1188" i="5"/>
  <c r="S1189" i="5"/>
  <c r="S1190" i="5"/>
  <c r="S1191" i="5"/>
  <c r="S1192" i="5"/>
  <c r="S1193" i="5"/>
  <c r="S1194" i="5"/>
  <c r="S1195" i="5"/>
  <c r="S1196" i="5"/>
  <c r="S1197" i="5"/>
  <c r="S1198" i="5"/>
  <c r="S1199" i="5"/>
  <c r="S1200" i="5"/>
  <c r="S1201" i="5"/>
  <c r="S1202" i="5"/>
  <c r="S1203" i="5"/>
  <c r="S1204" i="5"/>
  <c r="S1205" i="5"/>
  <c r="S1206" i="5"/>
  <c r="S1207" i="5"/>
  <c r="S1208" i="5"/>
  <c r="S1209" i="5"/>
  <c r="S1210" i="5"/>
  <c r="S1211" i="5"/>
  <c r="S1212" i="5"/>
  <c r="S1213" i="5"/>
  <c r="S1214" i="5"/>
  <c r="S1215" i="5"/>
  <c r="S1216" i="5"/>
  <c r="S1217" i="5"/>
  <c r="S1218" i="5"/>
  <c r="S1219" i="5"/>
  <c r="S1220" i="5"/>
  <c r="S1221" i="5"/>
  <c r="S1222" i="5"/>
  <c r="S1223" i="5"/>
  <c r="S1224" i="5"/>
  <c r="S1225" i="5"/>
  <c r="S1226" i="5"/>
  <c r="S1227" i="5"/>
  <c r="S1228" i="5"/>
  <c r="S1229" i="5"/>
  <c r="S1230" i="5"/>
  <c r="S1231" i="5"/>
  <c r="S1232" i="5"/>
  <c r="S1233" i="5"/>
  <c r="S1234" i="5"/>
  <c r="S1235" i="5"/>
  <c r="S1236" i="5"/>
  <c r="S1237" i="5"/>
  <c r="S1238" i="5"/>
  <c r="S1239" i="5"/>
  <c r="S1240" i="5"/>
  <c r="S1241" i="5"/>
  <c r="S1242" i="5"/>
  <c r="S1243" i="5"/>
  <c r="S1244" i="5"/>
  <c r="S1245" i="5"/>
  <c r="S1246" i="5"/>
  <c r="S1247" i="5"/>
  <c r="S1248" i="5"/>
  <c r="S1249" i="5"/>
  <c r="S1250" i="5"/>
  <c r="S1251" i="5"/>
  <c r="S1252" i="5"/>
  <c r="S1253" i="5"/>
  <c r="S1254" i="5"/>
  <c r="S1255" i="5"/>
  <c r="S1256" i="5"/>
  <c r="S1257" i="5"/>
  <c r="S1258" i="5"/>
  <c r="S1259" i="5"/>
  <c r="S1260" i="5"/>
  <c r="S1261" i="5"/>
  <c r="S1262" i="5"/>
  <c r="S1263" i="5"/>
  <c r="S1264" i="5"/>
  <c r="S1265" i="5"/>
  <c r="S1266" i="5"/>
  <c r="S1267" i="5"/>
  <c r="S1268" i="5"/>
  <c r="S1269" i="5"/>
  <c r="S1270" i="5"/>
  <c r="S1271" i="5"/>
  <c r="S1272" i="5"/>
  <c r="S1273" i="5"/>
  <c r="S1274" i="5"/>
  <c r="S1275" i="5"/>
  <c r="S1276" i="5"/>
  <c r="S1277" i="5"/>
  <c r="S1278" i="5"/>
  <c r="S1279" i="5"/>
  <c r="S1280" i="5"/>
  <c r="S1281" i="5"/>
  <c r="S1282" i="5"/>
  <c r="S1283" i="5"/>
  <c r="S1284" i="5"/>
  <c r="S1285" i="5"/>
  <c r="S1286" i="5"/>
  <c r="S1287" i="5"/>
  <c r="S1288" i="5"/>
  <c r="S1289" i="5"/>
  <c r="S1290" i="5"/>
  <c r="S1291" i="5"/>
  <c r="S1292" i="5"/>
  <c r="S1293" i="5"/>
  <c r="S1294" i="5"/>
  <c r="S1295" i="5"/>
  <c r="S1296" i="5"/>
  <c r="S1297" i="5"/>
  <c r="S1298" i="5"/>
  <c r="S1299" i="5"/>
  <c r="S1300" i="5"/>
  <c r="S1301" i="5"/>
  <c r="S1302" i="5"/>
  <c r="S1303" i="5"/>
  <c r="S1304" i="5"/>
  <c r="S1305" i="5"/>
  <c r="S1306" i="5"/>
  <c r="S1307" i="5"/>
  <c r="S1308" i="5"/>
  <c r="S1309" i="5"/>
  <c r="S1310" i="5"/>
  <c r="S1311" i="5"/>
  <c r="S1312" i="5"/>
  <c r="S1313" i="5"/>
  <c r="S1314" i="5"/>
  <c r="S1315" i="5"/>
  <c r="S1316" i="5"/>
  <c r="S1317" i="5"/>
  <c r="S1318" i="5"/>
  <c r="S1319" i="5"/>
  <c r="S1320" i="5"/>
  <c r="S1321" i="5"/>
  <c r="S1322" i="5"/>
  <c r="S1323" i="5"/>
  <c r="S1324" i="5"/>
  <c r="S1325" i="5"/>
  <c r="S1326" i="5"/>
  <c r="S1327" i="5"/>
  <c r="S1328" i="5"/>
  <c r="S1329" i="5"/>
  <c r="S1330" i="5"/>
  <c r="S1331" i="5"/>
  <c r="S1332" i="5"/>
  <c r="S1333" i="5"/>
  <c r="S1334" i="5"/>
  <c r="S1335" i="5"/>
  <c r="S1336" i="5"/>
  <c r="S1337" i="5"/>
  <c r="S1338" i="5"/>
  <c r="S1339" i="5"/>
  <c r="S1340" i="5"/>
  <c r="S1341" i="5"/>
  <c r="S1342" i="5"/>
  <c r="S1343" i="5"/>
  <c r="S1344" i="5"/>
  <c r="S1345" i="5"/>
  <c r="S1346" i="5"/>
  <c r="S1347" i="5"/>
  <c r="S1348" i="5"/>
  <c r="S1349" i="5"/>
  <c r="S1350" i="5"/>
  <c r="S1351" i="5"/>
  <c r="S1352" i="5"/>
  <c r="S1353" i="5"/>
  <c r="S1354" i="5"/>
  <c r="S1355" i="5"/>
  <c r="S1356" i="5"/>
  <c r="S1357" i="5"/>
  <c r="S1358" i="5"/>
  <c r="S1359" i="5"/>
  <c r="S1360" i="5"/>
  <c r="S1361" i="5"/>
  <c r="S1362" i="5"/>
  <c r="S1363" i="5"/>
  <c r="S1364" i="5"/>
  <c r="S1365" i="5"/>
  <c r="S1366" i="5"/>
  <c r="S1367" i="5"/>
  <c r="S1368" i="5"/>
  <c r="S1369" i="5"/>
  <c r="S1370" i="5"/>
  <c r="S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Q372" i="5"/>
  <c r="Q373" i="5"/>
  <c r="Q374" i="5"/>
  <c r="Q375" i="5"/>
  <c r="Q376" i="5"/>
  <c r="Q377" i="5"/>
  <c r="Q378" i="5"/>
  <c r="Q379" i="5"/>
  <c r="Q380" i="5"/>
  <c r="Q381" i="5"/>
  <c r="Q382" i="5"/>
  <c r="Q383" i="5"/>
  <c r="Q384" i="5"/>
  <c r="Q385" i="5"/>
  <c r="Q386" i="5"/>
  <c r="Q387" i="5"/>
  <c r="Q388" i="5"/>
  <c r="Q389" i="5"/>
  <c r="Q390" i="5"/>
  <c r="Q391" i="5"/>
  <c r="Q392" i="5"/>
  <c r="Q393" i="5"/>
  <c r="Q394" i="5"/>
  <c r="Q395" i="5"/>
  <c r="Q396" i="5"/>
  <c r="Q397" i="5"/>
  <c r="Q398" i="5"/>
  <c r="Q399" i="5"/>
  <c r="Q400" i="5"/>
  <c r="Q401" i="5"/>
  <c r="Q402" i="5"/>
  <c r="Q403" i="5"/>
  <c r="Q404" i="5"/>
  <c r="Q405" i="5"/>
  <c r="Q406" i="5"/>
  <c r="Q407" i="5"/>
  <c r="Q408" i="5"/>
  <c r="Q409" i="5"/>
  <c r="Q410" i="5"/>
  <c r="Q411" i="5"/>
  <c r="Q412" i="5"/>
  <c r="Q413" i="5"/>
  <c r="Q414" i="5"/>
  <c r="Q415" i="5"/>
  <c r="Q416" i="5"/>
  <c r="Q417" i="5"/>
  <c r="Q418" i="5"/>
  <c r="Q419" i="5"/>
  <c r="Q420" i="5"/>
  <c r="Q421" i="5"/>
  <c r="Q422" i="5"/>
  <c r="Q423" i="5"/>
  <c r="Q424" i="5"/>
  <c r="Q425" i="5"/>
  <c r="Q426" i="5"/>
  <c r="Q427" i="5"/>
  <c r="Q428" i="5"/>
  <c r="Q429" i="5"/>
  <c r="Q430" i="5"/>
  <c r="Q431" i="5"/>
  <c r="Q432" i="5"/>
  <c r="Q433" i="5"/>
  <c r="Q434" i="5"/>
  <c r="Q435" i="5"/>
  <c r="Q436" i="5"/>
  <c r="Q437" i="5"/>
  <c r="Q438" i="5"/>
  <c r="Q439" i="5"/>
  <c r="Q440" i="5"/>
  <c r="Q441" i="5"/>
  <c r="Q442" i="5"/>
  <c r="Q443" i="5"/>
  <c r="Q444" i="5"/>
  <c r="Q445" i="5"/>
  <c r="Q446" i="5"/>
  <c r="Q447" i="5"/>
  <c r="Q448" i="5"/>
  <c r="Q449" i="5"/>
  <c r="Q450" i="5"/>
  <c r="Q451" i="5"/>
  <c r="Q452" i="5"/>
  <c r="Q453" i="5"/>
  <c r="Q454" i="5"/>
  <c r="Q455" i="5"/>
  <c r="Q456" i="5"/>
  <c r="Q457" i="5"/>
  <c r="Q458" i="5"/>
  <c r="Q459" i="5"/>
  <c r="Q460" i="5"/>
  <c r="Q461" i="5"/>
  <c r="Q462" i="5"/>
  <c r="Q463" i="5"/>
  <c r="Q464" i="5"/>
  <c r="Q465" i="5"/>
  <c r="Q466" i="5"/>
  <c r="Q467" i="5"/>
  <c r="Q468" i="5"/>
  <c r="Q469" i="5"/>
  <c r="Q470" i="5"/>
  <c r="Q471" i="5"/>
  <c r="Q472" i="5"/>
  <c r="Q473" i="5"/>
  <c r="Q474" i="5"/>
  <c r="Q475" i="5"/>
  <c r="Q476" i="5"/>
  <c r="Q477" i="5"/>
  <c r="Q478" i="5"/>
  <c r="Q479" i="5"/>
  <c r="Q480" i="5"/>
  <c r="Q481" i="5"/>
  <c r="Q482" i="5"/>
  <c r="Q483" i="5"/>
  <c r="Q484" i="5"/>
  <c r="Q485" i="5"/>
  <c r="Q486" i="5"/>
  <c r="Q487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5" i="5"/>
  <c r="Q506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Q521" i="5"/>
  <c r="Q522" i="5"/>
  <c r="Q523" i="5"/>
  <c r="Q524" i="5"/>
  <c r="Q525" i="5"/>
  <c r="Q526" i="5"/>
  <c r="Q527" i="5"/>
  <c r="Q528" i="5"/>
  <c r="Q529" i="5"/>
  <c r="Q530" i="5"/>
  <c r="Q531" i="5"/>
  <c r="Q532" i="5"/>
  <c r="Q533" i="5"/>
  <c r="Q534" i="5"/>
  <c r="Q535" i="5"/>
  <c r="Q536" i="5"/>
  <c r="Q537" i="5"/>
  <c r="Q538" i="5"/>
  <c r="Q539" i="5"/>
  <c r="Q540" i="5"/>
  <c r="Q541" i="5"/>
  <c r="Q542" i="5"/>
  <c r="Q543" i="5"/>
  <c r="Q544" i="5"/>
  <c r="Q545" i="5"/>
  <c r="Q546" i="5"/>
  <c r="Q547" i="5"/>
  <c r="Q548" i="5"/>
  <c r="Q549" i="5"/>
  <c r="Q550" i="5"/>
  <c r="Q551" i="5"/>
  <c r="Q552" i="5"/>
  <c r="Q553" i="5"/>
  <c r="Q554" i="5"/>
  <c r="Q555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Q595" i="5"/>
  <c r="Q596" i="5"/>
  <c r="Q597" i="5"/>
  <c r="Q598" i="5"/>
  <c r="Q599" i="5"/>
  <c r="Q600" i="5"/>
  <c r="Q601" i="5"/>
  <c r="Q602" i="5"/>
  <c r="Q603" i="5"/>
  <c r="Q604" i="5"/>
  <c r="Q605" i="5"/>
  <c r="Q606" i="5"/>
  <c r="Q607" i="5"/>
  <c r="Q608" i="5"/>
  <c r="Q609" i="5"/>
  <c r="Q610" i="5"/>
  <c r="Q611" i="5"/>
  <c r="Q612" i="5"/>
  <c r="Q613" i="5"/>
  <c r="Q614" i="5"/>
  <c r="Q615" i="5"/>
  <c r="Q616" i="5"/>
  <c r="Q617" i="5"/>
  <c r="Q618" i="5"/>
  <c r="Q619" i="5"/>
  <c r="Q620" i="5"/>
  <c r="Q621" i="5"/>
  <c r="Q622" i="5"/>
  <c r="Q623" i="5"/>
  <c r="Q624" i="5"/>
  <c r="Q625" i="5"/>
  <c r="Q626" i="5"/>
  <c r="Q627" i="5"/>
  <c r="Q628" i="5"/>
  <c r="Q629" i="5"/>
  <c r="Q630" i="5"/>
  <c r="Q631" i="5"/>
  <c r="Q632" i="5"/>
  <c r="Q633" i="5"/>
  <c r="Q634" i="5"/>
  <c r="Q635" i="5"/>
  <c r="Q636" i="5"/>
  <c r="Q637" i="5"/>
  <c r="Q638" i="5"/>
  <c r="Q639" i="5"/>
  <c r="Q640" i="5"/>
  <c r="Q641" i="5"/>
  <c r="Q642" i="5"/>
  <c r="Q643" i="5"/>
  <c r="Q644" i="5"/>
  <c r="Q645" i="5"/>
  <c r="Q646" i="5"/>
  <c r="Q647" i="5"/>
  <c r="Q648" i="5"/>
  <c r="Q649" i="5"/>
  <c r="Q650" i="5"/>
  <c r="Q651" i="5"/>
  <c r="Q652" i="5"/>
  <c r="Q653" i="5"/>
  <c r="Q654" i="5"/>
  <c r="Q655" i="5"/>
  <c r="Q656" i="5"/>
  <c r="Q657" i="5"/>
  <c r="Q658" i="5"/>
  <c r="Q659" i="5"/>
  <c r="Q660" i="5"/>
  <c r="Q661" i="5"/>
  <c r="Q662" i="5"/>
  <c r="Q663" i="5"/>
  <c r="Q664" i="5"/>
  <c r="Q665" i="5"/>
  <c r="Q666" i="5"/>
  <c r="Q667" i="5"/>
  <c r="Q668" i="5"/>
  <c r="Q669" i="5"/>
  <c r="Q670" i="5"/>
  <c r="Q671" i="5"/>
  <c r="Q672" i="5"/>
  <c r="Q673" i="5"/>
  <c r="Q674" i="5"/>
  <c r="Q675" i="5"/>
  <c r="Q676" i="5"/>
  <c r="Q677" i="5"/>
  <c r="Q678" i="5"/>
  <c r="Q679" i="5"/>
  <c r="Q680" i="5"/>
  <c r="Q681" i="5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Q696" i="5"/>
  <c r="Q697" i="5"/>
  <c r="Q698" i="5"/>
  <c r="Q699" i="5"/>
  <c r="Q700" i="5"/>
  <c r="Q701" i="5"/>
  <c r="Q702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Q746" i="5"/>
  <c r="Q747" i="5"/>
  <c r="Q748" i="5"/>
  <c r="Q749" i="5"/>
  <c r="Q750" i="5"/>
  <c r="Q751" i="5"/>
  <c r="Q752" i="5"/>
  <c r="Q753" i="5"/>
  <c r="Q754" i="5"/>
  <c r="Q755" i="5"/>
  <c r="Q756" i="5"/>
  <c r="Q757" i="5"/>
  <c r="Q758" i="5"/>
  <c r="Q759" i="5"/>
  <c r="Q760" i="5"/>
  <c r="Q761" i="5"/>
  <c r="Q762" i="5"/>
  <c r="Q763" i="5"/>
  <c r="Q764" i="5"/>
  <c r="Q765" i="5"/>
  <c r="Q766" i="5"/>
  <c r="Q767" i="5"/>
  <c r="Q768" i="5"/>
  <c r="Q769" i="5"/>
  <c r="Q770" i="5"/>
  <c r="Q771" i="5"/>
  <c r="Q772" i="5"/>
  <c r="Q773" i="5"/>
  <c r="Q774" i="5"/>
  <c r="Q775" i="5"/>
  <c r="Q776" i="5"/>
  <c r="Q777" i="5"/>
  <c r="Q778" i="5"/>
  <c r="Q779" i="5"/>
  <c r="Q780" i="5"/>
  <c r="Q781" i="5"/>
  <c r="Q782" i="5"/>
  <c r="Q783" i="5"/>
  <c r="Q784" i="5"/>
  <c r="Q785" i="5"/>
  <c r="Q786" i="5"/>
  <c r="Q787" i="5"/>
  <c r="Q788" i="5"/>
  <c r="Q789" i="5"/>
  <c r="Q790" i="5"/>
  <c r="Q791" i="5"/>
  <c r="Q792" i="5"/>
  <c r="Q793" i="5"/>
  <c r="Q794" i="5"/>
  <c r="Q795" i="5"/>
  <c r="Q796" i="5"/>
  <c r="Q797" i="5"/>
  <c r="Q798" i="5"/>
  <c r="Q799" i="5"/>
  <c r="Q800" i="5"/>
  <c r="Q801" i="5"/>
  <c r="Q802" i="5"/>
  <c r="Q803" i="5"/>
  <c r="Q804" i="5"/>
  <c r="Q805" i="5"/>
  <c r="Q806" i="5"/>
  <c r="Q807" i="5"/>
  <c r="Q808" i="5"/>
  <c r="Q809" i="5"/>
  <c r="Q810" i="5"/>
  <c r="Q811" i="5"/>
  <c r="Q812" i="5"/>
  <c r="Q813" i="5"/>
  <c r="Q814" i="5"/>
  <c r="Q815" i="5"/>
  <c r="Q816" i="5"/>
  <c r="Q817" i="5"/>
  <c r="Q818" i="5"/>
  <c r="Q819" i="5"/>
  <c r="Q820" i="5"/>
  <c r="Q821" i="5"/>
  <c r="Q822" i="5"/>
  <c r="Q823" i="5"/>
  <c r="Q824" i="5"/>
  <c r="Q825" i="5"/>
  <c r="Q826" i="5"/>
  <c r="Q827" i="5"/>
  <c r="Q828" i="5"/>
  <c r="Q829" i="5"/>
  <c r="Q830" i="5"/>
  <c r="Q831" i="5"/>
  <c r="Q832" i="5"/>
  <c r="Q833" i="5"/>
  <c r="Q834" i="5"/>
  <c r="Q835" i="5"/>
  <c r="Q836" i="5"/>
  <c r="Q837" i="5"/>
  <c r="Q838" i="5"/>
  <c r="Q839" i="5"/>
  <c r="Q840" i="5"/>
  <c r="Q841" i="5"/>
  <c r="Q842" i="5"/>
  <c r="Q843" i="5"/>
  <c r="Q844" i="5"/>
  <c r="Q845" i="5"/>
  <c r="Q846" i="5"/>
  <c r="Q847" i="5"/>
  <c r="Q848" i="5"/>
  <c r="Q849" i="5"/>
  <c r="Q850" i="5"/>
  <c r="Q851" i="5"/>
  <c r="Q852" i="5"/>
  <c r="Q853" i="5"/>
  <c r="Q854" i="5"/>
  <c r="Q855" i="5"/>
  <c r="Q856" i="5"/>
  <c r="Q857" i="5"/>
  <c r="Q858" i="5"/>
  <c r="Q859" i="5"/>
  <c r="Q860" i="5"/>
  <c r="Q861" i="5"/>
  <c r="Q862" i="5"/>
  <c r="Q863" i="5"/>
  <c r="Q864" i="5"/>
  <c r="Q865" i="5"/>
  <c r="Q866" i="5"/>
  <c r="Q867" i="5"/>
  <c r="Q868" i="5"/>
  <c r="Q869" i="5"/>
  <c r="Q870" i="5"/>
  <c r="Q871" i="5"/>
  <c r="Q872" i="5"/>
  <c r="Q873" i="5"/>
  <c r="Q874" i="5"/>
  <c r="Q875" i="5"/>
  <c r="Q876" i="5"/>
  <c r="Q877" i="5"/>
  <c r="Q878" i="5"/>
  <c r="Q879" i="5"/>
  <c r="Q880" i="5"/>
  <c r="Q881" i="5"/>
  <c r="Q882" i="5"/>
  <c r="Q883" i="5"/>
  <c r="Q884" i="5"/>
  <c r="Q885" i="5"/>
  <c r="Q886" i="5"/>
  <c r="Q887" i="5"/>
  <c r="Q888" i="5"/>
  <c r="Q889" i="5"/>
  <c r="Q890" i="5"/>
  <c r="Q891" i="5"/>
  <c r="Q892" i="5"/>
  <c r="Q893" i="5"/>
  <c r="Q894" i="5"/>
  <c r="Q895" i="5"/>
  <c r="Q896" i="5"/>
  <c r="Q897" i="5"/>
  <c r="Q898" i="5"/>
  <c r="Q899" i="5"/>
  <c r="Q900" i="5"/>
  <c r="Q901" i="5"/>
  <c r="Q902" i="5"/>
  <c r="Q903" i="5"/>
  <c r="Q904" i="5"/>
  <c r="Q905" i="5"/>
  <c r="Q906" i="5"/>
  <c r="Q907" i="5"/>
  <c r="Q908" i="5"/>
  <c r="Q909" i="5"/>
  <c r="Q910" i="5"/>
  <c r="Q911" i="5"/>
  <c r="Q912" i="5"/>
  <c r="Q913" i="5"/>
  <c r="Q914" i="5"/>
  <c r="Q915" i="5"/>
  <c r="Q916" i="5"/>
  <c r="Q917" i="5"/>
  <c r="Q918" i="5"/>
  <c r="Q919" i="5"/>
  <c r="Q920" i="5"/>
  <c r="Q921" i="5"/>
  <c r="Q922" i="5"/>
  <c r="Q923" i="5"/>
  <c r="Q924" i="5"/>
  <c r="Q925" i="5"/>
  <c r="Q926" i="5"/>
  <c r="Q927" i="5"/>
  <c r="Q928" i="5"/>
  <c r="Q929" i="5"/>
  <c r="Q930" i="5"/>
  <c r="Q931" i="5"/>
  <c r="Q932" i="5"/>
  <c r="Q933" i="5"/>
  <c r="Q934" i="5"/>
  <c r="Q935" i="5"/>
  <c r="Q936" i="5"/>
  <c r="Q937" i="5"/>
  <c r="Q938" i="5"/>
  <c r="Q939" i="5"/>
  <c r="Q940" i="5"/>
  <c r="Q941" i="5"/>
  <c r="Q942" i="5"/>
  <c r="Q943" i="5"/>
  <c r="Q944" i="5"/>
  <c r="Q945" i="5"/>
  <c r="Q946" i="5"/>
  <c r="Q947" i="5"/>
  <c r="Q948" i="5"/>
  <c r="Q949" i="5"/>
  <c r="Q950" i="5"/>
  <c r="Q951" i="5"/>
  <c r="Q952" i="5"/>
  <c r="Q953" i="5"/>
  <c r="Q954" i="5"/>
  <c r="Q955" i="5"/>
  <c r="Q956" i="5"/>
  <c r="Q957" i="5"/>
  <c r="Q958" i="5"/>
  <c r="Q959" i="5"/>
  <c r="Q960" i="5"/>
  <c r="Q961" i="5"/>
  <c r="Q962" i="5"/>
  <c r="Q963" i="5"/>
  <c r="Q964" i="5"/>
  <c r="Q965" i="5"/>
  <c r="Q966" i="5"/>
  <c r="Q967" i="5"/>
  <c r="Q968" i="5"/>
  <c r="Q969" i="5"/>
  <c r="Q970" i="5"/>
  <c r="Q971" i="5"/>
  <c r="Q972" i="5"/>
  <c r="Q973" i="5"/>
  <c r="Q974" i="5"/>
  <c r="Q975" i="5"/>
  <c r="Q976" i="5"/>
  <c r="Q977" i="5"/>
  <c r="Q978" i="5"/>
  <c r="Q979" i="5"/>
  <c r="Q980" i="5"/>
  <c r="Q981" i="5"/>
  <c r="Q982" i="5"/>
  <c r="Q983" i="5"/>
  <c r="Q984" i="5"/>
  <c r="Q985" i="5"/>
  <c r="Q986" i="5"/>
  <c r="Q987" i="5"/>
  <c r="Q988" i="5"/>
  <c r="Q989" i="5"/>
  <c r="Q990" i="5"/>
  <c r="Q991" i="5"/>
  <c r="Q992" i="5"/>
  <c r="Q993" i="5"/>
  <c r="Q994" i="5"/>
  <c r="Q995" i="5"/>
  <c r="Q996" i="5"/>
  <c r="Q997" i="5"/>
  <c r="Q998" i="5"/>
  <c r="Q999" i="5"/>
  <c r="Q1000" i="5"/>
  <c r="Q1001" i="5"/>
  <c r="Q1002" i="5"/>
  <c r="Q1003" i="5"/>
  <c r="Q1004" i="5"/>
  <c r="Q1005" i="5"/>
  <c r="Q1006" i="5"/>
  <c r="Q1007" i="5"/>
  <c r="Q1008" i="5"/>
  <c r="Q1009" i="5"/>
  <c r="Q1010" i="5"/>
  <c r="Q1011" i="5"/>
  <c r="Q1012" i="5"/>
  <c r="Q1013" i="5"/>
  <c r="Q1014" i="5"/>
  <c r="Q1015" i="5"/>
  <c r="Q1016" i="5"/>
  <c r="Q1017" i="5"/>
  <c r="Q1018" i="5"/>
  <c r="Q1019" i="5"/>
  <c r="Q1020" i="5"/>
  <c r="Q1021" i="5"/>
  <c r="Q1022" i="5"/>
  <c r="Q1023" i="5"/>
  <c r="Q1024" i="5"/>
  <c r="Q1025" i="5"/>
  <c r="Q1026" i="5"/>
  <c r="Q1027" i="5"/>
  <c r="Q1028" i="5"/>
  <c r="Q1029" i="5"/>
  <c r="Q1030" i="5"/>
  <c r="Q1031" i="5"/>
  <c r="Q1032" i="5"/>
  <c r="Q1033" i="5"/>
  <c r="Q1034" i="5"/>
  <c r="Q1035" i="5"/>
  <c r="Q1036" i="5"/>
  <c r="Q1037" i="5"/>
  <c r="Q1038" i="5"/>
  <c r="Q1039" i="5"/>
  <c r="Q1040" i="5"/>
  <c r="Q1041" i="5"/>
  <c r="Q1042" i="5"/>
  <c r="Q1043" i="5"/>
  <c r="Q1044" i="5"/>
  <c r="Q1045" i="5"/>
  <c r="Q1046" i="5"/>
  <c r="Q1047" i="5"/>
  <c r="Q1048" i="5"/>
  <c r="Q1049" i="5"/>
  <c r="Q1050" i="5"/>
  <c r="Q1051" i="5"/>
  <c r="Q1052" i="5"/>
  <c r="Q1053" i="5"/>
  <c r="Q1054" i="5"/>
  <c r="Q1055" i="5"/>
  <c r="Q1056" i="5"/>
  <c r="Q1057" i="5"/>
  <c r="Q1058" i="5"/>
  <c r="Q1059" i="5"/>
  <c r="Q1060" i="5"/>
  <c r="Q1061" i="5"/>
  <c r="Q1062" i="5"/>
  <c r="Q1063" i="5"/>
  <c r="Q1064" i="5"/>
  <c r="Q1065" i="5"/>
  <c r="Q1066" i="5"/>
  <c r="Q1067" i="5"/>
  <c r="Q1068" i="5"/>
  <c r="Q1069" i="5"/>
  <c r="Q1070" i="5"/>
  <c r="Q1071" i="5"/>
  <c r="Q1072" i="5"/>
  <c r="Q1073" i="5"/>
  <c r="Q1074" i="5"/>
  <c r="Q1075" i="5"/>
  <c r="Q1076" i="5"/>
  <c r="Q1077" i="5"/>
  <c r="Q1078" i="5"/>
  <c r="Q1079" i="5"/>
  <c r="Q1080" i="5"/>
  <c r="Q1081" i="5"/>
  <c r="Q1082" i="5"/>
  <c r="Q1083" i="5"/>
  <c r="Q1084" i="5"/>
  <c r="Q1085" i="5"/>
  <c r="Q1086" i="5"/>
  <c r="Q1087" i="5"/>
  <c r="Q1088" i="5"/>
  <c r="Q1089" i="5"/>
  <c r="Q1090" i="5"/>
  <c r="Q1091" i="5"/>
  <c r="Q1092" i="5"/>
  <c r="Q1093" i="5"/>
  <c r="Q1094" i="5"/>
  <c r="Q1095" i="5"/>
  <c r="Q1096" i="5"/>
  <c r="Q1097" i="5"/>
  <c r="Q1098" i="5"/>
  <c r="Q1099" i="5"/>
  <c r="Q1100" i="5"/>
  <c r="Q1101" i="5"/>
  <c r="Q1102" i="5"/>
  <c r="Q1103" i="5"/>
  <c r="Q1104" i="5"/>
  <c r="Q1105" i="5"/>
  <c r="Q1106" i="5"/>
  <c r="Q1107" i="5"/>
  <c r="Q1108" i="5"/>
  <c r="Q1109" i="5"/>
  <c r="Q1110" i="5"/>
  <c r="Q1111" i="5"/>
  <c r="Q1112" i="5"/>
  <c r="Q1113" i="5"/>
  <c r="Q1114" i="5"/>
  <c r="Q1115" i="5"/>
  <c r="Q1116" i="5"/>
  <c r="Q1117" i="5"/>
  <c r="Q1118" i="5"/>
  <c r="Q1119" i="5"/>
  <c r="Q1120" i="5"/>
  <c r="Q1121" i="5"/>
  <c r="Q1122" i="5"/>
  <c r="Q1123" i="5"/>
  <c r="Q1124" i="5"/>
  <c r="Q1125" i="5"/>
  <c r="Q1126" i="5"/>
  <c r="Q1127" i="5"/>
  <c r="Q1128" i="5"/>
  <c r="Q1129" i="5"/>
  <c r="Q1130" i="5"/>
  <c r="Q1131" i="5"/>
  <c r="Q1132" i="5"/>
  <c r="Q1133" i="5"/>
  <c r="Q1134" i="5"/>
  <c r="Q1135" i="5"/>
  <c r="Q1136" i="5"/>
  <c r="Q1137" i="5"/>
  <c r="Q1138" i="5"/>
  <c r="Q1139" i="5"/>
  <c r="Q1140" i="5"/>
  <c r="Q1141" i="5"/>
  <c r="Q1142" i="5"/>
  <c r="Q1143" i="5"/>
  <c r="Q1144" i="5"/>
  <c r="Q1145" i="5"/>
  <c r="Q1146" i="5"/>
  <c r="Q1147" i="5"/>
  <c r="Q1148" i="5"/>
  <c r="Q1149" i="5"/>
  <c r="Q1150" i="5"/>
  <c r="Q1151" i="5"/>
  <c r="Q1152" i="5"/>
  <c r="Q1153" i="5"/>
  <c r="Q1154" i="5"/>
  <c r="Q1155" i="5"/>
  <c r="Q1156" i="5"/>
  <c r="Q1157" i="5"/>
  <c r="Q1158" i="5"/>
  <c r="Q1159" i="5"/>
  <c r="Q1160" i="5"/>
  <c r="Q1161" i="5"/>
  <c r="Q1162" i="5"/>
  <c r="Q1163" i="5"/>
  <c r="Q1164" i="5"/>
  <c r="Q1165" i="5"/>
  <c r="Q1166" i="5"/>
  <c r="Q1167" i="5"/>
  <c r="Q1168" i="5"/>
  <c r="Q1169" i="5"/>
  <c r="Q1170" i="5"/>
  <c r="Q1171" i="5"/>
  <c r="Q1172" i="5"/>
  <c r="Q1173" i="5"/>
  <c r="Q1174" i="5"/>
  <c r="Q1175" i="5"/>
  <c r="Q1176" i="5"/>
  <c r="Q1177" i="5"/>
  <c r="Q1178" i="5"/>
  <c r="Q1179" i="5"/>
  <c r="Q1180" i="5"/>
  <c r="Q1181" i="5"/>
  <c r="Q1182" i="5"/>
  <c r="Q1183" i="5"/>
  <c r="Q1184" i="5"/>
  <c r="Q1185" i="5"/>
  <c r="Q1186" i="5"/>
  <c r="Q1187" i="5"/>
  <c r="Q1188" i="5"/>
  <c r="Q1189" i="5"/>
  <c r="Q1190" i="5"/>
  <c r="Q1191" i="5"/>
  <c r="Q1192" i="5"/>
  <c r="Q1193" i="5"/>
  <c r="Q1194" i="5"/>
  <c r="Q1195" i="5"/>
  <c r="Q1196" i="5"/>
  <c r="Q1197" i="5"/>
  <c r="Q1198" i="5"/>
  <c r="Q1199" i="5"/>
  <c r="Q1200" i="5"/>
  <c r="Q1201" i="5"/>
  <c r="Q1202" i="5"/>
  <c r="Q1203" i="5"/>
  <c r="Q1204" i="5"/>
  <c r="Q1205" i="5"/>
  <c r="Q1206" i="5"/>
  <c r="Q1207" i="5"/>
  <c r="Q1208" i="5"/>
  <c r="Q1209" i="5"/>
  <c r="Q1210" i="5"/>
  <c r="Q1211" i="5"/>
  <c r="Q1212" i="5"/>
  <c r="Q1213" i="5"/>
  <c r="Q1214" i="5"/>
  <c r="Q1215" i="5"/>
  <c r="Q1216" i="5"/>
  <c r="Q1217" i="5"/>
  <c r="Q1218" i="5"/>
  <c r="Q1219" i="5"/>
  <c r="Q1220" i="5"/>
  <c r="Q1221" i="5"/>
  <c r="Q1222" i="5"/>
  <c r="Q1223" i="5"/>
  <c r="Q1224" i="5"/>
  <c r="Q1225" i="5"/>
  <c r="Q1226" i="5"/>
  <c r="Q1227" i="5"/>
  <c r="Q1228" i="5"/>
  <c r="Q1229" i="5"/>
  <c r="Q1230" i="5"/>
  <c r="Q1231" i="5"/>
  <c r="Q1232" i="5"/>
  <c r="Q1233" i="5"/>
  <c r="Q1234" i="5"/>
  <c r="Q1235" i="5"/>
  <c r="Q1236" i="5"/>
  <c r="Q1237" i="5"/>
  <c r="Q1238" i="5"/>
  <c r="Q1239" i="5"/>
  <c r="Q1240" i="5"/>
  <c r="Q1241" i="5"/>
  <c r="Q1242" i="5"/>
  <c r="Q1243" i="5"/>
  <c r="Q1244" i="5"/>
  <c r="Q1245" i="5"/>
  <c r="Q1246" i="5"/>
  <c r="Q1247" i="5"/>
  <c r="Q1248" i="5"/>
  <c r="Q1249" i="5"/>
  <c r="Q1250" i="5"/>
  <c r="Q1251" i="5"/>
  <c r="Q1252" i="5"/>
  <c r="Q1253" i="5"/>
  <c r="Q1254" i="5"/>
  <c r="Q1255" i="5"/>
  <c r="Q1256" i="5"/>
  <c r="Q1257" i="5"/>
  <c r="Q1258" i="5"/>
  <c r="Q1259" i="5"/>
  <c r="Q1260" i="5"/>
  <c r="Q1261" i="5"/>
  <c r="Q1262" i="5"/>
  <c r="Q1263" i="5"/>
  <c r="Q1264" i="5"/>
  <c r="Q1265" i="5"/>
  <c r="Q1266" i="5"/>
  <c r="Q1267" i="5"/>
  <c r="Q1268" i="5"/>
  <c r="Q1269" i="5"/>
  <c r="Q1270" i="5"/>
  <c r="Q1271" i="5"/>
  <c r="Q1272" i="5"/>
  <c r="Q1273" i="5"/>
  <c r="Q1274" i="5"/>
  <c r="Q1275" i="5"/>
  <c r="Q1276" i="5"/>
  <c r="Q1277" i="5"/>
  <c r="Q1278" i="5"/>
  <c r="Q1279" i="5"/>
  <c r="Q1280" i="5"/>
  <c r="Q1281" i="5"/>
  <c r="Q1282" i="5"/>
  <c r="Q1283" i="5"/>
  <c r="Q1284" i="5"/>
  <c r="Q1285" i="5"/>
  <c r="Q1286" i="5"/>
  <c r="Q1287" i="5"/>
  <c r="Q1288" i="5"/>
  <c r="Q1289" i="5"/>
  <c r="Q1290" i="5"/>
  <c r="Q1291" i="5"/>
  <c r="Q1292" i="5"/>
  <c r="Q1293" i="5"/>
  <c r="Q1294" i="5"/>
  <c r="Q1295" i="5"/>
  <c r="Q1296" i="5"/>
  <c r="Q1297" i="5"/>
  <c r="Q1298" i="5"/>
  <c r="Q1299" i="5"/>
  <c r="Q1300" i="5"/>
  <c r="Q1301" i="5"/>
  <c r="Q1302" i="5"/>
  <c r="Q1303" i="5"/>
  <c r="Q1304" i="5"/>
  <c r="Q1305" i="5"/>
  <c r="Q1306" i="5"/>
  <c r="Q1307" i="5"/>
  <c r="Q1308" i="5"/>
  <c r="Q1309" i="5"/>
  <c r="Q1310" i="5"/>
  <c r="Q1311" i="5"/>
  <c r="Q1312" i="5"/>
  <c r="Q1313" i="5"/>
  <c r="Q1314" i="5"/>
  <c r="Q1315" i="5"/>
  <c r="Q1316" i="5"/>
  <c r="Q1317" i="5"/>
  <c r="Q1318" i="5"/>
  <c r="Q1319" i="5"/>
  <c r="Q1320" i="5"/>
  <c r="Q1321" i="5"/>
  <c r="Q1322" i="5"/>
  <c r="Q1323" i="5"/>
  <c r="Q1324" i="5"/>
  <c r="Q1325" i="5"/>
  <c r="Q1326" i="5"/>
  <c r="Q1327" i="5"/>
  <c r="Q1328" i="5"/>
  <c r="Q1329" i="5"/>
  <c r="Q1330" i="5"/>
  <c r="Q1331" i="5"/>
  <c r="Q1332" i="5"/>
  <c r="Q1333" i="5"/>
  <c r="Q1334" i="5"/>
  <c r="Q1335" i="5"/>
  <c r="Q1336" i="5"/>
  <c r="Q1337" i="5"/>
  <c r="Q1338" i="5"/>
  <c r="Q1339" i="5"/>
  <c r="Q1340" i="5"/>
  <c r="Q1341" i="5"/>
  <c r="Q1342" i="5"/>
  <c r="Q1343" i="5"/>
  <c r="Q1344" i="5"/>
  <c r="Q1345" i="5"/>
  <c r="Q1346" i="5"/>
  <c r="Q1347" i="5"/>
  <c r="Q1348" i="5"/>
  <c r="Q1349" i="5"/>
  <c r="Q1350" i="5"/>
  <c r="Q1351" i="5"/>
  <c r="Q1352" i="5"/>
  <c r="Q1353" i="5"/>
  <c r="Q1354" i="5"/>
  <c r="Q1355" i="5"/>
  <c r="Q1356" i="5"/>
  <c r="Q1357" i="5"/>
  <c r="Q1358" i="5"/>
  <c r="Q1359" i="5"/>
  <c r="Q1360" i="5"/>
  <c r="Q1361" i="5"/>
  <c r="Q1362" i="5"/>
  <c r="Q1363" i="5"/>
  <c r="Q1364" i="5"/>
  <c r="Q1365" i="5"/>
  <c r="Q1366" i="5"/>
  <c r="Q1367" i="5"/>
  <c r="Q1368" i="5"/>
  <c r="Q1369" i="5"/>
  <c r="Q1370" i="5"/>
  <c r="Q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7" i="5"/>
  <c r="P388" i="5"/>
  <c r="P389" i="5"/>
  <c r="P390" i="5"/>
  <c r="P391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05" i="5"/>
  <c r="P406" i="5"/>
  <c r="P407" i="5"/>
  <c r="P408" i="5"/>
  <c r="P409" i="5"/>
  <c r="P410" i="5"/>
  <c r="P411" i="5"/>
  <c r="P412" i="5"/>
  <c r="P413" i="5"/>
  <c r="P414" i="5"/>
  <c r="P415" i="5"/>
  <c r="P416" i="5"/>
  <c r="P417" i="5"/>
  <c r="P418" i="5"/>
  <c r="P419" i="5"/>
  <c r="P420" i="5"/>
  <c r="P421" i="5"/>
  <c r="P422" i="5"/>
  <c r="P423" i="5"/>
  <c r="P424" i="5"/>
  <c r="P425" i="5"/>
  <c r="P426" i="5"/>
  <c r="P427" i="5"/>
  <c r="P428" i="5"/>
  <c r="P429" i="5"/>
  <c r="P430" i="5"/>
  <c r="P431" i="5"/>
  <c r="P432" i="5"/>
  <c r="P433" i="5"/>
  <c r="P434" i="5"/>
  <c r="P435" i="5"/>
  <c r="P436" i="5"/>
  <c r="P437" i="5"/>
  <c r="P438" i="5"/>
  <c r="P439" i="5"/>
  <c r="P440" i="5"/>
  <c r="P441" i="5"/>
  <c r="P442" i="5"/>
  <c r="P443" i="5"/>
  <c r="P444" i="5"/>
  <c r="P445" i="5"/>
  <c r="P446" i="5"/>
  <c r="P447" i="5"/>
  <c r="P448" i="5"/>
  <c r="P449" i="5"/>
  <c r="P450" i="5"/>
  <c r="P451" i="5"/>
  <c r="P452" i="5"/>
  <c r="P453" i="5"/>
  <c r="P454" i="5"/>
  <c r="P455" i="5"/>
  <c r="P456" i="5"/>
  <c r="P457" i="5"/>
  <c r="P458" i="5"/>
  <c r="P459" i="5"/>
  <c r="P460" i="5"/>
  <c r="P461" i="5"/>
  <c r="P462" i="5"/>
  <c r="P463" i="5"/>
  <c r="P464" i="5"/>
  <c r="P465" i="5"/>
  <c r="P466" i="5"/>
  <c r="P467" i="5"/>
  <c r="P468" i="5"/>
  <c r="P469" i="5"/>
  <c r="P470" i="5"/>
  <c r="P471" i="5"/>
  <c r="P472" i="5"/>
  <c r="P473" i="5"/>
  <c r="P474" i="5"/>
  <c r="P475" i="5"/>
  <c r="P476" i="5"/>
  <c r="P477" i="5"/>
  <c r="P478" i="5"/>
  <c r="P479" i="5"/>
  <c r="P480" i="5"/>
  <c r="P481" i="5"/>
  <c r="P482" i="5"/>
  <c r="P483" i="5"/>
  <c r="P484" i="5"/>
  <c r="P485" i="5"/>
  <c r="P486" i="5"/>
  <c r="P487" i="5"/>
  <c r="P488" i="5"/>
  <c r="P489" i="5"/>
  <c r="P490" i="5"/>
  <c r="P491" i="5"/>
  <c r="P492" i="5"/>
  <c r="P493" i="5"/>
  <c r="P494" i="5"/>
  <c r="P495" i="5"/>
  <c r="P496" i="5"/>
  <c r="P497" i="5"/>
  <c r="P498" i="5"/>
  <c r="P499" i="5"/>
  <c r="P500" i="5"/>
  <c r="P501" i="5"/>
  <c r="P502" i="5"/>
  <c r="P503" i="5"/>
  <c r="P504" i="5"/>
  <c r="P505" i="5"/>
  <c r="P506" i="5"/>
  <c r="P507" i="5"/>
  <c r="P508" i="5"/>
  <c r="P509" i="5"/>
  <c r="P510" i="5"/>
  <c r="P511" i="5"/>
  <c r="P512" i="5"/>
  <c r="P513" i="5"/>
  <c r="P514" i="5"/>
  <c r="P515" i="5"/>
  <c r="P516" i="5"/>
  <c r="P517" i="5"/>
  <c r="P518" i="5"/>
  <c r="P519" i="5"/>
  <c r="P520" i="5"/>
  <c r="P521" i="5"/>
  <c r="P522" i="5"/>
  <c r="P523" i="5"/>
  <c r="P524" i="5"/>
  <c r="P525" i="5"/>
  <c r="P526" i="5"/>
  <c r="P527" i="5"/>
  <c r="P528" i="5"/>
  <c r="P529" i="5"/>
  <c r="P530" i="5"/>
  <c r="P531" i="5"/>
  <c r="P532" i="5"/>
  <c r="P533" i="5"/>
  <c r="P534" i="5"/>
  <c r="P535" i="5"/>
  <c r="P536" i="5"/>
  <c r="P537" i="5"/>
  <c r="P538" i="5"/>
  <c r="P539" i="5"/>
  <c r="P540" i="5"/>
  <c r="P541" i="5"/>
  <c r="P542" i="5"/>
  <c r="P543" i="5"/>
  <c r="P544" i="5"/>
  <c r="P545" i="5"/>
  <c r="P546" i="5"/>
  <c r="P547" i="5"/>
  <c r="P548" i="5"/>
  <c r="P549" i="5"/>
  <c r="P550" i="5"/>
  <c r="P551" i="5"/>
  <c r="P552" i="5"/>
  <c r="P553" i="5"/>
  <c r="P554" i="5"/>
  <c r="P555" i="5"/>
  <c r="P556" i="5"/>
  <c r="P557" i="5"/>
  <c r="P558" i="5"/>
  <c r="P559" i="5"/>
  <c r="P560" i="5"/>
  <c r="P561" i="5"/>
  <c r="P562" i="5"/>
  <c r="P563" i="5"/>
  <c r="P564" i="5"/>
  <c r="P565" i="5"/>
  <c r="P566" i="5"/>
  <c r="P567" i="5"/>
  <c r="P568" i="5"/>
  <c r="P569" i="5"/>
  <c r="P570" i="5"/>
  <c r="P571" i="5"/>
  <c r="P572" i="5"/>
  <c r="P573" i="5"/>
  <c r="P574" i="5"/>
  <c r="P575" i="5"/>
  <c r="P576" i="5"/>
  <c r="P577" i="5"/>
  <c r="P578" i="5"/>
  <c r="P579" i="5"/>
  <c r="P580" i="5"/>
  <c r="P581" i="5"/>
  <c r="P582" i="5"/>
  <c r="P583" i="5"/>
  <c r="P584" i="5"/>
  <c r="P585" i="5"/>
  <c r="P586" i="5"/>
  <c r="P587" i="5"/>
  <c r="P588" i="5"/>
  <c r="P589" i="5"/>
  <c r="P590" i="5"/>
  <c r="P591" i="5"/>
  <c r="P592" i="5"/>
  <c r="P593" i="5"/>
  <c r="P594" i="5"/>
  <c r="P595" i="5"/>
  <c r="P596" i="5"/>
  <c r="P597" i="5"/>
  <c r="P598" i="5"/>
  <c r="P599" i="5"/>
  <c r="P600" i="5"/>
  <c r="P601" i="5"/>
  <c r="P602" i="5"/>
  <c r="P603" i="5"/>
  <c r="P604" i="5"/>
  <c r="P605" i="5"/>
  <c r="P606" i="5"/>
  <c r="P607" i="5"/>
  <c r="P608" i="5"/>
  <c r="P609" i="5"/>
  <c r="P610" i="5"/>
  <c r="P611" i="5"/>
  <c r="P612" i="5"/>
  <c r="P613" i="5"/>
  <c r="P614" i="5"/>
  <c r="P615" i="5"/>
  <c r="P616" i="5"/>
  <c r="P617" i="5"/>
  <c r="P618" i="5"/>
  <c r="P619" i="5"/>
  <c r="P620" i="5"/>
  <c r="P621" i="5"/>
  <c r="P622" i="5"/>
  <c r="P623" i="5"/>
  <c r="P624" i="5"/>
  <c r="P625" i="5"/>
  <c r="P626" i="5"/>
  <c r="P627" i="5"/>
  <c r="P628" i="5"/>
  <c r="P629" i="5"/>
  <c r="P630" i="5"/>
  <c r="P631" i="5"/>
  <c r="P632" i="5"/>
  <c r="P633" i="5"/>
  <c r="P634" i="5"/>
  <c r="P635" i="5"/>
  <c r="P636" i="5"/>
  <c r="P637" i="5"/>
  <c r="P638" i="5"/>
  <c r="P639" i="5"/>
  <c r="P640" i="5"/>
  <c r="P641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82" i="5"/>
  <c r="P683" i="5"/>
  <c r="P684" i="5"/>
  <c r="P685" i="5"/>
  <c r="P686" i="5"/>
  <c r="P687" i="5"/>
  <c r="P688" i="5"/>
  <c r="P689" i="5"/>
  <c r="P690" i="5"/>
  <c r="P691" i="5"/>
  <c r="P692" i="5"/>
  <c r="P693" i="5"/>
  <c r="P694" i="5"/>
  <c r="P695" i="5"/>
  <c r="P696" i="5"/>
  <c r="P697" i="5"/>
  <c r="P698" i="5"/>
  <c r="P699" i="5"/>
  <c r="P700" i="5"/>
  <c r="P701" i="5"/>
  <c r="P702" i="5"/>
  <c r="P703" i="5"/>
  <c r="P704" i="5"/>
  <c r="P705" i="5"/>
  <c r="P706" i="5"/>
  <c r="P707" i="5"/>
  <c r="P708" i="5"/>
  <c r="P709" i="5"/>
  <c r="P710" i="5"/>
  <c r="P711" i="5"/>
  <c r="P712" i="5"/>
  <c r="P713" i="5"/>
  <c r="P714" i="5"/>
  <c r="P715" i="5"/>
  <c r="P716" i="5"/>
  <c r="P717" i="5"/>
  <c r="P718" i="5"/>
  <c r="P719" i="5"/>
  <c r="P720" i="5"/>
  <c r="P721" i="5"/>
  <c r="P722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P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P807" i="5"/>
  <c r="P808" i="5"/>
  <c r="P809" i="5"/>
  <c r="P810" i="5"/>
  <c r="P811" i="5"/>
  <c r="P812" i="5"/>
  <c r="P813" i="5"/>
  <c r="P814" i="5"/>
  <c r="P815" i="5"/>
  <c r="P816" i="5"/>
  <c r="P817" i="5"/>
  <c r="P818" i="5"/>
  <c r="P819" i="5"/>
  <c r="P820" i="5"/>
  <c r="P821" i="5"/>
  <c r="P822" i="5"/>
  <c r="P823" i="5"/>
  <c r="P824" i="5"/>
  <c r="P825" i="5"/>
  <c r="P826" i="5"/>
  <c r="P827" i="5"/>
  <c r="P828" i="5"/>
  <c r="P829" i="5"/>
  <c r="P830" i="5"/>
  <c r="P831" i="5"/>
  <c r="P832" i="5"/>
  <c r="P833" i="5"/>
  <c r="P834" i="5"/>
  <c r="P835" i="5"/>
  <c r="P836" i="5"/>
  <c r="P837" i="5"/>
  <c r="P838" i="5"/>
  <c r="P839" i="5"/>
  <c r="P840" i="5"/>
  <c r="P841" i="5"/>
  <c r="P842" i="5"/>
  <c r="P843" i="5"/>
  <c r="P844" i="5"/>
  <c r="P845" i="5"/>
  <c r="P846" i="5"/>
  <c r="P847" i="5"/>
  <c r="P848" i="5"/>
  <c r="P849" i="5"/>
  <c r="P850" i="5"/>
  <c r="P851" i="5"/>
  <c r="P852" i="5"/>
  <c r="P853" i="5"/>
  <c r="P854" i="5"/>
  <c r="P855" i="5"/>
  <c r="P856" i="5"/>
  <c r="P857" i="5"/>
  <c r="P858" i="5"/>
  <c r="P859" i="5"/>
  <c r="P860" i="5"/>
  <c r="P861" i="5"/>
  <c r="P862" i="5"/>
  <c r="P863" i="5"/>
  <c r="P864" i="5"/>
  <c r="P865" i="5"/>
  <c r="P866" i="5"/>
  <c r="P867" i="5"/>
  <c r="P868" i="5"/>
  <c r="P869" i="5"/>
  <c r="P870" i="5"/>
  <c r="P871" i="5"/>
  <c r="P872" i="5"/>
  <c r="P873" i="5"/>
  <c r="P874" i="5"/>
  <c r="P875" i="5"/>
  <c r="P876" i="5"/>
  <c r="P877" i="5"/>
  <c r="P878" i="5"/>
  <c r="P879" i="5"/>
  <c r="P880" i="5"/>
  <c r="P881" i="5"/>
  <c r="P882" i="5"/>
  <c r="P883" i="5"/>
  <c r="P884" i="5"/>
  <c r="P885" i="5"/>
  <c r="P886" i="5"/>
  <c r="P887" i="5"/>
  <c r="P888" i="5"/>
  <c r="P889" i="5"/>
  <c r="P890" i="5"/>
  <c r="P891" i="5"/>
  <c r="P892" i="5"/>
  <c r="P893" i="5"/>
  <c r="P894" i="5"/>
  <c r="P895" i="5"/>
  <c r="P896" i="5"/>
  <c r="P897" i="5"/>
  <c r="P898" i="5"/>
  <c r="P899" i="5"/>
  <c r="P900" i="5"/>
  <c r="P901" i="5"/>
  <c r="P902" i="5"/>
  <c r="P903" i="5"/>
  <c r="P904" i="5"/>
  <c r="P905" i="5"/>
  <c r="P906" i="5"/>
  <c r="P907" i="5"/>
  <c r="P908" i="5"/>
  <c r="P909" i="5"/>
  <c r="P910" i="5"/>
  <c r="P911" i="5"/>
  <c r="P912" i="5"/>
  <c r="P913" i="5"/>
  <c r="P914" i="5"/>
  <c r="P915" i="5"/>
  <c r="P916" i="5"/>
  <c r="P917" i="5"/>
  <c r="P918" i="5"/>
  <c r="P919" i="5"/>
  <c r="P920" i="5"/>
  <c r="P921" i="5"/>
  <c r="P922" i="5"/>
  <c r="P923" i="5"/>
  <c r="P924" i="5"/>
  <c r="P925" i="5"/>
  <c r="P926" i="5"/>
  <c r="P927" i="5"/>
  <c r="P928" i="5"/>
  <c r="P929" i="5"/>
  <c r="P930" i="5"/>
  <c r="P931" i="5"/>
  <c r="P932" i="5"/>
  <c r="P933" i="5"/>
  <c r="P934" i="5"/>
  <c r="P935" i="5"/>
  <c r="P936" i="5"/>
  <c r="P937" i="5"/>
  <c r="P938" i="5"/>
  <c r="P939" i="5"/>
  <c r="P940" i="5"/>
  <c r="P941" i="5"/>
  <c r="P942" i="5"/>
  <c r="P943" i="5"/>
  <c r="P944" i="5"/>
  <c r="P945" i="5"/>
  <c r="P946" i="5"/>
  <c r="P947" i="5"/>
  <c r="P948" i="5"/>
  <c r="P949" i="5"/>
  <c r="P950" i="5"/>
  <c r="P951" i="5"/>
  <c r="P952" i="5"/>
  <c r="P953" i="5"/>
  <c r="P954" i="5"/>
  <c r="P955" i="5"/>
  <c r="P956" i="5"/>
  <c r="P957" i="5"/>
  <c r="P958" i="5"/>
  <c r="P959" i="5"/>
  <c r="P960" i="5"/>
  <c r="P961" i="5"/>
  <c r="P962" i="5"/>
  <c r="P963" i="5"/>
  <c r="P964" i="5"/>
  <c r="P965" i="5"/>
  <c r="P966" i="5"/>
  <c r="P967" i="5"/>
  <c r="P968" i="5"/>
  <c r="P969" i="5"/>
  <c r="P970" i="5"/>
  <c r="P971" i="5"/>
  <c r="P972" i="5"/>
  <c r="P973" i="5"/>
  <c r="P974" i="5"/>
  <c r="P975" i="5"/>
  <c r="P976" i="5"/>
  <c r="P977" i="5"/>
  <c r="P978" i="5"/>
  <c r="P979" i="5"/>
  <c r="P980" i="5"/>
  <c r="P981" i="5"/>
  <c r="P982" i="5"/>
  <c r="P983" i="5"/>
  <c r="P984" i="5"/>
  <c r="P985" i="5"/>
  <c r="P986" i="5"/>
  <c r="P987" i="5"/>
  <c r="P988" i="5"/>
  <c r="P989" i="5"/>
  <c r="P990" i="5"/>
  <c r="P991" i="5"/>
  <c r="P992" i="5"/>
  <c r="P993" i="5"/>
  <c r="P994" i="5"/>
  <c r="P995" i="5"/>
  <c r="P996" i="5"/>
  <c r="P997" i="5"/>
  <c r="P998" i="5"/>
  <c r="P999" i="5"/>
  <c r="P1000" i="5"/>
  <c r="P1001" i="5"/>
  <c r="P1002" i="5"/>
  <c r="P1003" i="5"/>
  <c r="P1004" i="5"/>
  <c r="P1005" i="5"/>
  <c r="P1006" i="5"/>
  <c r="P1007" i="5"/>
  <c r="P1008" i="5"/>
  <c r="P1009" i="5"/>
  <c r="P1010" i="5"/>
  <c r="P1011" i="5"/>
  <c r="P1012" i="5"/>
  <c r="P1013" i="5"/>
  <c r="P1014" i="5"/>
  <c r="P1015" i="5"/>
  <c r="P1016" i="5"/>
  <c r="P1017" i="5"/>
  <c r="P1018" i="5"/>
  <c r="P1019" i="5"/>
  <c r="P1020" i="5"/>
  <c r="P1021" i="5"/>
  <c r="P1022" i="5"/>
  <c r="P1023" i="5"/>
  <c r="P1024" i="5"/>
  <c r="P1025" i="5"/>
  <c r="P1026" i="5"/>
  <c r="P1027" i="5"/>
  <c r="P1028" i="5"/>
  <c r="P1029" i="5"/>
  <c r="P1030" i="5"/>
  <c r="P1031" i="5"/>
  <c r="P1032" i="5"/>
  <c r="P1033" i="5"/>
  <c r="P1034" i="5"/>
  <c r="P1035" i="5"/>
  <c r="P1036" i="5"/>
  <c r="P1037" i="5"/>
  <c r="P1038" i="5"/>
  <c r="P1039" i="5"/>
  <c r="P1040" i="5"/>
  <c r="P1041" i="5"/>
  <c r="P1042" i="5"/>
  <c r="P1043" i="5"/>
  <c r="P1044" i="5"/>
  <c r="P1045" i="5"/>
  <c r="P1046" i="5"/>
  <c r="P1047" i="5"/>
  <c r="P1048" i="5"/>
  <c r="P1049" i="5"/>
  <c r="P1050" i="5"/>
  <c r="P1051" i="5"/>
  <c r="P1052" i="5"/>
  <c r="P1053" i="5"/>
  <c r="P1054" i="5"/>
  <c r="P1055" i="5"/>
  <c r="P1056" i="5"/>
  <c r="P1057" i="5"/>
  <c r="P1058" i="5"/>
  <c r="P1059" i="5"/>
  <c r="P1060" i="5"/>
  <c r="P1061" i="5"/>
  <c r="P1062" i="5"/>
  <c r="P1063" i="5"/>
  <c r="P1064" i="5"/>
  <c r="P1065" i="5"/>
  <c r="P1066" i="5"/>
  <c r="P1067" i="5"/>
  <c r="P1068" i="5"/>
  <c r="P1069" i="5"/>
  <c r="P1070" i="5"/>
  <c r="P1071" i="5"/>
  <c r="P1072" i="5"/>
  <c r="P1073" i="5"/>
  <c r="P1074" i="5"/>
  <c r="P1075" i="5"/>
  <c r="P1076" i="5"/>
  <c r="P1077" i="5"/>
  <c r="P1078" i="5"/>
  <c r="P1079" i="5"/>
  <c r="P1080" i="5"/>
  <c r="P1081" i="5"/>
  <c r="P1082" i="5"/>
  <c r="P1083" i="5"/>
  <c r="P1084" i="5"/>
  <c r="P1085" i="5"/>
  <c r="P1086" i="5"/>
  <c r="P1087" i="5"/>
  <c r="P1088" i="5"/>
  <c r="P1089" i="5"/>
  <c r="P1090" i="5"/>
  <c r="P1091" i="5"/>
  <c r="P1092" i="5"/>
  <c r="P1093" i="5"/>
  <c r="P1094" i="5"/>
  <c r="P1095" i="5"/>
  <c r="P1096" i="5"/>
  <c r="P1097" i="5"/>
  <c r="P1098" i="5"/>
  <c r="P1099" i="5"/>
  <c r="P1100" i="5"/>
  <c r="P1101" i="5"/>
  <c r="P1102" i="5"/>
  <c r="P1103" i="5"/>
  <c r="P1104" i="5"/>
  <c r="P1105" i="5"/>
  <c r="P1106" i="5"/>
  <c r="P1107" i="5"/>
  <c r="P1108" i="5"/>
  <c r="P1109" i="5"/>
  <c r="P1110" i="5"/>
  <c r="P1111" i="5"/>
  <c r="P1112" i="5"/>
  <c r="P1113" i="5"/>
  <c r="P1114" i="5"/>
  <c r="P1115" i="5"/>
  <c r="P1116" i="5"/>
  <c r="P1117" i="5"/>
  <c r="P1118" i="5"/>
  <c r="P1119" i="5"/>
  <c r="P1120" i="5"/>
  <c r="P1121" i="5"/>
  <c r="P1122" i="5"/>
  <c r="P1123" i="5"/>
  <c r="P1124" i="5"/>
  <c r="P1125" i="5"/>
  <c r="P1126" i="5"/>
  <c r="P1127" i="5"/>
  <c r="P1128" i="5"/>
  <c r="P1129" i="5"/>
  <c r="P1130" i="5"/>
  <c r="P1131" i="5"/>
  <c r="P1132" i="5"/>
  <c r="P1133" i="5"/>
  <c r="P1134" i="5"/>
  <c r="P1135" i="5"/>
  <c r="P1136" i="5"/>
  <c r="P1137" i="5"/>
  <c r="P1138" i="5"/>
  <c r="P1139" i="5"/>
  <c r="P1140" i="5"/>
  <c r="P1141" i="5"/>
  <c r="P1142" i="5"/>
  <c r="P1143" i="5"/>
  <c r="P1144" i="5"/>
  <c r="P1145" i="5"/>
  <c r="P1146" i="5"/>
  <c r="P1147" i="5"/>
  <c r="P1148" i="5"/>
  <c r="P1149" i="5"/>
  <c r="P1150" i="5"/>
  <c r="P1151" i="5"/>
  <c r="P1152" i="5"/>
  <c r="P1153" i="5"/>
  <c r="P1154" i="5"/>
  <c r="P1155" i="5"/>
  <c r="P1156" i="5"/>
  <c r="P1157" i="5"/>
  <c r="P1158" i="5"/>
  <c r="P1159" i="5"/>
  <c r="P1160" i="5"/>
  <c r="P1161" i="5"/>
  <c r="P1162" i="5"/>
  <c r="P1163" i="5"/>
  <c r="P1164" i="5"/>
  <c r="P1165" i="5"/>
  <c r="P1166" i="5"/>
  <c r="P1167" i="5"/>
  <c r="P1168" i="5"/>
  <c r="P1169" i="5"/>
  <c r="P1170" i="5"/>
  <c r="P1171" i="5"/>
  <c r="P1172" i="5"/>
  <c r="P1173" i="5"/>
  <c r="P1174" i="5"/>
  <c r="P1175" i="5"/>
  <c r="P1176" i="5"/>
  <c r="P1177" i="5"/>
  <c r="P1178" i="5"/>
  <c r="P1179" i="5"/>
  <c r="P1180" i="5"/>
  <c r="P1181" i="5"/>
  <c r="P1182" i="5"/>
  <c r="P1183" i="5"/>
  <c r="P1184" i="5"/>
  <c r="P1185" i="5"/>
  <c r="P1186" i="5"/>
  <c r="P1187" i="5"/>
  <c r="P1188" i="5"/>
  <c r="P1189" i="5"/>
  <c r="P1190" i="5"/>
  <c r="P1191" i="5"/>
  <c r="P1192" i="5"/>
  <c r="P1193" i="5"/>
  <c r="P1194" i="5"/>
  <c r="P1195" i="5"/>
  <c r="P1196" i="5"/>
  <c r="P1197" i="5"/>
  <c r="P1198" i="5"/>
  <c r="P1199" i="5"/>
  <c r="P1200" i="5"/>
  <c r="P1201" i="5"/>
  <c r="P1202" i="5"/>
  <c r="P1203" i="5"/>
  <c r="P1204" i="5"/>
  <c r="P1205" i="5"/>
  <c r="P1206" i="5"/>
  <c r="P1207" i="5"/>
  <c r="P1208" i="5"/>
  <c r="P1209" i="5"/>
  <c r="P1210" i="5"/>
  <c r="P1211" i="5"/>
  <c r="P1212" i="5"/>
  <c r="P1213" i="5"/>
  <c r="P1214" i="5"/>
  <c r="P1215" i="5"/>
  <c r="P1216" i="5"/>
  <c r="P1217" i="5"/>
  <c r="P1218" i="5"/>
  <c r="P1219" i="5"/>
  <c r="P1220" i="5"/>
  <c r="P1221" i="5"/>
  <c r="P1222" i="5"/>
  <c r="P1223" i="5"/>
  <c r="P1224" i="5"/>
  <c r="P1225" i="5"/>
  <c r="P1226" i="5"/>
  <c r="P1227" i="5"/>
  <c r="P1228" i="5"/>
  <c r="P1229" i="5"/>
  <c r="P1230" i="5"/>
  <c r="P1231" i="5"/>
  <c r="P1232" i="5"/>
  <c r="P1233" i="5"/>
  <c r="P1234" i="5"/>
  <c r="P1235" i="5"/>
  <c r="P1236" i="5"/>
  <c r="P1237" i="5"/>
  <c r="P1238" i="5"/>
  <c r="P1239" i="5"/>
  <c r="P1240" i="5"/>
  <c r="P1241" i="5"/>
  <c r="P1242" i="5"/>
  <c r="P1243" i="5"/>
  <c r="P1244" i="5"/>
  <c r="P1245" i="5"/>
  <c r="P1246" i="5"/>
  <c r="P1247" i="5"/>
  <c r="P1248" i="5"/>
  <c r="P1249" i="5"/>
  <c r="P1250" i="5"/>
  <c r="P1251" i="5"/>
  <c r="P1252" i="5"/>
  <c r="P1253" i="5"/>
  <c r="P1254" i="5"/>
  <c r="P1255" i="5"/>
  <c r="P1256" i="5"/>
  <c r="P1257" i="5"/>
  <c r="P1258" i="5"/>
  <c r="P1259" i="5"/>
  <c r="P1260" i="5"/>
  <c r="P1261" i="5"/>
  <c r="P1262" i="5"/>
  <c r="P1263" i="5"/>
  <c r="P1264" i="5"/>
  <c r="P1265" i="5"/>
  <c r="P1266" i="5"/>
  <c r="P1267" i="5"/>
  <c r="P1268" i="5"/>
  <c r="P1269" i="5"/>
  <c r="P1270" i="5"/>
  <c r="P1271" i="5"/>
  <c r="P1272" i="5"/>
  <c r="P1273" i="5"/>
  <c r="P1274" i="5"/>
  <c r="P1275" i="5"/>
  <c r="P1276" i="5"/>
  <c r="P1277" i="5"/>
  <c r="P1278" i="5"/>
  <c r="P1279" i="5"/>
  <c r="P1280" i="5"/>
  <c r="P1281" i="5"/>
  <c r="P1282" i="5"/>
  <c r="P1283" i="5"/>
  <c r="P1284" i="5"/>
  <c r="P1285" i="5"/>
  <c r="P1286" i="5"/>
  <c r="P1287" i="5"/>
  <c r="P1288" i="5"/>
  <c r="P1289" i="5"/>
  <c r="P1290" i="5"/>
  <c r="P1291" i="5"/>
  <c r="P1292" i="5"/>
  <c r="P1293" i="5"/>
  <c r="P1294" i="5"/>
  <c r="P1295" i="5"/>
  <c r="P1296" i="5"/>
  <c r="P1297" i="5"/>
  <c r="P1298" i="5"/>
  <c r="P1299" i="5"/>
  <c r="P1300" i="5"/>
  <c r="P1301" i="5"/>
  <c r="P1302" i="5"/>
  <c r="P1303" i="5"/>
  <c r="P1304" i="5"/>
  <c r="P1305" i="5"/>
  <c r="P1306" i="5"/>
  <c r="P1307" i="5"/>
  <c r="P1308" i="5"/>
  <c r="P1309" i="5"/>
  <c r="P1310" i="5"/>
  <c r="P1311" i="5"/>
  <c r="P1312" i="5"/>
  <c r="P1313" i="5"/>
  <c r="P1314" i="5"/>
  <c r="P1315" i="5"/>
  <c r="P1316" i="5"/>
  <c r="P1317" i="5"/>
  <c r="P1318" i="5"/>
  <c r="P1319" i="5"/>
  <c r="P1320" i="5"/>
  <c r="P1321" i="5"/>
  <c r="P1322" i="5"/>
  <c r="P1323" i="5"/>
  <c r="P1324" i="5"/>
  <c r="P1325" i="5"/>
  <c r="P1326" i="5"/>
  <c r="P1327" i="5"/>
  <c r="P1328" i="5"/>
  <c r="P1329" i="5"/>
  <c r="P1330" i="5"/>
  <c r="P1331" i="5"/>
  <c r="P1332" i="5"/>
  <c r="P1333" i="5"/>
  <c r="P1334" i="5"/>
  <c r="P1335" i="5"/>
  <c r="P1336" i="5"/>
  <c r="P1337" i="5"/>
  <c r="P1338" i="5"/>
  <c r="P1339" i="5"/>
  <c r="P1340" i="5"/>
  <c r="P1341" i="5"/>
  <c r="P1342" i="5"/>
  <c r="P1343" i="5"/>
  <c r="P1344" i="5"/>
  <c r="P1345" i="5"/>
  <c r="P1346" i="5"/>
  <c r="P1347" i="5"/>
  <c r="P1348" i="5"/>
  <c r="P1349" i="5"/>
  <c r="P1350" i="5"/>
  <c r="P1351" i="5"/>
  <c r="P1352" i="5"/>
  <c r="P1353" i="5"/>
  <c r="P1354" i="5"/>
  <c r="P1355" i="5"/>
  <c r="P1356" i="5"/>
  <c r="P1357" i="5"/>
  <c r="P1358" i="5"/>
  <c r="P1359" i="5"/>
  <c r="P1360" i="5"/>
  <c r="P1361" i="5"/>
  <c r="P1362" i="5"/>
  <c r="P1363" i="5"/>
  <c r="P1364" i="5"/>
  <c r="P1365" i="5"/>
  <c r="P1366" i="5"/>
  <c r="P1367" i="5"/>
  <c r="P1368" i="5"/>
  <c r="P1369" i="5"/>
  <c r="P1370" i="5"/>
  <c r="P2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O1034" i="5"/>
  <c r="O1035" i="5"/>
  <c r="O1036" i="5"/>
  <c r="O1037" i="5"/>
  <c r="O1038" i="5"/>
  <c r="O1039" i="5"/>
  <c r="O1040" i="5"/>
  <c r="O1041" i="5"/>
  <c r="O1042" i="5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O1075" i="5"/>
  <c r="O1076" i="5"/>
  <c r="O1077" i="5"/>
  <c r="O1078" i="5"/>
  <c r="O1079" i="5"/>
  <c r="O1080" i="5"/>
  <c r="O1081" i="5"/>
  <c r="O1082" i="5"/>
  <c r="O1083" i="5"/>
  <c r="O1084" i="5"/>
  <c r="O1085" i="5"/>
  <c r="O1086" i="5"/>
  <c r="O1087" i="5"/>
  <c r="O1088" i="5"/>
  <c r="O1089" i="5"/>
  <c r="O1090" i="5"/>
  <c r="O1091" i="5"/>
  <c r="O1092" i="5"/>
  <c r="O1093" i="5"/>
  <c r="O1094" i="5"/>
  <c r="O1095" i="5"/>
  <c r="O1096" i="5"/>
  <c r="O1097" i="5"/>
  <c r="O1098" i="5"/>
  <c r="O1099" i="5"/>
  <c r="O1100" i="5"/>
  <c r="O1101" i="5"/>
  <c r="O1102" i="5"/>
  <c r="O1103" i="5"/>
  <c r="O1104" i="5"/>
  <c r="O1105" i="5"/>
  <c r="O1106" i="5"/>
  <c r="O1107" i="5"/>
  <c r="O1108" i="5"/>
  <c r="O1109" i="5"/>
  <c r="O1110" i="5"/>
  <c r="O1111" i="5"/>
  <c r="O1112" i="5"/>
  <c r="O1113" i="5"/>
  <c r="O1114" i="5"/>
  <c r="O1115" i="5"/>
  <c r="O1116" i="5"/>
  <c r="O1117" i="5"/>
  <c r="O1118" i="5"/>
  <c r="O1119" i="5"/>
  <c r="O1120" i="5"/>
  <c r="O1121" i="5"/>
  <c r="O1122" i="5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O1136" i="5"/>
  <c r="O1137" i="5"/>
  <c r="O1138" i="5"/>
  <c r="O1139" i="5"/>
  <c r="O1140" i="5"/>
  <c r="O1141" i="5"/>
  <c r="O1142" i="5"/>
  <c r="O1143" i="5"/>
  <c r="O1144" i="5"/>
  <c r="O1145" i="5"/>
  <c r="O1146" i="5"/>
  <c r="O1147" i="5"/>
  <c r="O1148" i="5"/>
  <c r="O1149" i="5"/>
  <c r="O1150" i="5"/>
  <c r="O1151" i="5"/>
  <c r="O1152" i="5"/>
  <c r="O1153" i="5"/>
  <c r="O1154" i="5"/>
  <c r="O1155" i="5"/>
  <c r="O1156" i="5"/>
  <c r="O1157" i="5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O1170" i="5"/>
  <c r="O1171" i="5"/>
  <c r="O1172" i="5"/>
  <c r="O1173" i="5"/>
  <c r="O1174" i="5"/>
  <c r="O1175" i="5"/>
  <c r="O1176" i="5"/>
  <c r="O1177" i="5"/>
  <c r="O1178" i="5"/>
  <c r="O1179" i="5"/>
  <c r="O1180" i="5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O1203" i="5"/>
  <c r="O1204" i="5"/>
  <c r="O1205" i="5"/>
  <c r="O1206" i="5"/>
  <c r="O1207" i="5"/>
  <c r="O1208" i="5"/>
  <c r="O1209" i="5"/>
  <c r="O1210" i="5"/>
  <c r="O1211" i="5"/>
  <c r="O1212" i="5"/>
  <c r="O1213" i="5"/>
  <c r="O1214" i="5"/>
  <c r="O1215" i="5"/>
  <c r="O1216" i="5"/>
  <c r="O1217" i="5"/>
  <c r="O1218" i="5"/>
  <c r="O1219" i="5"/>
  <c r="O1220" i="5"/>
  <c r="O1221" i="5"/>
  <c r="O1222" i="5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O1235" i="5"/>
  <c r="O1236" i="5"/>
  <c r="O1237" i="5"/>
  <c r="O1238" i="5"/>
  <c r="O1239" i="5"/>
  <c r="O1240" i="5"/>
  <c r="O1241" i="5"/>
  <c r="O1242" i="5"/>
  <c r="O1243" i="5"/>
  <c r="O1244" i="5"/>
  <c r="O1245" i="5"/>
  <c r="O1246" i="5"/>
  <c r="O1247" i="5"/>
  <c r="O1248" i="5"/>
  <c r="O1249" i="5"/>
  <c r="O1250" i="5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O1272" i="5"/>
  <c r="O1273" i="5"/>
  <c r="O1274" i="5"/>
  <c r="O1275" i="5"/>
  <c r="O1276" i="5"/>
  <c r="O1277" i="5"/>
  <c r="O1278" i="5"/>
  <c r="O1279" i="5"/>
  <c r="O1280" i="5"/>
  <c r="O1281" i="5"/>
  <c r="O1282" i="5"/>
  <c r="O1283" i="5"/>
  <c r="O1284" i="5"/>
  <c r="O1285" i="5"/>
  <c r="O1286" i="5"/>
  <c r="O1287" i="5"/>
  <c r="O1288" i="5"/>
  <c r="O1289" i="5"/>
  <c r="O1290" i="5"/>
  <c r="O1291" i="5"/>
  <c r="O1292" i="5"/>
  <c r="O1293" i="5"/>
  <c r="O1294" i="5"/>
  <c r="O1295" i="5"/>
  <c r="O1296" i="5"/>
  <c r="O1297" i="5"/>
  <c r="O1298" i="5"/>
  <c r="O1299" i="5"/>
  <c r="O1300" i="5"/>
  <c r="O1301" i="5"/>
  <c r="O1302" i="5"/>
  <c r="O1303" i="5"/>
  <c r="O1304" i="5"/>
  <c r="O1305" i="5"/>
  <c r="O1306" i="5"/>
  <c r="O1307" i="5"/>
  <c r="O1308" i="5"/>
  <c r="O1309" i="5"/>
  <c r="O1310" i="5"/>
  <c r="O1311" i="5"/>
  <c r="O1312" i="5"/>
  <c r="O1313" i="5"/>
  <c r="O1314" i="5"/>
  <c r="O1315" i="5"/>
  <c r="O1316" i="5"/>
  <c r="O1317" i="5"/>
  <c r="O1318" i="5"/>
  <c r="O1319" i="5"/>
  <c r="O1320" i="5"/>
  <c r="O1321" i="5"/>
  <c r="O1322" i="5"/>
  <c r="O1323" i="5"/>
  <c r="O1324" i="5"/>
  <c r="O1325" i="5"/>
  <c r="O1326" i="5"/>
  <c r="O1327" i="5"/>
  <c r="O1328" i="5"/>
  <c r="O1329" i="5"/>
  <c r="O1330" i="5"/>
  <c r="O1331" i="5"/>
  <c r="O1332" i="5"/>
  <c r="O1333" i="5"/>
  <c r="O1334" i="5"/>
  <c r="O1335" i="5"/>
  <c r="O1336" i="5"/>
  <c r="O1337" i="5"/>
  <c r="O1338" i="5"/>
  <c r="O1339" i="5"/>
  <c r="O1340" i="5"/>
  <c r="O1341" i="5"/>
  <c r="O1342" i="5"/>
  <c r="O1343" i="5"/>
  <c r="O1344" i="5"/>
  <c r="O1345" i="5"/>
  <c r="O1346" i="5"/>
  <c r="O1347" i="5"/>
  <c r="O1348" i="5"/>
  <c r="O1349" i="5"/>
  <c r="O1350" i="5"/>
  <c r="O1351" i="5"/>
  <c r="O1352" i="5"/>
  <c r="O1353" i="5"/>
  <c r="O1354" i="5"/>
  <c r="O1355" i="5"/>
  <c r="O1356" i="5"/>
  <c r="O1357" i="5"/>
  <c r="O1358" i="5"/>
  <c r="O1359" i="5"/>
  <c r="O1360" i="5"/>
  <c r="O1361" i="5"/>
  <c r="O1362" i="5"/>
  <c r="O1363" i="5"/>
  <c r="O1364" i="5"/>
  <c r="O1365" i="5"/>
  <c r="O1366" i="5"/>
  <c r="O1367" i="5"/>
  <c r="O1368" i="5"/>
  <c r="O1369" i="5"/>
  <c r="O1370" i="5"/>
  <c r="O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1309" i="5"/>
  <c r="N1310" i="5"/>
  <c r="N1311" i="5"/>
  <c r="N1312" i="5"/>
  <c r="N1313" i="5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N1330" i="5"/>
  <c r="N1331" i="5"/>
  <c r="N1332" i="5"/>
  <c r="N1333" i="5"/>
  <c r="N1334" i="5"/>
  <c r="N1335" i="5"/>
  <c r="N1336" i="5"/>
  <c r="N1337" i="5"/>
  <c r="N1338" i="5"/>
  <c r="N1339" i="5"/>
  <c r="N1340" i="5"/>
  <c r="N1341" i="5"/>
  <c r="N1342" i="5"/>
  <c r="N1343" i="5"/>
  <c r="N1344" i="5"/>
  <c r="N1345" i="5"/>
  <c r="N1346" i="5"/>
  <c r="N1347" i="5"/>
  <c r="N1348" i="5"/>
  <c r="N1349" i="5"/>
  <c r="N1350" i="5"/>
  <c r="N1351" i="5"/>
  <c r="N1352" i="5"/>
  <c r="N1353" i="5"/>
  <c r="N1354" i="5"/>
  <c r="N1355" i="5"/>
  <c r="N1356" i="5"/>
  <c r="N1357" i="5"/>
  <c r="N1358" i="5"/>
  <c r="N1359" i="5"/>
  <c r="N1360" i="5"/>
  <c r="N1361" i="5"/>
  <c r="N1362" i="5"/>
  <c r="N1363" i="5"/>
  <c r="N1364" i="5"/>
  <c r="N1365" i="5"/>
  <c r="N1366" i="5"/>
  <c r="N1367" i="5"/>
  <c r="N1368" i="5"/>
  <c r="N1369" i="5"/>
  <c r="N1370" i="5"/>
  <c r="N2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22A64E9-5010-9847-AC9B-DB2ABE5453BD}" keepAlive="1" name="Query - 1_Py3PG2Output" description="Connection to the '1_Py3PG2Output' query in the workbook." type="5" refreshedVersion="8" background="1" saveData="1">
    <dbPr connection="Provider=Microsoft.Mashup.OleDb.1;Data Source=$Workbook$;Location=1_Py3PG2Output;Extended Properties=&quot;&quot;" command="SELECT * FROM [1_Py3PG2Output]"/>
  </connection>
  <connection id="2" xr16:uid="{BC3C907E-9F2E-6248-8496-549634130010}" keepAlive="1" name="Query - Py3PG2Output" description="Connection to the 'Py3PG2Output' query in the workbook." type="5" refreshedVersion="8" background="1" saveData="1">
    <dbPr connection="Provider=Microsoft.Mashup.OleDb.1;Data Source=$Workbook$;Location=Py3PG2Output;Extended Properties=&quot;&quot;" command="SELECT * FROM [Py3PG2Output]"/>
  </connection>
  <connection id="3" xr16:uid="{75160246-32FF-D44D-A8F7-B2B23BBD4C83}" keepAlive="1" name="Query - Py3PG2Output (2)" description="Connection to the 'Py3PG2Output (2)' query in the workbook." type="5" refreshedVersion="8" background="1" saveData="1">
    <dbPr connection="Provider=Microsoft.Mashup.OleDb.1;Data Source=$Workbook$;Location=&quot;Py3PG2Output (2)&quot;;Extended Properties=&quot;&quot;" command="SELECT * FROM [Py3PG2Output (2)]"/>
  </connection>
  <connection id="4" xr16:uid="{AF832B1B-BA56-1C4A-B07F-53CB8CC098DB}" keepAlive="1" name="Query - stand-validation_1cycle" description="Connection to the 'stand-validation_1cycle' query in the workbook." type="5" refreshedVersion="8" background="1" saveData="1">
    <dbPr connection="Provider=Microsoft.Mashup.OleDb.1;Data Source=$Workbook$;Location=stand-validation_1cycle;Extended Properties=&quot;&quot;" command="SELECT * FROM [stand-validation_1cycle]"/>
  </connection>
</connections>
</file>

<file path=xl/sharedStrings.xml><?xml version="1.0" encoding="utf-8"?>
<sst xmlns="http://schemas.openxmlformats.org/spreadsheetml/2006/main" count="1407" uniqueCount="1405">
  <si>
    <t>plot_name</t>
  </si>
  <si>
    <t xml:space="preserve"> SimTime</t>
  </si>
  <si>
    <t xml:space="preserve"> standAge</t>
  </si>
  <si>
    <t xml:space="preserve"> Stems</t>
  </si>
  <si>
    <t xml:space="preserve"> MeanDBH</t>
  </si>
  <si>
    <t xml:space="preserve"> BasalArea</t>
  </si>
  <si>
    <t xml:space="preserve"> StandVolume</t>
  </si>
  <si>
    <t xml:space="preserve"> MAI</t>
  </si>
  <si>
    <t xml:space="preserve"> PlotlevelLAI</t>
  </si>
  <si>
    <t xml:space="preserve"> FoliageDM</t>
  </si>
  <si>
    <t xml:space="preserve"> StemDM</t>
  </si>
  <si>
    <t xml:space="preserve"> RootDM</t>
  </si>
  <si>
    <t xml:space="preserve"> BarkBranchFraction</t>
  </si>
  <si>
    <t>cycle</t>
  </si>
  <si>
    <t>name</t>
  </si>
  <si>
    <t>stand_age</t>
  </si>
  <si>
    <t>stand_level_biomass</t>
  </si>
  <si>
    <t>stand_basal_area</t>
  </si>
  <si>
    <t>mean_dbh</t>
  </si>
  <si>
    <t>stock</t>
  </si>
  <si>
    <t>plot0</t>
  </si>
  <si>
    <t>plot1</t>
  </si>
  <si>
    <t>plot2</t>
  </si>
  <si>
    <t>plot3</t>
  </si>
  <si>
    <t>plot4</t>
  </si>
  <si>
    <t>plot5</t>
  </si>
  <si>
    <t>plot6</t>
  </si>
  <si>
    <t>plot7</t>
  </si>
  <si>
    <t>plot8</t>
  </si>
  <si>
    <t>plot9</t>
  </si>
  <si>
    <t>plot10</t>
  </si>
  <si>
    <t>plot11</t>
  </si>
  <si>
    <t>plot12</t>
  </si>
  <si>
    <t>plot13</t>
  </si>
  <si>
    <t>plot14</t>
  </si>
  <si>
    <t>plot15</t>
  </si>
  <si>
    <t>plot16</t>
  </si>
  <si>
    <t>plot17</t>
  </si>
  <si>
    <t>plot18</t>
  </si>
  <si>
    <t>plot19</t>
  </si>
  <si>
    <t>plot20</t>
  </si>
  <si>
    <t>plot21</t>
  </si>
  <si>
    <t>plot22</t>
  </si>
  <si>
    <t>plot23</t>
  </si>
  <si>
    <t>plot24</t>
  </si>
  <si>
    <t>plot25</t>
  </si>
  <si>
    <t>plot26</t>
  </si>
  <si>
    <t>plot27</t>
  </si>
  <si>
    <t>plot28</t>
  </si>
  <si>
    <t>plot29</t>
  </si>
  <si>
    <t>plot30</t>
  </si>
  <si>
    <t>plot31</t>
  </si>
  <si>
    <t>plot32</t>
  </si>
  <si>
    <t>plot33</t>
  </si>
  <si>
    <t>plot34</t>
  </si>
  <si>
    <t>plot35</t>
  </si>
  <si>
    <t>plot36</t>
  </si>
  <si>
    <t>plot37</t>
  </si>
  <si>
    <t>plot38</t>
  </si>
  <si>
    <t>plot39</t>
  </si>
  <si>
    <t>plot40</t>
  </si>
  <si>
    <t>plot41</t>
  </si>
  <si>
    <t>plot42</t>
  </si>
  <si>
    <t>plot43</t>
  </si>
  <si>
    <t>plot44</t>
  </si>
  <si>
    <t>plot45</t>
  </si>
  <si>
    <t>plot46</t>
  </si>
  <si>
    <t>plot47</t>
  </si>
  <si>
    <t>plot48</t>
  </si>
  <si>
    <t>plot49</t>
  </si>
  <si>
    <t>plot50</t>
  </si>
  <si>
    <t>plot51</t>
  </si>
  <si>
    <t>plot52</t>
  </si>
  <si>
    <t>plot53</t>
  </si>
  <si>
    <t>plot54</t>
  </si>
  <si>
    <t>plot55</t>
  </si>
  <si>
    <t>plot56</t>
  </si>
  <si>
    <t>plot57</t>
  </si>
  <si>
    <t>plot58</t>
  </si>
  <si>
    <t>plot59</t>
  </si>
  <si>
    <t>plot60</t>
  </si>
  <si>
    <t>plot61</t>
  </si>
  <si>
    <t>plot62</t>
  </si>
  <si>
    <t>plot63</t>
  </si>
  <si>
    <t>plot64</t>
  </si>
  <si>
    <t>plot65</t>
  </si>
  <si>
    <t>plot66</t>
  </si>
  <si>
    <t>plot67</t>
  </si>
  <si>
    <t>plot68</t>
  </si>
  <si>
    <t>plot69</t>
  </si>
  <si>
    <t>plot70</t>
  </si>
  <si>
    <t>plot71</t>
  </si>
  <si>
    <t>plot72</t>
  </si>
  <si>
    <t>plot73</t>
  </si>
  <si>
    <t>plot74</t>
  </si>
  <si>
    <t>plot75</t>
  </si>
  <si>
    <t>plot76</t>
  </si>
  <si>
    <t>plot77</t>
  </si>
  <si>
    <t>plot78</t>
  </si>
  <si>
    <t>plot79</t>
  </si>
  <si>
    <t>plot80</t>
  </si>
  <si>
    <t>plot81</t>
  </si>
  <si>
    <t>plot82</t>
  </si>
  <si>
    <t>plot83</t>
  </si>
  <si>
    <t>plot84</t>
  </si>
  <si>
    <t>plot85</t>
  </si>
  <si>
    <t>plot86</t>
  </si>
  <si>
    <t>plot87</t>
  </si>
  <si>
    <t>plot88</t>
  </si>
  <si>
    <t>plot89</t>
  </si>
  <si>
    <t>plot90</t>
  </si>
  <si>
    <t>plot91</t>
  </si>
  <si>
    <t>plot92</t>
  </si>
  <si>
    <t>plot93</t>
  </si>
  <si>
    <t>plot94</t>
  </si>
  <si>
    <t>plot95</t>
  </si>
  <si>
    <t>plot96</t>
  </si>
  <si>
    <t>plot97</t>
  </si>
  <si>
    <t>plot98</t>
  </si>
  <si>
    <t>plot99</t>
  </si>
  <si>
    <t>plot100</t>
  </si>
  <si>
    <t>plot101</t>
  </si>
  <si>
    <t>plot102</t>
  </si>
  <si>
    <t>plot103</t>
  </si>
  <si>
    <t>plot104</t>
  </si>
  <si>
    <t>plot105</t>
  </si>
  <si>
    <t>plot106</t>
  </si>
  <si>
    <t>plot107</t>
  </si>
  <si>
    <t>plot108</t>
  </si>
  <si>
    <t>plot109</t>
  </si>
  <si>
    <t>plot110</t>
  </si>
  <si>
    <t>plot111</t>
  </si>
  <si>
    <t>plot112</t>
  </si>
  <si>
    <t>plot113</t>
  </si>
  <si>
    <t>plot114</t>
  </si>
  <si>
    <t>plot115</t>
  </si>
  <si>
    <t>plot116</t>
  </si>
  <si>
    <t>plot117</t>
  </si>
  <si>
    <t>plot118</t>
  </si>
  <si>
    <t>plot119</t>
  </si>
  <si>
    <t>plot120</t>
  </si>
  <si>
    <t>plot121</t>
  </si>
  <si>
    <t>plot122</t>
  </si>
  <si>
    <t>plot123</t>
  </si>
  <si>
    <t>plot124</t>
  </si>
  <si>
    <t>plot125</t>
  </si>
  <si>
    <t>plot126</t>
  </si>
  <si>
    <t>plot127</t>
  </si>
  <si>
    <t>plot128</t>
  </si>
  <si>
    <t>plot129</t>
  </si>
  <si>
    <t>plot130</t>
  </si>
  <si>
    <t>plot131</t>
  </si>
  <si>
    <t>plot132</t>
  </si>
  <si>
    <t>plot133</t>
  </si>
  <si>
    <t>plot134</t>
  </si>
  <si>
    <t>plot135</t>
  </si>
  <si>
    <t>plot136</t>
  </si>
  <si>
    <t>plot137</t>
  </si>
  <si>
    <t>plot138</t>
  </si>
  <si>
    <t>plot139</t>
  </si>
  <si>
    <t>plot140</t>
  </si>
  <si>
    <t>plot141</t>
  </si>
  <si>
    <t>plot142</t>
  </si>
  <si>
    <t>plot143</t>
  </si>
  <si>
    <t>plot144</t>
  </si>
  <si>
    <t>plot145</t>
  </si>
  <si>
    <t>plot146</t>
  </si>
  <si>
    <t>plot147</t>
  </si>
  <si>
    <t>plot148</t>
  </si>
  <si>
    <t>plot149</t>
  </si>
  <si>
    <t>plot150</t>
  </si>
  <si>
    <t>plot151</t>
  </si>
  <si>
    <t>plot152</t>
  </si>
  <si>
    <t>plot153</t>
  </si>
  <si>
    <t>plot154</t>
  </si>
  <si>
    <t>plot155</t>
  </si>
  <si>
    <t>plot156</t>
  </si>
  <si>
    <t>plot157</t>
  </si>
  <si>
    <t>plot158</t>
  </si>
  <si>
    <t>plot159</t>
  </si>
  <si>
    <t>plot160</t>
  </si>
  <si>
    <t>plot161</t>
  </si>
  <si>
    <t>plot162</t>
  </si>
  <si>
    <t>plot163</t>
  </si>
  <si>
    <t>plot164</t>
  </si>
  <si>
    <t>plot165</t>
  </si>
  <si>
    <t>plot166</t>
  </si>
  <si>
    <t>plot167</t>
  </si>
  <si>
    <t>plot168</t>
  </si>
  <si>
    <t>plot169</t>
  </si>
  <si>
    <t>plot170</t>
  </si>
  <si>
    <t>plot171</t>
  </si>
  <si>
    <t>plot172</t>
  </si>
  <si>
    <t>plot173</t>
  </si>
  <si>
    <t>plot174</t>
  </si>
  <si>
    <t>plot175</t>
  </si>
  <si>
    <t>plot176</t>
  </si>
  <si>
    <t>plot177</t>
  </si>
  <si>
    <t>plot178</t>
  </si>
  <si>
    <t>plot179</t>
  </si>
  <si>
    <t>plot180</t>
  </si>
  <si>
    <t>plot181</t>
  </si>
  <si>
    <t>plot182</t>
  </si>
  <si>
    <t>plot183</t>
  </si>
  <si>
    <t>plot184</t>
  </si>
  <si>
    <t>plot185</t>
  </si>
  <si>
    <t>plot186</t>
  </si>
  <si>
    <t>plot187</t>
  </si>
  <si>
    <t>plot188</t>
  </si>
  <si>
    <t>plot189</t>
  </si>
  <si>
    <t>plot190</t>
  </si>
  <si>
    <t>plot191</t>
  </si>
  <si>
    <t>plot192</t>
  </si>
  <si>
    <t>plot193</t>
  </si>
  <si>
    <t>plot194</t>
  </si>
  <si>
    <t>plot195</t>
  </si>
  <si>
    <t>plot196</t>
  </si>
  <si>
    <t>plot197</t>
  </si>
  <si>
    <t>plot198</t>
  </si>
  <si>
    <t>plot199</t>
  </si>
  <si>
    <t>plot200</t>
  </si>
  <si>
    <t>plot201</t>
  </si>
  <si>
    <t>plot202</t>
  </si>
  <si>
    <t>plot203</t>
  </si>
  <si>
    <t>plot204</t>
  </si>
  <si>
    <t>plot205</t>
  </si>
  <si>
    <t>plot206</t>
  </si>
  <si>
    <t>plot207</t>
  </si>
  <si>
    <t>plot208</t>
  </si>
  <si>
    <t>plot209</t>
  </si>
  <si>
    <t>plot210</t>
  </si>
  <si>
    <t>plot211</t>
  </si>
  <si>
    <t>plot212</t>
  </si>
  <si>
    <t>plot213</t>
  </si>
  <si>
    <t>plot214</t>
  </si>
  <si>
    <t>plot215</t>
  </si>
  <si>
    <t>plot216</t>
  </si>
  <si>
    <t>plot217</t>
  </si>
  <si>
    <t>plot218</t>
  </si>
  <si>
    <t>plot219</t>
  </si>
  <si>
    <t>plot220</t>
  </si>
  <si>
    <t>plot221</t>
  </si>
  <si>
    <t>plot222</t>
  </si>
  <si>
    <t>plot223</t>
  </si>
  <si>
    <t>plot224</t>
  </si>
  <si>
    <t>plot225</t>
  </si>
  <si>
    <t>plot226</t>
  </si>
  <si>
    <t>plot227</t>
  </si>
  <si>
    <t>plot228</t>
  </si>
  <si>
    <t>plot229</t>
  </si>
  <si>
    <t>plot230</t>
  </si>
  <si>
    <t>plot231</t>
  </si>
  <si>
    <t>plot232</t>
  </si>
  <si>
    <t>plot233</t>
  </si>
  <si>
    <t>plot234</t>
  </si>
  <si>
    <t>plot235</t>
  </si>
  <si>
    <t>plot236</t>
  </si>
  <si>
    <t>plot237</t>
  </si>
  <si>
    <t>plot238</t>
  </si>
  <si>
    <t>plot239</t>
  </si>
  <si>
    <t>plot240</t>
  </si>
  <si>
    <t>plot241</t>
  </si>
  <si>
    <t>plot242</t>
  </si>
  <si>
    <t>plot243</t>
  </si>
  <si>
    <t>plot244</t>
  </si>
  <si>
    <t>plot245</t>
  </si>
  <si>
    <t>plot246</t>
  </si>
  <si>
    <t>plot247</t>
  </si>
  <si>
    <t>plot248</t>
  </si>
  <si>
    <t>plot249</t>
  </si>
  <si>
    <t>plot250</t>
  </si>
  <si>
    <t>plot251</t>
  </si>
  <si>
    <t>plot252</t>
  </si>
  <si>
    <t>plot253</t>
  </si>
  <si>
    <t>plot254</t>
  </si>
  <si>
    <t>plot255</t>
  </si>
  <si>
    <t>plot256</t>
  </si>
  <si>
    <t>plot257</t>
  </si>
  <si>
    <t>plot258</t>
  </si>
  <si>
    <t>plot259</t>
  </si>
  <si>
    <t>plot260</t>
  </si>
  <si>
    <t>plot261</t>
  </si>
  <si>
    <t>plot262</t>
  </si>
  <si>
    <t>plot263</t>
  </si>
  <si>
    <t>plot264</t>
  </si>
  <si>
    <t>plot265</t>
  </si>
  <si>
    <t>plot266</t>
  </si>
  <si>
    <t>plot267</t>
  </si>
  <si>
    <t>plot268</t>
  </si>
  <si>
    <t>plot269</t>
  </si>
  <si>
    <t>plot270</t>
  </si>
  <si>
    <t>plot271</t>
  </si>
  <si>
    <t>plot272</t>
  </si>
  <si>
    <t>plot273</t>
  </si>
  <si>
    <t>plot274</t>
  </si>
  <si>
    <t>plot275</t>
  </si>
  <si>
    <t>plot276</t>
  </si>
  <si>
    <t>plot277</t>
  </si>
  <si>
    <t>plot278</t>
  </si>
  <si>
    <t>plot279</t>
  </si>
  <si>
    <t>plot280</t>
  </si>
  <si>
    <t>plot281</t>
  </si>
  <si>
    <t>plot282</t>
  </si>
  <si>
    <t>plot283</t>
  </si>
  <si>
    <t>plot284</t>
  </si>
  <si>
    <t>plot285</t>
  </si>
  <si>
    <t>plot286</t>
  </si>
  <si>
    <t>plot287</t>
  </si>
  <si>
    <t>plot288</t>
  </si>
  <si>
    <t>plot289</t>
  </si>
  <si>
    <t>plot290</t>
  </si>
  <si>
    <t>plot291</t>
  </si>
  <si>
    <t>plot292</t>
  </si>
  <si>
    <t>plot293</t>
  </si>
  <si>
    <t>plot294</t>
  </si>
  <si>
    <t>plot295</t>
  </si>
  <si>
    <t>plot296</t>
  </si>
  <si>
    <t>plot297</t>
  </si>
  <si>
    <t>plot298</t>
  </si>
  <si>
    <t>plot299</t>
  </si>
  <si>
    <t>plot300</t>
  </si>
  <si>
    <t>plot301</t>
  </si>
  <si>
    <t>plot302</t>
  </si>
  <si>
    <t>plot303</t>
  </si>
  <si>
    <t>plot304</t>
  </si>
  <si>
    <t>plot305</t>
  </si>
  <si>
    <t>plot306</t>
  </si>
  <si>
    <t>plot307</t>
  </si>
  <si>
    <t>plot308</t>
  </si>
  <si>
    <t>plot309</t>
  </si>
  <si>
    <t>plot310</t>
  </si>
  <si>
    <t>plot311</t>
  </si>
  <si>
    <t>plot312</t>
  </si>
  <si>
    <t>plot313</t>
  </si>
  <si>
    <t>plot314</t>
  </si>
  <si>
    <t>plot315</t>
  </si>
  <si>
    <t>plot316</t>
  </si>
  <si>
    <t>plot317</t>
  </si>
  <si>
    <t>plot318</t>
  </si>
  <si>
    <t>plot319</t>
  </si>
  <si>
    <t>plot320</t>
  </si>
  <si>
    <t>plot321</t>
  </si>
  <si>
    <t>plot322</t>
  </si>
  <si>
    <t>plot323</t>
  </si>
  <si>
    <t>plot324</t>
  </si>
  <si>
    <t>plot325</t>
  </si>
  <si>
    <t>plot326</t>
  </si>
  <si>
    <t>plot327</t>
  </si>
  <si>
    <t>plot328</t>
  </si>
  <si>
    <t>plot329</t>
  </si>
  <si>
    <t>plot330</t>
  </si>
  <si>
    <t>plot331</t>
  </si>
  <si>
    <t>plot332</t>
  </si>
  <si>
    <t>plot333</t>
  </si>
  <si>
    <t>plot334</t>
  </si>
  <si>
    <t>plot335</t>
  </si>
  <si>
    <t>plot336</t>
  </si>
  <si>
    <t>plot337</t>
  </si>
  <si>
    <t>plot338</t>
  </si>
  <si>
    <t>plot339</t>
  </si>
  <si>
    <t>plot340</t>
  </si>
  <si>
    <t>plot341</t>
  </si>
  <si>
    <t>plot342</t>
  </si>
  <si>
    <t>plot343</t>
  </si>
  <si>
    <t>plot344</t>
  </si>
  <si>
    <t>plot345</t>
  </si>
  <si>
    <t>plot346</t>
  </si>
  <si>
    <t>plot347</t>
  </si>
  <si>
    <t>plot348</t>
  </si>
  <si>
    <t>plot349</t>
  </si>
  <si>
    <t>plot350</t>
  </si>
  <si>
    <t>plot351</t>
  </si>
  <si>
    <t>plot352</t>
  </si>
  <si>
    <t>plot353</t>
  </si>
  <si>
    <t>plot354</t>
  </si>
  <si>
    <t>plot355</t>
  </si>
  <si>
    <t>plot356</t>
  </si>
  <si>
    <t>plot357</t>
  </si>
  <si>
    <t>plot358</t>
  </si>
  <si>
    <t>plot359</t>
  </si>
  <si>
    <t>plot360</t>
  </si>
  <si>
    <t>plot361</t>
  </si>
  <si>
    <t>plot362</t>
  </si>
  <si>
    <t>plot363</t>
  </si>
  <si>
    <t>plot364</t>
  </si>
  <si>
    <t>plot365</t>
  </si>
  <si>
    <t>plot366</t>
  </si>
  <si>
    <t>plot367</t>
  </si>
  <si>
    <t>plot368</t>
  </si>
  <si>
    <t>plot369</t>
  </si>
  <si>
    <t>plot370</t>
  </si>
  <si>
    <t>plot371</t>
  </si>
  <si>
    <t>plot372</t>
  </si>
  <si>
    <t>plot373</t>
  </si>
  <si>
    <t>plot374</t>
  </si>
  <si>
    <t>plot375</t>
  </si>
  <si>
    <t>plot376</t>
  </si>
  <si>
    <t>plot377</t>
  </si>
  <si>
    <t>plot378</t>
  </si>
  <si>
    <t>plot379</t>
  </si>
  <si>
    <t>plot380</t>
  </si>
  <si>
    <t>plot381</t>
  </si>
  <si>
    <t>plot382</t>
  </si>
  <si>
    <t>plot383</t>
  </si>
  <si>
    <t>plot384</t>
  </si>
  <si>
    <t>plot385</t>
  </si>
  <si>
    <t>plot386</t>
  </si>
  <si>
    <t>plot387</t>
  </si>
  <si>
    <t>plot388</t>
  </si>
  <si>
    <t>plot389</t>
  </si>
  <si>
    <t>plot390</t>
  </si>
  <si>
    <t>plot391</t>
  </si>
  <si>
    <t>plot392</t>
  </si>
  <si>
    <t>plot393</t>
  </si>
  <si>
    <t>plot394</t>
  </si>
  <si>
    <t>plot395</t>
  </si>
  <si>
    <t>plot396</t>
  </si>
  <si>
    <t>plot397</t>
  </si>
  <si>
    <t>plot398</t>
  </si>
  <si>
    <t>plot399</t>
  </si>
  <si>
    <t>plot400</t>
  </si>
  <si>
    <t>plot401</t>
  </si>
  <si>
    <t>plot402</t>
  </si>
  <si>
    <t>plot403</t>
  </si>
  <si>
    <t>plot404</t>
  </si>
  <si>
    <t>plot405</t>
  </si>
  <si>
    <t>plot406</t>
  </si>
  <si>
    <t>plot407</t>
  </si>
  <si>
    <t>plot408</t>
  </si>
  <si>
    <t>plot409</t>
  </si>
  <si>
    <t>plot410</t>
  </si>
  <si>
    <t>plot411</t>
  </si>
  <si>
    <t>plot412</t>
  </si>
  <si>
    <t>plot413</t>
  </si>
  <si>
    <t>plot414</t>
  </si>
  <si>
    <t>plot415</t>
  </si>
  <si>
    <t>plot416</t>
  </si>
  <si>
    <t>plot417</t>
  </si>
  <si>
    <t>plot418</t>
  </si>
  <si>
    <t>plot419</t>
  </si>
  <si>
    <t>plot420</t>
  </si>
  <si>
    <t>plot421</t>
  </si>
  <si>
    <t>plot422</t>
  </si>
  <si>
    <t>plot423</t>
  </si>
  <si>
    <t>plot424</t>
  </si>
  <si>
    <t>plot425</t>
  </si>
  <si>
    <t>plot426</t>
  </si>
  <si>
    <t>plot427</t>
  </si>
  <si>
    <t>plot428</t>
  </si>
  <si>
    <t>plot429</t>
  </si>
  <si>
    <t>plot430</t>
  </si>
  <si>
    <t>plot431</t>
  </si>
  <si>
    <t>plot432</t>
  </si>
  <si>
    <t>plot433</t>
  </si>
  <si>
    <t>plot434</t>
  </si>
  <si>
    <t>plot435</t>
  </si>
  <si>
    <t>plot436</t>
  </si>
  <si>
    <t>plot437</t>
  </si>
  <si>
    <t>plot438</t>
  </si>
  <si>
    <t>plot439</t>
  </si>
  <si>
    <t>plot440</t>
  </si>
  <si>
    <t>plot441</t>
  </si>
  <si>
    <t>plot442</t>
  </si>
  <si>
    <t>plot443</t>
  </si>
  <si>
    <t>plot444</t>
  </si>
  <si>
    <t>plot445</t>
  </si>
  <si>
    <t>plot446</t>
  </si>
  <si>
    <t>plot447</t>
  </si>
  <si>
    <t>plot448</t>
  </si>
  <si>
    <t>plot449</t>
  </si>
  <si>
    <t>plot450</t>
  </si>
  <si>
    <t>plot451</t>
  </si>
  <si>
    <t>plot452</t>
  </si>
  <si>
    <t>plot453</t>
  </si>
  <si>
    <t>plot454</t>
  </si>
  <si>
    <t>plot455</t>
  </si>
  <si>
    <t>plot456</t>
  </si>
  <si>
    <t>plot457</t>
  </si>
  <si>
    <t>plot458</t>
  </si>
  <si>
    <t>plot459</t>
  </si>
  <si>
    <t>plot460</t>
  </si>
  <si>
    <t>plot461</t>
  </si>
  <si>
    <t>plot462</t>
  </si>
  <si>
    <t>plot463</t>
  </si>
  <si>
    <t>plot464</t>
  </si>
  <si>
    <t>plot465</t>
  </si>
  <si>
    <t>plot466</t>
  </si>
  <si>
    <t>plot467</t>
  </si>
  <si>
    <t>plot468</t>
  </si>
  <si>
    <t>plot469</t>
  </si>
  <si>
    <t>plot470</t>
  </si>
  <si>
    <t>plot471</t>
  </si>
  <si>
    <t>plot472</t>
  </si>
  <si>
    <t>plot473</t>
  </si>
  <si>
    <t>plot474</t>
  </si>
  <si>
    <t>plot475</t>
  </si>
  <si>
    <t>plot476</t>
  </si>
  <si>
    <t>plot477</t>
  </si>
  <si>
    <t>plot478</t>
  </si>
  <si>
    <t>plot479</t>
  </si>
  <si>
    <t>plot480</t>
  </si>
  <si>
    <t>plot481</t>
  </si>
  <si>
    <t>plot482</t>
  </si>
  <si>
    <t>plot483</t>
  </si>
  <si>
    <t>plot484</t>
  </si>
  <si>
    <t>plot485</t>
  </si>
  <si>
    <t>plot486</t>
  </si>
  <si>
    <t>plot487</t>
  </si>
  <si>
    <t>plot488</t>
  </si>
  <si>
    <t>plot489</t>
  </si>
  <si>
    <t>plot490</t>
  </si>
  <si>
    <t>plot491</t>
  </si>
  <si>
    <t>plot492</t>
  </si>
  <si>
    <t>plot493</t>
  </si>
  <si>
    <t>plot494</t>
  </si>
  <si>
    <t>plot495</t>
  </si>
  <si>
    <t>plot496</t>
  </si>
  <si>
    <t>plot497</t>
  </si>
  <si>
    <t>plot498</t>
  </si>
  <si>
    <t>plot499</t>
  </si>
  <si>
    <t>plot500</t>
  </si>
  <si>
    <t>plot501</t>
  </si>
  <si>
    <t>plot502</t>
  </si>
  <si>
    <t>plot503</t>
  </si>
  <si>
    <t>plot504</t>
  </si>
  <si>
    <t>plot505</t>
  </si>
  <si>
    <t>plot506</t>
  </si>
  <si>
    <t>plot507</t>
  </si>
  <si>
    <t>plot508</t>
  </si>
  <si>
    <t>plot509</t>
  </si>
  <si>
    <t>plot510</t>
  </si>
  <si>
    <t>plot511</t>
  </si>
  <si>
    <t>plot512</t>
  </si>
  <si>
    <t>plot513</t>
  </si>
  <si>
    <t>plot514</t>
  </si>
  <si>
    <t>plot515</t>
  </si>
  <si>
    <t>plot516</t>
  </si>
  <si>
    <t>plot517</t>
  </si>
  <si>
    <t>plot518</t>
  </si>
  <si>
    <t>plot519</t>
  </si>
  <si>
    <t>plot520</t>
  </si>
  <si>
    <t>plot521</t>
  </si>
  <si>
    <t>plot522</t>
  </si>
  <si>
    <t>plot523</t>
  </si>
  <si>
    <t>plot524</t>
  </si>
  <si>
    <t>plot525</t>
  </si>
  <si>
    <t>plot526</t>
  </si>
  <si>
    <t>plot527</t>
  </si>
  <si>
    <t>plot528</t>
  </si>
  <si>
    <t>plot529</t>
  </si>
  <si>
    <t>plot530</t>
  </si>
  <si>
    <t>plot531</t>
  </si>
  <si>
    <t>plot532</t>
  </si>
  <si>
    <t>plot533</t>
  </si>
  <si>
    <t>plot534</t>
  </si>
  <si>
    <t>plot535</t>
  </si>
  <si>
    <t>plot536</t>
  </si>
  <si>
    <t>plot537</t>
  </si>
  <si>
    <t>plot538</t>
  </si>
  <si>
    <t>plot539</t>
  </si>
  <si>
    <t>plot540</t>
  </si>
  <si>
    <t>plot541</t>
  </si>
  <si>
    <t>plot542</t>
  </si>
  <si>
    <t>plot543</t>
  </si>
  <si>
    <t>plot544</t>
  </si>
  <si>
    <t>plot545</t>
  </si>
  <si>
    <t>plot546</t>
  </si>
  <si>
    <t>plot547</t>
  </si>
  <si>
    <t>plot548</t>
  </si>
  <si>
    <t>plot549</t>
  </si>
  <si>
    <t>plot550</t>
  </si>
  <si>
    <t>plot551</t>
  </si>
  <si>
    <t>plot552</t>
  </si>
  <si>
    <t>plot553</t>
  </si>
  <si>
    <t>plot554</t>
  </si>
  <si>
    <t>plot555</t>
  </si>
  <si>
    <t>plot556</t>
  </si>
  <si>
    <t>plot557</t>
  </si>
  <si>
    <t>plot558</t>
  </si>
  <si>
    <t>plot559</t>
  </si>
  <si>
    <t>plot560</t>
  </si>
  <si>
    <t>plot561</t>
  </si>
  <si>
    <t>plot562</t>
  </si>
  <si>
    <t>plot563</t>
  </si>
  <si>
    <t>plot564</t>
  </si>
  <si>
    <t>plot565</t>
  </si>
  <si>
    <t>plot566</t>
  </si>
  <si>
    <t>plot567</t>
  </si>
  <si>
    <t>plot568</t>
  </si>
  <si>
    <t>plot569</t>
  </si>
  <si>
    <t>plot570</t>
  </si>
  <si>
    <t>plot571</t>
  </si>
  <si>
    <t>plot572</t>
  </si>
  <si>
    <t>plot573</t>
  </si>
  <si>
    <t>plot574</t>
  </si>
  <si>
    <t>plot575</t>
  </si>
  <si>
    <t>plot576</t>
  </si>
  <si>
    <t>plot577</t>
  </si>
  <si>
    <t>plot578</t>
  </si>
  <si>
    <t>plot579</t>
  </si>
  <si>
    <t>plot580</t>
  </si>
  <si>
    <t>plot581</t>
  </si>
  <si>
    <t>plot582</t>
  </si>
  <si>
    <t>plot583</t>
  </si>
  <si>
    <t>plot584</t>
  </si>
  <si>
    <t>plot585</t>
  </si>
  <si>
    <t>plot586</t>
  </si>
  <si>
    <t>plot587</t>
  </si>
  <si>
    <t>plot588</t>
  </si>
  <si>
    <t>plot589</t>
  </si>
  <si>
    <t>plot590</t>
  </si>
  <si>
    <t>plot591</t>
  </si>
  <si>
    <t>plot592</t>
  </si>
  <si>
    <t>plot593</t>
  </si>
  <si>
    <t>plot594</t>
  </si>
  <si>
    <t>plot595</t>
  </si>
  <si>
    <t>plot596</t>
  </si>
  <si>
    <t>plot597</t>
  </si>
  <si>
    <t>plot598</t>
  </si>
  <si>
    <t>plot599</t>
  </si>
  <si>
    <t>plot600</t>
  </si>
  <si>
    <t>plot601</t>
  </si>
  <si>
    <t>plot602</t>
  </si>
  <si>
    <t>plot603</t>
  </si>
  <si>
    <t>plot604</t>
  </si>
  <si>
    <t>plot605</t>
  </si>
  <si>
    <t>plot606</t>
  </si>
  <si>
    <t>plot607</t>
  </si>
  <si>
    <t>plot608</t>
  </si>
  <si>
    <t>plot609</t>
  </si>
  <si>
    <t>plot610</t>
  </si>
  <si>
    <t>plot611</t>
  </si>
  <si>
    <t>plot612</t>
  </si>
  <si>
    <t>plot613</t>
  </si>
  <si>
    <t>plot614</t>
  </si>
  <si>
    <t>plot615</t>
  </si>
  <si>
    <t>plot616</t>
  </si>
  <si>
    <t>plot617</t>
  </si>
  <si>
    <t>plot618</t>
  </si>
  <si>
    <t>plot619</t>
  </si>
  <si>
    <t>plot620</t>
  </si>
  <si>
    <t>plot621</t>
  </si>
  <si>
    <t>plot622</t>
  </si>
  <si>
    <t>plot623</t>
  </si>
  <si>
    <t>plot624</t>
  </si>
  <si>
    <t>plot625</t>
  </si>
  <si>
    <t>plot626</t>
  </si>
  <si>
    <t>plot627</t>
  </si>
  <si>
    <t>plot628</t>
  </si>
  <si>
    <t>plot629</t>
  </si>
  <si>
    <t>plot630</t>
  </si>
  <si>
    <t>plot631</t>
  </si>
  <si>
    <t>plot632</t>
  </si>
  <si>
    <t>plot633</t>
  </si>
  <si>
    <t>plot634</t>
  </si>
  <si>
    <t>plot635</t>
  </si>
  <si>
    <t>plot636</t>
  </si>
  <si>
    <t>plot637</t>
  </si>
  <si>
    <t>plot638</t>
  </si>
  <si>
    <t>plot639</t>
  </si>
  <si>
    <t>plot640</t>
  </si>
  <si>
    <t>plot641</t>
  </si>
  <si>
    <t>plot642</t>
  </si>
  <si>
    <t>plot643</t>
  </si>
  <si>
    <t>plot644</t>
  </si>
  <si>
    <t>plot645</t>
  </si>
  <si>
    <t>plot646</t>
  </si>
  <si>
    <t>plot647</t>
  </si>
  <si>
    <t>plot648</t>
  </si>
  <si>
    <t>plot649</t>
  </si>
  <si>
    <t>plot650</t>
  </si>
  <si>
    <t>plot651</t>
  </si>
  <si>
    <t>plot652</t>
  </si>
  <si>
    <t>plot653</t>
  </si>
  <si>
    <t>plot654</t>
  </si>
  <si>
    <t>plot655</t>
  </si>
  <si>
    <t>plot656</t>
  </si>
  <si>
    <t>plot657</t>
  </si>
  <si>
    <t>plot658</t>
  </si>
  <si>
    <t>plot659</t>
  </si>
  <si>
    <t>plot660</t>
  </si>
  <si>
    <t>plot661</t>
  </si>
  <si>
    <t>plot662</t>
  </si>
  <si>
    <t>plot663</t>
  </si>
  <si>
    <t>plot664</t>
  </si>
  <si>
    <t>plot665</t>
  </si>
  <si>
    <t>plot666</t>
  </si>
  <si>
    <t>plot667</t>
  </si>
  <si>
    <t>plot668</t>
  </si>
  <si>
    <t>plot669</t>
  </si>
  <si>
    <t>plot670</t>
  </si>
  <si>
    <t>plot671</t>
  </si>
  <si>
    <t>plot672</t>
  </si>
  <si>
    <t>plot673</t>
  </si>
  <si>
    <t>plot674</t>
  </si>
  <si>
    <t>plot675</t>
  </si>
  <si>
    <t>plot676</t>
  </si>
  <si>
    <t>plot677</t>
  </si>
  <si>
    <t>plot678</t>
  </si>
  <si>
    <t>plot679</t>
  </si>
  <si>
    <t>plot680</t>
  </si>
  <si>
    <t>plot681</t>
  </si>
  <si>
    <t>plot682</t>
  </si>
  <si>
    <t>plot683</t>
  </si>
  <si>
    <t>plot684</t>
  </si>
  <si>
    <t>plot685</t>
  </si>
  <si>
    <t>plot686</t>
  </si>
  <si>
    <t>plot687</t>
  </si>
  <si>
    <t>plot688</t>
  </si>
  <si>
    <t>plot689</t>
  </si>
  <si>
    <t>plot690</t>
  </si>
  <si>
    <t>plot691</t>
  </si>
  <si>
    <t>plot692</t>
  </si>
  <si>
    <t>plot693</t>
  </si>
  <si>
    <t>plot694</t>
  </si>
  <si>
    <t>plot695</t>
  </si>
  <si>
    <t>plot696</t>
  </si>
  <si>
    <t>plot697</t>
  </si>
  <si>
    <t>plot698</t>
  </si>
  <si>
    <t>plot699</t>
  </si>
  <si>
    <t>plot700</t>
  </si>
  <si>
    <t>plot701</t>
  </si>
  <si>
    <t>plot702</t>
  </si>
  <si>
    <t>plot703</t>
  </si>
  <si>
    <t>plot704</t>
  </si>
  <si>
    <t>plot705</t>
  </si>
  <si>
    <t>plot706</t>
  </si>
  <si>
    <t>plot707</t>
  </si>
  <si>
    <t>plot708</t>
  </si>
  <si>
    <t>plot709</t>
  </si>
  <si>
    <t>plot710</t>
  </si>
  <si>
    <t>plot711</t>
  </si>
  <si>
    <t>plot712</t>
  </si>
  <si>
    <t>plot713</t>
  </si>
  <si>
    <t>plot714</t>
  </si>
  <si>
    <t>plot715</t>
  </si>
  <si>
    <t>plot716</t>
  </si>
  <si>
    <t>plot717</t>
  </si>
  <si>
    <t>plot718</t>
  </si>
  <si>
    <t>plot719</t>
  </si>
  <si>
    <t>plot720</t>
  </si>
  <si>
    <t>plot721</t>
  </si>
  <si>
    <t>plot722</t>
  </si>
  <si>
    <t>plot723</t>
  </si>
  <si>
    <t>plot724</t>
  </si>
  <si>
    <t>plot725</t>
  </si>
  <si>
    <t>plot726</t>
  </si>
  <si>
    <t>plot727</t>
  </si>
  <si>
    <t>plot728</t>
  </si>
  <si>
    <t>plot729</t>
  </si>
  <si>
    <t>plot730</t>
  </si>
  <si>
    <t>plot731</t>
  </si>
  <si>
    <t>plot732</t>
  </si>
  <si>
    <t>plot733</t>
  </si>
  <si>
    <t>plot734</t>
  </si>
  <si>
    <t>plot735</t>
  </si>
  <si>
    <t>plot736</t>
  </si>
  <si>
    <t>plot737</t>
  </si>
  <si>
    <t>plot738</t>
  </si>
  <si>
    <t>plot739</t>
  </si>
  <si>
    <t>plot740</t>
  </si>
  <si>
    <t>plot741</t>
  </si>
  <si>
    <t>plot742</t>
  </si>
  <si>
    <t>plot743</t>
  </si>
  <si>
    <t>plot744</t>
  </si>
  <si>
    <t>plot745</t>
  </si>
  <si>
    <t>plot746</t>
  </si>
  <si>
    <t>plot747</t>
  </si>
  <si>
    <t>plot748</t>
  </si>
  <si>
    <t>plot749</t>
  </si>
  <si>
    <t>plot750</t>
  </si>
  <si>
    <t>plot751</t>
  </si>
  <si>
    <t>plot752</t>
  </si>
  <si>
    <t>plot753</t>
  </si>
  <si>
    <t>plot754</t>
  </si>
  <si>
    <t>plot755</t>
  </si>
  <si>
    <t>plot756</t>
  </si>
  <si>
    <t>plot757</t>
  </si>
  <si>
    <t>plot758</t>
  </si>
  <si>
    <t>plot759</t>
  </si>
  <si>
    <t>plot760</t>
  </si>
  <si>
    <t>plot761</t>
  </si>
  <si>
    <t>plot762</t>
  </si>
  <si>
    <t>plot763</t>
  </si>
  <si>
    <t>plot764</t>
  </si>
  <si>
    <t>plot765</t>
  </si>
  <si>
    <t>plot766</t>
  </si>
  <si>
    <t>plot767</t>
  </si>
  <si>
    <t>plot768</t>
  </si>
  <si>
    <t>plot769</t>
  </si>
  <si>
    <t>plot770</t>
  </si>
  <si>
    <t>plot771</t>
  </si>
  <si>
    <t>plot772</t>
  </si>
  <si>
    <t>plot773</t>
  </si>
  <si>
    <t>plot774</t>
  </si>
  <si>
    <t>plot775</t>
  </si>
  <si>
    <t>plot776</t>
  </si>
  <si>
    <t>plot777</t>
  </si>
  <si>
    <t>plot778</t>
  </si>
  <si>
    <t>plot779</t>
  </si>
  <si>
    <t>plot780</t>
  </si>
  <si>
    <t>plot781</t>
  </si>
  <si>
    <t>plot782</t>
  </si>
  <si>
    <t>plot783</t>
  </si>
  <si>
    <t>plot784</t>
  </si>
  <si>
    <t>plot785</t>
  </si>
  <si>
    <t>plot786</t>
  </si>
  <si>
    <t>plot787</t>
  </si>
  <si>
    <t>plot788</t>
  </si>
  <si>
    <t>plot789</t>
  </si>
  <si>
    <t>plot790</t>
  </si>
  <si>
    <t>plot791</t>
  </si>
  <si>
    <t>plot792</t>
  </si>
  <si>
    <t>plot793</t>
  </si>
  <si>
    <t>plot794</t>
  </si>
  <si>
    <t>plot795</t>
  </si>
  <si>
    <t>plot796</t>
  </si>
  <si>
    <t>plot797</t>
  </si>
  <si>
    <t>plot798</t>
  </si>
  <si>
    <t>plot799</t>
  </si>
  <si>
    <t>plot800</t>
  </si>
  <si>
    <t>plot801</t>
  </si>
  <si>
    <t>plot802</t>
  </si>
  <si>
    <t>plot803</t>
  </si>
  <si>
    <t>plot804</t>
  </si>
  <si>
    <t>plot805</t>
  </si>
  <si>
    <t>plot806</t>
  </si>
  <si>
    <t>plot807</t>
  </si>
  <si>
    <t>plot808</t>
  </si>
  <si>
    <t>plot809</t>
  </si>
  <si>
    <t>plot810</t>
  </si>
  <si>
    <t>plot811</t>
  </si>
  <si>
    <t>plot812</t>
  </si>
  <si>
    <t>plot813</t>
  </si>
  <si>
    <t>plot814</t>
  </si>
  <si>
    <t>plot815</t>
  </si>
  <si>
    <t>plot816</t>
  </si>
  <si>
    <t>plot817</t>
  </si>
  <si>
    <t>plot818</t>
  </si>
  <si>
    <t>plot819</t>
  </si>
  <si>
    <t>plot820</t>
  </si>
  <si>
    <t>plot821</t>
  </si>
  <si>
    <t>plot822</t>
  </si>
  <si>
    <t>plot823</t>
  </si>
  <si>
    <t>plot824</t>
  </si>
  <si>
    <t>plot825</t>
  </si>
  <si>
    <t>plot826</t>
  </si>
  <si>
    <t>plot827</t>
  </si>
  <si>
    <t>plot828</t>
  </si>
  <si>
    <t>plot829</t>
  </si>
  <si>
    <t>plot830</t>
  </si>
  <si>
    <t>plot831</t>
  </si>
  <si>
    <t>plot832</t>
  </si>
  <si>
    <t>plot833</t>
  </si>
  <si>
    <t>plot834</t>
  </si>
  <si>
    <t>plot835</t>
  </si>
  <si>
    <t>plot836</t>
  </si>
  <si>
    <t>plot837</t>
  </si>
  <si>
    <t>plot838</t>
  </si>
  <si>
    <t>plot839</t>
  </si>
  <si>
    <t>plot840</t>
  </si>
  <si>
    <t>plot841</t>
  </si>
  <si>
    <t>plot842</t>
  </si>
  <si>
    <t>plot843</t>
  </si>
  <si>
    <t>plot844</t>
  </si>
  <si>
    <t>plot845</t>
  </si>
  <si>
    <t>plot846</t>
  </si>
  <si>
    <t>plot847</t>
  </si>
  <si>
    <t>plot848</t>
  </si>
  <si>
    <t>plot849</t>
  </si>
  <si>
    <t>plot850</t>
  </si>
  <si>
    <t>plot851</t>
  </si>
  <si>
    <t>plot852</t>
  </si>
  <si>
    <t>plot853</t>
  </si>
  <si>
    <t>plot854</t>
  </si>
  <si>
    <t>plot855</t>
  </si>
  <si>
    <t>plot856</t>
  </si>
  <si>
    <t>plot857</t>
  </si>
  <si>
    <t>plot858</t>
  </si>
  <si>
    <t>plot859</t>
  </si>
  <si>
    <t>plot860</t>
  </si>
  <si>
    <t>plot861</t>
  </si>
  <si>
    <t>plot862</t>
  </si>
  <si>
    <t>plot863</t>
  </si>
  <si>
    <t>plot864</t>
  </si>
  <si>
    <t>plot865</t>
  </si>
  <si>
    <t>plot866</t>
  </si>
  <si>
    <t>plot867</t>
  </si>
  <si>
    <t>plot868</t>
  </si>
  <si>
    <t>plot869</t>
  </si>
  <si>
    <t>plot870</t>
  </si>
  <si>
    <t>plot871</t>
  </si>
  <si>
    <t>plot872</t>
  </si>
  <si>
    <t>plot873</t>
  </si>
  <si>
    <t>plot874</t>
  </si>
  <si>
    <t>plot875</t>
  </si>
  <si>
    <t>plot876</t>
  </si>
  <si>
    <t>plot877</t>
  </si>
  <si>
    <t>plot878</t>
  </si>
  <si>
    <t>plot879</t>
  </si>
  <si>
    <t>plot880</t>
  </si>
  <si>
    <t>plot881</t>
  </si>
  <si>
    <t>plot882</t>
  </si>
  <si>
    <t>plot883</t>
  </si>
  <si>
    <t>plot884</t>
  </si>
  <si>
    <t>plot885</t>
  </si>
  <si>
    <t>plot886</t>
  </si>
  <si>
    <t>plot887</t>
  </si>
  <si>
    <t>plot888</t>
  </si>
  <si>
    <t>plot889</t>
  </si>
  <si>
    <t>plot890</t>
  </si>
  <si>
    <t>plot891</t>
  </si>
  <si>
    <t>plot892</t>
  </si>
  <si>
    <t>plot893</t>
  </si>
  <si>
    <t>plot894</t>
  </si>
  <si>
    <t>plot895</t>
  </si>
  <si>
    <t>plot896</t>
  </si>
  <si>
    <t>plot897</t>
  </si>
  <si>
    <t>plot898</t>
  </si>
  <si>
    <t>plot899</t>
  </si>
  <si>
    <t>plot900</t>
  </si>
  <si>
    <t>plot901</t>
  </si>
  <si>
    <t>plot902</t>
  </si>
  <si>
    <t>plot903</t>
  </si>
  <si>
    <t>plot904</t>
  </si>
  <si>
    <t>plot905</t>
  </si>
  <si>
    <t>plot906</t>
  </si>
  <si>
    <t>plot907</t>
  </si>
  <si>
    <t>plot908</t>
  </si>
  <si>
    <t>plot909</t>
  </si>
  <si>
    <t>plot910</t>
  </si>
  <si>
    <t>plot911</t>
  </si>
  <si>
    <t>plot912</t>
  </si>
  <si>
    <t>plot913</t>
  </si>
  <si>
    <t>plot914</t>
  </si>
  <si>
    <t>plot915</t>
  </si>
  <si>
    <t>plot916</t>
  </si>
  <si>
    <t>plot917</t>
  </si>
  <si>
    <t>plot918</t>
  </si>
  <si>
    <t>plot919</t>
  </si>
  <si>
    <t>plot920</t>
  </si>
  <si>
    <t>plot921</t>
  </si>
  <si>
    <t>plot922</t>
  </si>
  <si>
    <t>plot923</t>
  </si>
  <si>
    <t>plot924</t>
  </si>
  <si>
    <t>plot925</t>
  </si>
  <si>
    <t>plot926</t>
  </si>
  <si>
    <t>plot927</t>
  </si>
  <si>
    <t>plot928</t>
  </si>
  <si>
    <t>plot929</t>
  </si>
  <si>
    <t>plot930</t>
  </si>
  <si>
    <t>plot931</t>
  </si>
  <si>
    <t>plot932</t>
  </si>
  <si>
    <t>plot933</t>
  </si>
  <si>
    <t>plot934</t>
  </si>
  <si>
    <t>plot935</t>
  </si>
  <si>
    <t>plot936</t>
  </si>
  <si>
    <t>plot937</t>
  </si>
  <si>
    <t>plot938</t>
  </si>
  <si>
    <t>plot939</t>
  </si>
  <si>
    <t>plot940</t>
  </si>
  <si>
    <t>plot941</t>
  </si>
  <si>
    <t>plot942</t>
  </si>
  <si>
    <t>plot943</t>
  </si>
  <si>
    <t>plot944</t>
  </si>
  <si>
    <t>plot945</t>
  </si>
  <si>
    <t>plot946</t>
  </si>
  <si>
    <t>plot947</t>
  </si>
  <si>
    <t>plot948</t>
  </si>
  <si>
    <t>plot949</t>
  </si>
  <si>
    <t>plot950</t>
  </si>
  <si>
    <t>plot951</t>
  </si>
  <si>
    <t>plot952</t>
  </si>
  <si>
    <t>plot953</t>
  </si>
  <si>
    <t>plot954</t>
  </si>
  <si>
    <t>plot955</t>
  </si>
  <si>
    <t>plot956</t>
  </si>
  <si>
    <t>plot957</t>
  </si>
  <si>
    <t>plot958</t>
  </si>
  <si>
    <t>plot959</t>
  </si>
  <si>
    <t>plot960</t>
  </si>
  <si>
    <t>plot961</t>
  </si>
  <si>
    <t>plot962</t>
  </si>
  <si>
    <t>plot963</t>
  </si>
  <si>
    <t>plot964</t>
  </si>
  <si>
    <t>plot965</t>
  </si>
  <si>
    <t>plot966</t>
  </si>
  <si>
    <t>plot967</t>
  </si>
  <si>
    <t>plot968</t>
  </si>
  <si>
    <t>plot969</t>
  </si>
  <si>
    <t>plot970</t>
  </si>
  <si>
    <t>plot971</t>
  </si>
  <si>
    <t>plot972</t>
  </si>
  <si>
    <t>plot973</t>
  </si>
  <si>
    <t>plot974</t>
  </si>
  <si>
    <t>plot975</t>
  </si>
  <si>
    <t>plot976</t>
  </si>
  <si>
    <t>plot977</t>
  </si>
  <si>
    <t>plot978</t>
  </si>
  <si>
    <t>plot979</t>
  </si>
  <si>
    <t>plot980</t>
  </si>
  <si>
    <t>plot981</t>
  </si>
  <si>
    <t>plot982</t>
  </si>
  <si>
    <t>plot983</t>
  </si>
  <si>
    <t>plot984</t>
  </si>
  <si>
    <t>plot985</t>
  </si>
  <si>
    <t>plot986</t>
  </si>
  <si>
    <t>plot987</t>
  </si>
  <si>
    <t>plot988</t>
  </si>
  <si>
    <t>plot989</t>
  </si>
  <si>
    <t>plot990</t>
  </si>
  <si>
    <t>plot991</t>
  </si>
  <si>
    <t>plot992</t>
  </si>
  <si>
    <t>plot993</t>
  </si>
  <si>
    <t>plot994</t>
  </si>
  <si>
    <t>plot995</t>
  </si>
  <si>
    <t>plot996</t>
  </si>
  <si>
    <t>plot997</t>
  </si>
  <si>
    <t>plot998</t>
  </si>
  <si>
    <t>plot999</t>
  </si>
  <si>
    <t>plot1000</t>
  </si>
  <si>
    <t>plot1001</t>
  </si>
  <si>
    <t>plot1002</t>
  </si>
  <si>
    <t>plot1003</t>
  </si>
  <si>
    <t>plot1004</t>
  </si>
  <si>
    <t>plot1005</t>
  </si>
  <si>
    <t>plot1006</t>
  </si>
  <si>
    <t>plot1007</t>
  </si>
  <si>
    <t>plot1008</t>
  </si>
  <si>
    <t>plot1009</t>
  </si>
  <si>
    <t>plot1010</t>
  </si>
  <si>
    <t>plot1011</t>
  </si>
  <si>
    <t>plot1012</t>
  </si>
  <si>
    <t>plot1013</t>
  </si>
  <si>
    <t>plot1014</t>
  </si>
  <si>
    <t>plot1015</t>
  </si>
  <si>
    <t>plot1016</t>
  </si>
  <si>
    <t>plot1017</t>
  </si>
  <si>
    <t>plot1018</t>
  </si>
  <si>
    <t>plot1019</t>
  </si>
  <si>
    <t>plot1020</t>
  </si>
  <si>
    <t>plot1021</t>
  </si>
  <si>
    <t>plot1022</t>
  </si>
  <si>
    <t>plot1023</t>
  </si>
  <si>
    <t>plot1024</t>
  </si>
  <si>
    <t>plot1025</t>
  </si>
  <si>
    <t>plot1026</t>
  </si>
  <si>
    <t>plot1027</t>
  </si>
  <si>
    <t>plot1028</t>
  </si>
  <si>
    <t>plot1029</t>
  </si>
  <si>
    <t>plot1030</t>
  </si>
  <si>
    <t>plot1031</t>
  </si>
  <si>
    <t>plot1032</t>
  </si>
  <si>
    <t>plot1033</t>
  </si>
  <si>
    <t>plot1034</t>
  </si>
  <si>
    <t>plot1035</t>
  </si>
  <si>
    <t>plot1036</t>
  </si>
  <si>
    <t>plot1037</t>
  </si>
  <si>
    <t>plot1038</t>
  </si>
  <si>
    <t>plot1039</t>
  </si>
  <si>
    <t>plot1040</t>
  </si>
  <si>
    <t>plot1041</t>
  </si>
  <si>
    <t>plot1042</t>
  </si>
  <si>
    <t>plot1043</t>
  </si>
  <si>
    <t>plot1044</t>
  </si>
  <si>
    <t>plot1045</t>
  </si>
  <si>
    <t>plot1046</t>
  </si>
  <si>
    <t>plot1047</t>
  </si>
  <si>
    <t>plot1048</t>
  </si>
  <si>
    <t>plot1049</t>
  </si>
  <si>
    <t>plot1050</t>
  </si>
  <si>
    <t>plot1051</t>
  </si>
  <si>
    <t>plot1052</t>
  </si>
  <si>
    <t>plot1053</t>
  </si>
  <si>
    <t>plot1054</t>
  </si>
  <si>
    <t>plot1055</t>
  </si>
  <si>
    <t>plot1056</t>
  </si>
  <si>
    <t>plot1057</t>
  </si>
  <si>
    <t>plot1058</t>
  </si>
  <si>
    <t>plot1059</t>
  </si>
  <si>
    <t>plot1060</t>
  </si>
  <si>
    <t>plot1061</t>
  </si>
  <si>
    <t>plot1062</t>
  </si>
  <si>
    <t>plot1063</t>
  </si>
  <si>
    <t>plot1064</t>
  </si>
  <si>
    <t>plot1065</t>
  </si>
  <si>
    <t>plot1066</t>
  </si>
  <si>
    <t>plot1067</t>
  </si>
  <si>
    <t>plot1068</t>
  </si>
  <si>
    <t>plot1069</t>
  </si>
  <si>
    <t>plot1070</t>
  </si>
  <si>
    <t>plot1071</t>
  </si>
  <si>
    <t>plot1072</t>
  </si>
  <si>
    <t>plot1073</t>
  </si>
  <si>
    <t>plot1074</t>
  </si>
  <si>
    <t>plot1075</t>
  </si>
  <si>
    <t>plot1076</t>
  </si>
  <si>
    <t>plot1077</t>
  </si>
  <si>
    <t>plot1078</t>
  </si>
  <si>
    <t>plot1079</t>
  </si>
  <si>
    <t>plot1080</t>
  </si>
  <si>
    <t>plot1081</t>
  </si>
  <si>
    <t>plot1082</t>
  </si>
  <si>
    <t>plot1083</t>
  </si>
  <si>
    <t>plot1084</t>
  </si>
  <si>
    <t>plot1085</t>
  </si>
  <si>
    <t>plot1086</t>
  </si>
  <si>
    <t>plot1087</t>
  </si>
  <si>
    <t>plot1088</t>
  </si>
  <si>
    <t>plot1089</t>
  </si>
  <si>
    <t>plot1090</t>
  </si>
  <si>
    <t>plot1091</t>
  </si>
  <si>
    <t>plot1092</t>
  </si>
  <si>
    <t>plot1093</t>
  </si>
  <si>
    <t>plot1094</t>
  </si>
  <si>
    <t>plot1095</t>
  </si>
  <si>
    <t>plot1096</t>
  </si>
  <si>
    <t>plot1097</t>
  </si>
  <si>
    <t>plot1098</t>
  </si>
  <si>
    <t>plot1099</t>
  </si>
  <si>
    <t>plot1100</t>
  </si>
  <si>
    <t>plot1101</t>
  </si>
  <si>
    <t>plot1102</t>
  </si>
  <si>
    <t>plot1103</t>
  </si>
  <si>
    <t>plot1104</t>
  </si>
  <si>
    <t>plot1105</t>
  </si>
  <si>
    <t>plot1106</t>
  </si>
  <si>
    <t>plot1107</t>
  </si>
  <si>
    <t>plot1108</t>
  </si>
  <si>
    <t>plot1109</t>
  </si>
  <si>
    <t>plot1110</t>
  </si>
  <si>
    <t>plot1111</t>
  </si>
  <si>
    <t>plot1112</t>
  </si>
  <si>
    <t>plot1113</t>
  </si>
  <si>
    <t>plot1114</t>
  </si>
  <si>
    <t>plot1115</t>
  </si>
  <si>
    <t>plot1116</t>
  </si>
  <si>
    <t>plot1117</t>
  </si>
  <si>
    <t>plot1118</t>
  </si>
  <si>
    <t>plot1119</t>
  </si>
  <si>
    <t>plot1120</t>
  </si>
  <si>
    <t>plot1121</t>
  </si>
  <si>
    <t>plot1122</t>
  </si>
  <si>
    <t>plot1123</t>
  </si>
  <si>
    <t>plot1124</t>
  </si>
  <si>
    <t>plot1125</t>
  </si>
  <si>
    <t>plot1126</t>
  </si>
  <si>
    <t>plot1127</t>
  </si>
  <si>
    <t>plot1128</t>
  </si>
  <si>
    <t>plot1129</t>
  </si>
  <si>
    <t>plot1130</t>
  </si>
  <si>
    <t>plot1131</t>
  </si>
  <si>
    <t>plot1132</t>
  </si>
  <si>
    <t>plot1133</t>
  </si>
  <si>
    <t>plot1134</t>
  </si>
  <si>
    <t>plot1135</t>
  </si>
  <si>
    <t>plot1136</t>
  </si>
  <si>
    <t>plot1137</t>
  </si>
  <si>
    <t>plot1138</t>
  </si>
  <si>
    <t>plot1139</t>
  </si>
  <si>
    <t>plot1140</t>
  </si>
  <si>
    <t>plot1141</t>
  </si>
  <si>
    <t>plot1142</t>
  </si>
  <si>
    <t>plot1143</t>
  </si>
  <si>
    <t>plot1144</t>
  </si>
  <si>
    <t>plot1145</t>
  </si>
  <si>
    <t>plot1146</t>
  </si>
  <si>
    <t>plot1147</t>
  </si>
  <si>
    <t>plot1148</t>
  </si>
  <si>
    <t>plot1149</t>
  </si>
  <si>
    <t>plot1150</t>
  </si>
  <si>
    <t>plot1151</t>
  </si>
  <si>
    <t>plot1152</t>
  </si>
  <si>
    <t>plot1153</t>
  </si>
  <si>
    <t>plot1154</t>
  </si>
  <si>
    <t>plot1155</t>
  </si>
  <si>
    <t>plot1156</t>
  </si>
  <si>
    <t>plot1157</t>
  </si>
  <si>
    <t>plot1158</t>
  </si>
  <si>
    <t>plot1159</t>
  </si>
  <si>
    <t>plot1160</t>
  </si>
  <si>
    <t>plot1161</t>
  </si>
  <si>
    <t>plot1162</t>
  </si>
  <si>
    <t>plot1163</t>
  </si>
  <si>
    <t>plot1164</t>
  </si>
  <si>
    <t>plot1165</t>
  </si>
  <si>
    <t>plot1166</t>
  </si>
  <si>
    <t>plot1167</t>
  </si>
  <si>
    <t>plot1168</t>
  </si>
  <si>
    <t>plot1169</t>
  </si>
  <si>
    <t>plot1170</t>
  </si>
  <si>
    <t>plot1171</t>
  </si>
  <si>
    <t>plot1172</t>
  </si>
  <si>
    <t>plot1173</t>
  </si>
  <si>
    <t>plot1174</t>
  </si>
  <si>
    <t>plot1175</t>
  </si>
  <si>
    <t>plot1176</t>
  </si>
  <si>
    <t>plot1177</t>
  </si>
  <si>
    <t>plot1178</t>
  </si>
  <si>
    <t>plot1179</t>
  </si>
  <si>
    <t>plot1180</t>
  </si>
  <si>
    <t>plot1181</t>
  </si>
  <si>
    <t>plot1182</t>
  </si>
  <si>
    <t>plot1183</t>
  </si>
  <si>
    <t>plot1184</t>
  </si>
  <si>
    <t>plot1185</t>
  </si>
  <si>
    <t>plot1186</t>
  </si>
  <si>
    <t>plot1187</t>
  </si>
  <si>
    <t>plot1188</t>
  </si>
  <si>
    <t>plot1189</t>
  </si>
  <si>
    <t>plot1190</t>
  </si>
  <si>
    <t>plot1191</t>
  </si>
  <si>
    <t>plot1192</t>
  </si>
  <si>
    <t>plot1193</t>
  </si>
  <si>
    <t>plot1194</t>
  </si>
  <si>
    <t>plot1195</t>
  </si>
  <si>
    <t>plot1196</t>
  </si>
  <si>
    <t>plot1197</t>
  </si>
  <si>
    <t>plot1198</t>
  </si>
  <si>
    <t>plot1199</t>
  </si>
  <si>
    <t>plot1200</t>
  </si>
  <si>
    <t>plot1201</t>
  </si>
  <si>
    <t>plot1202</t>
  </si>
  <si>
    <t>plot1203</t>
  </si>
  <si>
    <t>plot1204</t>
  </si>
  <si>
    <t>plot1205</t>
  </si>
  <si>
    <t>plot1206</t>
  </si>
  <si>
    <t>plot1207</t>
  </si>
  <si>
    <t>plot1208</t>
  </si>
  <si>
    <t>plot1209</t>
  </si>
  <si>
    <t>plot1210</t>
  </si>
  <si>
    <t>plot1211</t>
  </si>
  <si>
    <t>plot1212</t>
  </si>
  <si>
    <t>plot1213</t>
  </si>
  <si>
    <t>plot1214</t>
  </si>
  <si>
    <t>plot1215</t>
  </si>
  <si>
    <t>plot1216</t>
  </si>
  <si>
    <t>plot1217</t>
  </si>
  <si>
    <t>plot1218</t>
  </si>
  <si>
    <t>plot1219</t>
  </si>
  <si>
    <t>plot1220</t>
  </si>
  <si>
    <t>plot1221</t>
  </si>
  <si>
    <t>plot1222</t>
  </si>
  <si>
    <t>plot1223</t>
  </si>
  <si>
    <t>plot1224</t>
  </si>
  <si>
    <t>plot1225</t>
  </si>
  <si>
    <t>plot1226</t>
  </si>
  <si>
    <t>plot1227</t>
  </si>
  <si>
    <t>plot1228</t>
  </si>
  <si>
    <t>plot1229</t>
  </si>
  <si>
    <t>plot1230</t>
  </si>
  <si>
    <t>plot1231</t>
  </si>
  <si>
    <t>plot1232</t>
  </si>
  <si>
    <t>plot1233</t>
  </si>
  <si>
    <t>plot1234</t>
  </si>
  <si>
    <t>plot1235</t>
  </si>
  <si>
    <t>plot1236</t>
  </si>
  <si>
    <t>plot1237</t>
  </si>
  <si>
    <t>plot1238</t>
  </si>
  <si>
    <t>plot1239</t>
  </si>
  <si>
    <t>plot1240</t>
  </si>
  <si>
    <t>plot1241</t>
  </si>
  <si>
    <t>plot1242</t>
  </si>
  <si>
    <t>plot1243</t>
  </si>
  <si>
    <t>plot1244</t>
  </si>
  <si>
    <t>plot1245</t>
  </si>
  <si>
    <t>plot1246</t>
  </si>
  <si>
    <t>plot1247</t>
  </si>
  <si>
    <t>plot1248</t>
  </si>
  <si>
    <t>plot1249</t>
  </si>
  <si>
    <t>plot1250</t>
  </si>
  <si>
    <t>plot1251</t>
  </si>
  <si>
    <t>plot1252</t>
  </si>
  <si>
    <t>plot1253</t>
  </si>
  <si>
    <t>plot1254</t>
  </si>
  <si>
    <t>plot1255</t>
  </si>
  <si>
    <t>plot1256</t>
  </si>
  <si>
    <t>plot1257</t>
  </si>
  <si>
    <t>plot1258</t>
  </si>
  <si>
    <t>plot1259</t>
  </si>
  <si>
    <t>plot1260</t>
  </si>
  <si>
    <t>plot1261</t>
  </si>
  <si>
    <t>plot1262</t>
  </si>
  <si>
    <t>plot1263</t>
  </si>
  <si>
    <t>plot1264</t>
  </si>
  <si>
    <t>plot1265</t>
  </si>
  <si>
    <t>plot1266</t>
  </si>
  <si>
    <t>plot1267</t>
  </si>
  <si>
    <t>plot1268</t>
  </si>
  <si>
    <t>plot1269</t>
  </si>
  <si>
    <t>plot1270</t>
  </si>
  <si>
    <t>plot1271</t>
  </si>
  <si>
    <t>plot1272</t>
  </si>
  <si>
    <t>plot1273</t>
  </si>
  <si>
    <t>plot1274</t>
  </si>
  <si>
    <t>plot1275</t>
  </si>
  <si>
    <t>plot1276</t>
  </si>
  <si>
    <t>plot1277</t>
  </si>
  <si>
    <t>plot1278</t>
  </si>
  <si>
    <t>plot1279</t>
  </si>
  <si>
    <t>plot1280</t>
  </si>
  <si>
    <t>plot1281</t>
  </si>
  <si>
    <t>plot1282</t>
  </si>
  <si>
    <t>plot1283</t>
  </si>
  <si>
    <t>plot1284</t>
  </si>
  <si>
    <t>plot1285</t>
  </si>
  <si>
    <t>plot1286</t>
  </si>
  <si>
    <t>plot1287</t>
  </si>
  <si>
    <t>plot1288</t>
  </si>
  <si>
    <t>plot1289</t>
  </si>
  <si>
    <t>plot1290</t>
  </si>
  <si>
    <t>plot1291</t>
  </si>
  <si>
    <t>plot1292</t>
  </si>
  <si>
    <t>plot1293</t>
  </si>
  <si>
    <t>plot1294</t>
  </si>
  <si>
    <t>plot1295</t>
  </si>
  <si>
    <t>plot1296</t>
  </si>
  <si>
    <t>plot1297</t>
  </si>
  <si>
    <t>plot1298</t>
  </si>
  <si>
    <t>plot1299</t>
  </si>
  <si>
    <t>plot1300</t>
  </si>
  <si>
    <t>plot1301</t>
  </si>
  <si>
    <t>plot1302</t>
  </si>
  <si>
    <t>plot1303</t>
  </si>
  <si>
    <t>plot1304</t>
  </si>
  <si>
    <t>plot1305</t>
  </si>
  <si>
    <t>plot1306</t>
  </si>
  <si>
    <t>plot1307</t>
  </si>
  <si>
    <t>plot1308</t>
  </si>
  <si>
    <t>plot1309</t>
  </si>
  <si>
    <t>plot1310</t>
  </si>
  <si>
    <t>plot1311</t>
  </si>
  <si>
    <t>plot1312</t>
  </si>
  <si>
    <t>plot1313</t>
  </si>
  <si>
    <t>plot1314</t>
  </si>
  <si>
    <t>plot1315</t>
  </si>
  <si>
    <t>plot1316</t>
  </si>
  <si>
    <t>plot1317</t>
  </si>
  <si>
    <t>plot1318</t>
  </si>
  <si>
    <t>plot1319</t>
  </si>
  <si>
    <t>plot1320</t>
  </si>
  <si>
    <t>plot1321</t>
  </si>
  <si>
    <t>plot1322</t>
  </si>
  <si>
    <t>plot1323</t>
  </si>
  <si>
    <t>plot1324</t>
  </si>
  <si>
    <t>plot1325</t>
  </si>
  <si>
    <t>plot1326</t>
  </si>
  <si>
    <t>plot1327</t>
  </si>
  <si>
    <t>plot1328</t>
  </si>
  <si>
    <t>plot1329</t>
  </si>
  <si>
    <t>plot1330</t>
  </si>
  <si>
    <t>plot1331</t>
  </si>
  <si>
    <t>plot1332</t>
  </si>
  <si>
    <t>plot1333</t>
  </si>
  <si>
    <t>plot1334</t>
  </si>
  <si>
    <t>plot1335</t>
  </si>
  <si>
    <t>plot1336</t>
  </si>
  <si>
    <t>plot1337</t>
  </si>
  <si>
    <t>plot1338</t>
  </si>
  <si>
    <t>plot1339</t>
  </si>
  <si>
    <t>plot1340</t>
  </si>
  <si>
    <t>plot1341</t>
  </si>
  <si>
    <t>plot1342</t>
  </si>
  <si>
    <t>plot1343</t>
  </si>
  <si>
    <t>plot1344</t>
  </si>
  <si>
    <t>plot1345</t>
  </si>
  <si>
    <t>plot1346</t>
  </si>
  <si>
    <t>plot1347</t>
  </si>
  <si>
    <t>plot1348</t>
  </si>
  <si>
    <t>plot1349</t>
  </si>
  <si>
    <t>plot1350</t>
  </si>
  <si>
    <t>plot1351</t>
  </si>
  <si>
    <t>plot1352</t>
  </si>
  <si>
    <t>plot1353</t>
  </si>
  <si>
    <t>plot1354</t>
  </si>
  <si>
    <t>plot1355</t>
  </si>
  <si>
    <t>plot1356</t>
  </si>
  <si>
    <t>plot1357</t>
  </si>
  <si>
    <t>plot1358</t>
  </si>
  <si>
    <t>plot1359</t>
  </si>
  <si>
    <t>plot1360</t>
  </si>
  <si>
    <t>plot1361</t>
  </si>
  <si>
    <t>plot1362</t>
  </si>
  <si>
    <t>plot1363</t>
  </si>
  <si>
    <t>plot1364</t>
  </si>
  <si>
    <t>plot1365</t>
  </si>
  <si>
    <t>plot1366</t>
  </si>
  <si>
    <t>plot1367</t>
  </si>
  <si>
    <t>plot1368</t>
  </si>
  <si>
    <t>initial_age</t>
  </si>
  <si>
    <t>End age</t>
  </si>
  <si>
    <t>initial_stock</t>
  </si>
  <si>
    <t>Edge trees</t>
  </si>
  <si>
    <t>aws</t>
  </si>
  <si>
    <t>% tree cover</t>
  </si>
  <si>
    <t>WF (2.9%)</t>
  </si>
  <si>
    <t xml:space="preserve">WR (21.3%) </t>
  </si>
  <si>
    <t>WS (57.1%)</t>
  </si>
  <si>
    <t>percent_tree_cover</t>
  </si>
  <si>
    <t>Initial_age</t>
  </si>
  <si>
    <t>wf</t>
  </si>
  <si>
    <t>wr</t>
  </si>
  <si>
    <t>ws</t>
  </si>
  <si>
    <t xml:space="preserve">stock </t>
  </si>
  <si>
    <t>tree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</si>
</sst>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quotePrefix="1" applyNumberFormat="1"/>
  </cellXfs>
  <cellStyles count="1">
    <cellStyle name="Normal" xfId="0" builtinId="0"/>
  </cellStyles>
  <dxfs count="2">
    <dxf>
      <numFmt numFmtId="164" formatCode="0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Characteristics</a:t>
            </a:r>
            <a:r>
              <a:rPr lang="en-GB" baseline="0"/>
              <a:t> of Plot at Year 0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 - init data frm model c=1'!$E$1</c:f>
              <c:strCache>
                <c:ptCount val="1"/>
                <c:pt idx="0">
                  <c:v>stand_basal_area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'Input - init data frm model c=1'!$C$2:$C$1370</c:f>
              <c:numCache>
                <c:formatCode>General</c:formatCode>
                <c:ptCount val="1369"/>
                <c:pt idx="0">
                  <c:v>27.717411924119201</c:v>
                </c:pt>
                <c:pt idx="1">
                  <c:v>28.456217732884401</c:v>
                </c:pt>
                <c:pt idx="2">
                  <c:v>31.057195767195701</c:v>
                </c:pt>
                <c:pt idx="3">
                  <c:v>27.5658692810457</c:v>
                </c:pt>
                <c:pt idx="4">
                  <c:v>26.4943666666666</c:v>
                </c:pt>
                <c:pt idx="5">
                  <c:v>26.652677777777701</c:v>
                </c:pt>
                <c:pt idx="6">
                  <c:v>23.657777777777699</c:v>
                </c:pt>
                <c:pt idx="7">
                  <c:v>28.7141931216931</c:v>
                </c:pt>
                <c:pt idx="8">
                  <c:v>27.826352413018999</c:v>
                </c:pt>
                <c:pt idx="9">
                  <c:v>27.0102469135802</c:v>
                </c:pt>
                <c:pt idx="10">
                  <c:v>28.0624111111111</c:v>
                </c:pt>
                <c:pt idx="11">
                  <c:v>27.953024054982802</c:v>
                </c:pt>
                <c:pt idx="12">
                  <c:v>28.677874396135199</c:v>
                </c:pt>
                <c:pt idx="13">
                  <c:v>29.365319865319801</c:v>
                </c:pt>
                <c:pt idx="14">
                  <c:v>26.770900000000001</c:v>
                </c:pt>
                <c:pt idx="15">
                  <c:v>28.517622222222201</c:v>
                </c:pt>
                <c:pt idx="16">
                  <c:v>26.5225222222222</c:v>
                </c:pt>
                <c:pt idx="17">
                  <c:v>27.0637934904601</c:v>
                </c:pt>
                <c:pt idx="18">
                  <c:v>27.010011111111101</c:v>
                </c:pt>
                <c:pt idx="19">
                  <c:v>26.705555555555499</c:v>
                </c:pt>
                <c:pt idx="20">
                  <c:v>26.478980526918601</c:v>
                </c:pt>
                <c:pt idx="21">
                  <c:v>26.670555555555499</c:v>
                </c:pt>
                <c:pt idx="22">
                  <c:v>27.219650436953799</c:v>
                </c:pt>
                <c:pt idx="23">
                  <c:v>27.017721661054999</c:v>
                </c:pt>
                <c:pt idx="24">
                  <c:v>25.991166666666601</c:v>
                </c:pt>
                <c:pt idx="25">
                  <c:v>26.991999999999901</c:v>
                </c:pt>
                <c:pt idx="26">
                  <c:v>26.666233333333299</c:v>
                </c:pt>
                <c:pt idx="27">
                  <c:v>27.281755555555499</c:v>
                </c:pt>
                <c:pt idx="28">
                  <c:v>26.6901444444444</c:v>
                </c:pt>
                <c:pt idx="29">
                  <c:v>27.467288888888799</c:v>
                </c:pt>
                <c:pt idx="30">
                  <c:v>26.5150111111111</c:v>
                </c:pt>
                <c:pt idx="31">
                  <c:v>24.6482888888888</c:v>
                </c:pt>
                <c:pt idx="32">
                  <c:v>28.638502923976599</c:v>
                </c:pt>
                <c:pt idx="33">
                  <c:v>26.016643274853799</c:v>
                </c:pt>
                <c:pt idx="34">
                  <c:v>27.098694158075599</c:v>
                </c:pt>
                <c:pt idx="35">
                  <c:v>24.845440613026799</c:v>
                </c:pt>
                <c:pt idx="36">
                  <c:v>28.637545219638199</c:v>
                </c:pt>
                <c:pt idx="37">
                  <c:v>26.886288888888899</c:v>
                </c:pt>
                <c:pt idx="38">
                  <c:v>27.559169472502798</c:v>
                </c:pt>
                <c:pt idx="39">
                  <c:v>26.8728333333333</c:v>
                </c:pt>
                <c:pt idx="40">
                  <c:v>28.4638666666666</c:v>
                </c:pt>
                <c:pt idx="41">
                  <c:v>27.821391694725001</c:v>
                </c:pt>
                <c:pt idx="42">
                  <c:v>27.6762444444444</c:v>
                </c:pt>
                <c:pt idx="43">
                  <c:v>25.575588888888799</c:v>
                </c:pt>
                <c:pt idx="44">
                  <c:v>28.33</c:v>
                </c:pt>
                <c:pt idx="45">
                  <c:v>28.0096666666666</c:v>
                </c:pt>
                <c:pt idx="46">
                  <c:v>30.156886304909499</c:v>
                </c:pt>
                <c:pt idx="47">
                  <c:v>27.019171075837701</c:v>
                </c:pt>
                <c:pt idx="48">
                  <c:v>27.7066893424036</c:v>
                </c:pt>
                <c:pt idx="49">
                  <c:v>25.0806802721088</c:v>
                </c:pt>
                <c:pt idx="50">
                  <c:v>26.949058956916002</c:v>
                </c:pt>
                <c:pt idx="51">
                  <c:v>25.444603174603099</c:v>
                </c:pt>
                <c:pt idx="52">
                  <c:v>28.117652933832701</c:v>
                </c:pt>
                <c:pt idx="53">
                  <c:v>28.315228070175401</c:v>
                </c:pt>
                <c:pt idx="54">
                  <c:v>27.482569444444401</c:v>
                </c:pt>
                <c:pt idx="55">
                  <c:v>26.4008449074074</c:v>
                </c:pt>
                <c:pt idx="56">
                  <c:v>26.6853555555555</c:v>
                </c:pt>
                <c:pt idx="57">
                  <c:v>28.236088888888801</c:v>
                </c:pt>
                <c:pt idx="58">
                  <c:v>26.127422222222201</c:v>
                </c:pt>
                <c:pt idx="59">
                  <c:v>26.5977</c:v>
                </c:pt>
                <c:pt idx="60">
                  <c:v>27.305746352412999</c:v>
                </c:pt>
                <c:pt idx="61">
                  <c:v>25.734877777777701</c:v>
                </c:pt>
                <c:pt idx="62">
                  <c:v>27.3586888888888</c:v>
                </c:pt>
                <c:pt idx="63">
                  <c:v>29.1735222222222</c:v>
                </c:pt>
                <c:pt idx="64">
                  <c:v>28.375333333333302</c:v>
                </c:pt>
                <c:pt idx="65">
                  <c:v>27.542622222222199</c:v>
                </c:pt>
                <c:pt idx="66">
                  <c:v>25.945188888888801</c:v>
                </c:pt>
                <c:pt idx="67">
                  <c:v>26.8083777777777</c:v>
                </c:pt>
                <c:pt idx="68">
                  <c:v>25.175074074074001</c:v>
                </c:pt>
                <c:pt idx="69">
                  <c:v>27.7968233618233</c:v>
                </c:pt>
                <c:pt idx="70">
                  <c:v>28.3795959595959</c:v>
                </c:pt>
                <c:pt idx="71">
                  <c:v>27.574544444444399</c:v>
                </c:pt>
                <c:pt idx="72">
                  <c:v>25.764421534937</c:v>
                </c:pt>
                <c:pt idx="73">
                  <c:v>28.3791578947368</c:v>
                </c:pt>
                <c:pt idx="74">
                  <c:v>28.592165242165201</c:v>
                </c:pt>
                <c:pt idx="75">
                  <c:v>27.3210265700483</c:v>
                </c:pt>
                <c:pt idx="76">
                  <c:v>27.1139955106621</c:v>
                </c:pt>
                <c:pt idx="77">
                  <c:v>26.035722222222201</c:v>
                </c:pt>
                <c:pt idx="78">
                  <c:v>24.971788888888799</c:v>
                </c:pt>
                <c:pt idx="79">
                  <c:v>29.4451964085297</c:v>
                </c:pt>
                <c:pt idx="80">
                  <c:v>30.306273849607098</c:v>
                </c:pt>
                <c:pt idx="81">
                  <c:v>27.700505050505001</c:v>
                </c:pt>
                <c:pt idx="82">
                  <c:v>28.950288888888799</c:v>
                </c:pt>
                <c:pt idx="83">
                  <c:v>26.491224489795901</c:v>
                </c:pt>
                <c:pt idx="84">
                  <c:v>29.086600000000001</c:v>
                </c:pt>
                <c:pt idx="85">
                  <c:v>25.4870707070707</c:v>
                </c:pt>
                <c:pt idx="86">
                  <c:v>26.565822222222199</c:v>
                </c:pt>
                <c:pt idx="87">
                  <c:v>27.378644444444401</c:v>
                </c:pt>
                <c:pt idx="88">
                  <c:v>28.9188664421997</c:v>
                </c:pt>
                <c:pt idx="89">
                  <c:v>27.115566666666599</c:v>
                </c:pt>
                <c:pt idx="90">
                  <c:v>26.485988888888802</c:v>
                </c:pt>
                <c:pt idx="91">
                  <c:v>29.501608623548901</c:v>
                </c:pt>
                <c:pt idx="92">
                  <c:v>29.247972508591001</c:v>
                </c:pt>
                <c:pt idx="93">
                  <c:v>28.6448111111111</c:v>
                </c:pt>
                <c:pt idx="94">
                  <c:v>30.173011111110998</c:v>
                </c:pt>
                <c:pt idx="95">
                  <c:v>26.415622222222201</c:v>
                </c:pt>
                <c:pt idx="96">
                  <c:v>26.730899999999998</c:v>
                </c:pt>
                <c:pt idx="97">
                  <c:v>27.557833894500501</c:v>
                </c:pt>
                <c:pt idx="98">
                  <c:v>28.128210526315801</c:v>
                </c:pt>
                <c:pt idx="99">
                  <c:v>26.314350877193</c:v>
                </c:pt>
                <c:pt idx="100">
                  <c:v>27.4624216524216</c:v>
                </c:pt>
                <c:pt idx="101">
                  <c:v>28.8516248506571</c:v>
                </c:pt>
                <c:pt idx="102">
                  <c:v>25.923444444444399</c:v>
                </c:pt>
                <c:pt idx="103">
                  <c:v>26.333625140291801</c:v>
                </c:pt>
                <c:pt idx="104">
                  <c:v>26.690188888888802</c:v>
                </c:pt>
                <c:pt idx="105">
                  <c:v>27.606655555555498</c:v>
                </c:pt>
                <c:pt idx="106">
                  <c:v>28.291133333333299</c:v>
                </c:pt>
                <c:pt idx="107">
                  <c:v>27.442511111111099</c:v>
                </c:pt>
                <c:pt idx="108">
                  <c:v>27.450711111111101</c:v>
                </c:pt>
                <c:pt idx="109">
                  <c:v>26.044344444444398</c:v>
                </c:pt>
                <c:pt idx="110">
                  <c:v>25.316144444444401</c:v>
                </c:pt>
                <c:pt idx="111">
                  <c:v>24.433988888888798</c:v>
                </c:pt>
                <c:pt idx="112">
                  <c:v>28.2072</c:v>
                </c:pt>
                <c:pt idx="113">
                  <c:v>26.947251461988198</c:v>
                </c:pt>
                <c:pt idx="114">
                  <c:v>29.261454248366</c:v>
                </c:pt>
                <c:pt idx="115">
                  <c:v>27.9598428731762</c:v>
                </c:pt>
                <c:pt idx="116">
                  <c:v>26.528978675645298</c:v>
                </c:pt>
                <c:pt idx="117">
                  <c:v>27.386780045351401</c:v>
                </c:pt>
                <c:pt idx="118">
                  <c:v>29.090246913580199</c:v>
                </c:pt>
                <c:pt idx="119">
                  <c:v>28.1310437710437</c:v>
                </c:pt>
                <c:pt idx="120">
                  <c:v>27.2035555555555</c:v>
                </c:pt>
                <c:pt idx="121">
                  <c:v>28.9981222222222</c:v>
                </c:pt>
                <c:pt idx="122">
                  <c:v>27.747340067340001</c:v>
                </c:pt>
                <c:pt idx="123">
                  <c:v>30.753532163742602</c:v>
                </c:pt>
                <c:pt idx="124">
                  <c:v>24.8852574525745</c:v>
                </c:pt>
                <c:pt idx="125">
                  <c:v>24.625851851851799</c:v>
                </c:pt>
                <c:pt idx="126">
                  <c:v>26.898243727598501</c:v>
                </c:pt>
                <c:pt idx="127">
                  <c:v>28.4097392290249</c:v>
                </c:pt>
                <c:pt idx="128">
                  <c:v>27.3470333333333</c:v>
                </c:pt>
                <c:pt idx="129">
                  <c:v>25.637182940516201</c:v>
                </c:pt>
                <c:pt idx="130">
                  <c:v>27.103153759820401</c:v>
                </c:pt>
                <c:pt idx="131">
                  <c:v>25.7651927437641</c:v>
                </c:pt>
                <c:pt idx="132">
                  <c:v>25.358799999999999</c:v>
                </c:pt>
                <c:pt idx="133">
                  <c:v>24.617077777777698</c:v>
                </c:pt>
                <c:pt idx="134">
                  <c:v>27.4731088664422</c:v>
                </c:pt>
                <c:pt idx="135">
                  <c:v>26.7565888888888</c:v>
                </c:pt>
                <c:pt idx="136">
                  <c:v>29.074088888888799</c:v>
                </c:pt>
                <c:pt idx="137">
                  <c:v>27.460455555555502</c:v>
                </c:pt>
                <c:pt idx="138">
                  <c:v>27.633546576879901</c:v>
                </c:pt>
                <c:pt idx="139">
                  <c:v>25.9950286368843</c:v>
                </c:pt>
                <c:pt idx="140">
                  <c:v>26.764656084656</c:v>
                </c:pt>
                <c:pt idx="141">
                  <c:v>28.0387766554433</c:v>
                </c:pt>
                <c:pt idx="142">
                  <c:v>26.610711111111101</c:v>
                </c:pt>
                <c:pt idx="143">
                  <c:v>26.515233333333299</c:v>
                </c:pt>
                <c:pt idx="144">
                  <c:v>30.001380471380401</c:v>
                </c:pt>
                <c:pt idx="145">
                  <c:v>28.369922222222201</c:v>
                </c:pt>
                <c:pt idx="146">
                  <c:v>27.232850729517299</c:v>
                </c:pt>
                <c:pt idx="147">
                  <c:v>26.540819304152599</c:v>
                </c:pt>
                <c:pt idx="148">
                  <c:v>26.215211111111099</c:v>
                </c:pt>
                <c:pt idx="149">
                  <c:v>29.756071829405101</c:v>
                </c:pt>
                <c:pt idx="150">
                  <c:v>26.265612829324098</c:v>
                </c:pt>
                <c:pt idx="151">
                  <c:v>27.499503546099199</c:v>
                </c:pt>
                <c:pt idx="152">
                  <c:v>27.722118055555502</c:v>
                </c:pt>
                <c:pt idx="153">
                  <c:v>27.7070094562647</c:v>
                </c:pt>
                <c:pt idx="154">
                  <c:v>24.573287037037002</c:v>
                </c:pt>
                <c:pt idx="155">
                  <c:v>28.577754629629599</c:v>
                </c:pt>
                <c:pt idx="156">
                  <c:v>26.786455555555499</c:v>
                </c:pt>
                <c:pt idx="157">
                  <c:v>26.032077777777701</c:v>
                </c:pt>
                <c:pt idx="158">
                  <c:v>25.6782222222222</c:v>
                </c:pt>
                <c:pt idx="159">
                  <c:v>27.627777777777698</c:v>
                </c:pt>
                <c:pt idx="160">
                  <c:v>26.079666666666601</c:v>
                </c:pt>
                <c:pt idx="161">
                  <c:v>27.413591470258101</c:v>
                </c:pt>
                <c:pt idx="162">
                  <c:v>28.241043083900198</c:v>
                </c:pt>
                <c:pt idx="163">
                  <c:v>27.059444444444399</c:v>
                </c:pt>
                <c:pt idx="164">
                  <c:v>27.2242888888888</c:v>
                </c:pt>
                <c:pt idx="165">
                  <c:v>28.491757369614501</c:v>
                </c:pt>
                <c:pt idx="166">
                  <c:v>29.757199999999902</c:v>
                </c:pt>
                <c:pt idx="167">
                  <c:v>28.924133333333302</c:v>
                </c:pt>
                <c:pt idx="168">
                  <c:v>29.3538888888888</c:v>
                </c:pt>
                <c:pt idx="169">
                  <c:v>26.7689461626574</c:v>
                </c:pt>
                <c:pt idx="170">
                  <c:v>27.251677777777701</c:v>
                </c:pt>
                <c:pt idx="171">
                  <c:v>26.045866666666601</c:v>
                </c:pt>
                <c:pt idx="172">
                  <c:v>27.600844444444402</c:v>
                </c:pt>
                <c:pt idx="173">
                  <c:v>25.914242424242399</c:v>
                </c:pt>
                <c:pt idx="174">
                  <c:v>29.830355555555499</c:v>
                </c:pt>
                <c:pt idx="175">
                  <c:v>27.845199999999998</c:v>
                </c:pt>
                <c:pt idx="176">
                  <c:v>27.170466666666599</c:v>
                </c:pt>
                <c:pt idx="177">
                  <c:v>25.698988888888799</c:v>
                </c:pt>
                <c:pt idx="178">
                  <c:v>27.910277777777701</c:v>
                </c:pt>
                <c:pt idx="179">
                  <c:v>27.5764999999999</c:v>
                </c:pt>
                <c:pt idx="180">
                  <c:v>26.4671777777777</c:v>
                </c:pt>
                <c:pt idx="181">
                  <c:v>27.546388888888899</c:v>
                </c:pt>
                <c:pt idx="182">
                  <c:v>24.940077777777699</c:v>
                </c:pt>
                <c:pt idx="183">
                  <c:v>25.471688888888899</c:v>
                </c:pt>
                <c:pt idx="184">
                  <c:v>27.2421851851851</c:v>
                </c:pt>
                <c:pt idx="185">
                  <c:v>25.7951444444444</c:v>
                </c:pt>
                <c:pt idx="186">
                  <c:v>25.544811111111098</c:v>
                </c:pt>
                <c:pt idx="187">
                  <c:v>25.6105666666666</c:v>
                </c:pt>
                <c:pt idx="188">
                  <c:v>29.4422888888888</c:v>
                </c:pt>
                <c:pt idx="189">
                  <c:v>29.096066666666601</c:v>
                </c:pt>
                <c:pt idx="190">
                  <c:v>27.192738496071801</c:v>
                </c:pt>
                <c:pt idx="191">
                  <c:v>28.183011111111099</c:v>
                </c:pt>
                <c:pt idx="192">
                  <c:v>29.449188888888798</c:v>
                </c:pt>
                <c:pt idx="193">
                  <c:v>26.376060606060602</c:v>
                </c:pt>
                <c:pt idx="194">
                  <c:v>29.066399999999899</c:v>
                </c:pt>
                <c:pt idx="195">
                  <c:v>27.737666666666598</c:v>
                </c:pt>
                <c:pt idx="196">
                  <c:v>25.609122222222201</c:v>
                </c:pt>
                <c:pt idx="197">
                  <c:v>27.3985185185185</c:v>
                </c:pt>
                <c:pt idx="198">
                  <c:v>26.125988888888799</c:v>
                </c:pt>
                <c:pt idx="199">
                  <c:v>28.506344444444402</c:v>
                </c:pt>
                <c:pt idx="200">
                  <c:v>27.470354609929</c:v>
                </c:pt>
                <c:pt idx="201">
                  <c:v>26.9234871794871</c:v>
                </c:pt>
                <c:pt idx="202">
                  <c:v>29.282599999999999</c:v>
                </c:pt>
                <c:pt idx="203">
                  <c:v>27.239376417233501</c:v>
                </c:pt>
                <c:pt idx="204">
                  <c:v>26.892008978675602</c:v>
                </c:pt>
                <c:pt idx="205">
                  <c:v>29.633711111111101</c:v>
                </c:pt>
                <c:pt idx="206">
                  <c:v>28.022311111111101</c:v>
                </c:pt>
                <c:pt idx="207">
                  <c:v>26.722388888888801</c:v>
                </c:pt>
                <c:pt idx="208">
                  <c:v>26.732677777777699</c:v>
                </c:pt>
                <c:pt idx="209">
                  <c:v>27.327530864197499</c:v>
                </c:pt>
                <c:pt idx="210">
                  <c:v>26.2471888888888</c:v>
                </c:pt>
                <c:pt idx="211">
                  <c:v>27.695452462772</c:v>
                </c:pt>
                <c:pt idx="212">
                  <c:v>28.5104222222222</c:v>
                </c:pt>
                <c:pt idx="213">
                  <c:v>27.2561840628507</c:v>
                </c:pt>
                <c:pt idx="214">
                  <c:v>28.268044444444399</c:v>
                </c:pt>
                <c:pt idx="215">
                  <c:v>29.1330045351473</c:v>
                </c:pt>
                <c:pt idx="216">
                  <c:v>26.299244444444401</c:v>
                </c:pt>
                <c:pt idx="217">
                  <c:v>24.863320707070699</c:v>
                </c:pt>
                <c:pt idx="218">
                  <c:v>26.980655555555501</c:v>
                </c:pt>
                <c:pt idx="219">
                  <c:v>29.9033583021223</c:v>
                </c:pt>
                <c:pt idx="220">
                  <c:v>27.3463589743589</c:v>
                </c:pt>
                <c:pt idx="221">
                  <c:v>27.023490338164201</c:v>
                </c:pt>
                <c:pt idx="222">
                  <c:v>29.560933333333299</c:v>
                </c:pt>
                <c:pt idx="223">
                  <c:v>28.143041526374802</c:v>
                </c:pt>
                <c:pt idx="224">
                  <c:v>26.677227833894499</c:v>
                </c:pt>
                <c:pt idx="225">
                  <c:v>27.563308080808</c:v>
                </c:pt>
                <c:pt idx="226">
                  <c:v>29.1013194444444</c:v>
                </c:pt>
                <c:pt idx="227">
                  <c:v>26.961771771771701</c:v>
                </c:pt>
                <c:pt idx="228">
                  <c:v>26.229472502805798</c:v>
                </c:pt>
                <c:pt idx="229">
                  <c:v>27.208577777777698</c:v>
                </c:pt>
                <c:pt idx="230">
                  <c:v>25.653388888888799</c:v>
                </c:pt>
                <c:pt idx="231">
                  <c:v>28.276222222222199</c:v>
                </c:pt>
                <c:pt idx="232">
                  <c:v>27.689211111111099</c:v>
                </c:pt>
                <c:pt idx="233">
                  <c:v>28.4686555555555</c:v>
                </c:pt>
                <c:pt idx="234">
                  <c:v>26.637561327561301</c:v>
                </c:pt>
                <c:pt idx="235">
                  <c:v>28.802553191489299</c:v>
                </c:pt>
                <c:pt idx="236">
                  <c:v>26.442133333333299</c:v>
                </c:pt>
                <c:pt idx="237">
                  <c:v>28.048686868686801</c:v>
                </c:pt>
                <c:pt idx="238">
                  <c:v>29.6659034792368</c:v>
                </c:pt>
                <c:pt idx="239">
                  <c:v>28.872144444444402</c:v>
                </c:pt>
                <c:pt idx="240">
                  <c:v>25.761755555555499</c:v>
                </c:pt>
                <c:pt idx="241">
                  <c:v>31.0303928170595</c:v>
                </c:pt>
                <c:pt idx="242">
                  <c:v>26.1042666666666</c:v>
                </c:pt>
                <c:pt idx="243">
                  <c:v>26.996588103254702</c:v>
                </c:pt>
                <c:pt idx="244">
                  <c:v>28.1172789115646</c:v>
                </c:pt>
                <c:pt idx="245">
                  <c:v>24.299588888888898</c:v>
                </c:pt>
                <c:pt idx="246">
                  <c:v>26.145688888888799</c:v>
                </c:pt>
                <c:pt idx="247">
                  <c:v>26.355975056689299</c:v>
                </c:pt>
                <c:pt idx="248">
                  <c:v>26.952233560090701</c:v>
                </c:pt>
                <c:pt idx="249">
                  <c:v>29.392622222222201</c:v>
                </c:pt>
                <c:pt idx="250">
                  <c:v>26.7903555555555</c:v>
                </c:pt>
                <c:pt idx="251">
                  <c:v>25.343950617283902</c:v>
                </c:pt>
                <c:pt idx="252">
                  <c:v>29.058499999999999</c:v>
                </c:pt>
                <c:pt idx="253">
                  <c:v>27.575288888888799</c:v>
                </c:pt>
                <c:pt idx="254">
                  <c:v>28.751750841750798</c:v>
                </c:pt>
                <c:pt idx="255">
                  <c:v>30.075040091638002</c:v>
                </c:pt>
                <c:pt idx="256">
                  <c:v>25.1853333333333</c:v>
                </c:pt>
                <c:pt idx="257">
                  <c:v>30.2428507295174</c:v>
                </c:pt>
                <c:pt idx="258">
                  <c:v>27.377766666666599</c:v>
                </c:pt>
                <c:pt idx="259">
                  <c:v>25.7062777777777</c:v>
                </c:pt>
                <c:pt idx="260">
                  <c:v>31.0636825396825</c:v>
                </c:pt>
                <c:pt idx="261">
                  <c:v>27.2800444444444</c:v>
                </c:pt>
                <c:pt idx="262">
                  <c:v>26.4051851851851</c:v>
                </c:pt>
                <c:pt idx="263">
                  <c:v>27.259147640791401</c:v>
                </c:pt>
                <c:pt idx="264">
                  <c:v>25.5477398989898</c:v>
                </c:pt>
                <c:pt idx="265">
                  <c:v>29.036522222222199</c:v>
                </c:pt>
                <c:pt idx="266">
                  <c:v>26.660761548064901</c:v>
                </c:pt>
                <c:pt idx="267">
                  <c:v>30.548495726495702</c:v>
                </c:pt>
                <c:pt idx="268">
                  <c:v>25.330759259259199</c:v>
                </c:pt>
                <c:pt idx="269">
                  <c:v>28.036899999999999</c:v>
                </c:pt>
                <c:pt idx="270">
                  <c:v>28.537700000000001</c:v>
                </c:pt>
                <c:pt idx="271">
                  <c:v>27.715869809203099</c:v>
                </c:pt>
                <c:pt idx="272">
                  <c:v>29.081425364758701</c:v>
                </c:pt>
                <c:pt idx="273">
                  <c:v>29.362822222222199</c:v>
                </c:pt>
                <c:pt idx="274">
                  <c:v>24.7101333333333</c:v>
                </c:pt>
                <c:pt idx="275">
                  <c:v>29.301299999999902</c:v>
                </c:pt>
                <c:pt idx="276">
                  <c:v>27.2522666666666</c:v>
                </c:pt>
                <c:pt idx="277">
                  <c:v>24.869319727891099</c:v>
                </c:pt>
                <c:pt idx="278">
                  <c:v>25.755873015873</c:v>
                </c:pt>
                <c:pt idx="279">
                  <c:v>29.500411111111099</c:v>
                </c:pt>
                <c:pt idx="280">
                  <c:v>27.3821768707483</c:v>
                </c:pt>
                <c:pt idx="281">
                  <c:v>30.6495888888888</c:v>
                </c:pt>
                <c:pt idx="282">
                  <c:v>28.524333333333299</c:v>
                </c:pt>
                <c:pt idx="283">
                  <c:v>31.5643310657596</c:v>
                </c:pt>
                <c:pt idx="284">
                  <c:v>20.588611111111099</c:v>
                </c:pt>
                <c:pt idx="285">
                  <c:v>22.198271604938199</c:v>
                </c:pt>
                <c:pt idx="286">
                  <c:v>32.218055555555502</c:v>
                </c:pt>
                <c:pt idx="287">
                  <c:v>24.913801169590599</c:v>
                </c:pt>
                <c:pt idx="288">
                  <c:v>26.584859708193001</c:v>
                </c:pt>
                <c:pt idx="289">
                  <c:v>26.852888888888799</c:v>
                </c:pt>
                <c:pt idx="290">
                  <c:v>25.4650673400673</c:v>
                </c:pt>
                <c:pt idx="291">
                  <c:v>27.003662131519199</c:v>
                </c:pt>
                <c:pt idx="292">
                  <c:v>25.263086419753002</c:v>
                </c:pt>
                <c:pt idx="293">
                  <c:v>28.513912363067199</c:v>
                </c:pt>
                <c:pt idx="294">
                  <c:v>29.002316118935799</c:v>
                </c:pt>
                <c:pt idx="295">
                  <c:v>28.8522446689113</c:v>
                </c:pt>
                <c:pt idx="296">
                  <c:v>27.049599999999899</c:v>
                </c:pt>
                <c:pt idx="297">
                  <c:v>26.315238095238001</c:v>
                </c:pt>
                <c:pt idx="298">
                  <c:v>30.5338888888889</c:v>
                </c:pt>
                <c:pt idx="299">
                  <c:v>30.0025033467202</c:v>
                </c:pt>
                <c:pt idx="300">
                  <c:v>26.690610328638499</c:v>
                </c:pt>
                <c:pt idx="301">
                  <c:v>26.4211396011396</c:v>
                </c:pt>
                <c:pt idx="302">
                  <c:v>30.7126444444444</c:v>
                </c:pt>
                <c:pt idx="303">
                  <c:v>27.1358854166666</c:v>
                </c:pt>
                <c:pt idx="304">
                  <c:v>27.993311111111101</c:v>
                </c:pt>
                <c:pt idx="305">
                  <c:v>28.445147392290199</c:v>
                </c:pt>
                <c:pt idx="306">
                  <c:v>26.121133557800199</c:v>
                </c:pt>
                <c:pt idx="307">
                  <c:v>26.479499999999899</c:v>
                </c:pt>
                <c:pt idx="308">
                  <c:v>27.1642444444444</c:v>
                </c:pt>
                <c:pt idx="309">
                  <c:v>26.120999999999999</c:v>
                </c:pt>
                <c:pt idx="310">
                  <c:v>27.8889999999999</c:v>
                </c:pt>
                <c:pt idx="311">
                  <c:v>26.1227444444444</c:v>
                </c:pt>
                <c:pt idx="312">
                  <c:v>26.7113444444444</c:v>
                </c:pt>
                <c:pt idx="313">
                  <c:v>26.720875420875402</c:v>
                </c:pt>
                <c:pt idx="314">
                  <c:v>26.392133333333302</c:v>
                </c:pt>
                <c:pt idx="315">
                  <c:v>27.7096296296296</c:v>
                </c:pt>
                <c:pt idx="316">
                  <c:v>27.3120089786756</c:v>
                </c:pt>
                <c:pt idx="317">
                  <c:v>28.335966183574801</c:v>
                </c:pt>
                <c:pt idx="318">
                  <c:v>33.923999999999999</c:v>
                </c:pt>
                <c:pt idx="319">
                  <c:v>29.430740740740699</c:v>
                </c:pt>
                <c:pt idx="320">
                  <c:v>27.4543853427895</c:v>
                </c:pt>
                <c:pt idx="321">
                  <c:v>27.214298540965199</c:v>
                </c:pt>
                <c:pt idx="322">
                  <c:v>28.279465541490801</c:v>
                </c:pt>
                <c:pt idx="323">
                  <c:v>26.767666666666599</c:v>
                </c:pt>
                <c:pt idx="324">
                  <c:v>26.0097938144329</c:v>
                </c:pt>
                <c:pt idx="325">
                  <c:v>25.3736139169472</c:v>
                </c:pt>
                <c:pt idx="326">
                  <c:v>27.415464852607698</c:v>
                </c:pt>
                <c:pt idx="327">
                  <c:v>26.386522222222201</c:v>
                </c:pt>
                <c:pt idx="328">
                  <c:v>27.169555555555501</c:v>
                </c:pt>
                <c:pt idx="329">
                  <c:v>31.005802469135698</c:v>
                </c:pt>
                <c:pt idx="330">
                  <c:v>25.2996969696969</c:v>
                </c:pt>
                <c:pt idx="331">
                  <c:v>25.5374747474747</c:v>
                </c:pt>
                <c:pt idx="332">
                  <c:v>27.469058956916101</c:v>
                </c:pt>
                <c:pt idx="333">
                  <c:v>27.109236812570099</c:v>
                </c:pt>
                <c:pt idx="334">
                  <c:v>27.6219888888889</c:v>
                </c:pt>
                <c:pt idx="335">
                  <c:v>28.8700805152979</c:v>
                </c:pt>
                <c:pt idx="336">
                  <c:v>30.105144444444399</c:v>
                </c:pt>
                <c:pt idx="337">
                  <c:v>27.679766666666598</c:v>
                </c:pt>
                <c:pt idx="338">
                  <c:v>25.103000000000002</c:v>
                </c:pt>
                <c:pt idx="339">
                  <c:v>24.3047250280583</c:v>
                </c:pt>
                <c:pt idx="340">
                  <c:v>24.944877777777702</c:v>
                </c:pt>
                <c:pt idx="341">
                  <c:v>28.098754208754201</c:v>
                </c:pt>
                <c:pt idx="342">
                  <c:v>28.623699999999999</c:v>
                </c:pt>
                <c:pt idx="343">
                  <c:v>25.795733333333299</c:v>
                </c:pt>
                <c:pt idx="344">
                  <c:v>28.931166666666599</c:v>
                </c:pt>
                <c:pt idx="345">
                  <c:v>28.8607744107744</c:v>
                </c:pt>
                <c:pt idx="346">
                  <c:v>28.6879777777777</c:v>
                </c:pt>
                <c:pt idx="347">
                  <c:v>27.2428666666666</c:v>
                </c:pt>
                <c:pt idx="348">
                  <c:v>25.4973777777777</c:v>
                </c:pt>
                <c:pt idx="349">
                  <c:v>27.233298611111099</c:v>
                </c:pt>
                <c:pt idx="350">
                  <c:v>27.632621082621</c:v>
                </c:pt>
                <c:pt idx="351">
                  <c:v>25.9813982521847</c:v>
                </c:pt>
                <c:pt idx="352">
                  <c:v>26.131822721597999</c:v>
                </c:pt>
                <c:pt idx="353">
                  <c:v>28.706666666666599</c:v>
                </c:pt>
                <c:pt idx="354">
                  <c:v>26.615017543859601</c:v>
                </c:pt>
                <c:pt idx="355">
                  <c:v>28.1243634259259</c:v>
                </c:pt>
                <c:pt idx="356">
                  <c:v>29.0846554149085</c:v>
                </c:pt>
                <c:pt idx="357">
                  <c:v>27.070288600288599</c:v>
                </c:pt>
                <c:pt idx="358">
                  <c:v>29.049788888888799</c:v>
                </c:pt>
                <c:pt idx="359">
                  <c:v>28.150415263748499</c:v>
                </c:pt>
                <c:pt idx="360">
                  <c:v>27.809331065759601</c:v>
                </c:pt>
                <c:pt idx="361">
                  <c:v>26.977422222222199</c:v>
                </c:pt>
                <c:pt idx="362">
                  <c:v>28.553444444444398</c:v>
                </c:pt>
                <c:pt idx="363">
                  <c:v>26.682188888888799</c:v>
                </c:pt>
                <c:pt idx="364">
                  <c:v>27.435966666666602</c:v>
                </c:pt>
                <c:pt idx="365">
                  <c:v>26.522480359147</c:v>
                </c:pt>
                <c:pt idx="366">
                  <c:v>27.2817346938775</c:v>
                </c:pt>
                <c:pt idx="367">
                  <c:v>26.113199999999999</c:v>
                </c:pt>
                <c:pt idx="368">
                  <c:v>25.890011337868401</c:v>
                </c:pt>
                <c:pt idx="369">
                  <c:v>26.3985746352413</c:v>
                </c:pt>
                <c:pt idx="370">
                  <c:v>29.828153594771202</c:v>
                </c:pt>
                <c:pt idx="371">
                  <c:v>27.302311111111099</c:v>
                </c:pt>
                <c:pt idx="372">
                  <c:v>24.548977777777701</c:v>
                </c:pt>
                <c:pt idx="373">
                  <c:v>26.8392666666666</c:v>
                </c:pt>
                <c:pt idx="374">
                  <c:v>27.4399555555555</c:v>
                </c:pt>
                <c:pt idx="375">
                  <c:v>27.0663555555555</c:v>
                </c:pt>
                <c:pt idx="376">
                  <c:v>24.999629629629599</c:v>
                </c:pt>
                <c:pt idx="377">
                  <c:v>28.698799102132401</c:v>
                </c:pt>
                <c:pt idx="378">
                  <c:v>28.097477777777701</c:v>
                </c:pt>
                <c:pt idx="379">
                  <c:v>28.850922222222199</c:v>
                </c:pt>
                <c:pt idx="380">
                  <c:v>27.021088888888801</c:v>
                </c:pt>
                <c:pt idx="381">
                  <c:v>26.0274298540965</c:v>
                </c:pt>
                <c:pt idx="382">
                  <c:v>26.338699999999999</c:v>
                </c:pt>
                <c:pt idx="383">
                  <c:v>28.611503928170599</c:v>
                </c:pt>
                <c:pt idx="384">
                  <c:v>26.291363636363599</c:v>
                </c:pt>
                <c:pt idx="385">
                  <c:v>28.320324074074001</c:v>
                </c:pt>
                <c:pt idx="386">
                  <c:v>28.128444444444401</c:v>
                </c:pt>
                <c:pt idx="387">
                  <c:v>26.308876543209799</c:v>
                </c:pt>
                <c:pt idx="388">
                  <c:v>27.286964490263401</c:v>
                </c:pt>
                <c:pt idx="389">
                  <c:v>29.0067283950617</c:v>
                </c:pt>
                <c:pt idx="390">
                  <c:v>26.472723577235701</c:v>
                </c:pt>
                <c:pt idx="391">
                  <c:v>30.0898111111111</c:v>
                </c:pt>
                <c:pt idx="392">
                  <c:v>26.5880444444444</c:v>
                </c:pt>
                <c:pt idx="393">
                  <c:v>26.515411111111099</c:v>
                </c:pt>
                <c:pt idx="394">
                  <c:v>26.587429854096499</c:v>
                </c:pt>
                <c:pt idx="395">
                  <c:v>28.080577777777702</c:v>
                </c:pt>
                <c:pt idx="396">
                  <c:v>26.459315375982001</c:v>
                </c:pt>
                <c:pt idx="397">
                  <c:v>27.754478114478101</c:v>
                </c:pt>
                <c:pt idx="398">
                  <c:v>26.507126823793399</c:v>
                </c:pt>
                <c:pt idx="399">
                  <c:v>29.559522222222199</c:v>
                </c:pt>
                <c:pt idx="400">
                  <c:v>27.361633333333302</c:v>
                </c:pt>
                <c:pt idx="401">
                  <c:v>29.702277777777699</c:v>
                </c:pt>
                <c:pt idx="402">
                  <c:v>25.476055555555501</c:v>
                </c:pt>
                <c:pt idx="403">
                  <c:v>29.9181666666666</c:v>
                </c:pt>
                <c:pt idx="404">
                  <c:v>28.338059467918601</c:v>
                </c:pt>
                <c:pt idx="405">
                  <c:v>28.542131519274299</c:v>
                </c:pt>
                <c:pt idx="406">
                  <c:v>28.8744671201814</c:v>
                </c:pt>
                <c:pt idx="407">
                  <c:v>25.605399999999999</c:v>
                </c:pt>
                <c:pt idx="408">
                  <c:v>27.801933333333299</c:v>
                </c:pt>
                <c:pt idx="409">
                  <c:v>27.5166222222222</c:v>
                </c:pt>
                <c:pt idx="410">
                  <c:v>28.220303030303</c:v>
                </c:pt>
                <c:pt idx="411">
                  <c:v>28.879477777777701</c:v>
                </c:pt>
                <c:pt idx="412">
                  <c:v>26.902166105499401</c:v>
                </c:pt>
                <c:pt idx="413">
                  <c:v>28.711562499999999</c:v>
                </c:pt>
                <c:pt idx="414">
                  <c:v>25.842599999999901</c:v>
                </c:pt>
                <c:pt idx="415">
                  <c:v>28.211133557800199</c:v>
                </c:pt>
                <c:pt idx="416">
                  <c:v>26.3747333333333</c:v>
                </c:pt>
                <c:pt idx="417">
                  <c:v>29.1525</c:v>
                </c:pt>
                <c:pt idx="418">
                  <c:v>26.8986531986532</c:v>
                </c:pt>
                <c:pt idx="419">
                  <c:v>26.6624742268041</c:v>
                </c:pt>
                <c:pt idx="420">
                  <c:v>25.307133333333301</c:v>
                </c:pt>
                <c:pt idx="421">
                  <c:v>25.524044444444399</c:v>
                </c:pt>
                <c:pt idx="422">
                  <c:v>29.042966666666601</c:v>
                </c:pt>
                <c:pt idx="423">
                  <c:v>27.162233333333301</c:v>
                </c:pt>
                <c:pt idx="424">
                  <c:v>28.479753086419699</c:v>
                </c:pt>
                <c:pt idx="425">
                  <c:v>28.5465444444444</c:v>
                </c:pt>
                <c:pt idx="426">
                  <c:v>26.283153759820401</c:v>
                </c:pt>
                <c:pt idx="427">
                  <c:v>28.5929138321995</c:v>
                </c:pt>
                <c:pt idx="428">
                  <c:v>26.635655555555498</c:v>
                </c:pt>
                <c:pt idx="429">
                  <c:v>29.747333333333302</c:v>
                </c:pt>
                <c:pt idx="430">
                  <c:v>25.885111111111101</c:v>
                </c:pt>
                <c:pt idx="431">
                  <c:v>27.980303030302998</c:v>
                </c:pt>
                <c:pt idx="432">
                  <c:v>25.6258555555555</c:v>
                </c:pt>
                <c:pt idx="433">
                  <c:v>26.675411111111099</c:v>
                </c:pt>
                <c:pt idx="434">
                  <c:v>26.086933333333299</c:v>
                </c:pt>
                <c:pt idx="435">
                  <c:v>25.840988888888798</c:v>
                </c:pt>
                <c:pt idx="436">
                  <c:v>24.544722222222202</c:v>
                </c:pt>
                <c:pt idx="437">
                  <c:v>29.0766500829187</c:v>
                </c:pt>
                <c:pt idx="438">
                  <c:v>27.464006734006698</c:v>
                </c:pt>
                <c:pt idx="439">
                  <c:v>26.484822222222199</c:v>
                </c:pt>
                <c:pt idx="440">
                  <c:v>27.442622222222202</c:v>
                </c:pt>
                <c:pt idx="441">
                  <c:v>26.976199999999999</c:v>
                </c:pt>
                <c:pt idx="442">
                  <c:v>27.213131313131299</c:v>
                </c:pt>
                <c:pt idx="443">
                  <c:v>28.301666666666598</c:v>
                </c:pt>
                <c:pt idx="444">
                  <c:v>28.467088888888899</c:v>
                </c:pt>
                <c:pt idx="445">
                  <c:v>25.823622222222198</c:v>
                </c:pt>
                <c:pt idx="446">
                  <c:v>27.275600000000001</c:v>
                </c:pt>
                <c:pt idx="447">
                  <c:v>27.855768799102101</c:v>
                </c:pt>
                <c:pt idx="448">
                  <c:v>25.821955555555501</c:v>
                </c:pt>
                <c:pt idx="449">
                  <c:v>29.321937984496099</c:v>
                </c:pt>
                <c:pt idx="450">
                  <c:v>21.191515151515102</c:v>
                </c:pt>
                <c:pt idx="451">
                  <c:v>37.275777777777698</c:v>
                </c:pt>
                <c:pt idx="452">
                  <c:v>27.508428731761999</c:v>
                </c:pt>
                <c:pt idx="453">
                  <c:v>27.206228956228902</c:v>
                </c:pt>
                <c:pt idx="454">
                  <c:v>28.747216494845301</c:v>
                </c:pt>
                <c:pt idx="455">
                  <c:v>31.2728170594837</c:v>
                </c:pt>
                <c:pt idx="456">
                  <c:v>25.732944444444399</c:v>
                </c:pt>
                <c:pt idx="457">
                  <c:v>26.105899999999998</c:v>
                </c:pt>
                <c:pt idx="458">
                  <c:v>28.626433333333299</c:v>
                </c:pt>
                <c:pt idx="459">
                  <c:v>28.1176430976431</c:v>
                </c:pt>
                <c:pt idx="460">
                  <c:v>31.503344556677899</c:v>
                </c:pt>
                <c:pt idx="461">
                  <c:v>27.856188888888799</c:v>
                </c:pt>
                <c:pt idx="462">
                  <c:v>29.4507222222222</c:v>
                </c:pt>
                <c:pt idx="463">
                  <c:v>28.307655555555499</c:v>
                </c:pt>
                <c:pt idx="464">
                  <c:v>27.2507555555555</c:v>
                </c:pt>
                <c:pt idx="465">
                  <c:v>28.6140333333333</c:v>
                </c:pt>
                <c:pt idx="466">
                  <c:v>27.7306172839506</c:v>
                </c:pt>
                <c:pt idx="467">
                  <c:v>27.0611896745229</c:v>
                </c:pt>
                <c:pt idx="468">
                  <c:v>28.815140291806902</c:v>
                </c:pt>
                <c:pt idx="469">
                  <c:v>28.387289562289499</c:v>
                </c:pt>
                <c:pt idx="470">
                  <c:v>27.086988888888801</c:v>
                </c:pt>
                <c:pt idx="471">
                  <c:v>28.112603815937099</c:v>
                </c:pt>
                <c:pt idx="472">
                  <c:v>26.462413019079602</c:v>
                </c:pt>
                <c:pt idx="473">
                  <c:v>26.702655555555499</c:v>
                </c:pt>
                <c:pt idx="474">
                  <c:v>26.533711340206199</c:v>
                </c:pt>
                <c:pt idx="475">
                  <c:v>27.204933333333301</c:v>
                </c:pt>
                <c:pt idx="476">
                  <c:v>27.293144444444401</c:v>
                </c:pt>
                <c:pt idx="477">
                  <c:v>28.5430888888888</c:v>
                </c:pt>
                <c:pt idx="478">
                  <c:v>27.574177777777699</c:v>
                </c:pt>
                <c:pt idx="479">
                  <c:v>25.807093153759801</c:v>
                </c:pt>
                <c:pt idx="480">
                  <c:v>30.184965986394499</c:v>
                </c:pt>
                <c:pt idx="481">
                  <c:v>24.845866666666598</c:v>
                </c:pt>
                <c:pt idx="482">
                  <c:v>30.602739018087799</c:v>
                </c:pt>
                <c:pt idx="483">
                  <c:v>26.048281786941502</c:v>
                </c:pt>
                <c:pt idx="484">
                  <c:v>26.766855555555502</c:v>
                </c:pt>
                <c:pt idx="485">
                  <c:v>27.151222222222199</c:v>
                </c:pt>
                <c:pt idx="486">
                  <c:v>28.735244444444401</c:v>
                </c:pt>
                <c:pt idx="487">
                  <c:v>26.477596371882001</c:v>
                </c:pt>
                <c:pt idx="488">
                  <c:v>28.7968444444444</c:v>
                </c:pt>
                <c:pt idx="489">
                  <c:v>26.4761952861952</c:v>
                </c:pt>
                <c:pt idx="490">
                  <c:v>26.500333333333302</c:v>
                </c:pt>
                <c:pt idx="491">
                  <c:v>28.154175084175101</c:v>
                </c:pt>
                <c:pt idx="492">
                  <c:v>27.934655555555501</c:v>
                </c:pt>
                <c:pt idx="493">
                  <c:v>26.696499999999901</c:v>
                </c:pt>
                <c:pt idx="494">
                  <c:v>28.089044444444401</c:v>
                </c:pt>
                <c:pt idx="495">
                  <c:v>25.409666666666599</c:v>
                </c:pt>
                <c:pt idx="496">
                  <c:v>29.745944444444401</c:v>
                </c:pt>
                <c:pt idx="497">
                  <c:v>27.613636363636299</c:v>
                </c:pt>
                <c:pt idx="498">
                  <c:v>26.0719888888888</c:v>
                </c:pt>
                <c:pt idx="499">
                  <c:v>30.098666666666599</c:v>
                </c:pt>
                <c:pt idx="500">
                  <c:v>24.5284194053208</c:v>
                </c:pt>
                <c:pt idx="501">
                  <c:v>26.646968599033801</c:v>
                </c:pt>
                <c:pt idx="502">
                  <c:v>25.991688888888799</c:v>
                </c:pt>
                <c:pt idx="503">
                  <c:v>26.706211111111099</c:v>
                </c:pt>
                <c:pt idx="504">
                  <c:v>26.2972999999999</c:v>
                </c:pt>
                <c:pt idx="505">
                  <c:v>26.340433333333301</c:v>
                </c:pt>
                <c:pt idx="506">
                  <c:v>26.846211111111099</c:v>
                </c:pt>
                <c:pt idx="507">
                  <c:v>30.149786756453398</c:v>
                </c:pt>
                <c:pt idx="508">
                  <c:v>26.105699999999999</c:v>
                </c:pt>
                <c:pt idx="509">
                  <c:v>29.5913</c:v>
                </c:pt>
                <c:pt idx="510">
                  <c:v>26.464700000000001</c:v>
                </c:pt>
                <c:pt idx="511">
                  <c:v>26.257455555555499</c:v>
                </c:pt>
                <c:pt idx="512">
                  <c:v>24.752476851851799</c:v>
                </c:pt>
                <c:pt idx="513">
                  <c:v>30.8802777777777</c:v>
                </c:pt>
                <c:pt idx="514">
                  <c:v>28.742467836257202</c:v>
                </c:pt>
                <c:pt idx="515">
                  <c:v>27.229944444444399</c:v>
                </c:pt>
                <c:pt idx="516">
                  <c:v>25.570280583613901</c:v>
                </c:pt>
                <c:pt idx="517">
                  <c:v>27.654833333333301</c:v>
                </c:pt>
                <c:pt idx="518">
                  <c:v>26.904320987654302</c:v>
                </c:pt>
                <c:pt idx="519">
                  <c:v>27.810111111111102</c:v>
                </c:pt>
                <c:pt idx="520">
                  <c:v>26.9133888888888</c:v>
                </c:pt>
                <c:pt idx="521">
                  <c:v>26.6723999999999</c:v>
                </c:pt>
                <c:pt idx="522">
                  <c:v>28.787411111111101</c:v>
                </c:pt>
                <c:pt idx="523">
                  <c:v>28.355811111111102</c:v>
                </c:pt>
                <c:pt idx="524">
                  <c:v>26.119450056116701</c:v>
                </c:pt>
                <c:pt idx="525">
                  <c:v>25.807411111111101</c:v>
                </c:pt>
                <c:pt idx="526">
                  <c:v>25.1993222222222</c:v>
                </c:pt>
                <c:pt idx="527">
                  <c:v>29.981955555555501</c:v>
                </c:pt>
                <c:pt idx="528">
                  <c:v>27.2283222222222</c:v>
                </c:pt>
                <c:pt idx="529">
                  <c:v>25.161344444444399</c:v>
                </c:pt>
                <c:pt idx="530">
                  <c:v>27.668133333333301</c:v>
                </c:pt>
                <c:pt idx="531">
                  <c:v>26.525732860520101</c:v>
                </c:pt>
                <c:pt idx="532">
                  <c:v>29.058622222222201</c:v>
                </c:pt>
                <c:pt idx="533">
                  <c:v>25.297177777777701</c:v>
                </c:pt>
                <c:pt idx="534">
                  <c:v>28.905701459034699</c:v>
                </c:pt>
                <c:pt idx="535">
                  <c:v>27.468215488215399</c:v>
                </c:pt>
                <c:pt idx="536">
                  <c:v>29.247055555555502</c:v>
                </c:pt>
                <c:pt idx="537">
                  <c:v>26.562866666666601</c:v>
                </c:pt>
                <c:pt idx="538">
                  <c:v>28.721156004489298</c:v>
                </c:pt>
                <c:pt idx="539">
                  <c:v>28.416255555555502</c:v>
                </c:pt>
                <c:pt idx="540">
                  <c:v>29.853703703703701</c:v>
                </c:pt>
                <c:pt idx="541">
                  <c:v>26.9832</c:v>
                </c:pt>
                <c:pt idx="542">
                  <c:v>28.4776777777777</c:v>
                </c:pt>
                <c:pt idx="543">
                  <c:v>27.319976359338</c:v>
                </c:pt>
                <c:pt idx="544">
                  <c:v>27.827716049382701</c:v>
                </c:pt>
                <c:pt idx="545">
                  <c:v>27.7853472222222</c:v>
                </c:pt>
                <c:pt idx="546">
                  <c:v>26.985222222222198</c:v>
                </c:pt>
                <c:pt idx="547">
                  <c:v>26.916222222222199</c:v>
                </c:pt>
                <c:pt idx="548">
                  <c:v>25.7924222222222</c:v>
                </c:pt>
                <c:pt idx="549">
                  <c:v>28.253108866442201</c:v>
                </c:pt>
                <c:pt idx="550">
                  <c:v>27.241043771043699</c:v>
                </c:pt>
                <c:pt idx="551">
                  <c:v>26.630415263748599</c:v>
                </c:pt>
                <c:pt idx="552">
                  <c:v>28.149566666666601</c:v>
                </c:pt>
                <c:pt idx="553">
                  <c:v>26.988711111111101</c:v>
                </c:pt>
                <c:pt idx="554">
                  <c:v>25.035933333333301</c:v>
                </c:pt>
                <c:pt idx="555">
                  <c:v>26.218316498316501</c:v>
                </c:pt>
                <c:pt idx="556">
                  <c:v>27.203966666666599</c:v>
                </c:pt>
                <c:pt idx="557">
                  <c:v>27.772076318742901</c:v>
                </c:pt>
                <c:pt idx="558">
                  <c:v>28.0427664399093</c:v>
                </c:pt>
                <c:pt idx="559">
                  <c:v>27.225666666666601</c:v>
                </c:pt>
                <c:pt idx="560">
                  <c:v>27.374488888888798</c:v>
                </c:pt>
                <c:pt idx="561">
                  <c:v>28.0489450056116</c:v>
                </c:pt>
                <c:pt idx="562">
                  <c:v>28.271911111111098</c:v>
                </c:pt>
                <c:pt idx="563">
                  <c:v>28.2081037037036</c:v>
                </c:pt>
                <c:pt idx="564">
                  <c:v>27.506212121212101</c:v>
                </c:pt>
                <c:pt idx="565">
                  <c:v>27.494022222222199</c:v>
                </c:pt>
                <c:pt idx="566">
                  <c:v>26.863611111111101</c:v>
                </c:pt>
                <c:pt idx="567">
                  <c:v>28.052355555555501</c:v>
                </c:pt>
                <c:pt idx="568">
                  <c:v>28.000900000000001</c:v>
                </c:pt>
                <c:pt idx="569">
                  <c:v>26.604747474747398</c:v>
                </c:pt>
                <c:pt idx="570">
                  <c:v>30.7039222222222</c:v>
                </c:pt>
                <c:pt idx="571">
                  <c:v>25.7982333333333</c:v>
                </c:pt>
                <c:pt idx="572">
                  <c:v>26.570444444444401</c:v>
                </c:pt>
                <c:pt idx="573">
                  <c:v>25.8318222222222</c:v>
                </c:pt>
                <c:pt idx="574">
                  <c:v>27.507188888888798</c:v>
                </c:pt>
                <c:pt idx="575">
                  <c:v>25.684693877550998</c:v>
                </c:pt>
                <c:pt idx="576">
                  <c:v>29.095873015873</c:v>
                </c:pt>
                <c:pt idx="577">
                  <c:v>26.266529209622</c:v>
                </c:pt>
                <c:pt idx="578">
                  <c:v>27.282388888888899</c:v>
                </c:pt>
                <c:pt idx="579">
                  <c:v>26.766399999999901</c:v>
                </c:pt>
                <c:pt idx="580">
                  <c:v>26.781043771043699</c:v>
                </c:pt>
                <c:pt idx="581">
                  <c:v>28.2916777777777</c:v>
                </c:pt>
                <c:pt idx="582">
                  <c:v>30.7885777777777</c:v>
                </c:pt>
                <c:pt idx="583">
                  <c:v>27.093187429854002</c:v>
                </c:pt>
                <c:pt idx="584">
                  <c:v>26.881599999999999</c:v>
                </c:pt>
                <c:pt idx="585">
                  <c:v>30.149988662131499</c:v>
                </c:pt>
                <c:pt idx="586">
                  <c:v>26.182570145903501</c:v>
                </c:pt>
                <c:pt idx="587">
                  <c:v>28.697721661054999</c:v>
                </c:pt>
                <c:pt idx="588">
                  <c:v>26.645133333333298</c:v>
                </c:pt>
                <c:pt idx="589">
                  <c:v>30.254466666666598</c:v>
                </c:pt>
                <c:pt idx="590">
                  <c:v>27.714611111111001</c:v>
                </c:pt>
                <c:pt idx="591">
                  <c:v>30.280596205961999</c:v>
                </c:pt>
                <c:pt idx="592">
                  <c:v>27.125108024691301</c:v>
                </c:pt>
                <c:pt idx="593">
                  <c:v>29.095488888888799</c:v>
                </c:pt>
                <c:pt idx="594">
                  <c:v>26.287488888888799</c:v>
                </c:pt>
                <c:pt idx="595">
                  <c:v>26.474133333333299</c:v>
                </c:pt>
                <c:pt idx="596">
                  <c:v>25.736633333333302</c:v>
                </c:pt>
                <c:pt idx="597">
                  <c:v>26.5134222222222</c:v>
                </c:pt>
                <c:pt idx="598">
                  <c:v>27.4217444444444</c:v>
                </c:pt>
                <c:pt idx="599">
                  <c:v>28.472098765432101</c:v>
                </c:pt>
                <c:pt idx="600">
                  <c:v>27.1704111111111</c:v>
                </c:pt>
                <c:pt idx="601">
                  <c:v>26.3445</c:v>
                </c:pt>
                <c:pt idx="602">
                  <c:v>26.702499999999901</c:v>
                </c:pt>
                <c:pt idx="603">
                  <c:v>26.523699999999899</c:v>
                </c:pt>
                <c:pt idx="604">
                  <c:v>27.915194444444399</c:v>
                </c:pt>
                <c:pt idx="605">
                  <c:v>28.7370949074074</c:v>
                </c:pt>
                <c:pt idx="606">
                  <c:v>25.508422222222201</c:v>
                </c:pt>
                <c:pt idx="607">
                  <c:v>25.322222222222202</c:v>
                </c:pt>
                <c:pt idx="608">
                  <c:v>25.134264870931499</c:v>
                </c:pt>
                <c:pt idx="609">
                  <c:v>29.301500000000001</c:v>
                </c:pt>
                <c:pt idx="610">
                  <c:v>28.052505668934199</c:v>
                </c:pt>
                <c:pt idx="611">
                  <c:v>28.104274376417202</c:v>
                </c:pt>
                <c:pt idx="612">
                  <c:v>28.219753086419701</c:v>
                </c:pt>
                <c:pt idx="613">
                  <c:v>26.5878444444444</c:v>
                </c:pt>
                <c:pt idx="614">
                  <c:v>27.973184421534899</c:v>
                </c:pt>
                <c:pt idx="615">
                  <c:v>27.138444444444399</c:v>
                </c:pt>
                <c:pt idx="616">
                  <c:v>26.662099999999899</c:v>
                </c:pt>
                <c:pt idx="617">
                  <c:v>26.102166666666601</c:v>
                </c:pt>
                <c:pt idx="618">
                  <c:v>27.924522222222201</c:v>
                </c:pt>
                <c:pt idx="619">
                  <c:v>27.841155555555499</c:v>
                </c:pt>
                <c:pt idx="620">
                  <c:v>26.183399999999999</c:v>
                </c:pt>
                <c:pt idx="621">
                  <c:v>25.841449275362301</c:v>
                </c:pt>
                <c:pt idx="622">
                  <c:v>27.417999999999999</c:v>
                </c:pt>
                <c:pt idx="623">
                  <c:v>27.390711111111099</c:v>
                </c:pt>
                <c:pt idx="624">
                  <c:v>26.6513888888888</c:v>
                </c:pt>
                <c:pt idx="625">
                  <c:v>29.565294784580502</c:v>
                </c:pt>
                <c:pt idx="626">
                  <c:v>27.6453423120089</c:v>
                </c:pt>
                <c:pt idx="627">
                  <c:v>25.612671156004399</c:v>
                </c:pt>
                <c:pt idx="628">
                  <c:v>27.945222222222199</c:v>
                </c:pt>
                <c:pt idx="629">
                  <c:v>28.137811111111098</c:v>
                </c:pt>
                <c:pt idx="630">
                  <c:v>26.377233333333301</c:v>
                </c:pt>
                <c:pt idx="631">
                  <c:v>28.7263666666666</c:v>
                </c:pt>
                <c:pt idx="632">
                  <c:v>27.072091503267899</c:v>
                </c:pt>
                <c:pt idx="633">
                  <c:v>22.714888888888801</c:v>
                </c:pt>
                <c:pt idx="634">
                  <c:v>25.7494104308389</c:v>
                </c:pt>
                <c:pt idx="635">
                  <c:v>27.7789450056116</c:v>
                </c:pt>
                <c:pt idx="636">
                  <c:v>31.106206509539799</c:v>
                </c:pt>
                <c:pt idx="637">
                  <c:v>30.431988888888899</c:v>
                </c:pt>
                <c:pt idx="638">
                  <c:v>27.052044444444402</c:v>
                </c:pt>
                <c:pt idx="639">
                  <c:v>28.828622222222201</c:v>
                </c:pt>
                <c:pt idx="640">
                  <c:v>27.9552413019079</c:v>
                </c:pt>
                <c:pt idx="641">
                  <c:v>30.3620666666666</c:v>
                </c:pt>
                <c:pt idx="642">
                  <c:v>26.797676767676698</c:v>
                </c:pt>
                <c:pt idx="643">
                  <c:v>26.826812570145901</c:v>
                </c:pt>
                <c:pt idx="644">
                  <c:v>30.394199999999898</c:v>
                </c:pt>
                <c:pt idx="645">
                  <c:v>28.171700000000001</c:v>
                </c:pt>
                <c:pt idx="646">
                  <c:v>28.9108555555555</c:v>
                </c:pt>
                <c:pt idx="647">
                  <c:v>25.6484666666666</c:v>
                </c:pt>
                <c:pt idx="648">
                  <c:v>26.3736251402918</c:v>
                </c:pt>
                <c:pt idx="649">
                  <c:v>27.082944444444401</c:v>
                </c:pt>
                <c:pt idx="650">
                  <c:v>26.406706349206299</c:v>
                </c:pt>
                <c:pt idx="651">
                  <c:v>26.549841269841199</c:v>
                </c:pt>
                <c:pt idx="652">
                  <c:v>27.9751444444444</c:v>
                </c:pt>
                <c:pt idx="653">
                  <c:v>27.641032547699201</c:v>
                </c:pt>
                <c:pt idx="654">
                  <c:v>27.970233333333301</c:v>
                </c:pt>
                <c:pt idx="655">
                  <c:v>28.528511111111101</c:v>
                </c:pt>
                <c:pt idx="656">
                  <c:v>27.762422222222199</c:v>
                </c:pt>
                <c:pt idx="657">
                  <c:v>28.0017888888889</c:v>
                </c:pt>
                <c:pt idx="658">
                  <c:v>28.876822222222199</c:v>
                </c:pt>
                <c:pt idx="659">
                  <c:v>27.805791245791202</c:v>
                </c:pt>
                <c:pt idx="660">
                  <c:v>30.228999999999999</c:v>
                </c:pt>
                <c:pt idx="661">
                  <c:v>27.626049382716001</c:v>
                </c:pt>
                <c:pt idx="662">
                  <c:v>28.255839506172801</c:v>
                </c:pt>
                <c:pt idx="663">
                  <c:v>30.0621621621621</c:v>
                </c:pt>
                <c:pt idx="664">
                  <c:v>28.924870801033599</c:v>
                </c:pt>
                <c:pt idx="665">
                  <c:v>29.189607182940499</c:v>
                </c:pt>
                <c:pt idx="666">
                  <c:v>28.799943883277201</c:v>
                </c:pt>
                <c:pt idx="667">
                  <c:v>24.3206846240179</c:v>
                </c:pt>
                <c:pt idx="668">
                  <c:v>27.087033333333299</c:v>
                </c:pt>
                <c:pt idx="669">
                  <c:v>28.6647</c:v>
                </c:pt>
                <c:pt idx="670">
                  <c:v>28.178233333333299</c:v>
                </c:pt>
                <c:pt idx="671">
                  <c:v>29.544266666666601</c:v>
                </c:pt>
                <c:pt idx="672">
                  <c:v>26.178276643990898</c:v>
                </c:pt>
                <c:pt idx="673">
                  <c:v>28.439722222222201</c:v>
                </c:pt>
                <c:pt idx="674">
                  <c:v>26.438988888888801</c:v>
                </c:pt>
                <c:pt idx="675">
                  <c:v>28.919733333333301</c:v>
                </c:pt>
                <c:pt idx="676">
                  <c:v>28.6796111111111</c:v>
                </c:pt>
                <c:pt idx="677">
                  <c:v>27.103877777777701</c:v>
                </c:pt>
                <c:pt idx="678">
                  <c:v>27.951144444444399</c:v>
                </c:pt>
                <c:pt idx="679">
                  <c:v>29.101944444444399</c:v>
                </c:pt>
                <c:pt idx="680">
                  <c:v>30.417822671155999</c:v>
                </c:pt>
                <c:pt idx="681">
                  <c:v>25.435264550264499</c:v>
                </c:pt>
                <c:pt idx="682">
                  <c:v>27.4820611916264</c:v>
                </c:pt>
                <c:pt idx="683">
                  <c:v>28.124388888888799</c:v>
                </c:pt>
                <c:pt idx="684">
                  <c:v>26.6067111111111</c:v>
                </c:pt>
                <c:pt idx="685">
                  <c:v>29.7906333333333</c:v>
                </c:pt>
                <c:pt idx="686">
                  <c:v>25.733699999999999</c:v>
                </c:pt>
                <c:pt idx="687">
                  <c:v>28.8586734693877</c:v>
                </c:pt>
                <c:pt idx="688">
                  <c:v>28.4815712682379</c:v>
                </c:pt>
                <c:pt idx="689">
                  <c:v>26.546166666666601</c:v>
                </c:pt>
                <c:pt idx="690">
                  <c:v>27.769281705948298</c:v>
                </c:pt>
                <c:pt idx="691">
                  <c:v>26.862244668911298</c:v>
                </c:pt>
                <c:pt idx="692">
                  <c:v>28.769766666666602</c:v>
                </c:pt>
                <c:pt idx="693">
                  <c:v>28.356666666666602</c:v>
                </c:pt>
                <c:pt idx="694">
                  <c:v>25.533321256038601</c:v>
                </c:pt>
                <c:pt idx="695">
                  <c:v>26.804150326797298</c:v>
                </c:pt>
                <c:pt idx="696">
                  <c:v>27.8409539842873</c:v>
                </c:pt>
                <c:pt idx="697">
                  <c:v>28.220088888888899</c:v>
                </c:pt>
                <c:pt idx="698">
                  <c:v>28.9876767676767</c:v>
                </c:pt>
                <c:pt idx="699">
                  <c:v>28.072244444444401</c:v>
                </c:pt>
                <c:pt idx="700">
                  <c:v>26.764533333333301</c:v>
                </c:pt>
                <c:pt idx="701">
                  <c:v>30.513557800224401</c:v>
                </c:pt>
                <c:pt idx="702">
                  <c:v>27.8052749719416</c:v>
                </c:pt>
                <c:pt idx="703">
                  <c:v>26.968244444444402</c:v>
                </c:pt>
                <c:pt idx="704">
                  <c:v>28.2603703703703</c:v>
                </c:pt>
                <c:pt idx="705">
                  <c:v>27.068455555555499</c:v>
                </c:pt>
                <c:pt idx="706">
                  <c:v>27.895866666666599</c:v>
                </c:pt>
                <c:pt idx="707">
                  <c:v>27.857437641723301</c:v>
                </c:pt>
                <c:pt idx="708">
                  <c:v>28.4090777777777</c:v>
                </c:pt>
                <c:pt idx="709">
                  <c:v>29.803633333333298</c:v>
                </c:pt>
                <c:pt idx="710">
                  <c:v>26.929844444444399</c:v>
                </c:pt>
                <c:pt idx="711">
                  <c:v>26.9458024691357</c:v>
                </c:pt>
                <c:pt idx="712">
                  <c:v>27.437922222222198</c:v>
                </c:pt>
                <c:pt idx="713">
                  <c:v>29.137319587628799</c:v>
                </c:pt>
                <c:pt idx="714">
                  <c:v>25.962631578947299</c:v>
                </c:pt>
                <c:pt idx="715">
                  <c:v>24.244231200897801</c:v>
                </c:pt>
                <c:pt idx="716">
                  <c:v>26.858466666666601</c:v>
                </c:pt>
                <c:pt idx="717">
                  <c:v>25.5818444444444</c:v>
                </c:pt>
                <c:pt idx="718">
                  <c:v>26.340975056689299</c:v>
                </c:pt>
                <c:pt idx="719">
                  <c:v>29.909398148148099</c:v>
                </c:pt>
                <c:pt idx="720">
                  <c:v>26.430222222222199</c:v>
                </c:pt>
                <c:pt idx="721">
                  <c:v>28.111944444444401</c:v>
                </c:pt>
                <c:pt idx="722">
                  <c:v>27.116011111111099</c:v>
                </c:pt>
                <c:pt idx="723">
                  <c:v>28.003922222222201</c:v>
                </c:pt>
                <c:pt idx="724">
                  <c:v>28.9040111111111</c:v>
                </c:pt>
                <c:pt idx="725">
                  <c:v>28.638305274971898</c:v>
                </c:pt>
                <c:pt idx="726">
                  <c:v>28.478345410627998</c:v>
                </c:pt>
                <c:pt idx="727">
                  <c:v>27.073742690058399</c:v>
                </c:pt>
                <c:pt idx="728">
                  <c:v>26.391517615176099</c:v>
                </c:pt>
                <c:pt idx="729">
                  <c:v>27.5118333333333</c:v>
                </c:pt>
                <c:pt idx="730">
                  <c:v>26.602844444444401</c:v>
                </c:pt>
                <c:pt idx="731">
                  <c:v>27.1984777777777</c:v>
                </c:pt>
                <c:pt idx="732">
                  <c:v>28.061333333333302</c:v>
                </c:pt>
                <c:pt idx="733">
                  <c:v>26.806891133557802</c:v>
                </c:pt>
                <c:pt idx="734">
                  <c:v>28.081611111111101</c:v>
                </c:pt>
                <c:pt idx="735">
                  <c:v>28.503077777777701</c:v>
                </c:pt>
                <c:pt idx="736">
                  <c:v>26.614144444444399</c:v>
                </c:pt>
                <c:pt idx="737">
                  <c:v>29.054501718213</c:v>
                </c:pt>
                <c:pt idx="738">
                  <c:v>24.923100000000002</c:v>
                </c:pt>
                <c:pt idx="739">
                  <c:v>27.882400000000001</c:v>
                </c:pt>
                <c:pt idx="740">
                  <c:v>28.437171717171701</c:v>
                </c:pt>
                <c:pt idx="741">
                  <c:v>28.3161952861952</c:v>
                </c:pt>
                <c:pt idx="742">
                  <c:v>26.0023344556677</c:v>
                </c:pt>
                <c:pt idx="743">
                  <c:v>26.054940898345102</c:v>
                </c:pt>
                <c:pt idx="744">
                  <c:v>26.6628703703703</c:v>
                </c:pt>
                <c:pt idx="745">
                  <c:v>27.9108739076154</c:v>
                </c:pt>
                <c:pt idx="746">
                  <c:v>25.569771241830001</c:v>
                </c:pt>
                <c:pt idx="747">
                  <c:v>30.105607235142099</c:v>
                </c:pt>
                <c:pt idx="748">
                  <c:v>27.597188888888901</c:v>
                </c:pt>
                <c:pt idx="749">
                  <c:v>27.8670526315789</c:v>
                </c:pt>
                <c:pt idx="750">
                  <c:v>28.361280602636501</c:v>
                </c:pt>
                <c:pt idx="751">
                  <c:v>29.772397660818701</c:v>
                </c:pt>
                <c:pt idx="752">
                  <c:v>29.773966666666599</c:v>
                </c:pt>
                <c:pt idx="753">
                  <c:v>28.069768518518501</c:v>
                </c:pt>
                <c:pt idx="754">
                  <c:v>26.222933832709099</c:v>
                </c:pt>
                <c:pt idx="755">
                  <c:v>26.839807256235801</c:v>
                </c:pt>
                <c:pt idx="756">
                  <c:v>25.592446689113299</c:v>
                </c:pt>
                <c:pt idx="757">
                  <c:v>26.3934888888888</c:v>
                </c:pt>
                <c:pt idx="758">
                  <c:v>28.606866666666601</c:v>
                </c:pt>
                <c:pt idx="759">
                  <c:v>24.748087855297101</c:v>
                </c:pt>
                <c:pt idx="760">
                  <c:v>27.744488888888899</c:v>
                </c:pt>
                <c:pt idx="761">
                  <c:v>25.229099999999999</c:v>
                </c:pt>
                <c:pt idx="762">
                  <c:v>27.0272166105499</c:v>
                </c:pt>
                <c:pt idx="763">
                  <c:v>27.050088888888801</c:v>
                </c:pt>
                <c:pt idx="764">
                  <c:v>26.935454545454501</c:v>
                </c:pt>
                <c:pt idx="765">
                  <c:v>28.341999999999999</c:v>
                </c:pt>
                <c:pt idx="766">
                  <c:v>27.813688888888802</c:v>
                </c:pt>
                <c:pt idx="767">
                  <c:v>27.515566778900101</c:v>
                </c:pt>
                <c:pt idx="768">
                  <c:v>30.980599999999999</c:v>
                </c:pt>
                <c:pt idx="769">
                  <c:v>29.4125333333333</c:v>
                </c:pt>
                <c:pt idx="770">
                  <c:v>27.799711111111101</c:v>
                </c:pt>
                <c:pt idx="771">
                  <c:v>26.634499999999999</c:v>
                </c:pt>
                <c:pt idx="772">
                  <c:v>24.210260770975001</c:v>
                </c:pt>
                <c:pt idx="773">
                  <c:v>27.203405017921099</c:v>
                </c:pt>
                <c:pt idx="774">
                  <c:v>27.318151927437601</c:v>
                </c:pt>
                <c:pt idx="775">
                  <c:v>27.1209777777777</c:v>
                </c:pt>
                <c:pt idx="776">
                  <c:v>28.244253647586898</c:v>
                </c:pt>
                <c:pt idx="777">
                  <c:v>24.590407407407401</c:v>
                </c:pt>
                <c:pt idx="778">
                  <c:v>25.535833333333301</c:v>
                </c:pt>
                <c:pt idx="779">
                  <c:v>26.055714285714199</c:v>
                </c:pt>
                <c:pt idx="780">
                  <c:v>26.1731444444444</c:v>
                </c:pt>
                <c:pt idx="781">
                  <c:v>27.358755555555501</c:v>
                </c:pt>
                <c:pt idx="782">
                  <c:v>26.267777777777699</c:v>
                </c:pt>
                <c:pt idx="783">
                  <c:v>28.1666099773242</c:v>
                </c:pt>
                <c:pt idx="784">
                  <c:v>24.380972222222201</c:v>
                </c:pt>
                <c:pt idx="785">
                  <c:v>25.994396825396802</c:v>
                </c:pt>
                <c:pt idx="786">
                  <c:v>26.8447474747474</c:v>
                </c:pt>
                <c:pt idx="787">
                  <c:v>27.241333333333301</c:v>
                </c:pt>
                <c:pt idx="788">
                  <c:v>24.727966457023001</c:v>
                </c:pt>
                <c:pt idx="789">
                  <c:v>24.780833333333302</c:v>
                </c:pt>
                <c:pt idx="790">
                  <c:v>30.271666666666601</c:v>
                </c:pt>
                <c:pt idx="791">
                  <c:v>25.6294725028058</c:v>
                </c:pt>
                <c:pt idx="792">
                  <c:v>25.991422222222202</c:v>
                </c:pt>
                <c:pt idx="793">
                  <c:v>29.222401795735099</c:v>
                </c:pt>
                <c:pt idx="794">
                  <c:v>28.449177777777699</c:v>
                </c:pt>
                <c:pt idx="795">
                  <c:v>28.616077777777701</c:v>
                </c:pt>
                <c:pt idx="796">
                  <c:v>28.2768555555555</c:v>
                </c:pt>
                <c:pt idx="797">
                  <c:v>25.791054421768699</c:v>
                </c:pt>
                <c:pt idx="798">
                  <c:v>27.153588888888802</c:v>
                </c:pt>
                <c:pt idx="799">
                  <c:v>26.209122222222199</c:v>
                </c:pt>
                <c:pt idx="800">
                  <c:v>28.559793650793601</c:v>
                </c:pt>
                <c:pt idx="801">
                  <c:v>27.820277777777701</c:v>
                </c:pt>
                <c:pt idx="802">
                  <c:v>26.608333333333299</c:v>
                </c:pt>
                <c:pt idx="803">
                  <c:v>26.5195111111111</c:v>
                </c:pt>
                <c:pt idx="804">
                  <c:v>28.012744444444401</c:v>
                </c:pt>
                <c:pt idx="805">
                  <c:v>26.095207631874199</c:v>
                </c:pt>
                <c:pt idx="806">
                  <c:v>27.550355555555502</c:v>
                </c:pt>
                <c:pt idx="807">
                  <c:v>26.808355555555501</c:v>
                </c:pt>
                <c:pt idx="808">
                  <c:v>28.269266666666599</c:v>
                </c:pt>
                <c:pt idx="809">
                  <c:v>27.0755666666666</c:v>
                </c:pt>
                <c:pt idx="810">
                  <c:v>26.6029555555555</c:v>
                </c:pt>
                <c:pt idx="811">
                  <c:v>29.4078444444444</c:v>
                </c:pt>
                <c:pt idx="812">
                  <c:v>29.250325476992099</c:v>
                </c:pt>
                <c:pt idx="813">
                  <c:v>26.406273148148099</c:v>
                </c:pt>
                <c:pt idx="814">
                  <c:v>27.387340067339998</c:v>
                </c:pt>
                <c:pt idx="815">
                  <c:v>27.983901234567899</c:v>
                </c:pt>
                <c:pt idx="816">
                  <c:v>27.247029478458</c:v>
                </c:pt>
                <c:pt idx="817">
                  <c:v>26.5621333333333</c:v>
                </c:pt>
                <c:pt idx="818">
                  <c:v>27.7402333333333</c:v>
                </c:pt>
                <c:pt idx="819">
                  <c:v>28.273966666666599</c:v>
                </c:pt>
                <c:pt idx="820">
                  <c:v>26.673501683501598</c:v>
                </c:pt>
                <c:pt idx="821">
                  <c:v>25.1972555555555</c:v>
                </c:pt>
                <c:pt idx="822">
                  <c:v>28.6974074074074</c:v>
                </c:pt>
                <c:pt idx="823">
                  <c:v>29.798407407407399</c:v>
                </c:pt>
                <c:pt idx="824">
                  <c:v>27.378155784650598</c:v>
                </c:pt>
                <c:pt idx="825">
                  <c:v>26.972688888888801</c:v>
                </c:pt>
                <c:pt idx="826">
                  <c:v>28.849898989899</c:v>
                </c:pt>
                <c:pt idx="827">
                  <c:v>30.733086419753</c:v>
                </c:pt>
                <c:pt idx="828">
                  <c:v>25.419029239766001</c:v>
                </c:pt>
                <c:pt idx="829">
                  <c:v>28.435505804311699</c:v>
                </c:pt>
                <c:pt idx="830">
                  <c:v>27.225922222222199</c:v>
                </c:pt>
                <c:pt idx="831">
                  <c:v>29.447957351290601</c:v>
                </c:pt>
                <c:pt idx="832">
                  <c:v>25.5195333333333</c:v>
                </c:pt>
                <c:pt idx="833">
                  <c:v>29.992422222222199</c:v>
                </c:pt>
                <c:pt idx="834">
                  <c:v>28.301515151515101</c:v>
                </c:pt>
                <c:pt idx="835">
                  <c:v>28.8407444444444</c:v>
                </c:pt>
                <c:pt idx="836">
                  <c:v>28.969644444444398</c:v>
                </c:pt>
                <c:pt idx="837">
                  <c:v>28.6095124716553</c:v>
                </c:pt>
                <c:pt idx="838">
                  <c:v>28.461257014590299</c:v>
                </c:pt>
                <c:pt idx="839">
                  <c:v>27.3347308132875</c:v>
                </c:pt>
                <c:pt idx="840">
                  <c:v>27.2380920314253</c:v>
                </c:pt>
                <c:pt idx="841">
                  <c:v>27.232511111111101</c:v>
                </c:pt>
                <c:pt idx="842">
                  <c:v>28.425366666666601</c:v>
                </c:pt>
                <c:pt idx="843">
                  <c:v>28.3876744186046</c:v>
                </c:pt>
                <c:pt idx="844">
                  <c:v>23.424761904761901</c:v>
                </c:pt>
                <c:pt idx="845">
                  <c:v>27.167104377104302</c:v>
                </c:pt>
                <c:pt idx="846">
                  <c:v>27.947433333333301</c:v>
                </c:pt>
                <c:pt idx="847">
                  <c:v>25.782133333333299</c:v>
                </c:pt>
                <c:pt idx="848">
                  <c:v>28.171661054994299</c:v>
                </c:pt>
                <c:pt idx="849">
                  <c:v>27.9599333333333</c:v>
                </c:pt>
                <c:pt idx="850">
                  <c:v>27.7119079685746</c:v>
                </c:pt>
                <c:pt idx="851">
                  <c:v>25.981212121212099</c:v>
                </c:pt>
                <c:pt idx="852">
                  <c:v>26.758059964726598</c:v>
                </c:pt>
                <c:pt idx="853">
                  <c:v>29.8586629001883</c:v>
                </c:pt>
                <c:pt idx="854">
                  <c:v>24.356818713450298</c:v>
                </c:pt>
                <c:pt idx="855">
                  <c:v>25.083425925925901</c:v>
                </c:pt>
                <c:pt idx="856">
                  <c:v>29.398222222222198</c:v>
                </c:pt>
                <c:pt idx="857">
                  <c:v>24.876811111111099</c:v>
                </c:pt>
                <c:pt idx="858">
                  <c:v>29.861307189542401</c:v>
                </c:pt>
                <c:pt idx="859">
                  <c:v>27.383194444444399</c:v>
                </c:pt>
                <c:pt idx="860">
                  <c:v>28.6856333333333</c:v>
                </c:pt>
                <c:pt idx="861">
                  <c:v>28.4316498316498</c:v>
                </c:pt>
                <c:pt idx="862">
                  <c:v>26.1799999999999</c:v>
                </c:pt>
                <c:pt idx="863">
                  <c:v>26.1794333333333</c:v>
                </c:pt>
                <c:pt idx="864">
                  <c:v>27.2107888888888</c:v>
                </c:pt>
                <c:pt idx="865">
                  <c:v>29.8293999999999</c:v>
                </c:pt>
                <c:pt idx="866">
                  <c:v>27.167474747474699</c:v>
                </c:pt>
                <c:pt idx="867">
                  <c:v>26.137811111111098</c:v>
                </c:pt>
                <c:pt idx="868">
                  <c:v>27.871655555555499</c:v>
                </c:pt>
                <c:pt idx="869">
                  <c:v>28.610322222222202</c:v>
                </c:pt>
                <c:pt idx="870">
                  <c:v>28.0089337822671</c:v>
                </c:pt>
                <c:pt idx="871">
                  <c:v>29.921144444444401</c:v>
                </c:pt>
                <c:pt idx="872">
                  <c:v>27.977722222222202</c:v>
                </c:pt>
                <c:pt idx="873">
                  <c:v>26.2676444444444</c:v>
                </c:pt>
                <c:pt idx="874">
                  <c:v>32.1971544715447</c:v>
                </c:pt>
                <c:pt idx="875">
                  <c:v>25.044555555555501</c:v>
                </c:pt>
                <c:pt idx="876">
                  <c:v>28.142144444444401</c:v>
                </c:pt>
                <c:pt idx="877">
                  <c:v>29.5693444444444</c:v>
                </c:pt>
                <c:pt idx="878">
                  <c:v>27.200711111111101</c:v>
                </c:pt>
                <c:pt idx="879">
                  <c:v>26.716217732884399</c:v>
                </c:pt>
                <c:pt idx="880">
                  <c:v>29.7099092970521</c:v>
                </c:pt>
                <c:pt idx="881">
                  <c:v>26.636749585406299</c:v>
                </c:pt>
                <c:pt idx="882">
                  <c:v>27.420231990231901</c:v>
                </c:pt>
                <c:pt idx="883">
                  <c:v>29.279705215419401</c:v>
                </c:pt>
                <c:pt idx="884">
                  <c:v>26.767595356550501</c:v>
                </c:pt>
                <c:pt idx="885">
                  <c:v>27.8082407407407</c:v>
                </c:pt>
                <c:pt idx="886">
                  <c:v>26.8485555555555</c:v>
                </c:pt>
                <c:pt idx="887">
                  <c:v>27.921542288557202</c:v>
                </c:pt>
                <c:pt idx="888">
                  <c:v>27.837387057387001</c:v>
                </c:pt>
                <c:pt idx="889">
                  <c:v>28.2605405405405</c:v>
                </c:pt>
                <c:pt idx="890">
                  <c:v>30.3642517006802</c:v>
                </c:pt>
                <c:pt idx="891">
                  <c:v>25.2051739618406</c:v>
                </c:pt>
                <c:pt idx="892">
                  <c:v>27.7826666666666</c:v>
                </c:pt>
                <c:pt idx="893">
                  <c:v>27.124130190796802</c:v>
                </c:pt>
                <c:pt idx="894">
                  <c:v>28.479977777777702</c:v>
                </c:pt>
                <c:pt idx="895">
                  <c:v>25.728249158249099</c:v>
                </c:pt>
                <c:pt idx="896">
                  <c:v>28.402055555555499</c:v>
                </c:pt>
                <c:pt idx="897">
                  <c:v>27.7418069584736</c:v>
                </c:pt>
                <c:pt idx="898">
                  <c:v>28.197211111111098</c:v>
                </c:pt>
                <c:pt idx="899">
                  <c:v>28.040599999999898</c:v>
                </c:pt>
                <c:pt idx="900">
                  <c:v>25.4419222222222</c:v>
                </c:pt>
                <c:pt idx="901">
                  <c:v>27.892119129438701</c:v>
                </c:pt>
                <c:pt idx="902">
                  <c:v>28.847104377104301</c:v>
                </c:pt>
                <c:pt idx="903">
                  <c:v>29.113233333333302</c:v>
                </c:pt>
                <c:pt idx="904">
                  <c:v>28.1927777777777</c:v>
                </c:pt>
                <c:pt idx="905">
                  <c:v>27.010717299578001</c:v>
                </c:pt>
                <c:pt idx="906">
                  <c:v>26.1424579124579</c:v>
                </c:pt>
                <c:pt idx="907">
                  <c:v>29.296111111111099</c:v>
                </c:pt>
                <c:pt idx="908">
                  <c:v>26.534960718293998</c:v>
                </c:pt>
                <c:pt idx="909">
                  <c:v>27.9261552028218</c:v>
                </c:pt>
                <c:pt idx="910">
                  <c:v>26.3350987654321</c:v>
                </c:pt>
                <c:pt idx="911">
                  <c:v>27.155744444444402</c:v>
                </c:pt>
                <c:pt idx="912">
                  <c:v>27.957879818594101</c:v>
                </c:pt>
                <c:pt idx="913">
                  <c:v>29.885536062378101</c:v>
                </c:pt>
                <c:pt idx="914">
                  <c:v>27.4914764079147</c:v>
                </c:pt>
                <c:pt idx="915">
                  <c:v>25.257167277167198</c:v>
                </c:pt>
                <c:pt idx="916">
                  <c:v>27.703501048218001</c:v>
                </c:pt>
                <c:pt idx="917">
                  <c:v>25.830444444444399</c:v>
                </c:pt>
                <c:pt idx="918">
                  <c:v>27.1411447811447</c:v>
                </c:pt>
                <c:pt idx="919">
                  <c:v>28.990204081632601</c:v>
                </c:pt>
                <c:pt idx="920">
                  <c:v>27.177777777777699</c:v>
                </c:pt>
                <c:pt idx="921">
                  <c:v>26.899833333333302</c:v>
                </c:pt>
                <c:pt idx="922">
                  <c:v>27.7231777777777</c:v>
                </c:pt>
                <c:pt idx="923">
                  <c:v>25.673477777777698</c:v>
                </c:pt>
                <c:pt idx="924">
                  <c:v>28.0514814814814</c:v>
                </c:pt>
                <c:pt idx="925">
                  <c:v>28.840455555555501</c:v>
                </c:pt>
                <c:pt idx="926">
                  <c:v>27.493984287317598</c:v>
                </c:pt>
                <c:pt idx="927">
                  <c:v>26.718455555555501</c:v>
                </c:pt>
                <c:pt idx="928">
                  <c:v>26.387879818594101</c:v>
                </c:pt>
                <c:pt idx="929">
                  <c:v>27.040087145969501</c:v>
                </c:pt>
                <c:pt idx="930">
                  <c:v>28.352499999999999</c:v>
                </c:pt>
                <c:pt idx="931">
                  <c:v>34.361904761904697</c:v>
                </c:pt>
                <c:pt idx="932">
                  <c:v>31.496377314814801</c:v>
                </c:pt>
                <c:pt idx="933">
                  <c:v>28.783333333333299</c:v>
                </c:pt>
                <c:pt idx="934">
                  <c:v>29.404531250000002</c:v>
                </c:pt>
                <c:pt idx="935">
                  <c:v>26.5315384615384</c:v>
                </c:pt>
                <c:pt idx="936">
                  <c:v>26.169925093632902</c:v>
                </c:pt>
                <c:pt idx="937">
                  <c:v>29.26</c:v>
                </c:pt>
                <c:pt idx="938">
                  <c:v>26.4434006734006</c:v>
                </c:pt>
                <c:pt idx="939">
                  <c:v>27.9886531986531</c:v>
                </c:pt>
                <c:pt idx="940">
                  <c:v>25.776285072951701</c:v>
                </c:pt>
                <c:pt idx="941">
                  <c:v>26.312166666666599</c:v>
                </c:pt>
                <c:pt idx="942">
                  <c:v>26.052633333333301</c:v>
                </c:pt>
                <c:pt idx="943">
                  <c:v>26.023066666666601</c:v>
                </c:pt>
                <c:pt idx="944">
                  <c:v>26.5500222222222</c:v>
                </c:pt>
                <c:pt idx="945">
                  <c:v>29.105077777777701</c:v>
                </c:pt>
                <c:pt idx="946">
                  <c:v>26.863613916947202</c:v>
                </c:pt>
                <c:pt idx="947">
                  <c:v>27.6230333333333</c:v>
                </c:pt>
                <c:pt idx="948">
                  <c:v>25.871677777777698</c:v>
                </c:pt>
                <c:pt idx="949">
                  <c:v>29.639079685746299</c:v>
                </c:pt>
                <c:pt idx="950">
                  <c:v>28.506475869809201</c:v>
                </c:pt>
                <c:pt idx="951">
                  <c:v>28.1438666666666</c:v>
                </c:pt>
                <c:pt idx="952">
                  <c:v>28.515811111110999</c:v>
                </c:pt>
                <c:pt idx="953">
                  <c:v>26.980975056689299</c:v>
                </c:pt>
                <c:pt idx="954">
                  <c:v>25.304866666666602</c:v>
                </c:pt>
                <c:pt idx="955">
                  <c:v>30.170911680911601</c:v>
                </c:pt>
                <c:pt idx="956">
                  <c:v>26.7851927437641</c:v>
                </c:pt>
                <c:pt idx="957">
                  <c:v>26.842111111111102</c:v>
                </c:pt>
                <c:pt idx="958">
                  <c:v>26.837290249433099</c:v>
                </c:pt>
                <c:pt idx="959">
                  <c:v>25.420240549828101</c:v>
                </c:pt>
                <c:pt idx="960">
                  <c:v>26.220955555555499</c:v>
                </c:pt>
                <c:pt idx="961">
                  <c:v>25.013569023569001</c:v>
                </c:pt>
                <c:pt idx="962">
                  <c:v>27.802682379349001</c:v>
                </c:pt>
                <c:pt idx="963">
                  <c:v>26.157833333333301</c:v>
                </c:pt>
                <c:pt idx="964">
                  <c:v>27.148978675645299</c:v>
                </c:pt>
                <c:pt idx="965">
                  <c:v>27.176105499438801</c:v>
                </c:pt>
                <c:pt idx="966">
                  <c:v>29.4291806958473</c:v>
                </c:pt>
                <c:pt idx="967">
                  <c:v>28.163877777777699</c:v>
                </c:pt>
                <c:pt idx="968">
                  <c:v>27.482111111111099</c:v>
                </c:pt>
                <c:pt idx="969">
                  <c:v>30.361622222222199</c:v>
                </c:pt>
                <c:pt idx="970">
                  <c:v>28.0526444444444</c:v>
                </c:pt>
                <c:pt idx="971">
                  <c:v>26.161366666666598</c:v>
                </c:pt>
                <c:pt idx="972">
                  <c:v>29.2061888888888</c:v>
                </c:pt>
                <c:pt idx="973">
                  <c:v>28.757188888888798</c:v>
                </c:pt>
                <c:pt idx="974">
                  <c:v>26.5924555555555</c:v>
                </c:pt>
                <c:pt idx="975">
                  <c:v>28.330111111111101</c:v>
                </c:pt>
                <c:pt idx="976">
                  <c:v>25.646554433221102</c:v>
                </c:pt>
                <c:pt idx="977">
                  <c:v>26.639893162393101</c:v>
                </c:pt>
                <c:pt idx="978">
                  <c:v>25.934907407407401</c:v>
                </c:pt>
                <c:pt idx="979">
                  <c:v>24.801895424836498</c:v>
                </c:pt>
                <c:pt idx="980">
                  <c:v>28.7662962962963</c:v>
                </c:pt>
                <c:pt idx="981">
                  <c:v>24.395972222222198</c:v>
                </c:pt>
                <c:pt idx="982">
                  <c:v>29.1933333333333</c:v>
                </c:pt>
                <c:pt idx="983">
                  <c:v>26.705458937197999</c:v>
                </c:pt>
                <c:pt idx="984">
                  <c:v>30.281919191919101</c:v>
                </c:pt>
                <c:pt idx="985">
                  <c:v>26.720467836257299</c:v>
                </c:pt>
                <c:pt idx="986">
                  <c:v>26.6157111111111</c:v>
                </c:pt>
                <c:pt idx="987">
                  <c:v>25.812444444444399</c:v>
                </c:pt>
                <c:pt idx="988">
                  <c:v>28.698288888888801</c:v>
                </c:pt>
                <c:pt idx="989">
                  <c:v>29.8552040816326</c:v>
                </c:pt>
                <c:pt idx="990">
                  <c:v>26.979599999999898</c:v>
                </c:pt>
                <c:pt idx="991">
                  <c:v>29.436790123456799</c:v>
                </c:pt>
                <c:pt idx="992">
                  <c:v>24.8381222222222</c:v>
                </c:pt>
                <c:pt idx="993">
                  <c:v>26.766744444444399</c:v>
                </c:pt>
                <c:pt idx="994">
                  <c:v>28.471699999999998</c:v>
                </c:pt>
                <c:pt idx="995">
                  <c:v>27.718383838383801</c:v>
                </c:pt>
                <c:pt idx="996">
                  <c:v>26.980707070706998</c:v>
                </c:pt>
                <c:pt idx="997">
                  <c:v>25.9867666666666</c:v>
                </c:pt>
                <c:pt idx="998">
                  <c:v>28.834826038159299</c:v>
                </c:pt>
                <c:pt idx="999">
                  <c:v>27.010077777777699</c:v>
                </c:pt>
                <c:pt idx="1000">
                  <c:v>27.0176655443322</c:v>
                </c:pt>
                <c:pt idx="1001">
                  <c:v>28.568526077097498</c:v>
                </c:pt>
                <c:pt idx="1002">
                  <c:v>28.612390572390499</c:v>
                </c:pt>
                <c:pt idx="1003">
                  <c:v>27.585422222222199</c:v>
                </c:pt>
                <c:pt idx="1004">
                  <c:v>26.370655555555501</c:v>
                </c:pt>
                <c:pt idx="1005">
                  <c:v>28.690326797385602</c:v>
                </c:pt>
                <c:pt idx="1006">
                  <c:v>30.105641025640999</c:v>
                </c:pt>
                <c:pt idx="1007">
                  <c:v>48.519999999999897</c:v>
                </c:pt>
                <c:pt idx="1008">
                  <c:v>31.411414141414099</c:v>
                </c:pt>
                <c:pt idx="1009">
                  <c:v>24.4641798941798</c:v>
                </c:pt>
                <c:pt idx="1010">
                  <c:v>28.5039371980676</c:v>
                </c:pt>
                <c:pt idx="1011">
                  <c:v>25.4393083900226</c:v>
                </c:pt>
                <c:pt idx="1012">
                  <c:v>24.8564333333333</c:v>
                </c:pt>
                <c:pt idx="1013">
                  <c:v>27.950022222222199</c:v>
                </c:pt>
                <c:pt idx="1014">
                  <c:v>28.719000000000001</c:v>
                </c:pt>
                <c:pt idx="1015">
                  <c:v>25.7053444444444</c:v>
                </c:pt>
                <c:pt idx="1016">
                  <c:v>27.880500000000001</c:v>
                </c:pt>
                <c:pt idx="1017">
                  <c:v>27.287048260381599</c:v>
                </c:pt>
                <c:pt idx="1018">
                  <c:v>28.452400000000001</c:v>
                </c:pt>
                <c:pt idx="1019">
                  <c:v>25.586477777777699</c:v>
                </c:pt>
                <c:pt idx="1020">
                  <c:v>25.691288888888799</c:v>
                </c:pt>
                <c:pt idx="1021">
                  <c:v>29.305499438832701</c:v>
                </c:pt>
                <c:pt idx="1022">
                  <c:v>23.6669555555555</c:v>
                </c:pt>
                <c:pt idx="1023">
                  <c:v>26.936433333333301</c:v>
                </c:pt>
                <c:pt idx="1024">
                  <c:v>27.158077777777699</c:v>
                </c:pt>
                <c:pt idx="1025">
                  <c:v>27.256733333333301</c:v>
                </c:pt>
                <c:pt idx="1026">
                  <c:v>27.7730976430976</c:v>
                </c:pt>
                <c:pt idx="1027">
                  <c:v>29.302709750566901</c:v>
                </c:pt>
                <c:pt idx="1028">
                  <c:v>28.2854888888888</c:v>
                </c:pt>
                <c:pt idx="1029">
                  <c:v>25.004747474747401</c:v>
                </c:pt>
                <c:pt idx="1030">
                  <c:v>27.497012345679</c:v>
                </c:pt>
                <c:pt idx="1031">
                  <c:v>27.017599999999899</c:v>
                </c:pt>
                <c:pt idx="1032">
                  <c:v>27.2384777777777</c:v>
                </c:pt>
                <c:pt idx="1033">
                  <c:v>26.803355555555498</c:v>
                </c:pt>
                <c:pt idx="1034">
                  <c:v>25.964747474747401</c:v>
                </c:pt>
                <c:pt idx="1035">
                  <c:v>28.376060606060602</c:v>
                </c:pt>
                <c:pt idx="1036">
                  <c:v>28.848866666666598</c:v>
                </c:pt>
                <c:pt idx="1037">
                  <c:v>29.4572111111111</c:v>
                </c:pt>
                <c:pt idx="1038">
                  <c:v>25.651054421768698</c:v>
                </c:pt>
                <c:pt idx="1039">
                  <c:v>28.2744111111111</c:v>
                </c:pt>
                <c:pt idx="1040">
                  <c:v>25.978577777777701</c:v>
                </c:pt>
                <c:pt idx="1041">
                  <c:v>24.2980498866213</c:v>
                </c:pt>
                <c:pt idx="1042">
                  <c:v>29.141166666666599</c:v>
                </c:pt>
                <c:pt idx="1043">
                  <c:v>28.935011111111098</c:v>
                </c:pt>
                <c:pt idx="1044">
                  <c:v>26.387048260381501</c:v>
                </c:pt>
                <c:pt idx="1045">
                  <c:v>26.983820861678002</c:v>
                </c:pt>
                <c:pt idx="1046">
                  <c:v>28.5527555555555</c:v>
                </c:pt>
                <c:pt idx="1047">
                  <c:v>30.035433333333302</c:v>
                </c:pt>
                <c:pt idx="1048">
                  <c:v>25.1483888888888</c:v>
                </c:pt>
                <c:pt idx="1049">
                  <c:v>22.2994285714285</c:v>
                </c:pt>
                <c:pt idx="1050">
                  <c:v>29.775140415140399</c:v>
                </c:pt>
                <c:pt idx="1051">
                  <c:v>28.149011111111101</c:v>
                </c:pt>
                <c:pt idx="1052">
                  <c:v>27.350145903479198</c:v>
                </c:pt>
                <c:pt idx="1053">
                  <c:v>27.279411111111099</c:v>
                </c:pt>
                <c:pt idx="1054">
                  <c:v>26.938989898989899</c:v>
                </c:pt>
                <c:pt idx="1055">
                  <c:v>26.023468013468001</c:v>
                </c:pt>
                <c:pt idx="1056">
                  <c:v>26.794803591470199</c:v>
                </c:pt>
                <c:pt idx="1057">
                  <c:v>24.948566666666601</c:v>
                </c:pt>
                <c:pt idx="1058">
                  <c:v>29.4707631874298</c:v>
                </c:pt>
                <c:pt idx="1059">
                  <c:v>24.6388548752834</c:v>
                </c:pt>
                <c:pt idx="1060">
                  <c:v>25.442199775533101</c:v>
                </c:pt>
                <c:pt idx="1061">
                  <c:v>27.091290684623999</c:v>
                </c:pt>
                <c:pt idx="1062">
                  <c:v>26.7299102132435</c:v>
                </c:pt>
                <c:pt idx="1063">
                  <c:v>25.796955555555499</c:v>
                </c:pt>
                <c:pt idx="1064">
                  <c:v>26.8127999999999</c:v>
                </c:pt>
                <c:pt idx="1065">
                  <c:v>28.260774410774399</c:v>
                </c:pt>
                <c:pt idx="1066">
                  <c:v>27.934333333333299</c:v>
                </c:pt>
                <c:pt idx="1067">
                  <c:v>28.033755555555501</c:v>
                </c:pt>
                <c:pt idx="1068">
                  <c:v>29.562345679012299</c:v>
                </c:pt>
                <c:pt idx="1069">
                  <c:v>27.451306471306399</c:v>
                </c:pt>
                <c:pt idx="1070">
                  <c:v>27.964788888888801</c:v>
                </c:pt>
                <c:pt idx="1071">
                  <c:v>29.5499222222222</c:v>
                </c:pt>
                <c:pt idx="1072">
                  <c:v>27.785411111111099</c:v>
                </c:pt>
                <c:pt idx="1073">
                  <c:v>29.440695847362498</c:v>
                </c:pt>
                <c:pt idx="1074">
                  <c:v>28.355733333333301</c:v>
                </c:pt>
                <c:pt idx="1075">
                  <c:v>27.964299999999898</c:v>
                </c:pt>
                <c:pt idx="1076">
                  <c:v>26.798174603174498</c:v>
                </c:pt>
                <c:pt idx="1077">
                  <c:v>27.9390011223344</c:v>
                </c:pt>
                <c:pt idx="1078">
                  <c:v>28.023737373737301</c:v>
                </c:pt>
                <c:pt idx="1079">
                  <c:v>27.708103254769899</c:v>
                </c:pt>
                <c:pt idx="1080">
                  <c:v>27.941511111111101</c:v>
                </c:pt>
                <c:pt idx="1081">
                  <c:v>27.122132435465701</c:v>
                </c:pt>
                <c:pt idx="1082">
                  <c:v>28.118033333333301</c:v>
                </c:pt>
                <c:pt idx="1083">
                  <c:v>28.041972789115601</c:v>
                </c:pt>
                <c:pt idx="1084">
                  <c:v>26.376177777777698</c:v>
                </c:pt>
                <c:pt idx="1085">
                  <c:v>27.648011111111099</c:v>
                </c:pt>
                <c:pt idx="1086">
                  <c:v>27.144777777777801</c:v>
                </c:pt>
                <c:pt idx="1087">
                  <c:v>24.814444444444401</c:v>
                </c:pt>
                <c:pt idx="1088">
                  <c:v>27.3359057971014</c:v>
                </c:pt>
                <c:pt idx="1089">
                  <c:v>24.4808666666666</c:v>
                </c:pt>
                <c:pt idx="1090">
                  <c:v>26.093388888888899</c:v>
                </c:pt>
                <c:pt idx="1091">
                  <c:v>29.4251222222222</c:v>
                </c:pt>
                <c:pt idx="1092">
                  <c:v>26.644166666666599</c:v>
                </c:pt>
                <c:pt idx="1093">
                  <c:v>26.2993714927048</c:v>
                </c:pt>
                <c:pt idx="1094">
                  <c:v>30.503233333333299</c:v>
                </c:pt>
                <c:pt idx="1095">
                  <c:v>25.782289562289499</c:v>
                </c:pt>
                <c:pt idx="1096">
                  <c:v>24.665966666666598</c:v>
                </c:pt>
                <c:pt idx="1097">
                  <c:v>27.371739618406199</c:v>
                </c:pt>
                <c:pt idx="1098">
                  <c:v>27.376543209876498</c:v>
                </c:pt>
                <c:pt idx="1099">
                  <c:v>27.197485970819301</c:v>
                </c:pt>
                <c:pt idx="1100">
                  <c:v>25.349377777777701</c:v>
                </c:pt>
                <c:pt idx="1101">
                  <c:v>26.665061728394999</c:v>
                </c:pt>
                <c:pt idx="1102">
                  <c:v>25.150866666666602</c:v>
                </c:pt>
                <c:pt idx="1103">
                  <c:v>28.808622222222201</c:v>
                </c:pt>
                <c:pt idx="1104">
                  <c:v>32.219285714285697</c:v>
                </c:pt>
                <c:pt idx="1105">
                  <c:v>25.471143790849599</c:v>
                </c:pt>
                <c:pt idx="1106">
                  <c:v>30.464012345678999</c:v>
                </c:pt>
                <c:pt idx="1107">
                  <c:v>27.057324263038499</c:v>
                </c:pt>
                <c:pt idx="1108">
                  <c:v>29.543244444444401</c:v>
                </c:pt>
                <c:pt idx="1109">
                  <c:v>25.752031425364699</c:v>
                </c:pt>
                <c:pt idx="1110">
                  <c:v>28.040033670033601</c:v>
                </c:pt>
                <c:pt idx="1111">
                  <c:v>23.7576888888889</c:v>
                </c:pt>
                <c:pt idx="1112">
                  <c:v>29.1334567901234</c:v>
                </c:pt>
                <c:pt idx="1113">
                  <c:v>25.499133333333301</c:v>
                </c:pt>
                <c:pt idx="1114">
                  <c:v>27.700381593714901</c:v>
                </c:pt>
                <c:pt idx="1115">
                  <c:v>28.055511111111102</c:v>
                </c:pt>
                <c:pt idx="1116">
                  <c:v>28.231944444444402</c:v>
                </c:pt>
                <c:pt idx="1117">
                  <c:v>26.8329555555555</c:v>
                </c:pt>
                <c:pt idx="1118">
                  <c:v>26.830759637188201</c:v>
                </c:pt>
                <c:pt idx="1119">
                  <c:v>25.313928170594799</c:v>
                </c:pt>
                <c:pt idx="1120">
                  <c:v>31.172453703703699</c:v>
                </c:pt>
                <c:pt idx="1121">
                  <c:v>23.379583333333301</c:v>
                </c:pt>
                <c:pt idx="1122">
                  <c:v>28.048174603174601</c:v>
                </c:pt>
                <c:pt idx="1123">
                  <c:v>27.761111111111099</c:v>
                </c:pt>
                <c:pt idx="1124">
                  <c:v>27.574151404151401</c:v>
                </c:pt>
                <c:pt idx="1125">
                  <c:v>27.253266666666601</c:v>
                </c:pt>
                <c:pt idx="1126">
                  <c:v>28.325111111111099</c:v>
                </c:pt>
                <c:pt idx="1127">
                  <c:v>29.3951888888888</c:v>
                </c:pt>
                <c:pt idx="1128">
                  <c:v>28.504533333333299</c:v>
                </c:pt>
                <c:pt idx="1129">
                  <c:v>27.838077777777698</c:v>
                </c:pt>
                <c:pt idx="1130">
                  <c:v>25.8226711560044</c:v>
                </c:pt>
                <c:pt idx="1131">
                  <c:v>29.768832199546399</c:v>
                </c:pt>
                <c:pt idx="1132">
                  <c:v>28.0909555555555</c:v>
                </c:pt>
                <c:pt idx="1133">
                  <c:v>27.1230444444444</c:v>
                </c:pt>
                <c:pt idx="1134">
                  <c:v>26.290460157126802</c:v>
                </c:pt>
                <c:pt idx="1135">
                  <c:v>29.527766666666601</c:v>
                </c:pt>
                <c:pt idx="1136">
                  <c:v>26.572144444444401</c:v>
                </c:pt>
                <c:pt idx="1137">
                  <c:v>27.345288888888799</c:v>
                </c:pt>
                <c:pt idx="1138">
                  <c:v>26.725299999999901</c:v>
                </c:pt>
                <c:pt idx="1139">
                  <c:v>28.670319444444399</c:v>
                </c:pt>
                <c:pt idx="1140">
                  <c:v>26.154800000000002</c:v>
                </c:pt>
                <c:pt idx="1141">
                  <c:v>22.725606060606001</c:v>
                </c:pt>
                <c:pt idx="1142">
                  <c:v>27.7825241545893</c:v>
                </c:pt>
                <c:pt idx="1143">
                  <c:v>26.508855555555499</c:v>
                </c:pt>
                <c:pt idx="1144">
                  <c:v>28.162211111111102</c:v>
                </c:pt>
                <c:pt idx="1145">
                  <c:v>28.177789001122299</c:v>
                </c:pt>
                <c:pt idx="1146">
                  <c:v>26.5342555555555</c:v>
                </c:pt>
                <c:pt idx="1147">
                  <c:v>25.1584222222222</c:v>
                </c:pt>
                <c:pt idx="1148">
                  <c:v>28.796882086167798</c:v>
                </c:pt>
                <c:pt idx="1149">
                  <c:v>28.171899999999901</c:v>
                </c:pt>
                <c:pt idx="1150">
                  <c:v>28.5317620650953</c:v>
                </c:pt>
                <c:pt idx="1151">
                  <c:v>27.446911111111099</c:v>
                </c:pt>
                <c:pt idx="1152">
                  <c:v>28.3219865319865</c:v>
                </c:pt>
                <c:pt idx="1153">
                  <c:v>27.8081</c:v>
                </c:pt>
                <c:pt idx="1154">
                  <c:v>29.323692480359099</c:v>
                </c:pt>
                <c:pt idx="1155">
                  <c:v>26.2947888888888</c:v>
                </c:pt>
                <c:pt idx="1156">
                  <c:v>29.543820861678</c:v>
                </c:pt>
                <c:pt idx="1157">
                  <c:v>29.245744444444401</c:v>
                </c:pt>
                <c:pt idx="1158">
                  <c:v>25.491829405162701</c:v>
                </c:pt>
                <c:pt idx="1159">
                  <c:v>27.4498653198653</c:v>
                </c:pt>
                <c:pt idx="1160">
                  <c:v>26.521062271062199</c:v>
                </c:pt>
                <c:pt idx="1161">
                  <c:v>27.6977444444444</c:v>
                </c:pt>
                <c:pt idx="1162">
                  <c:v>29.7350113378684</c:v>
                </c:pt>
                <c:pt idx="1163">
                  <c:v>28.219225589225498</c:v>
                </c:pt>
                <c:pt idx="1164">
                  <c:v>26.6569111111111</c:v>
                </c:pt>
                <c:pt idx="1165">
                  <c:v>26.940744444444402</c:v>
                </c:pt>
                <c:pt idx="1166">
                  <c:v>28.027452300785601</c:v>
                </c:pt>
                <c:pt idx="1167">
                  <c:v>25.432855555555498</c:v>
                </c:pt>
                <c:pt idx="1168">
                  <c:v>27.1901683501683</c:v>
                </c:pt>
                <c:pt idx="1169">
                  <c:v>29.334622222222201</c:v>
                </c:pt>
                <c:pt idx="1170">
                  <c:v>28.889507445589899</c:v>
                </c:pt>
                <c:pt idx="1171">
                  <c:v>27.4374111111111</c:v>
                </c:pt>
                <c:pt idx="1172">
                  <c:v>27.213188888888801</c:v>
                </c:pt>
                <c:pt idx="1173">
                  <c:v>29.565744444444402</c:v>
                </c:pt>
                <c:pt idx="1174">
                  <c:v>29.365488888888802</c:v>
                </c:pt>
                <c:pt idx="1175">
                  <c:v>26.1132777777777</c:v>
                </c:pt>
                <c:pt idx="1176">
                  <c:v>25.4363888888888</c:v>
                </c:pt>
                <c:pt idx="1177">
                  <c:v>24.659191919191901</c:v>
                </c:pt>
                <c:pt idx="1178">
                  <c:v>32.079382716049302</c:v>
                </c:pt>
                <c:pt idx="1179">
                  <c:v>26.7979555555555</c:v>
                </c:pt>
                <c:pt idx="1180">
                  <c:v>26.102588888888899</c:v>
                </c:pt>
                <c:pt idx="1181">
                  <c:v>27.429977777777701</c:v>
                </c:pt>
                <c:pt idx="1182">
                  <c:v>30.763771043771001</c:v>
                </c:pt>
                <c:pt idx="1183">
                  <c:v>27.400777777777702</c:v>
                </c:pt>
                <c:pt idx="1184">
                  <c:v>29.761611111111002</c:v>
                </c:pt>
                <c:pt idx="1185">
                  <c:v>27.083977777777701</c:v>
                </c:pt>
                <c:pt idx="1186">
                  <c:v>27.283966666666601</c:v>
                </c:pt>
                <c:pt idx="1187">
                  <c:v>28.457744444444401</c:v>
                </c:pt>
                <c:pt idx="1188">
                  <c:v>28.178555555555501</c:v>
                </c:pt>
                <c:pt idx="1189">
                  <c:v>26.7565777777777</c:v>
                </c:pt>
                <c:pt idx="1190">
                  <c:v>31.248811111111099</c:v>
                </c:pt>
                <c:pt idx="1191">
                  <c:v>25.802433333333301</c:v>
                </c:pt>
                <c:pt idx="1192">
                  <c:v>28.436756453423101</c:v>
                </c:pt>
                <c:pt idx="1193">
                  <c:v>26.513514739228999</c:v>
                </c:pt>
                <c:pt idx="1194">
                  <c:v>34.335925925925899</c:v>
                </c:pt>
                <c:pt idx="1195">
                  <c:v>25.760787037037002</c:v>
                </c:pt>
                <c:pt idx="1196">
                  <c:v>27.055758661887602</c:v>
                </c:pt>
                <c:pt idx="1197">
                  <c:v>28.379955555555501</c:v>
                </c:pt>
                <c:pt idx="1198">
                  <c:v>28.995811111111099</c:v>
                </c:pt>
                <c:pt idx="1199">
                  <c:v>27.181666666666601</c:v>
                </c:pt>
                <c:pt idx="1200">
                  <c:v>26.8995464852607</c:v>
                </c:pt>
                <c:pt idx="1201">
                  <c:v>26.6676879910213</c:v>
                </c:pt>
                <c:pt idx="1202">
                  <c:v>27.555433333333301</c:v>
                </c:pt>
                <c:pt idx="1203">
                  <c:v>25.516177777777699</c:v>
                </c:pt>
                <c:pt idx="1204">
                  <c:v>26.588855555555501</c:v>
                </c:pt>
                <c:pt idx="1205">
                  <c:v>29.2202356902357</c:v>
                </c:pt>
                <c:pt idx="1206">
                  <c:v>26.493367346938701</c:v>
                </c:pt>
                <c:pt idx="1207">
                  <c:v>25.1080222222222</c:v>
                </c:pt>
                <c:pt idx="1208">
                  <c:v>25.323451536642999</c:v>
                </c:pt>
                <c:pt idx="1209">
                  <c:v>31.585555555555501</c:v>
                </c:pt>
                <c:pt idx="1210">
                  <c:v>26.624333333333301</c:v>
                </c:pt>
                <c:pt idx="1211">
                  <c:v>28.179877777777701</c:v>
                </c:pt>
                <c:pt idx="1212">
                  <c:v>27.205555555555499</c:v>
                </c:pt>
                <c:pt idx="1213">
                  <c:v>28.811380471380399</c:v>
                </c:pt>
                <c:pt idx="1214">
                  <c:v>27.537283950617201</c:v>
                </c:pt>
                <c:pt idx="1215">
                  <c:v>26.883966666666598</c:v>
                </c:pt>
                <c:pt idx="1216">
                  <c:v>25.980744444444401</c:v>
                </c:pt>
                <c:pt idx="1217">
                  <c:v>25.527620650953899</c:v>
                </c:pt>
                <c:pt idx="1218">
                  <c:v>27.083544444444399</c:v>
                </c:pt>
                <c:pt idx="1219">
                  <c:v>27.007029478458001</c:v>
                </c:pt>
                <c:pt idx="1220">
                  <c:v>25.6229444444444</c:v>
                </c:pt>
                <c:pt idx="1221">
                  <c:v>26.094711111111099</c:v>
                </c:pt>
                <c:pt idx="1222">
                  <c:v>27.7547888888888</c:v>
                </c:pt>
                <c:pt idx="1223">
                  <c:v>28.2729365079365</c:v>
                </c:pt>
                <c:pt idx="1224">
                  <c:v>26.545049382716002</c:v>
                </c:pt>
                <c:pt idx="1225">
                  <c:v>28.021055555555499</c:v>
                </c:pt>
                <c:pt idx="1226">
                  <c:v>26.716004489337799</c:v>
                </c:pt>
                <c:pt idx="1227">
                  <c:v>27.102466666666601</c:v>
                </c:pt>
                <c:pt idx="1228">
                  <c:v>24.6426444444444</c:v>
                </c:pt>
                <c:pt idx="1229">
                  <c:v>28.9211335578002</c:v>
                </c:pt>
                <c:pt idx="1230">
                  <c:v>25.9933221099887</c:v>
                </c:pt>
                <c:pt idx="1231">
                  <c:v>27.840688888888799</c:v>
                </c:pt>
                <c:pt idx="1232">
                  <c:v>31.318428731762001</c:v>
                </c:pt>
                <c:pt idx="1233">
                  <c:v>25.832255555555498</c:v>
                </c:pt>
                <c:pt idx="1234">
                  <c:v>25.366499999999998</c:v>
                </c:pt>
                <c:pt idx="1235">
                  <c:v>23.868630751964101</c:v>
                </c:pt>
                <c:pt idx="1236">
                  <c:v>32.283968253968197</c:v>
                </c:pt>
                <c:pt idx="1237">
                  <c:v>30.368963795255901</c:v>
                </c:pt>
                <c:pt idx="1238">
                  <c:v>27.264722222222201</c:v>
                </c:pt>
                <c:pt idx="1239">
                  <c:v>26.878945005611602</c:v>
                </c:pt>
                <c:pt idx="1240">
                  <c:v>28.8401888888888</c:v>
                </c:pt>
                <c:pt idx="1241">
                  <c:v>25.572177328843999</c:v>
                </c:pt>
                <c:pt idx="1242">
                  <c:v>28.602699999999899</c:v>
                </c:pt>
                <c:pt idx="1243">
                  <c:v>26.720566666666599</c:v>
                </c:pt>
                <c:pt idx="1244">
                  <c:v>25.9631222222222</c:v>
                </c:pt>
                <c:pt idx="1245">
                  <c:v>26.887743764172299</c:v>
                </c:pt>
                <c:pt idx="1246">
                  <c:v>29.216188888888802</c:v>
                </c:pt>
                <c:pt idx="1247">
                  <c:v>27.110235690235601</c:v>
                </c:pt>
                <c:pt idx="1248">
                  <c:v>28.6477111111111</c:v>
                </c:pt>
                <c:pt idx="1249">
                  <c:v>26.728119658119599</c:v>
                </c:pt>
                <c:pt idx="1250">
                  <c:v>28.149049382716001</c:v>
                </c:pt>
                <c:pt idx="1251">
                  <c:v>27.789270482603801</c:v>
                </c:pt>
                <c:pt idx="1252">
                  <c:v>26.1630222222222</c:v>
                </c:pt>
                <c:pt idx="1253">
                  <c:v>28.6307789232531</c:v>
                </c:pt>
                <c:pt idx="1254">
                  <c:v>26.609222222222201</c:v>
                </c:pt>
                <c:pt idx="1255">
                  <c:v>25.391492704826</c:v>
                </c:pt>
                <c:pt idx="1256">
                  <c:v>27.459588888888899</c:v>
                </c:pt>
                <c:pt idx="1257">
                  <c:v>28.3456444444444</c:v>
                </c:pt>
                <c:pt idx="1258">
                  <c:v>26.545215419501101</c:v>
                </c:pt>
                <c:pt idx="1259">
                  <c:v>25.093804713804701</c:v>
                </c:pt>
                <c:pt idx="1260">
                  <c:v>28.786518518518498</c:v>
                </c:pt>
                <c:pt idx="1261">
                  <c:v>38.379506172839498</c:v>
                </c:pt>
                <c:pt idx="1262">
                  <c:v>25.987049382715998</c:v>
                </c:pt>
                <c:pt idx="1263">
                  <c:v>27.710522222222199</c:v>
                </c:pt>
                <c:pt idx="1264">
                  <c:v>27.4931444444444</c:v>
                </c:pt>
                <c:pt idx="1265">
                  <c:v>26.798877777777701</c:v>
                </c:pt>
                <c:pt idx="1266">
                  <c:v>27.5161555555555</c:v>
                </c:pt>
                <c:pt idx="1267">
                  <c:v>24.644500561167199</c:v>
                </c:pt>
                <c:pt idx="1268">
                  <c:v>26.369347079037802</c:v>
                </c:pt>
                <c:pt idx="1269">
                  <c:v>29.281077097505602</c:v>
                </c:pt>
                <c:pt idx="1270">
                  <c:v>28.043877551020401</c:v>
                </c:pt>
                <c:pt idx="1271">
                  <c:v>26.192266666666601</c:v>
                </c:pt>
                <c:pt idx="1272">
                  <c:v>28.7298550724637</c:v>
                </c:pt>
                <c:pt idx="1273">
                  <c:v>29.049938271604901</c:v>
                </c:pt>
                <c:pt idx="1274">
                  <c:v>29.912933333333299</c:v>
                </c:pt>
                <c:pt idx="1275">
                  <c:v>27.916566666666601</c:v>
                </c:pt>
                <c:pt idx="1276">
                  <c:v>27.4489001122334</c:v>
                </c:pt>
                <c:pt idx="1277">
                  <c:v>25.673355780022401</c:v>
                </c:pt>
                <c:pt idx="1278">
                  <c:v>26.704288888888801</c:v>
                </c:pt>
                <c:pt idx="1279">
                  <c:v>26.131391694725</c:v>
                </c:pt>
                <c:pt idx="1280">
                  <c:v>25.453435374149599</c:v>
                </c:pt>
                <c:pt idx="1281">
                  <c:v>27.243647586980899</c:v>
                </c:pt>
                <c:pt idx="1282">
                  <c:v>26.740555555555499</c:v>
                </c:pt>
                <c:pt idx="1283">
                  <c:v>26.578459595959501</c:v>
                </c:pt>
                <c:pt idx="1284">
                  <c:v>26.182300000000001</c:v>
                </c:pt>
                <c:pt idx="1285">
                  <c:v>27.544534231200799</c:v>
                </c:pt>
                <c:pt idx="1286">
                  <c:v>26.8984399551066</c:v>
                </c:pt>
                <c:pt idx="1287">
                  <c:v>29.238788888888902</c:v>
                </c:pt>
                <c:pt idx="1288">
                  <c:v>27.828322222222202</c:v>
                </c:pt>
                <c:pt idx="1289">
                  <c:v>27.817074829931901</c:v>
                </c:pt>
                <c:pt idx="1290">
                  <c:v>28.0035777777777</c:v>
                </c:pt>
                <c:pt idx="1291">
                  <c:v>26.625788888888898</c:v>
                </c:pt>
                <c:pt idx="1292">
                  <c:v>28.3566222222222</c:v>
                </c:pt>
                <c:pt idx="1293">
                  <c:v>28.1271555555555</c:v>
                </c:pt>
                <c:pt idx="1294">
                  <c:v>30.7723456790123</c:v>
                </c:pt>
                <c:pt idx="1295">
                  <c:v>27.9754</c:v>
                </c:pt>
                <c:pt idx="1296">
                  <c:v>28.428344444444399</c:v>
                </c:pt>
                <c:pt idx="1297">
                  <c:v>27.764311111111098</c:v>
                </c:pt>
                <c:pt idx="1298">
                  <c:v>30.6491245791245</c:v>
                </c:pt>
                <c:pt idx="1299">
                  <c:v>24.901311111111099</c:v>
                </c:pt>
                <c:pt idx="1300">
                  <c:v>30.746500000000001</c:v>
                </c:pt>
                <c:pt idx="1301">
                  <c:v>29.981473922902499</c:v>
                </c:pt>
                <c:pt idx="1302">
                  <c:v>28.279399999999999</c:v>
                </c:pt>
                <c:pt idx="1303">
                  <c:v>29.714282407407399</c:v>
                </c:pt>
                <c:pt idx="1304">
                  <c:v>25.6365079365079</c:v>
                </c:pt>
                <c:pt idx="1305">
                  <c:v>27.828849206349201</c:v>
                </c:pt>
                <c:pt idx="1306">
                  <c:v>28.3741134751773</c:v>
                </c:pt>
                <c:pt idx="1307">
                  <c:v>27.546565656565601</c:v>
                </c:pt>
                <c:pt idx="1308">
                  <c:v>27.853288888888802</c:v>
                </c:pt>
                <c:pt idx="1309">
                  <c:v>28.574433221099898</c:v>
                </c:pt>
                <c:pt idx="1310">
                  <c:v>28.1641333333333</c:v>
                </c:pt>
                <c:pt idx="1311">
                  <c:v>26.998462401795699</c:v>
                </c:pt>
                <c:pt idx="1312">
                  <c:v>26.8688652482269</c:v>
                </c:pt>
                <c:pt idx="1313">
                  <c:v>34.886349206349202</c:v>
                </c:pt>
                <c:pt idx="1314">
                  <c:v>29.183520599250901</c:v>
                </c:pt>
                <c:pt idx="1315">
                  <c:v>28.035</c:v>
                </c:pt>
                <c:pt idx="1316">
                  <c:v>25.9870444444444</c:v>
                </c:pt>
                <c:pt idx="1317">
                  <c:v>25.657922222222201</c:v>
                </c:pt>
                <c:pt idx="1318">
                  <c:v>27.3086666666666</c:v>
                </c:pt>
                <c:pt idx="1319">
                  <c:v>27.457744107744102</c:v>
                </c:pt>
                <c:pt idx="1320">
                  <c:v>24.283333333333299</c:v>
                </c:pt>
                <c:pt idx="1321">
                  <c:v>27.324057428214701</c:v>
                </c:pt>
                <c:pt idx="1322">
                  <c:v>26.7307666666666</c:v>
                </c:pt>
                <c:pt idx="1323">
                  <c:v>26.384455667788998</c:v>
                </c:pt>
                <c:pt idx="1324">
                  <c:v>25.557301587301499</c:v>
                </c:pt>
                <c:pt idx="1325">
                  <c:v>28.023379629629598</c:v>
                </c:pt>
                <c:pt idx="1326">
                  <c:v>26.763015873015799</c:v>
                </c:pt>
                <c:pt idx="1327">
                  <c:v>25.0678555555555</c:v>
                </c:pt>
                <c:pt idx="1328">
                  <c:v>25.810381593714901</c:v>
                </c:pt>
                <c:pt idx="1329">
                  <c:v>29.735888888888802</c:v>
                </c:pt>
                <c:pt idx="1330">
                  <c:v>25.766535947712399</c:v>
                </c:pt>
                <c:pt idx="1331">
                  <c:v>25.562891414141401</c:v>
                </c:pt>
                <c:pt idx="1332">
                  <c:v>29.649522222222199</c:v>
                </c:pt>
                <c:pt idx="1333">
                  <c:v>26.746755555555499</c:v>
                </c:pt>
                <c:pt idx="1334">
                  <c:v>26.692255555555501</c:v>
                </c:pt>
                <c:pt idx="1335">
                  <c:v>27.915122222222202</c:v>
                </c:pt>
                <c:pt idx="1336">
                  <c:v>26.9998830409356</c:v>
                </c:pt>
                <c:pt idx="1337">
                  <c:v>27.793939393939301</c:v>
                </c:pt>
                <c:pt idx="1338">
                  <c:v>30.7772111111111</c:v>
                </c:pt>
                <c:pt idx="1339">
                  <c:v>27.555050505050499</c:v>
                </c:pt>
                <c:pt idx="1340">
                  <c:v>26.356877777777701</c:v>
                </c:pt>
                <c:pt idx="1341">
                  <c:v>25.581433333333301</c:v>
                </c:pt>
                <c:pt idx="1342">
                  <c:v>24.1322222222222</c:v>
                </c:pt>
                <c:pt idx="1343">
                  <c:v>25.217602996254598</c:v>
                </c:pt>
                <c:pt idx="1344">
                  <c:v>26.805433333333301</c:v>
                </c:pt>
                <c:pt idx="1345">
                  <c:v>27.039755555555502</c:v>
                </c:pt>
                <c:pt idx="1346">
                  <c:v>25.7549888888888</c:v>
                </c:pt>
                <c:pt idx="1347">
                  <c:v>29.253888888888799</c:v>
                </c:pt>
                <c:pt idx="1348">
                  <c:v>26.268750000000001</c:v>
                </c:pt>
                <c:pt idx="1349">
                  <c:v>28.211012345678999</c:v>
                </c:pt>
                <c:pt idx="1350">
                  <c:v>26.495476992143601</c:v>
                </c:pt>
                <c:pt idx="1351">
                  <c:v>26.310744444444399</c:v>
                </c:pt>
                <c:pt idx="1352">
                  <c:v>26.061638608305199</c:v>
                </c:pt>
                <c:pt idx="1353">
                  <c:v>32.347530864197502</c:v>
                </c:pt>
                <c:pt idx="1354">
                  <c:v>28.065968992247999</c:v>
                </c:pt>
                <c:pt idx="1355">
                  <c:v>26.643733333333302</c:v>
                </c:pt>
                <c:pt idx="1356">
                  <c:v>25.2492666666666</c:v>
                </c:pt>
                <c:pt idx="1357">
                  <c:v>26.219355555555499</c:v>
                </c:pt>
                <c:pt idx="1358">
                  <c:v>34.814444444444398</c:v>
                </c:pt>
                <c:pt idx="1359">
                  <c:v>27.496076388888898</c:v>
                </c:pt>
                <c:pt idx="1360">
                  <c:v>27.965885225885199</c:v>
                </c:pt>
                <c:pt idx="1361">
                  <c:v>27.315388888888801</c:v>
                </c:pt>
                <c:pt idx="1362">
                  <c:v>29.3038888888888</c:v>
                </c:pt>
                <c:pt idx="1363">
                  <c:v>29.7294380587484</c:v>
                </c:pt>
                <c:pt idx="1364">
                  <c:v>27.6549555555555</c:v>
                </c:pt>
                <c:pt idx="1365">
                  <c:v>34.590222222222202</c:v>
                </c:pt>
                <c:pt idx="1366">
                  <c:v>30.9820588235294</c:v>
                </c:pt>
                <c:pt idx="1367">
                  <c:v>25.6936944444444</c:v>
                </c:pt>
                <c:pt idx="1368">
                  <c:v>37.226666666666603</c:v>
                </c:pt>
              </c:numCache>
            </c:numRef>
          </c:xVal>
          <c:yVal>
            <c:numRef>
              <c:f>'Input - init data frm model c=1'!$E$2:$E$1370</c:f>
              <c:numCache>
                <c:formatCode>General</c:formatCode>
                <c:ptCount val="1369"/>
                <c:pt idx="0">
                  <c:v>6.25586601746397</c:v>
                </c:pt>
                <c:pt idx="1">
                  <c:v>8.7857945083906408</c:v>
                </c:pt>
                <c:pt idx="2">
                  <c:v>2.0902673114457602</c:v>
                </c:pt>
                <c:pt idx="3">
                  <c:v>6.2357574682864998</c:v>
                </c:pt>
                <c:pt idx="4">
                  <c:v>6.3151156695125001</c:v>
                </c:pt>
                <c:pt idx="5">
                  <c:v>6.83289804811207</c:v>
                </c:pt>
                <c:pt idx="6">
                  <c:v>1.4646010703256001</c:v>
                </c:pt>
                <c:pt idx="7">
                  <c:v>8.0747924006228509</c:v>
                </c:pt>
                <c:pt idx="8">
                  <c:v>7.3564853045373004</c:v>
                </c:pt>
                <c:pt idx="9">
                  <c:v>7.0463574879510498</c:v>
                </c:pt>
                <c:pt idx="10">
                  <c:v>8.3249637068135094</c:v>
                </c:pt>
                <c:pt idx="11">
                  <c:v>8.37820113592125</c:v>
                </c:pt>
                <c:pt idx="12">
                  <c:v>2.4180720844956101</c:v>
                </c:pt>
                <c:pt idx="13">
                  <c:v>8.2698012668072902</c:v>
                </c:pt>
                <c:pt idx="14">
                  <c:v>6.61336748047004</c:v>
                </c:pt>
                <c:pt idx="15">
                  <c:v>7.6102670860851003</c:v>
                </c:pt>
                <c:pt idx="16">
                  <c:v>7.1350053786537204</c:v>
                </c:pt>
                <c:pt idx="17">
                  <c:v>7.1416506325142199</c:v>
                </c:pt>
                <c:pt idx="18">
                  <c:v>6.7358024147639002</c:v>
                </c:pt>
                <c:pt idx="19">
                  <c:v>6.9604789111725198</c:v>
                </c:pt>
                <c:pt idx="20">
                  <c:v>6.9098764929029803</c:v>
                </c:pt>
                <c:pt idx="21">
                  <c:v>2.54047795905743</c:v>
                </c:pt>
                <c:pt idx="22">
                  <c:v>6.48269450484029</c:v>
                </c:pt>
                <c:pt idx="23">
                  <c:v>7.7526142200155901</c:v>
                </c:pt>
                <c:pt idx="24">
                  <c:v>6.9743246953950502</c:v>
                </c:pt>
                <c:pt idx="25">
                  <c:v>7.2750905658736098</c:v>
                </c:pt>
                <c:pt idx="26">
                  <c:v>7.1309919940387498</c:v>
                </c:pt>
                <c:pt idx="27">
                  <c:v>8.0639217046432705</c:v>
                </c:pt>
                <c:pt idx="28">
                  <c:v>7.0933030923717997</c:v>
                </c:pt>
                <c:pt idx="29">
                  <c:v>7.22164343545625</c:v>
                </c:pt>
                <c:pt idx="30">
                  <c:v>6.9883212760649602</c:v>
                </c:pt>
                <c:pt idx="31">
                  <c:v>6.4331437347115497</c:v>
                </c:pt>
                <c:pt idx="32">
                  <c:v>8.6446851619656808</c:v>
                </c:pt>
                <c:pt idx="33">
                  <c:v>6.2436899897368097</c:v>
                </c:pt>
                <c:pt idx="34">
                  <c:v>7.4296781301806396</c:v>
                </c:pt>
                <c:pt idx="35">
                  <c:v>1.61311750682956</c:v>
                </c:pt>
                <c:pt idx="36">
                  <c:v>6.6782013134603302</c:v>
                </c:pt>
                <c:pt idx="37">
                  <c:v>8.1312813781270492</c:v>
                </c:pt>
                <c:pt idx="38">
                  <c:v>8.5818870810149104</c:v>
                </c:pt>
                <c:pt idx="39">
                  <c:v>6.5044445361792604</c:v>
                </c:pt>
                <c:pt idx="40">
                  <c:v>8.1298841547943699</c:v>
                </c:pt>
                <c:pt idx="41">
                  <c:v>8.9138002718574896</c:v>
                </c:pt>
                <c:pt idx="42">
                  <c:v>8.54881396435424</c:v>
                </c:pt>
                <c:pt idx="43">
                  <c:v>6.97909598923769</c:v>
                </c:pt>
                <c:pt idx="44">
                  <c:v>7.8215234840757502</c:v>
                </c:pt>
                <c:pt idx="45">
                  <c:v>7.59220999691044</c:v>
                </c:pt>
                <c:pt idx="46">
                  <c:v>6.7973572104220104</c:v>
                </c:pt>
                <c:pt idx="47">
                  <c:v>4.2632747486091196</c:v>
                </c:pt>
                <c:pt idx="48">
                  <c:v>7.9283784750023001</c:v>
                </c:pt>
                <c:pt idx="49">
                  <c:v>6.5236938597659604</c:v>
                </c:pt>
                <c:pt idx="50">
                  <c:v>7.0944874728022</c:v>
                </c:pt>
                <c:pt idx="51">
                  <c:v>1.812933009774</c:v>
                </c:pt>
                <c:pt idx="52">
                  <c:v>6.94614225309786</c:v>
                </c:pt>
                <c:pt idx="53">
                  <c:v>7.8137739603975103</c:v>
                </c:pt>
                <c:pt idx="54">
                  <c:v>7.9590199989490902</c:v>
                </c:pt>
                <c:pt idx="55">
                  <c:v>7.6519811533394702</c:v>
                </c:pt>
                <c:pt idx="56">
                  <c:v>6.7236633007504301</c:v>
                </c:pt>
                <c:pt idx="57">
                  <c:v>8.45519843026808</c:v>
                </c:pt>
                <c:pt idx="58">
                  <c:v>6.9089882075801796</c:v>
                </c:pt>
                <c:pt idx="59">
                  <c:v>6.8584816078865796</c:v>
                </c:pt>
                <c:pt idx="60">
                  <c:v>6.7853304083459101</c:v>
                </c:pt>
                <c:pt idx="61">
                  <c:v>6.1480151416662299</c:v>
                </c:pt>
                <c:pt idx="62">
                  <c:v>8.2234462818054102</c:v>
                </c:pt>
                <c:pt idx="63">
                  <c:v>9.2510957963138303</c:v>
                </c:pt>
                <c:pt idx="64">
                  <c:v>7.8894926265343299</c:v>
                </c:pt>
                <c:pt idx="65">
                  <c:v>8.41618534729764</c:v>
                </c:pt>
                <c:pt idx="66">
                  <c:v>6.3055581592621204</c:v>
                </c:pt>
                <c:pt idx="67">
                  <c:v>7.5856746987928103</c:v>
                </c:pt>
                <c:pt idx="68">
                  <c:v>5.37496265199922</c:v>
                </c:pt>
                <c:pt idx="69">
                  <c:v>6.8649792068923698</c:v>
                </c:pt>
                <c:pt idx="70">
                  <c:v>9.1619633149443391</c:v>
                </c:pt>
                <c:pt idx="71">
                  <c:v>7.4277264157446004</c:v>
                </c:pt>
                <c:pt idx="72">
                  <c:v>6.2839463579999197</c:v>
                </c:pt>
                <c:pt idx="73">
                  <c:v>7.1786460276028903</c:v>
                </c:pt>
                <c:pt idx="74">
                  <c:v>2.9109864010475199</c:v>
                </c:pt>
                <c:pt idx="75">
                  <c:v>6.6643013367645203</c:v>
                </c:pt>
                <c:pt idx="76">
                  <c:v>7.7578049164774798</c:v>
                </c:pt>
                <c:pt idx="77">
                  <c:v>6.4188432049523998</c:v>
                </c:pt>
                <c:pt idx="78">
                  <c:v>6.9150781849391603</c:v>
                </c:pt>
                <c:pt idx="79">
                  <c:v>8.9055645867160997</c:v>
                </c:pt>
                <c:pt idx="80">
                  <c:v>8.7246669693334198</c:v>
                </c:pt>
                <c:pt idx="81">
                  <c:v>8.1645107890222395</c:v>
                </c:pt>
                <c:pt idx="82">
                  <c:v>9.4285423741665397</c:v>
                </c:pt>
                <c:pt idx="83">
                  <c:v>6.9633927383587197</c:v>
                </c:pt>
                <c:pt idx="84">
                  <c:v>8.7280402544452098</c:v>
                </c:pt>
                <c:pt idx="85">
                  <c:v>5.9986489043494604</c:v>
                </c:pt>
                <c:pt idx="86">
                  <c:v>7.1129600376053101</c:v>
                </c:pt>
                <c:pt idx="87">
                  <c:v>7.8408953297759503</c:v>
                </c:pt>
                <c:pt idx="88">
                  <c:v>7.8359614585134896</c:v>
                </c:pt>
                <c:pt idx="89">
                  <c:v>7.9933984473573299</c:v>
                </c:pt>
                <c:pt idx="90">
                  <c:v>7.3234655949517498</c:v>
                </c:pt>
                <c:pt idx="91">
                  <c:v>5.7914522294654196</c:v>
                </c:pt>
                <c:pt idx="92">
                  <c:v>10.0693715122292</c:v>
                </c:pt>
                <c:pt idx="93">
                  <c:v>8.3937237452226299</c:v>
                </c:pt>
                <c:pt idx="94">
                  <c:v>8.5541044063828906</c:v>
                </c:pt>
                <c:pt idx="95">
                  <c:v>7.0956679262417897</c:v>
                </c:pt>
                <c:pt idx="96">
                  <c:v>7.2128948853141699</c:v>
                </c:pt>
                <c:pt idx="97">
                  <c:v>7.51443437298368</c:v>
                </c:pt>
                <c:pt idx="98">
                  <c:v>7.2548162976836696</c:v>
                </c:pt>
                <c:pt idx="99">
                  <c:v>6.7361951138455902</c:v>
                </c:pt>
                <c:pt idx="100">
                  <c:v>2.4541768380669899</c:v>
                </c:pt>
                <c:pt idx="101">
                  <c:v>8.0985601198435795</c:v>
                </c:pt>
                <c:pt idx="102">
                  <c:v>6.4762573814930899</c:v>
                </c:pt>
                <c:pt idx="103">
                  <c:v>6.4635959777009599</c:v>
                </c:pt>
                <c:pt idx="104">
                  <c:v>6.7595662069938101</c:v>
                </c:pt>
                <c:pt idx="105">
                  <c:v>8.4223687870380708</c:v>
                </c:pt>
                <c:pt idx="106">
                  <c:v>7.9909880603938497</c:v>
                </c:pt>
                <c:pt idx="107">
                  <c:v>7.0946830369448897</c:v>
                </c:pt>
                <c:pt idx="108">
                  <c:v>7.9520645128140401</c:v>
                </c:pt>
                <c:pt idx="109">
                  <c:v>7.0507101645725898</c:v>
                </c:pt>
                <c:pt idx="110">
                  <c:v>6.0828090299464801</c:v>
                </c:pt>
                <c:pt idx="111">
                  <c:v>5.5615347711124503</c:v>
                </c:pt>
                <c:pt idx="112">
                  <c:v>7.7379194203784198</c:v>
                </c:pt>
                <c:pt idx="113">
                  <c:v>6.4031729407963001</c:v>
                </c:pt>
                <c:pt idx="114">
                  <c:v>6.4463274282823404</c:v>
                </c:pt>
                <c:pt idx="115">
                  <c:v>8.3221535521848793</c:v>
                </c:pt>
                <c:pt idx="116">
                  <c:v>6.7282193954962999</c:v>
                </c:pt>
                <c:pt idx="117">
                  <c:v>7.4237813607698504</c:v>
                </c:pt>
                <c:pt idx="118">
                  <c:v>9.1454636703276897</c:v>
                </c:pt>
                <c:pt idx="119">
                  <c:v>6.9413340455415398</c:v>
                </c:pt>
                <c:pt idx="120">
                  <c:v>6.3690576007728001</c:v>
                </c:pt>
                <c:pt idx="121">
                  <c:v>9.4041793231379494</c:v>
                </c:pt>
                <c:pt idx="122">
                  <c:v>7.9786117561350398</c:v>
                </c:pt>
                <c:pt idx="123">
                  <c:v>9.5816643855006696</c:v>
                </c:pt>
                <c:pt idx="124">
                  <c:v>2.89750975396178</c:v>
                </c:pt>
                <c:pt idx="125">
                  <c:v>5.5122887354711096</c:v>
                </c:pt>
                <c:pt idx="126">
                  <c:v>7.0936683025177798</c:v>
                </c:pt>
                <c:pt idx="127">
                  <c:v>8.3393749777136907</c:v>
                </c:pt>
                <c:pt idx="128">
                  <c:v>6.9911730567962502</c:v>
                </c:pt>
                <c:pt idx="129">
                  <c:v>6.8989358964868499</c:v>
                </c:pt>
                <c:pt idx="130">
                  <c:v>8.3560144232034403</c:v>
                </c:pt>
                <c:pt idx="131">
                  <c:v>6.7781526545306097</c:v>
                </c:pt>
                <c:pt idx="132">
                  <c:v>6.5652516327858104</c:v>
                </c:pt>
                <c:pt idx="133">
                  <c:v>6.0533079041329501</c:v>
                </c:pt>
                <c:pt idx="134">
                  <c:v>7.4438482838446598</c:v>
                </c:pt>
                <c:pt idx="135">
                  <c:v>6.9489924630328197</c:v>
                </c:pt>
                <c:pt idx="136">
                  <c:v>8.4241807006010205</c:v>
                </c:pt>
                <c:pt idx="137">
                  <c:v>7.7359307922286904</c:v>
                </c:pt>
                <c:pt idx="138">
                  <c:v>6.3178543529082702</c:v>
                </c:pt>
                <c:pt idx="139">
                  <c:v>6.7724993585504798</c:v>
                </c:pt>
                <c:pt idx="140">
                  <c:v>4.3629166428030297</c:v>
                </c:pt>
                <c:pt idx="141">
                  <c:v>7.7266960806234701</c:v>
                </c:pt>
                <c:pt idx="142">
                  <c:v>7.00320142966868</c:v>
                </c:pt>
                <c:pt idx="143">
                  <c:v>6.05354430898013</c:v>
                </c:pt>
                <c:pt idx="144">
                  <c:v>10.136153918062901</c:v>
                </c:pt>
                <c:pt idx="145">
                  <c:v>8.7524158718444092</c:v>
                </c:pt>
                <c:pt idx="146">
                  <c:v>6.4960486298125399</c:v>
                </c:pt>
                <c:pt idx="147">
                  <c:v>7.0438277204667497</c:v>
                </c:pt>
                <c:pt idx="148">
                  <c:v>7.15643182594936</c:v>
                </c:pt>
                <c:pt idx="149">
                  <c:v>9.2392252884722392</c:v>
                </c:pt>
                <c:pt idx="150">
                  <c:v>6.9424705166839802</c:v>
                </c:pt>
                <c:pt idx="151">
                  <c:v>7.1139967631810004</c:v>
                </c:pt>
                <c:pt idx="152">
                  <c:v>8.0543335638645104</c:v>
                </c:pt>
                <c:pt idx="153">
                  <c:v>7.49693727269951</c:v>
                </c:pt>
                <c:pt idx="154">
                  <c:v>2.2355785380449</c:v>
                </c:pt>
                <c:pt idx="155">
                  <c:v>7.7662173162056298</c:v>
                </c:pt>
                <c:pt idx="156">
                  <c:v>7.1323043943697897</c:v>
                </c:pt>
                <c:pt idx="157">
                  <c:v>7.20374185511794</c:v>
                </c:pt>
                <c:pt idx="158">
                  <c:v>6.8541972609052504</c:v>
                </c:pt>
                <c:pt idx="159">
                  <c:v>8.3668513470619903</c:v>
                </c:pt>
                <c:pt idx="160">
                  <c:v>5.7506562926640603</c:v>
                </c:pt>
                <c:pt idx="161">
                  <c:v>8.2198350210501108</c:v>
                </c:pt>
                <c:pt idx="162">
                  <c:v>8.8553093144347894</c:v>
                </c:pt>
                <c:pt idx="163">
                  <c:v>7.4905260674916896</c:v>
                </c:pt>
                <c:pt idx="164">
                  <c:v>7.3371912132552799</c:v>
                </c:pt>
                <c:pt idx="165">
                  <c:v>8.4327517507581806</c:v>
                </c:pt>
                <c:pt idx="166">
                  <c:v>8.1235279274579906</c:v>
                </c:pt>
                <c:pt idx="167">
                  <c:v>8.8233066954708299</c:v>
                </c:pt>
                <c:pt idx="168">
                  <c:v>4.6584266287721396</c:v>
                </c:pt>
                <c:pt idx="169">
                  <c:v>6.7547760635952496</c:v>
                </c:pt>
                <c:pt idx="170">
                  <c:v>7.5505736840742497</c:v>
                </c:pt>
                <c:pt idx="171">
                  <c:v>6.5916001703714704</c:v>
                </c:pt>
                <c:pt idx="172">
                  <c:v>7.2529069947484501</c:v>
                </c:pt>
                <c:pt idx="173">
                  <c:v>7.2193084467164699</c:v>
                </c:pt>
                <c:pt idx="174">
                  <c:v>10.263979825350299</c:v>
                </c:pt>
                <c:pt idx="175">
                  <c:v>6.8289168648218102</c:v>
                </c:pt>
                <c:pt idx="176">
                  <c:v>6.9884830680866097</c:v>
                </c:pt>
                <c:pt idx="177">
                  <c:v>7.2619571377852798</c:v>
                </c:pt>
                <c:pt idx="178">
                  <c:v>8.2043713166109793</c:v>
                </c:pt>
                <c:pt idx="179">
                  <c:v>7.7675485660925903</c:v>
                </c:pt>
                <c:pt idx="180">
                  <c:v>7.2959389601210001</c:v>
                </c:pt>
                <c:pt idx="181">
                  <c:v>6.8818872585539896</c:v>
                </c:pt>
                <c:pt idx="182">
                  <c:v>6.6725103183683503</c:v>
                </c:pt>
                <c:pt idx="183">
                  <c:v>3.7731375999629799</c:v>
                </c:pt>
                <c:pt idx="184">
                  <c:v>6.1255888825085796</c:v>
                </c:pt>
                <c:pt idx="185">
                  <c:v>7.2808836627268301</c:v>
                </c:pt>
                <c:pt idx="186">
                  <c:v>6.9273303962881601</c:v>
                </c:pt>
                <c:pt idx="187">
                  <c:v>6.09996448202957</c:v>
                </c:pt>
                <c:pt idx="188">
                  <c:v>9.4787858654754</c:v>
                </c:pt>
                <c:pt idx="189">
                  <c:v>8.0537437298438004</c:v>
                </c:pt>
                <c:pt idx="190">
                  <c:v>7.9189434868654098</c:v>
                </c:pt>
                <c:pt idx="191">
                  <c:v>7.23975079011338</c:v>
                </c:pt>
                <c:pt idx="192">
                  <c:v>8.9531063083428695</c:v>
                </c:pt>
                <c:pt idx="193">
                  <c:v>7.8618481819790604</c:v>
                </c:pt>
                <c:pt idx="194">
                  <c:v>9.23172159441914</c:v>
                </c:pt>
                <c:pt idx="195">
                  <c:v>7.7833138634264598</c:v>
                </c:pt>
                <c:pt idx="196">
                  <c:v>7.2702478007981002</c:v>
                </c:pt>
                <c:pt idx="197">
                  <c:v>7.2091155493518997</c:v>
                </c:pt>
                <c:pt idx="198">
                  <c:v>6.7466848917159297</c:v>
                </c:pt>
                <c:pt idx="199">
                  <c:v>7.8656872082017504</c:v>
                </c:pt>
                <c:pt idx="200">
                  <c:v>7.0592018895152497</c:v>
                </c:pt>
                <c:pt idx="201">
                  <c:v>4.9596189704534197</c:v>
                </c:pt>
                <c:pt idx="202">
                  <c:v>8.9662287408569199</c:v>
                </c:pt>
                <c:pt idx="203">
                  <c:v>7.8968808670574102</c:v>
                </c:pt>
                <c:pt idx="204">
                  <c:v>6.2939813903336397</c:v>
                </c:pt>
                <c:pt idx="205">
                  <c:v>10.364724418565601</c:v>
                </c:pt>
                <c:pt idx="206">
                  <c:v>7.4667591336691199</c:v>
                </c:pt>
                <c:pt idx="207">
                  <c:v>6.1227685177038103</c:v>
                </c:pt>
                <c:pt idx="208">
                  <c:v>6.7922442683782904</c:v>
                </c:pt>
                <c:pt idx="209">
                  <c:v>7.7062152527165599</c:v>
                </c:pt>
                <c:pt idx="210">
                  <c:v>6.9217682064949804</c:v>
                </c:pt>
                <c:pt idx="211">
                  <c:v>6.8861613953592</c:v>
                </c:pt>
                <c:pt idx="212">
                  <c:v>7.6276118191255797</c:v>
                </c:pt>
                <c:pt idx="213">
                  <c:v>7.5865567009303003</c:v>
                </c:pt>
                <c:pt idx="214">
                  <c:v>7.4076343599285597</c:v>
                </c:pt>
                <c:pt idx="215">
                  <c:v>9.0219550967444508</c:v>
                </c:pt>
                <c:pt idx="216">
                  <c:v>3.7150471956036202</c:v>
                </c:pt>
                <c:pt idx="217">
                  <c:v>5.2422044442456599</c:v>
                </c:pt>
                <c:pt idx="218">
                  <c:v>6.65366626023396</c:v>
                </c:pt>
                <c:pt idx="219">
                  <c:v>7.1949948757721804</c:v>
                </c:pt>
                <c:pt idx="220">
                  <c:v>5.5736888076910196</c:v>
                </c:pt>
                <c:pt idx="221">
                  <c:v>6.25238120581297</c:v>
                </c:pt>
                <c:pt idx="222">
                  <c:v>8.23343968803648</c:v>
                </c:pt>
                <c:pt idx="223">
                  <c:v>7.9867037134125196</c:v>
                </c:pt>
                <c:pt idx="224">
                  <c:v>7.1617717480623</c:v>
                </c:pt>
                <c:pt idx="225">
                  <c:v>6.9852645064130101</c:v>
                </c:pt>
                <c:pt idx="226">
                  <c:v>5.4409816508180899</c:v>
                </c:pt>
                <c:pt idx="227">
                  <c:v>5.3693015020374597</c:v>
                </c:pt>
                <c:pt idx="228">
                  <c:v>6.0045959392427104</c:v>
                </c:pt>
                <c:pt idx="229">
                  <c:v>7.7514031360476299</c:v>
                </c:pt>
                <c:pt idx="230">
                  <c:v>6.1683624518853604</c:v>
                </c:pt>
                <c:pt idx="231">
                  <c:v>8.7582686589580501</c:v>
                </c:pt>
                <c:pt idx="232">
                  <c:v>8.1837396922566903</c:v>
                </c:pt>
                <c:pt idx="233">
                  <c:v>8.7541720221377695</c:v>
                </c:pt>
                <c:pt idx="234">
                  <c:v>5.60102380536991</c:v>
                </c:pt>
                <c:pt idx="235">
                  <c:v>8.7555582498961702</c:v>
                </c:pt>
                <c:pt idx="236">
                  <c:v>6.8740050025861299</c:v>
                </c:pt>
                <c:pt idx="237">
                  <c:v>7.5102379905966403</c:v>
                </c:pt>
                <c:pt idx="238">
                  <c:v>9.0752844174373095</c:v>
                </c:pt>
                <c:pt idx="239">
                  <c:v>8.6971269827338897</c:v>
                </c:pt>
                <c:pt idx="240">
                  <c:v>6.3798552547231901</c:v>
                </c:pt>
                <c:pt idx="241">
                  <c:v>9.5176528643874505</c:v>
                </c:pt>
                <c:pt idx="242">
                  <c:v>6.7375365739086801</c:v>
                </c:pt>
                <c:pt idx="243">
                  <c:v>7.0253308083205699</c:v>
                </c:pt>
                <c:pt idx="244">
                  <c:v>7.3710096727730203</c:v>
                </c:pt>
                <c:pt idx="245">
                  <c:v>6.7178607791192402</c:v>
                </c:pt>
                <c:pt idx="246">
                  <c:v>6.7087533020164898</c:v>
                </c:pt>
                <c:pt idx="247">
                  <c:v>7.2601570051947704</c:v>
                </c:pt>
                <c:pt idx="248">
                  <c:v>6.9724813659055496</c:v>
                </c:pt>
                <c:pt idx="249">
                  <c:v>9.7830546117627204</c:v>
                </c:pt>
                <c:pt idx="250">
                  <c:v>3.7205693300904699</c:v>
                </c:pt>
                <c:pt idx="251">
                  <c:v>6.08926971523859</c:v>
                </c:pt>
                <c:pt idx="252">
                  <c:v>8.8272611752235299</c:v>
                </c:pt>
                <c:pt idx="253">
                  <c:v>7.7251708373901504</c:v>
                </c:pt>
                <c:pt idx="254">
                  <c:v>9.0294752841589894</c:v>
                </c:pt>
                <c:pt idx="255">
                  <c:v>8.1937315276914404</c:v>
                </c:pt>
                <c:pt idx="256">
                  <c:v>4.9843731497673804</c:v>
                </c:pt>
                <c:pt idx="257">
                  <c:v>9.1310343352697494</c:v>
                </c:pt>
                <c:pt idx="258">
                  <c:v>6.8614001474617696</c:v>
                </c:pt>
                <c:pt idx="259">
                  <c:v>6.7021339662953698</c:v>
                </c:pt>
                <c:pt idx="260">
                  <c:v>7.29300000019356</c:v>
                </c:pt>
                <c:pt idx="261">
                  <c:v>8.0817172562295294</c:v>
                </c:pt>
                <c:pt idx="262">
                  <c:v>5.4497129222005798</c:v>
                </c:pt>
                <c:pt idx="263">
                  <c:v>5.19898633950839</c:v>
                </c:pt>
                <c:pt idx="264">
                  <c:v>5.7469327199714</c:v>
                </c:pt>
                <c:pt idx="265">
                  <c:v>8.6987001352551694</c:v>
                </c:pt>
                <c:pt idx="266">
                  <c:v>6.3595613515791696</c:v>
                </c:pt>
                <c:pt idx="267">
                  <c:v>6.5246009946446897</c:v>
                </c:pt>
                <c:pt idx="268">
                  <c:v>3.8834326348452102</c:v>
                </c:pt>
                <c:pt idx="269">
                  <c:v>7.5180990408140902</c:v>
                </c:pt>
                <c:pt idx="270">
                  <c:v>8.1662347379908908</c:v>
                </c:pt>
                <c:pt idx="271">
                  <c:v>8.0636994369630308</c:v>
                </c:pt>
                <c:pt idx="272">
                  <c:v>7.7441311344527302</c:v>
                </c:pt>
                <c:pt idx="273">
                  <c:v>9.2451974561067107</c:v>
                </c:pt>
                <c:pt idx="274">
                  <c:v>5.9063873966970002</c:v>
                </c:pt>
                <c:pt idx="275">
                  <c:v>8.8705648883606205</c:v>
                </c:pt>
                <c:pt idx="276">
                  <c:v>8.3376942256440199</c:v>
                </c:pt>
                <c:pt idx="277">
                  <c:v>6.2155546713294303</c:v>
                </c:pt>
                <c:pt idx="278">
                  <c:v>7.5647304859694797</c:v>
                </c:pt>
                <c:pt idx="279">
                  <c:v>8.7837289112209103</c:v>
                </c:pt>
                <c:pt idx="280">
                  <c:v>5.9980920570516201</c:v>
                </c:pt>
                <c:pt idx="281">
                  <c:v>7.6754472796654598</c:v>
                </c:pt>
                <c:pt idx="282">
                  <c:v>8.1046713029529798</c:v>
                </c:pt>
                <c:pt idx="283">
                  <c:v>4.7345859032786199</c:v>
                </c:pt>
                <c:pt idx="284">
                  <c:v>0.204484695025832</c:v>
                </c:pt>
                <c:pt idx="285">
                  <c:v>0.30664221953710202</c:v>
                </c:pt>
                <c:pt idx="286">
                  <c:v>0.84171906569467903</c:v>
                </c:pt>
                <c:pt idx="287">
                  <c:v>5.2410067120464801</c:v>
                </c:pt>
                <c:pt idx="288">
                  <c:v>7.7353087568832803</c:v>
                </c:pt>
                <c:pt idx="289">
                  <c:v>6.9004925556467098</c:v>
                </c:pt>
                <c:pt idx="290">
                  <c:v>4.4727490781670198</c:v>
                </c:pt>
                <c:pt idx="291">
                  <c:v>6.9284597988471202</c:v>
                </c:pt>
                <c:pt idx="292">
                  <c:v>4.3947441179765496</c:v>
                </c:pt>
                <c:pt idx="293">
                  <c:v>6.6630910381947199</c:v>
                </c:pt>
                <c:pt idx="294">
                  <c:v>6.5107198675048004</c:v>
                </c:pt>
                <c:pt idx="295">
                  <c:v>7.7115960155339902</c:v>
                </c:pt>
                <c:pt idx="296">
                  <c:v>6.3741595472422299</c:v>
                </c:pt>
                <c:pt idx="297">
                  <c:v>6.8536168516625002</c:v>
                </c:pt>
                <c:pt idx="298">
                  <c:v>8.0326950590647499</c:v>
                </c:pt>
                <c:pt idx="299">
                  <c:v>8.6006062608413192</c:v>
                </c:pt>
                <c:pt idx="300">
                  <c:v>5.4424102900772997</c:v>
                </c:pt>
                <c:pt idx="301">
                  <c:v>5.13141853551131</c:v>
                </c:pt>
                <c:pt idx="302">
                  <c:v>9.0384484581758002</c:v>
                </c:pt>
                <c:pt idx="303">
                  <c:v>4.3540267209915298</c:v>
                </c:pt>
                <c:pt idx="304">
                  <c:v>9.1769298623460394</c:v>
                </c:pt>
                <c:pt idx="305">
                  <c:v>8.4688808516726297</c:v>
                </c:pt>
                <c:pt idx="306">
                  <c:v>7.1387886416067996</c:v>
                </c:pt>
                <c:pt idx="307">
                  <c:v>6.4132605948069799</c:v>
                </c:pt>
                <c:pt idx="308">
                  <c:v>6.9536773630774897</c:v>
                </c:pt>
                <c:pt idx="309">
                  <c:v>6.17308740723636</c:v>
                </c:pt>
                <c:pt idx="310">
                  <c:v>7.8152575775281603</c:v>
                </c:pt>
                <c:pt idx="311">
                  <c:v>6.8998524561435399</c:v>
                </c:pt>
                <c:pt idx="312">
                  <c:v>7.9017731122172101</c:v>
                </c:pt>
                <c:pt idx="313">
                  <c:v>6.3979311934537799</c:v>
                </c:pt>
                <c:pt idx="314">
                  <c:v>6.9854184444530398</c:v>
                </c:pt>
                <c:pt idx="315">
                  <c:v>8.8977490895921303</c:v>
                </c:pt>
                <c:pt idx="316">
                  <c:v>7.1646950000264704</c:v>
                </c:pt>
                <c:pt idx="317">
                  <c:v>2.8223063090201501</c:v>
                </c:pt>
                <c:pt idx="318">
                  <c:v>0.29045045100049999</c:v>
                </c:pt>
                <c:pt idx="319">
                  <c:v>0.65259047555959304</c:v>
                </c:pt>
                <c:pt idx="320">
                  <c:v>7.5777492459259603</c:v>
                </c:pt>
                <c:pt idx="321">
                  <c:v>7.3946745048343399</c:v>
                </c:pt>
                <c:pt idx="322">
                  <c:v>6.7954345557180096</c:v>
                </c:pt>
                <c:pt idx="323">
                  <c:v>3.4844197373109398</c:v>
                </c:pt>
                <c:pt idx="324">
                  <c:v>4.7561513660491901</c:v>
                </c:pt>
                <c:pt idx="325">
                  <c:v>6.0182807168417503</c:v>
                </c:pt>
                <c:pt idx="326">
                  <c:v>7.1488888619880901</c:v>
                </c:pt>
                <c:pt idx="327">
                  <c:v>6.7462866948470896</c:v>
                </c:pt>
                <c:pt idx="328">
                  <c:v>7.0198306649823001</c:v>
                </c:pt>
                <c:pt idx="329">
                  <c:v>10.171885607506701</c:v>
                </c:pt>
                <c:pt idx="330">
                  <c:v>5.8085181461578799</c:v>
                </c:pt>
                <c:pt idx="331">
                  <c:v>6.5021276115972304</c:v>
                </c:pt>
                <c:pt idx="332">
                  <c:v>7.9439332856283897</c:v>
                </c:pt>
                <c:pt idx="333">
                  <c:v>6.90204921480656</c:v>
                </c:pt>
                <c:pt idx="334">
                  <c:v>8.8214633659813302</c:v>
                </c:pt>
                <c:pt idx="335">
                  <c:v>5.8735067025863703</c:v>
                </c:pt>
                <c:pt idx="336">
                  <c:v>11.184638475049899</c:v>
                </c:pt>
                <c:pt idx="337">
                  <c:v>6.6662122104960702</c:v>
                </c:pt>
                <c:pt idx="338">
                  <c:v>5.58534254563952</c:v>
                </c:pt>
                <c:pt idx="339">
                  <c:v>5.9588001577331697</c:v>
                </c:pt>
                <c:pt idx="340">
                  <c:v>5.93133007157018</c:v>
                </c:pt>
                <c:pt idx="341">
                  <c:v>7.26035256933746</c:v>
                </c:pt>
                <c:pt idx="342">
                  <c:v>8.6773404468034201</c:v>
                </c:pt>
                <c:pt idx="343">
                  <c:v>7.2786978996381002</c:v>
                </c:pt>
                <c:pt idx="344">
                  <c:v>8.1306302830495891</c:v>
                </c:pt>
                <c:pt idx="345">
                  <c:v>7.4931767862931604</c:v>
                </c:pt>
                <c:pt idx="346">
                  <c:v>8.3492450764331103</c:v>
                </c:pt>
                <c:pt idx="347">
                  <c:v>8.1255118432187405</c:v>
                </c:pt>
                <c:pt idx="348">
                  <c:v>6.4390153713811102</c:v>
                </c:pt>
                <c:pt idx="349">
                  <c:v>7.2017760035149498</c:v>
                </c:pt>
                <c:pt idx="350">
                  <c:v>3.3245283792064901</c:v>
                </c:pt>
                <c:pt idx="351">
                  <c:v>7.03737253296178</c:v>
                </c:pt>
                <c:pt idx="352">
                  <c:v>6.4726759658679898</c:v>
                </c:pt>
                <c:pt idx="353">
                  <c:v>0.58457656540570102</c:v>
                </c:pt>
                <c:pt idx="354">
                  <c:v>8.0890772224187195</c:v>
                </c:pt>
                <c:pt idx="355">
                  <c:v>8.4222549043043706</c:v>
                </c:pt>
                <c:pt idx="356">
                  <c:v>6.5348323765192697</c:v>
                </c:pt>
                <c:pt idx="357">
                  <c:v>5.1243955051342098</c:v>
                </c:pt>
                <c:pt idx="358">
                  <c:v>8.0151743968356808</c:v>
                </c:pt>
                <c:pt idx="359">
                  <c:v>7.4197255646540698</c:v>
                </c:pt>
                <c:pt idx="360">
                  <c:v>6.5008207090533396</c:v>
                </c:pt>
                <c:pt idx="361">
                  <c:v>7.4135916049979302</c:v>
                </c:pt>
                <c:pt idx="362">
                  <c:v>7.5007409560048401</c:v>
                </c:pt>
                <c:pt idx="363">
                  <c:v>6.66651380339081</c:v>
                </c:pt>
                <c:pt idx="364">
                  <c:v>8.0737918033626901</c:v>
                </c:pt>
                <c:pt idx="365">
                  <c:v>6.9471703392937396</c:v>
                </c:pt>
                <c:pt idx="366">
                  <c:v>7.6539399363589897</c:v>
                </c:pt>
                <c:pt idx="367">
                  <c:v>6.5840014431406004</c:v>
                </c:pt>
                <c:pt idx="368">
                  <c:v>6.1874020741624403</c:v>
                </c:pt>
                <c:pt idx="369">
                  <c:v>6.6408391374293503</c:v>
                </c:pt>
                <c:pt idx="370">
                  <c:v>5.5663013525661098</c:v>
                </c:pt>
                <c:pt idx="371">
                  <c:v>6.9205319897857898</c:v>
                </c:pt>
                <c:pt idx="372">
                  <c:v>5.5689858434886004</c:v>
                </c:pt>
                <c:pt idx="373">
                  <c:v>7.1790968461486804</c:v>
                </c:pt>
                <c:pt idx="374">
                  <c:v>7.09820004992058</c:v>
                </c:pt>
                <c:pt idx="375">
                  <c:v>7.1799804190825096</c:v>
                </c:pt>
                <c:pt idx="376">
                  <c:v>5.1423968310392798</c:v>
                </c:pt>
                <c:pt idx="377">
                  <c:v>9.1009457316299898</c:v>
                </c:pt>
                <c:pt idx="378">
                  <c:v>7.6134196743129801</c:v>
                </c:pt>
                <c:pt idx="379">
                  <c:v>8.4245262757929193</c:v>
                </c:pt>
                <c:pt idx="380">
                  <c:v>7.2814389392283498</c:v>
                </c:pt>
                <c:pt idx="381">
                  <c:v>6.3735304433133502</c:v>
                </c:pt>
                <c:pt idx="382">
                  <c:v>6.6694621880962002</c:v>
                </c:pt>
                <c:pt idx="383">
                  <c:v>8.8082074157795098</c:v>
                </c:pt>
                <c:pt idx="384">
                  <c:v>4.0736222978990497</c:v>
                </c:pt>
                <c:pt idx="385">
                  <c:v>7.61370870083711</c:v>
                </c:pt>
                <c:pt idx="386">
                  <c:v>8.7896971518645692</c:v>
                </c:pt>
                <c:pt idx="387">
                  <c:v>5.7763867218951299</c:v>
                </c:pt>
                <c:pt idx="388">
                  <c:v>7.4378344901075302</c:v>
                </c:pt>
                <c:pt idx="389">
                  <c:v>6.02952212075445</c:v>
                </c:pt>
                <c:pt idx="390">
                  <c:v>5.3889207481591201</c:v>
                </c:pt>
                <c:pt idx="391">
                  <c:v>9.1934436441296405</c:v>
                </c:pt>
                <c:pt idx="392">
                  <c:v>6.8805332321202801</c:v>
                </c:pt>
                <c:pt idx="393">
                  <c:v>7.5774939915228599</c:v>
                </c:pt>
                <c:pt idx="394">
                  <c:v>7.3650618524816096</c:v>
                </c:pt>
                <c:pt idx="395">
                  <c:v>7.98414881318699</c:v>
                </c:pt>
                <c:pt idx="396">
                  <c:v>8.6431473523617495</c:v>
                </c:pt>
                <c:pt idx="397">
                  <c:v>8.1942820918039807</c:v>
                </c:pt>
                <c:pt idx="398">
                  <c:v>6.023064577055</c:v>
                </c:pt>
                <c:pt idx="399">
                  <c:v>9.8551533777644398</c:v>
                </c:pt>
                <c:pt idx="400">
                  <c:v>7.6728876670509498</c:v>
                </c:pt>
                <c:pt idx="401">
                  <c:v>9.6519316029853499</c:v>
                </c:pt>
                <c:pt idx="402">
                  <c:v>5.7944822955798099</c:v>
                </c:pt>
                <c:pt idx="403">
                  <c:v>10.8067575005</c:v>
                </c:pt>
                <c:pt idx="404">
                  <c:v>5.37437595957116</c:v>
                </c:pt>
                <c:pt idx="405">
                  <c:v>7.7455369971652104</c:v>
                </c:pt>
                <c:pt idx="406">
                  <c:v>7.5118708333783504</c:v>
                </c:pt>
                <c:pt idx="407">
                  <c:v>6.3806524338590398</c:v>
                </c:pt>
                <c:pt idx="408">
                  <c:v>7.5774979185136697</c:v>
                </c:pt>
                <c:pt idx="409">
                  <c:v>7.4708023634142897</c:v>
                </c:pt>
                <c:pt idx="410">
                  <c:v>8.4111493742739398</c:v>
                </c:pt>
                <c:pt idx="411">
                  <c:v>9.2047855790072592</c:v>
                </c:pt>
                <c:pt idx="412">
                  <c:v>7.5394964283776904</c:v>
                </c:pt>
                <c:pt idx="413">
                  <c:v>8.2815995180178508</c:v>
                </c:pt>
                <c:pt idx="414">
                  <c:v>6.5157833294642202</c:v>
                </c:pt>
                <c:pt idx="415">
                  <c:v>8.0608814283527597</c:v>
                </c:pt>
                <c:pt idx="416">
                  <c:v>3.42526119144935</c:v>
                </c:pt>
                <c:pt idx="417">
                  <c:v>0.425382640870345</c:v>
                </c:pt>
                <c:pt idx="418">
                  <c:v>7.2496310990089201</c:v>
                </c:pt>
                <c:pt idx="419">
                  <c:v>6.8536953914788397</c:v>
                </c:pt>
                <c:pt idx="420">
                  <c:v>6.5748319195829303</c:v>
                </c:pt>
                <c:pt idx="421">
                  <c:v>5.9922942478094203</c:v>
                </c:pt>
                <c:pt idx="422">
                  <c:v>8.3362255310784708</c:v>
                </c:pt>
                <c:pt idx="423">
                  <c:v>8.7070669818898399</c:v>
                </c:pt>
                <c:pt idx="424">
                  <c:v>8.9226352157975395</c:v>
                </c:pt>
                <c:pt idx="425">
                  <c:v>7.6141163224839197</c:v>
                </c:pt>
                <c:pt idx="426">
                  <c:v>7.29705736710567</c:v>
                </c:pt>
                <c:pt idx="427">
                  <c:v>9.1806173067231907</c:v>
                </c:pt>
                <c:pt idx="428">
                  <c:v>7.2150539448653497</c:v>
                </c:pt>
                <c:pt idx="429">
                  <c:v>9.3936149324420892</c:v>
                </c:pt>
                <c:pt idx="430">
                  <c:v>6.4823253677034902</c:v>
                </c:pt>
                <c:pt idx="431">
                  <c:v>8.1007553077102799</c:v>
                </c:pt>
                <c:pt idx="432">
                  <c:v>5.5199094538505502</c:v>
                </c:pt>
                <c:pt idx="433">
                  <c:v>7.3435199516559404</c:v>
                </c:pt>
                <c:pt idx="434">
                  <c:v>5.9979624663546502</c:v>
                </c:pt>
                <c:pt idx="435">
                  <c:v>6.3800948011630298</c:v>
                </c:pt>
                <c:pt idx="436">
                  <c:v>6.5437772762022002</c:v>
                </c:pt>
                <c:pt idx="437">
                  <c:v>5.9590781886830104</c:v>
                </c:pt>
                <c:pt idx="438">
                  <c:v>6.7385976468274196</c:v>
                </c:pt>
                <c:pt idx="439">
                  <c:v>8.2315570886388194</c:v>
                </c:pt>
                <c:pt idx="440">
                  <c:v>7.8580539234516902</c:v>
                </c:pt>
                <c:pt idx="441">
                  <c:v>7.6669351343705596</c:v>
                </c:pt>
                <c:pt idx="442">
                  <c:v>7.3254762142500498</c:v>
                </c:pt>
                <c:pt idx="443">
                  <c:v>8.8795239252104903</c:v>
                </c:pt>
                <c:pt idx="444">
                  <c:v>8.1546320509230199</c:v>
                </c:pt>
                <c:pt idx="445">
                  <c:v>7.5151019614225598</c:v>
                </c:pt>
                <c:pt idx="446">
                  <c:v>7.2891861067121102</c:v>
                </c:pt>
                <c:pt idx="447">
                  <c:v>8.7116089394687801</c:v>
                </c:pt>
                <c:pt idx="448">
                  <c:v>7.0664126300534003</c:v>
                </c:pt>
                <c:pt idx="449">
                  <c:v>4.0398525330674504</c:v>
                </c:pt>
                <c:pt idx="450">
                  <c:v>0.39485971204622999</c:v>
                </c:pt>
                <c:pt idx="451">
                  <c:v>1.50000839032788</c:v>
                </c:pt>
                <c:pt idx="452">
                  <c:v>6.9604820527651698</c:v>
                </c:pt>
                <c:pt idx="453">
                  <c:v>7.5799193010514303</c:v>
                </c:pt>
                <c:pt idx="454">
                  <c:v>8.0176523280411995</c:v>
                </c:pt>
                <c:pt idx="455">
                  <c:v>9.2682700979528398</c:v>
                </c:pt>
                <c:pt idx="456">
                  <c:v>6.2628709836833103</c:v>
                </c:pt>
                <c:pt idx="457">
                  <c:v>6.5092857304584397</c:v>
                </c:pt>
                <c:pt idx="458">
                  <c:v>9.1632066002370003</c:v>
                </c:pt>
                <c:pt idx="459">
                  <c:v>6.9683305366120001</c:v>
                </c:pt>
                <c:pt idx="460">
                  <c:v>9.4683377137077294</c:v>
                </c:pt>
                <c:pt idx="461">
                  <c:v>7.9300176009693102</c:v>
                </c:pt>
                <c:pt idx="462">
                  <c:v>9.3693531977765794</c:v>
                </c:pt>
                <c:pt idx="463">
                  <c:v>7.9407594916501001</c:v>
                </c:pt>
                <c:pt idx="464">
                  <c:v>7.1993781829221</c:v>
                </c:pt>
                <c:pt idx="465">
                  <c:v>9.5701213886932202</c:v>
                </c:pt>
                <c:pt idx="466">
                  <c:v>7.7809026910648296</c:v>
                </c:pt>
                <c:pt idx="467">
                  <c:v>7.7123405729928898</c:v>
                </c:pt>
                <c:pt idx="468">
                  <c:v>8.2938399483943996</c:v>
                </c:pt>
                <c:pt idx="469">
                  <c:v>5.2075448232949304</c:v>
                </c:pt>
                <c:pt idx="470">
                  <c:v>7.3785345725765197</c:v>
                </c:pt>
                <c:pt idx="471">
                  <c:v>8.3630429513676798</c:v>
                </c:pt>
                <c:pt idx="472">
                  <c:v>6.7587368265332701</c:v>
                </c:pt>
                <c:pt idx="473">
                  <c:v>6.5031156424867902</c:v>
                </c:pt>
                <c:pt idx="474">
                  <c:v>6.7604796250578403</c:v>
                </c:pt>
                <c:pt idx="475">
                  <c:v>6.9624698955167199</c:v>
                </c:pt>
                <c:pt idx="476">
                  <c:v>6.8279759578220602</c:v>
                </c:pt>
                <c:pt idx="477">
                  <c:v>7.6913555194650796</c:v>
                </c:pt>
                <c:pt idx="478">
                  <c:v>7.95497205681494</c:v>
                </c:pt>
                <c:pt idx="479">
                  <c:v>7.2409862214244098</c:v>
                </c:pt>
                <c:pt idx="480">
                  <c:v>8.6216195887030196</c:v>
                </c:pt>
                <c:pt idx="481">
                  <c:v>5.4412801021201798</c:v>
                </c:pt>
                <c:pt idx="482">
                  <c:v>3.8812971372389402</c:v>
                </c:pt>
                <c:pt idx="483">
                  <c:v>6.2109388863231398</c:v>
                </c:pt>
                <c:pt idx="484">
                  <c:v>7.8616471200492404</c:v>
                </c:pt>
                <c:pt idx="485">
                  <c:v>7.3274954729281401</c:v>
                </c:pt>
                <c:pt idx="486">
                  <c:v>9.3022095087877297</c:v>
                </c:pt>
                <c:pt idx="487">
                  <c:v>6.8619797713063502</c:v>
                </c:pt>
                <c:pt idx="488">
                  <c:v>8.5049023530387</c:v>
                </c:pt>
                <c:pt idx="489">
                  <c:v>6.5711798181231398</c:v>
                </c:pt>
                <c:pt idx="490">
                  <c:v>6.8638820056581</c:v>
                </c:pt>
                <c:pt idx="491">
                  <c:v>8.2534728389902607</c:v>
                </c:pt>
                <c:pt idx="492">
                  <c:v>9.2864261472960994</c:v>
                </c:pt>
                <c:pt idx="493">
                  <c:v>7.59581026209145</c:v>
                </c:pt>
                <c:pt idx="494">
                  <c:v>8.5667901575180796</c:v>
                </c:pt>
                <c:pt idx="495">
                  <c:v>6.5767592866759097</c:v>
                </c:pt>
                <c:pt idx="496">
                  <c:v>8.7832081922385701</c:v>
                </c:pt>
                <c:pt idx="497">
                  <c:v>7.8277964592067999</c:v>
                </c:pt>
                <c:pt idx="498">
                  <c:v>6.7900365141409802</c:v>
                </c:pt>
                <c:pt idx="499">
                  <c:v>10.1278663966427</c:v>
                </c:pt>
                <c:pt idx="500">
                  <c:v>4.0415348559334499</c:v>
                </c:pt>
                <c:pt idx="501">
                  <c:v>6.8616161319567004</c:v>
                </c:pt>
                <c:pt idx="502">
                  <c:v>6.67413609256658</c:v>
                </c:pt>
                <c:pt idx="503">
                  <c:v>7.9455464934560096</c:v>
                </c:pt>
                <c:pt idx="504">
                  <c:v>6.5175182740071698</c:v>
                </c:pt>
                <c:pt idx="505">
                  <c:v>8.18812221400845</c:v>
                </c:pt>
                <c:pt idx="506">
                  <c:v>6.7818463820930699</c:v>
                </c:pt>
                <c:pt idx="507">
                  <c:v>9.0530867091452105</c:v>
                </c:pt>
                <c:pt idx="508">
                  <c:v>6.6733043559115401</c:v>
                </c:pt>
                <c:pt idx="509">
                  <c:v>8.7998256465797393</c:v>
                </c:pt>
                <c:pt idx="510">
                  <c:v>7.8944736216865996</c:v>
                </c:pt>
                <c:pt idx="511">
                  <c:v>7.1427195594145996</c:v>
                </c:pt>
                <c:pt idx="512">
                  <c:v>2.86201289856887</c:v>
                </c:pt>
                <c:pt idx="513">
                  <c:v>0.38707484545063497</c:v>
                </c:pt>
                <c:pt idx="514">
                  <c:v>8.0151162773715896</c:v>
                </c:pt>
                <c:pt idx="515">
                  <c:v>7.7057400868277002</c:v>
                </c:pt>
                <c:pt idx="516">
                  <c:v>6.3494171489007201</c:v>
                </c:pt>
                <c:pt idx="517">
                  <c:v>8.1893914174405005</c:v>
                </c:pt>
                <c:pt idx="518">
                  <c:v>7.3218712366800496</c:v>
                </c:pt>
                <c:pt idx="519">
                  <c:v>7.5776667791188004</c:v>
                </c:pt>
                <c:pt idx="520">
                  <c:v>7.0977076052721397</c:v>
                </c:pt>
                <c:pt idx="521">
                  <c:v>7.4180361732045998</c:v>
                </c:pt>
                <c:pt idx="522">
                  <c:v>9.0241832713340209</c:v>
                </c:pt>
                <c:pt idx="523">
                  <c:v>8.7567261369651401</c:v>
                </c:pt>
                <c:pt idx="524">
                  <c:v>7.8779182138003403</c:v>
                </c:pt>
                <c:pt idx="525">
                  <c:v>6.1946481576179497</c:v>
                </c:pt>
                <c:pt idx="526">
                  <c:v>5.8199747491673604</c:v>
                </c:pt>
                <c:pt idx="527">
                  <c:v>9.3500952348100803</c:v>
                </c:pt>
                <c:pt idx="528">
                  <c:v>6.6351544255226802</c:v>
                </c:pt>
                <c:pt idx="529">
                  <c:v>6.1965566751550103</c:v>
                </c:pt>
                <c:pt idx="530">
                  <c:v>8.6166040360315694</c:v>
                </c:pt>
                <c:pt idx="531">
                  <c:v>5.94170046891968</c:v>
                </c:pt>
                <c:pt idx="532">
                  <c:v>6.1348605078274803</c:v>
                </c:pt>
                <c:pt idx="533">
                  <c:v>6.68801172191933</c:v>
                </c:pt>
                <c:pt idx="534">
                  <c:v>7.7514431913539603</c:v>
                </c:pt>
                <c:pt idx="535">
                  <c:v>7.4670489455914204</c:v>
                </c:pt>
                <c:pt idx="536">
                  <c:v>8.9027811356250197</c:v>
                </c:pt>
                <c:pt idx="537">
                  <c:v>7.2331157464290001</c:v>
                </c:pt>
                <c:pt idx="538">
                  <c:v>8.3090334758653306</c:v>
                </c:pt>
                <c:pt idx="539">
                  <c:v>8.4686570131960597</c:v>
                </c:pt>
                <c:pt idx="540">
                  <c:v>9.5930966411670795</c:v>
                </c:pt>
                <c:pt idx="541">
                  <c:v>8.16812754756468</c:v>
                </c:pt>
                <c:pt idx="542">
                  <c:v>8.0265665971957603</c:v>
                </c:pt>
                <c:pt idx="543">
                  <c:v>6.65560148130856</c:v>
                </c:pt>
                <c:pt idx="544">
                  <c:v>3.1126821471951298</c:v>
                </c:pt>
                <c:pt idx="545">
                  <c:v>6.1020347915882898</c:v>
                </c:pt>
                <c:pt idx="546">
                  <c:v>6.2199136311362802</c:v>
                </c:pt>
                <c:pt idx="547">
                  <c:v>6.1662410914460297</c:v>
                </c:pt>
                <c:pt idx="548">
                  <c:v>6.3303806682163</c:v>
                </c:pt>
                <c:pt idx="549">
                  <c:v>7.3296725966370797</c:v>
                </c:pt>
                <c:pt idx="550">
                  <c:v>8.07057559788357</c:v>
                </c:pt>
                <c:pt idx="551">
                  <c:v>6.9106658180571898</c:v>
                </c:pt>
                <c:pt idx="552">
                  <c:v>8.0390614965772507</c:v>
                </c:pt>
                <c:pt idx="553">
                  <c:v>8.2608626503096705</c:v>
                </c:pt>
                <c:pt idx="554">
                  <c:v>5.73438362811663</c:v>
                </c:pt>
                <c:pt idx="555">
                  <c:v>7.1289366070451496</c:v>
                </c:pt>
                <c:pt idx="556">
                  <c:v>7.9433175334682797</c:v>
                </c:pt>
                <c:pt idx="557">
                  <c:v>6.8922419479402199</c:v>
                </c:pt>
                <c:pt idx="558">
                  <c:v>6.68679435476606</c:v>
                </c:pt>
                <c:pt idx="559">
                  <c:v>8.1384347845992693</c:v>
                </c:pt>
                <c:pt idx="560">
                  <c:v>8.0153644631912204</c:v>
                </c:pt>
                <c:pt idx="561">
                  <c:v>7.22493660995538</c:v>
                </c:pt>
                <c:pt idx="562">
                  <c:v>8.0455912969077392</c:v>
                </c:pt>
                <c:pt idx="563">
                  <c:v>5.5094338131471599</c:v>
                </c:pt>
                <c:pt idx="564">
                  <c:v>7.7585282681859704</c:v>
                </c:pt>
                <c:pt idx="565">
                  <c:v>7.3937037527043898</c:v>
                </c:pt>
                <c:pt idx="566">
                  <c:v>7.0974107247663696</c:v>
                </c:pt>
                <c:pt idx="567">
                  <c:v>7.8323808282865599</c:v>
                </c:pt>
                <c:pt idx="568">
                  <c:v>8.1216516112456301</c:v>
                </c:pt>
                <c:pt idx="569">
                  <c:v>6.8149776182178297</c:v>
                </c:pt>
                <c:pt idx="570">
                  <c:v>10.0290593806965</c:v>
                </c:pt>
                <c:pt idx="571">
                  <c:v>6.5051898790363198</c:v>
                </c:pt>
                <c:pt idx="572">
                  <c:v>7.0869083805254203</c:v>
                </c:pt>
                <c:pt idx="573">
                  <c:v>7.3721524271007599</c:v>
                </c:pt>
                <c:pt idx="574">
                  <c:v>8.4212385990809402</c:v>
                </c:pt>
                <c:pt idx="575">
                  <c:v>3.3065011351620202</c:v>
                </c:pt>
                <c:pt idx="576">
                  <c:v>0.62943615230447303</c:v>
                </c:pt>
                <c:pt idx="577">
                  <c:v>7.3984318496480297</c:v>
                </c:pt>
                <c:pt idx="578">
                  <c:v>7.0091461083674398</c:v>
                </c:pt>
                <c:pt idx="579">
                  <c:v>7.6709932866808304</c:v>
                </c:pt>
                <c:pt idx="580">
                  <c:v>7.3631431247684302</c:v>
                </c:pt>
                <c:pt idx="581">
                  <c:v>7.2210590992226802</c:v>
                </c:pt>
                <c:pt idx="582">
                  <c:v>10.162094048603601</c:v>
                </c:pt>
                <c:pt idx="583">
                  <c:v>7.69859060734629</c:v>
                </c:pt>
                <c:pt idx="584">
                  <c:v>7.7464347072659701</c:v>
                </c:pt>
                <c:pt idx="585">
                  <c:v>8.5173697634844601</c:v>
                </c:pt>
                <c:pt idx="586">
                  <c:v>6.7336716295465999</c:v>
                </c:pt>
                <c:pt idx="587">
                  <c:v>7.3377865450631399</c:v>
                </c:pt>
                <c:pt idx="588">
                  <c:v>6.8683532774023197</c:v>
                </c:pt>
                <c:pt idx="589">
                  <c:v>9.3716811179328907</c:v>
                </c:pt>
                <c:pt idx="590">
                  <c:v>7.5679152755220596</c:v>
                </c:pt>
                <c:pt idx="591">
                  <c:v>7.3068740587499796</c:v>
                </c:pt>
                <c:pt idx="592">
                  <c:v>5.74021285328537</c:v>
                </c:pt>
                <c:pt idx="593">
                  <c:v>8.2932587537534896</c:v>
                </c:pt>
                <c:pt idx="594">
                  <c:v>7.2943626660070597</c:v>
                </c:pt>
                <c:pt idx="595">
                  <c:v>6.7275895061692497</c:v>
                </c:pt>
                <c:pt idx="596">
                  <c:v>7.4247301217512396</c:v>
                </c:pt>
                <c:pt idx="597">
                  <c:v>7.0872838008475201</c:v>
                </c:pt>
                <c:pt idx="598">
                  <c:v>7.5016276705313096</c:v>
                </c:pt>
                <c:pt idx="599">
                  <c:v>8.40034543713824</c:v>
                </c:pt>
                <c:pt idx="600">
                  <c:v>7.5844573316395403</c:v>
                </c:pt>
                <c:pt idx="601">
                  <c:v>7.1988786696901803</c:v>
                </c:pt>
                <c:pt idx="602">
                  <c:v>7.3388515449727096</c:v>
                </c:pt>
                <c:pt idx="603">
                  <c:v>7.2002287691330604</c:v>
                </c:pt>
                <c:pt idx="604">
                  <c:v>3.4406494976648001</c:v>
                </c:pt>
                <c:pt idx="605">
                  <c:v>8.2985546935692707</c:v>
                </c:pt>
                <c:pt idx="606">
                  <c:v>6.28755212096807</c:v>
                </c:pt>
                <c:pt idx="607">
                  <c:v>6.9348364465357504</c:v>
                </c:pt>
                <c:pt idx="608">
                  <c:v>6.4551710116021903</c:v>
                </c:pt>
                <c:pt idx="609">
                  <c:v>8.65591321410961</c:v>
                </c:pt>
                <c:pt idx="610">
                  <c:v>9.1779650171253895</c:v>
                </c:pt>
                <c:pt idx="611">
                  <c:v>6.78797013157308</c:v>
                </c:pt>
                <c:pt idx="612">
                  <c:v>7.9900023856987898</c:v>
                </c:pt>
                <c:pt idx="613">
                  <c:v>6.3645769042506197</c:v>
                </c:pt>
                <c:pt idx="614">
                  <c:v>7.7703736432863302</c:v>
                </c:pt>
                <c:pt idx="615">
                  <c:v>7.6173914328252899</c:v>
                </c:pt>
                <c:pt idx="616">
                  <c:v>6.4100522433095</c:v>
                </c:pt>
                <c:pt idx="617">
                  <c:v>6.6749843225830503</c:v>
                </c:pt>
                <c:pt idx="618">
                  <c:v>8.4690057299806103</c:v>
                </c:pt>
                <c:pt idx="619">
                  <c:v>8.8094679798317692</c:v>
                </c:pt>
                <c:pt idx="620">
                  <c:v>6.3221622618345101</c:v>
                </c:pt>
                <c:pt idx="621">
                  <c:v>4.7435920640182996</c:v>
                </c:pt>
                <c:pt idx="622">
                  <c:v>7.47531840285383</c:v>
                </c:pt>
                <c:pt idx="623">
                  <c:v>7.4505547987619103</c:v>
                </c:pt>
                <c:pt idx="624">
                  <c:v>6.6309596139319797</c:v>
                </c:pt>
                <c:pt idx="625">
                  <c:v>8.7005026240401708</c:v>
                </c:pt>
                <c:pt idx="626">
                  <c:v>7.6553740734053504</c:v>
                </c:pt>
                <c:pt idx="627">
                  <c:v>6.6357049896352196</c:v>
                </c:pt>
                <c:pt idx="628">
                  <c:v>6.8110042889092002</c:v>
                </c:pt>
                <c:pt idx="629">
                  <c:v>8.4322844388509601</c:v>
                </c:pt>
                <c:pt idx="630">
                  <c:v>6.7700693366329299</c:v>
                </c:pt>
                <c:pt idx="631">
                  <c:v>8.1893128776241593</c:v>
                </c:pt>
                <c:pt idx="632">
                  <c:v>3.30890131194937</c:v>
                </c:pt>
                <c:pt idx="633">
                  <c:v>0.22165506967402701</c:v>
                </c:pt>
                <c:pt idx="634">
                  <c:v>6.3338607674783098</c:v>
                </c:pt>
                <c:pt idx="635">
                  <c:v>8.0332605457423991</c:v>
                </c:pt>
                <c:pt idx="636">
                  <c:v>9.6007338529079593</c:v>
                </c:pt>
                <c:pt idx="637">
                  <c:v>9.7150752591280192</c:v>
                </c:pt>
                <c:pt idx="638">
                  <c:v>7.4747764781210799</c:v>
                </c:pt>
                <c:pt idx="639">
                  <c:v>8.4873801200132899</c:v>
                </c:pt>
                <c:pt idx="640">
                  <c:v>7.8185201214989197</c:v>
                </c:pt>
                <c:pt idx="641">
                  <c:v>10.4554795325407</c:v>
                </c:pt>
                <c:pt idx="642">
                  <c:v>6.3211208238698404</c:v>
                </c:pt>
                <c:pt idx="643">
                  <c:v>7.9046484548934099</c:v>
                </c:pt>
                <c:pt idx="644">
                  <c:v>8.0325136320889996</c:v>
                </c:pt>
                <c:pt idx="645">
                  <c:v>7.48388788221465</c:v>
                </c:pt>
                <c:pt idx="646">
                  <c:v>6.9976997155340799</c:v>
                </c:pt>
                <c:pt idx="647">
                  <c:v>6.7027465768628298</c:v>
                </c:pt>
                <c:pt idx="648">
                  <c:v>7.3028630303295099</c:v>
                </c:pt>
                <c:pt idx="649">
                  <c:v>7.5076556014353901</c:v>
                </c:pt>
                <c:pt idx="650">
                  <c:v>3.51304435877412</c:v>
                </c:pt>
                <c:pt idx="651">
                  <c:v>6.3646978555677904</c:v>
                </c:pt>
                <c:pt idx="652">
                  <c:v>7.1272597819662904</c:v>
                </c:pt>
                <c:pt idx="653">
                  <c:v>8.1854597142345291</c:v>
                </c:pt>
                <c:pt idx="654">
                  <c:v>8.0595156209466108</c:v>
                </c:pt>
                <c:pt idx="655">
                  <c:v>8.2695334460335808</c:v>
                </c:pt>
                <c:pt idx="656">
                  <c:v>8.0885172335282292</c:v>
                </c:pt>
                <c:pt idx="657">
                  <c:v>9.8223991327581093</c:v>
                </c:pt>
                <c:pt idx="658">
                  <c:v>9.6084558876504804</c:v>
                </c:pt>
                <c:pt idx="659">
                  <c:v>7.99147579265333</c:v>
                </c:pt>
                <c:pt idx="660">
                  <c:v>10.2168221634254</c:v>
                </c:pt>
                <c:pt idx="661">
                  <c:v>6.7531691389529396</c:v>
                </c:pt>
                <c:pt idx="662">
                  <c:v>6.1227669469074897</c:v>
                </c:pt>
                <c:pt idx="663">
                  <c:v>3.6045613089676798</c:v>
                </c:pt>
                <c:pt idx="664">
                  <c:v>8.8173800809298299</c:v>
                </c:pt>
                <c:pt idx="665">
                  <c:v>9.0247299084557397</c:v>
                </c:pt>
                <c:pt idx="666">
                  <c:v>8.9028188347368609</c:v>
                </c:pt>
                <c:pt idx="667">
                  <c:v>6.1512509820994197</c:v>
                </c:pt>
                <c:pt idx="668">
                  <c:v>7.3377496313494603</c:v>
                </c:pt>
                <c:pt idx="669">
                  <c:v>8.3536762928709898</c:v>
                </c:pt>
                <c:pt idx="670">
                  <c:v>8.0731446352760496</c:v>
                </c:pt>
                <c:pt idx="671">
                  <c:v>9.5540749188168501</c:v>
                </c:pt>
                <c:pt idx="672">
                  <c:v>6.7109437774942098</c:v>
                </c:pt>
                <c:pt idx="673">
                  <c:v>7.6625471148316597</c:v>
                </c:pt>
                <c:pt idx="674">
                  <c:v>5.9216932361052903</c:v>
                </c:pt>
                <c:pt idx="675">
                  <c:v>8.0741907856296908</c:v>
                </c:pt>
                <c:pt idx="676">
                  <c:v>8.0806852430428293</c:v>
                </c:pt>
                <c:pt idx="677">
                  <c:v>6.8839889840392399</c:v>
                </c:pt>
                <c:pt idx="678">
                  <c:v>7.0895300395948402</c:v>
                </c:pt>
                <c:pt idx="679">
                  <c:v>8.0746478873607792</c:v>
                </c:pt>
                <c:pt idx="680">
                  <c:v>9.8887849125192808</c:v>
                </c:pt>
                <c:pt idx="681">
                  <c:v>4.5265087970534097</c:v>
                </c:pt>
                <c:pt idx="682">
                  <c:v>5.9929877543876904</c:v>
                </c:pt>
                <c:pt idx="683">
                  <c:v>8.1897809749295494</c:v>
                </c:pt>
                <c:pt idx="684">
                  <c:v>7.2348067086747898</c:v>
                </c:pt>
                <c:pt idx="685">
                  <c:v>8.0286997386075498</c:v>
                </c:pt>
                <c:pt idx="686">
                  <c:v>6.7999333163979498</c:v>
                </c:pt>
                <c:pt idx="687">
                  <c:v>8.4490118489349992</c:v>
                </c:pt>
                <c:pt idx="688">
                  <c:v>8.3180969706709291</c:v>
                </c:pt>
                <c:pt idx="689">
                  <c:v>7.0321629869439599</c:v>
                </c:pt>
                <c:pt idx="690">
                  <c:v>8.0798692143510493</c:v>
                </c:pt>
                <c:pt idx="691">
                  <c:v>8.4609318368608797</c:v>
                </c:pt>
                <c:pt idx="692">
                  <c:v>8.0780313826486996</c:v>
                </c:pt>
                <c:pt idx="693">
                  <c:v>8.0686796467171291</c:v>
                </c:pt>
                <c:pt idx="694">
                  <c:v>6.7824817692072603</c:v>
                </c:pt>
                <c:pt idx="695">
                  <c:v>2.2261529746859701</c:v>
                </c:pt>
                <c:pt idx="696">
                  <c:v>7.6769630981208197</c:v>
                </c:pt>
                <c:pt idx="697">
                  <c:v>7.1807155517634502</c:v>
                </c:pt>
                <c:pt idx="698">
                  <c:v>7.8722586346348997</c:v>
                </c:pt>
                <c:pt idx="699">
                  <c:v>8.4739560946044996</c:v>
                </c:pt>
                <c:pt idx="700">
                  <c:v>6.2804552631636099</c:v>
                </c:pt>
                <c:pt idx="701">
                  <c:v>10.078563026935401</c:v>
                </c:pt>
                <c:pt idx="702">
                  <c:v>8.5477772387785507</c:v>
                </c:pt>
                <c:pt idx="703">
                  <c:v>7.25840635268856</c:v>
                </c:pt>
                <c:pt idx="704">
                  <c:v>8.7447189698431202</c:v>
                </c:pt>
                <c:pt idx="705">
                  <c:v>6.8830873469476597</c:v>
                </c:pt>
                <c:pt idx="706">
                  <c:v>7.2620113302585496</c:v>
                </c:pt>
                <c:pt idx="707">
                  <c:v>8.1966712730170297</c:v>
                </c:pt>
                <c:pt idx="708">
                  <c:v>8.2151501210054505</c:v>
                </c:pt>
                <c:pt idx="709">
                  <c:v>8.3944015438376507</c:v>
                </c:pt>
                <c:pt idx="710">
                  <c:v>6.8544375927432402</c:v>
                </c:pt>
                <c:pt idx="711">
                  <c:v>7.0904041877506998</c:v>
                </c:pt>
                <c:pt idx="712">
                  <c:v>7.9741279180202103</c:v>
                </c:pt>
                <c:pt idx="713">
                  <c:v>9.3084777715298106</c:v>
                </c:pt>
                <c:pt idx="714">
                  <c:v>3.7268666525645902</c:v>
                </c:pt>
                <c:pt idx="715">
                  <c:v>5.9063229940476001</c:v>
                </c:pt>
                <c:pt idx="716">
                  <c:v>6.8971255537202198</c:v>
                </c:pt>
                <c:pt idx="717">
                  <c:v>7.0887108693104199</c:v>
                </c:pt>
                <c:pt idx="718">
                  <c:v>5.9608759650790297</c:v>
                </c:pt>
                <c:pt idx="719">
                  <c:v>6.1414790581504297</c:v>
                </c:pt>
                <c:pt idx="720">
                  <c:v>4.7551264214459597</c:v>
                </c:pt>
                <c:pt idx="721">
                  <c:v>6.1160588611939097</c:v>
                </c:pt>
                <c:pt idx="722">
                  <c:v>7.7205629063655001</c:v>
                </c:pt>
                <c:pt idx="723">
                  <c:v>9.1236437385521807</c:v>
                </c:pt>
                <c:pt idx="724">
                  <c:v>8.2493659919938604</c:v>
                </c:pt>
                <c:pt idx="725">
                  <c:v>7.9762618448301499</c:v>
                </c:pt>
                <c:pt idx="726">
                  <c:v>7.1890494116752599</c:v>
                </c:pt>
                <c:pt idx="727">
                  <c:v>3.8310073074384299</c:v>
                </c:pt>
                <c:pt idx="728">
                  <c:v>5.3620562039801101</c:v>
                </c:pt>
                <c:pt idx="729">
                  <c:v>7.4695221644079597</c:v>
                </c:pt>
                <c:pt idx="730">
                  <c:v>6.2843759707952902</c:v>
                </c:pt>
                <c:pt idx="731">
                  <c:v>7.9879061580006896</c:v>
                </c:pt>
                <c:pt idx="732">
                  <c:v>8.5142776509151599</c:v>
                </c:pt>
                <c:pt idx="733">
                  <c:v>8.5340013549925597</c:v>
                </c:pt>
                <c:pt idx="734">
                  <c:v>7.6722703440945201</c:v>
                </c:pt>
                <c:pt idx="735">
                  <c:v>6.5894214758662102</c:v>
                </c:pt>
                <c:pt idx="736">
                  <c:v>6.6237402340140203</c:v>
                </c:pt>
                <c:pt idx="737">
                  <c:v>8.2691069748308497</c:v>
                </c:pt>
                <c:pt idx="738">
                  <c:v>6.2484989826913004</c:v>
                </c:pt>
                <c:pt idx="739">
                  <c:v>8.2992379899714308</c:v>
                </c:pt>
                <c:pt idx="740">
                  <c:v>8.4859153524385604</c:v>
                </c:pt>
                <c:pt idx="741">
                  <c:v>9.5546286245220404</c:v>
                </c:pt>
                <c:pt idx="742">
                  <c:v>7.5480046466817701</c:v>
                </c:pt>
                <c:pt idx="743">
                  <c:v>7.26561316623589</c:v>
                </c:pt>
                <c:pt idx="744">
                  <c:v>4.0077917946393997</c:v>
                </c:pt>
                <c:pt idx="745">
                  <c:v>7.6553222371265601</c:v>
                </c:pt>
                <c:pt idx="746">
                  <c:v>4.0388048119174798</c:v>
                </c:pt>
                <c:pt idx="747">
                  <c:v>7.8768673510577196</c:v>
                </c:pt>
                <c:pt idx="748">
                  <c:v>8.1506705025868396</c:v>
                </c:pt>
                <c:pt idx="749">
                  <c:v>7.25226453905079</c:v>
                </c:pt>
                <c:pt idx="750">
                  <c:v>5.02455176361231</c:v>
                </c:pt>
                <c:pt idx="751">
                  <c:v>8.2621137895839603</c:v>
                </c:pt>
                <c:pt idx="752">
                  <c:v>8.4083572838030598</c:v>
                </c:pt>
                <c:pt idx="753">
                  <c:v>5.3276377002655497</c:v>
                </c:pt>
                <c:pt idx="754">
                  <c:v>6.3230953148526199</c:v>
                </c:pt>
                <c:pt idx="755">
                  <c:v>7.7579085890350497</c:v>
                </c:pt>
                <c:pt idx="756">
                  <c:v>6.3438109768103903</c:v>
                </c:pt>
                <c:pt idx="757">
                  <c:v>6.3959951869810103</c:v>
                </c:pt>
                <c:pt idx="758">
                  <c:v>8.78080487385858</c:v>
                </c:pt>
                <c:pt idx="759">
                  <c:v>2.3147215401741401</c:v>
                </c:pt>
                <c:pt idx="760">
                  <c:v>7.8334379742144904</c:v>
                </c:pt>
                <c:pt idx="761">
                  <c:v>6.3756258856133003</c:v>
                </c:pt>
                <c:pt idx="762">
                  <c:v>7.5729473215549499</c:v>
                </c:pt>
                <c:pt idx="763">
                  <c:v>6.8149980385700797</c:v>
                </c:pt>
                <c:pt idx="764">
                  <c:v>7.5005736661960398</c:v>
                </c:pt>
                <c:pt idx="765">
                  <c:v>8.2347536591638502</c:v>
                </c:pt>
                <c:pt idx="766">
                  <c:v>7.6136395857987402</c:v>
                </c:pt>
                <c:pt idx="767">
                  <c:v>8.1818947919708709</c:v>
                </c:pt>
                <c:pt idx="768">
                  <c:v>10.7999276780711</c:v>
                </c:pt>
                <c:pt idx="769">
                  <c:v>9.5151576544223406</c:v>
                </c:pt>
                <c:pt idx="770">
                  <c:v>7.9157052902377201</c:v>
                </c:pt>
                <c:pt idx="771">
                  <c:v>7.2508798820887197</c:v>
                </c:pt>
                <c:pt idx="772">
                  <c:v>6.1121020252467204</c:v>
                </c:pt>
                <c:pt idx="773">
                  <c:v>4.9040292738463203</c:v>
                </c:pt>
                <c:pt idx="774">
                  <c:v>8.1219783368816092</c:v>
                </c:pt>
                <c:pt idx="775">
                  <c:v>7.4547040572591401</c:v>
                </c:pt>
                <c:pt idx="776">
                  <c:v>7.4549773758199898</c:v>
                </c:pt>
                <c:pt idx="777">
                  <c:v>4.1435596481551</c:v>
                </c:pt>
                <c:pt idx="778">
                  <c:v>4.9261154555992199</c:v>
                </c:pt>
                <c:pt idx="779">
                  <c:v>4.7754768732577499</c:v>
                </c:pt>
                <c:pt idx="780">
                  <c:v>7.1354208542821498</c:v>
                </c:pt>
                <c:pt idx="781">
                  <c:v>8.0368718064977003</c:v>
                </c:pt>
                <c:pt idx="782">
                  <c:v>7.6131824840676403</c:v>
                </c:pt>
                <c:pt idx="783">
                  <c:v>7.7959438512920602</c:v>
                </c:pt>
                <c:pt idx="784">
                  <c:v>3.6311140500758201</c:v>
                </c:pt>
                <c:pt idx="785">
                  <c:v>5.4254024928489404</c:v>
                </c:pt>
                <c:pt idx="786">
                  <c:v>4.7840801247396003</c:v>
                </c:pt>
                <c:pt idx="787">
                  <c:v>7.4935310008648504</c:v>
                </c:pt>
                <c:pt idx="788">
                  <c:v>3.2299530885646499</c:v>
                </c:pt>
                <c:pt idx="789">
                  <c:v>0.42766579333134103</c:v>
                </c:pt>
                <c:pt idx="790">
                  <c:v>2.2331225979879599</c:v>
                </c:pt>
                <c:pt idx="791">
                  <c:v>6.9400043664509097</c:v>
                </c:pt>
                <c:pt idx="792">
                  <c:v>7.3333451184491203</c:v>
                </c:pt>
                <c:pt idx="793">
                  <c:v>8.6348896760717793</c:v>
                </c:pt>
                <c:pt idx="794">
                  <c:v>8.3890419867706196</c:v>
                </c:pt>
                <c:pt idx="795">
                  <c:v>8.4356836421021395</c:v>
                </c:pt>
                <c:pt idx="796">
                  <c:v>7.7500082689094301</c:v>
                </c:pt>
                <c:pt idx="797">
                  <c:v>6.0039440587670896</c:v>
                </c:pt>
                <c:pt idx="798">
                  <c:v>8.0117838329642908</c:v>
                </c:pt>
                <c:pt idx="799">
                  <c:v>6.8184891334063797</c:v>
                </c:pt>
                <c:pt idx="800">
                  <c:v>5.9057402286103597</c:v>
                </c:pt>
                <c:pt idx="801">
                  <c:v>8.2588198296866704</c:v>
                </c:pt>
                <c:pt idx="802">
                  <c:v>7.4964456134492199</c:v>
                </c:pt>
                <c:pt idx="803">
                  <c:v>6.9354647650664702</c:v>
                </c:pt>
                <c:pt idx="804">
                  <c:v>7.9966602059299099</c:v>
                </c:pt>
                <c:pt idx="805">
                  <c:v>6.3346548050214997</c:v>
                </c:pt>
                <c:pt idx="806">
                  <c:v>7.2681806328320402</c:v>
                </c:pt>
                <c:pt idx="807">
                  <c:v>7.73195667752191</c:v>
                </c:pt>
                <c:pt idx="808">
                  <c:v>8.3446190812507002</c:v>
                </c:pt>
                <c:pt idx="809">
                  <c:v>8.0391321824119597</c:v>
                </c:pt>
                <c:pt idx="810">
                  <c:v>7.7572629917447298</c:v>
                </c:pt>
                <c:pt idx="811">
                  <c:v>8.5042449747759203</c:v>
                </c:pt>
                <c:pt idx="812">
                  <c:v>7.95281064106927</c:v>
                </c:pt>
                <c:pt idx="813">
                  <c:v>5.6796987101937599</c:v>
                </c:pt>
                <c:pt idx="814">
                  <c:v>3.9769594189389101</c:v>
                </c:pt>
                <c:pt idx="815">
                  <c:v>3.7276096392271598</c:v>
                </c:pt>
                <c:pt idx="816">
                  <c:v>7.5374740281069403</c:v>
                </c:pt>
                <c:pt idx="817">
                  <c:v>7.6765916047895297</c:v>
                </c:pt>
                <c:pt idx="818">
                  <c:v>7.7899818938337102</c:v>
                </c:pt>
                <c:pt idx="819">
                  <c:v>8.0365419392690693</c:v>
                </c:pt>
                <c:pt idx="820">
                  <c:v>7.1733979970750701</c:v>
                </c:pt>
                <c:pt idx="821">
                  <c:v>6.12018848473706</c:v>
                </c:pt>
                <c:pt idx="822">
                  <c:v>7.7217433598050897</c:v>
                </c:pt>
                <c:pt idx="823">
                  <c:v>7.6655104221021499</c:v>
                </c:pt>
                <c:pt idx="824">
                  <c:v>7.88516665345034</c:v>
                </c:pt>
                <c:pt idx="825">
                  <c:v>7.1549984743011601</c:v>
                </c:pt>
                <c:pt idx="826">
                  <c:v>9.3934311492718603</c:v>
                </c:pt>
                <c:pt idx="827">
                  <c:v>9.8824121918214693</c:v>
                </c:pt>
                <c:pt idx="828">
                  <c:v>5.8020653148474102</c:v>
                </c:pt>
                <c:pt idx="829">
                  <c:v>5.93539607786209</c:v>
                </c:pt>
                <c:pt idx="830">
                  <c:v>6.8233256152965804</c:v>
                </c:pt>
                <c:pt idx="831">
                  <c:v>8.6381883483580495</c:v>
                </c:pt>
                <c:pt idx="832">
                  <c:v>6.5676447409896896</c:v>
                </c:pt>
                <c:pt idx="833">
                  <c:v>9.4160608265538297</c:v>
                </c:pt>
                <c:pt idx="834">
                  <c:v>7.7363258475048902</c:v>
                </c:pt>
                <c:pt idx="835">
                  <c:v>8.1194077286928099</c:v>
                </c:pt>
                <c:pt idx="836">
                  <c:v>8.9800187618098501</c:v>
                </c:pt>
                <c:pt idx="837">
                  <c:v>7.6587206549795903</c:v>
                </c:pt>
                <c:pt idx="838">
                  <c:v>7.4497929625434098</c:v>
                </c:pt>
                <c:pt idx="839">
                  <c:v>7.7851297039802398</c:v>
                </c:pt>
                <c:pt idx="840">
                  <c:v>7.5519646242216201</c:v>
                </c:pt>
                <c:pt idx="841">
                  <c:v>6.9601898846483801</c:v>
                </c:pt>
                <c:pt idx="842">
                  <c:v>7.8275875432953397</c:v>
                </c:pt>
                <c:pt idx="843">
                  <c:v>3.1208220137605802</c:v>
                </c:pt>
                <c:pt idx="844">
                  <c:v>0.28198621499356602</c:v>
                </c:pt>
                <c:pt idx="845">
                  <c:v>7.0456631959746003</c:v>
                </c:pt>
                <c:pt idx="846">
                  <c:v>6.2798567897630999</c:v>
                </c:pt>
                <c:pt idx="847">
                  <c:v>6.6197449135568203</c:v>
                </c:pt>
                <c:pt idx="848">
                  <c:v>8.3746354282594293</c:v>
                </c:pt>
                <c:pt idx="849">
                  <c:v>6.5510382822228097</c:v>
                </c:pt>
                <c:pt idx="850">
                  <c:v>7.2596771269169302</c:v>
                </c:pt>
                <c:pt idx="851">
                  <c:v>7.1569046356437296</c:v>
                </c:pt>
                <c:pt idx="852">
                  <c:v>4.8508790239347199</c:v>
                </c:pt>
                <c:pt idx="853">
                  <c:v>6.1676595205291198</c:v>
                </c:pt>
                <c:pt idx="854">
                  <c:v>5.4554298354319499</c:v>
                </c:pt>
                <c:pt idx="855">
                  <c:v>5.8519805097239699</c:v>
                </c:pt>
                <c:pt idx="856">
                  <c:v>6.6058818505746899</c:v>
                </c:pt>
                <c:pt idx="857">
                  <c:v>5.4965281505262098</c:v>
                </c:pt>
                <c:pt idx="858">
                  <c:v>6.66036884816039</c:v>
                </c:pt>
                <c:pt idx="859">
                  <c:v>8.0972626420776503</c:v>
                </c:pt>
                <c:pt idx="860">
                  <c:v>8.6122788483457295</c:v>
                </c:pt>
                <c:pt idx="861">
                  <c:v>7.5209735980921204</c:v>
                </c:pt>
                <c:pt idx="862">
                  <c:v>6.3795748675788602</c:v>
                </c:pt>
                <c:pt idx="863">
                  <c:v>6.37014616262727</c:v>
                </c:pt>
                <c:pt idx="864">
                  <c:v>8.0774509734059503</c:v>
                </c:pt>
                <c:pt idx="865">
                  <c:v>8.2567526617206095</c:v>
                </c:pt>
                <c:pt idx="866">
                  <c:v>7.3378124632025301</c:v>
                </c:pt>
                <c:pt idx="867">
                  <c:v>6.5170698116558698</c:v>
                </c:pt>
                <c:pt idx="868">
                  <c:v>6.4800909099286299</c:v>
                </c:pt>
                <c:pt idx="869">
                  <c:v>9.0924555774836708</c:v>
                </c:pt>
                <c:pt idx="870">
                  <c:v>7.3021860171126596</c:v>
                </c:pt>
                <c:pt idx="871">
                  <c:v>9.9049028536285206</c:v>
                </c:pt>
                <c:pt idx="872">
                  <c:v>7.67811527722652</c:v>
                </c:pt>
                <c:pt idx="873">
                  <c:v>6.5255151981068797</c:v>
                </c:pt>
                <c:pt idx="874">
                  <c:v>5.0446155450944596</c:v>
                </c:pt>
                <c:pt idx="875">
                  <c:v>1.12796056793753</c:v>
                </c:pt>
                <c:pt idx="876">
                  <c:v>7.7123280066222799</c:v>
                </c:pt>
                <c:pt idx="877">
                  <c:v>9.0568393415699102</c:v>
                </c:pt>
                <c:pt idx="878">
                  <c:v>8.2593531150396196</c:v>
                </c:pt>
                <c:pt idx="879">
                  <c:v>6.5460910591915704</c:v>
                </c:pt>
                <c:pt idx="880">
                  <c:v>9.0221255281459101</c:v>
                </c:pt>
                <c:pt idx="881">
                  <c:v>5.1521428368488804</c:v>
                </c:pt>
                <c:pt idx="882">
                  <c:v>6.5077683412067504</c:v>
                </c:pt>
                <c:pt idx="883">
                  <c:v>10.0865356036921</c:v>
                </c:pt>
                <c:pt idx="884">
                  <c:v>4.6727240169386199</c:v>
                </c:pt>
                <c:pt idx="885">
                  <c:v>5.5031129287281297</c:v>
                </c:pt>
                <c:pt idx="886">
                  <c:v>7.3626608902960999</c:v>
                </c:pt>
                <c:pt idx="887">
                  <c:v>5.1263425071812696</c:v>
                </c:pt>
                <c:pt idx="888">
                  <c:v>7.4976598390098399</c:v>
                </c:pt>
                <c:pt idx="889">
                  <c:v>5.7786651619671501</c:v>
                </c:pt>
                <c:pt idx="890">
                  <c:v>9.3288486436938491</c:v>
                </c:pt>
                <c:pt idx="891">
                  <c:v>6.7753275773368697</c:v>
                </c:pt>
                <c:pt idx="892">
                  <c:v>7.8572504611305396</c:v>
                </c:pt>
                <c:pt idx="893">
                  <c:v>7.1076193300942103</c:v>
                </c:pt>
                <c:pt idx="894">
                  <c:v>9.0205798645603501</c:v>
                </c:pt>
                <c:pt idx="895">
                  <c:v>6.7933830957152201</c:v>
                </c:pt>
                <c:pt idx="896">
                  <c:v>8.7882480922531006</c:v>
                </c:pt>
                <c:pt idx="897">
                  <c:v>7.1634250111962503</c:v>
                </c:pt>
                <c:pt idx="898">
                  <c:v>7.8242621674715203</c:v>
                </c:pt>
                <c:pt idx="899">
                  <c:v>8.4521345920326691</c:v>
                </c:pt>
                <c:pt idx="900">
                  <c:v>6.6688794226589696</c:v>
                </c:pt>
                <c:pt idx="901">
                  <c:v>8.5745820926971508</c:v>
                </c:pt>
                <c:pt idx="902">
                  <c:v>8.9757948904870997</c:v>
                </c:pt>
                <c:pt idx="903">
                  <c:v>8.1557072610087094</c:v>
                </c:pt>
                <c:pt idx="904">
                  <c:v>3.0486407809517</c:v>
                </c:pt>
                <c:pt idx="905">
                  <c:v>6.3087123182863198</c:v>
                </c:pt>
                <c:pt idx="906">
                  <c:v>4.6567018944053098</c:v>
                </c:pt>
                <c:pt idx="907">
                  <c:v>9.8311940213918394</c:v>
                </c:pt>
                <c:pt idx="908">
                  <c:v>6.0208741015772897</c:v>
                </c:pt>
                <c:pt idx="909">
                  <c:v>5.0664307644809901</c:v>
                </c:pt>
                <c:pt idx="910">
                  <c:v>7.1525417488460503</c:v>
                </c:pt>
                <c:pt idx="911">
                  <c:v>6.4901903449117597</c:v>
                </c:pt>
                <c:pt idx="912">
                  <c:v>7.26991557737498</c:v>
                </c:pt>
                <c:pt idx="913">
                  <c:v>4.2196160355021801</c:v>
                </c:pt>
                <c:pt idx="914">
                  <c:v>5.0838650329120796</c:v>
                </c:pt>
                <c:pt idx="915">
                  <c:v>5.9811266713240698</c:v>
                </c:pt>
                <c:pt idx="916">
                  <c:v>4.7420848849427397</c:v>
                </c:pt>
                <c:pt idx="917">
                  <c:v>5.1328691659191001</c:v>
                </c:pt>
                <c:pt idx="918">
                  <c:v>6.5253950321878902</c:v>
                </c:pt>
                <c:pt idx="919">
                  <c:v>8.6615955698217899</c:v>
                </c:pt>
                <c:pt idx="920">
                  <c:v>7.1575062506368896</c:v>
                </c:pt>
                <c:pt idx="921">
                  <c:v>8.0425706555713106</c:v>
                </c:pt>
                <c:pt idx="922">
                  <c:v>7.8422634933765902</c:v>
                </c:pt>
                <c:pt idx="923">
                  <c:v>6.3807136949157899</c:v>
                </c:pt>
                <c:pt idx="924">
                  <c:v>7.8988003801687503</c:v>
                </c:pt>
                <c:pt idx="925">
                  <c:v>8.8410700457323905</c:v>
                </c:pt>
                <c:pt idx="926">
                  <c:v>7.3046019018632702</c:v>
                </c:pt>
                <c:pt idx="927">
                  <c:v>7.1296285428271</c:v>
                </c:pt>
                <c:pt idx="928">
                  <c:v>6.6138465733497096</c:v>
                </c:pt>
                <c:pt idx="929">
                  <c:v>4.12949787943763</c:v>
                </c:pt>
                <c:pt idx="930">
                  <c:v>1.18862315128202</c:v>
                </c:pt>
                <c:pt idx="931">
                  <c:v>0.77406251170513296</c:v>
                </c:pt>
                <c:pt idx="932">
                  <c:v>9.7433087523058202</c:v>
                </c:pt>
                <c:pt idx="933">
                  <c:v>6.6183586857984196</c:v>
                </c:pt>
                <c:pt idx="934">
                  <c:v>6.1297452095892799</c:v>
                </c:pt>
                <c:pt idx="935">
                  <c:v>4.6363098164908596</c:v>
                </c:pt>
                <c:pt idx="936">
                  <c:v>6.2109977911853997</c:v>
                </c:pt>
                <c:pt idx="937">
                  <c:v>9.1157866153255505</c:v>
                </c:pt>
                <c:pt idx="938">
                  <c:v>6.74972988039542</c:v>
                </c:pt>
                <c:pt idx="939">
                  <c:v>7.6494867287725201</c:v>
                </c:pt>
                <c:pt idx="940">
                  <c:v>6.2890891451738398</c:v>
                </c:pt>
                <c:pt idx="941">
                  <c:v>6.4871437854359302</c:v>
                </c:pt>
                <c:pt idx="942">
                  <c:v>7.3284827184195303</c:v>
                </c:pt>
                <c:pt idx="943">
                  <c:v>7.4088509416836601</c:v>
                </c:pt>
                <c:pt idx="944">
                  <c:v>7.1738511718153504</c:v>
                </c:pt>
                <c:pt idx="945">
                  <c:v>8.8981245099142399</c:v>
                </c:pt>
                <c:pt idx="946">
                  <c:v>8.0424520604486407</c:v>
                </c:pt>
                <c:pt idx="947">
                  <c:v>8.4828585827866103</c:v>
                </c:pt>
                <c:pt idx="948">
                  <c:v>6.2354613731789001</c:v>
                </c:pt>
                <c:pt idx="949">
                  <c:v>9.4782997040122599</c:v>
                </c:pt>
                <c:pt idx="950">
                  <c:v>7.6855639934081799</c:v>
                </c:pt>
                <c:pt idx="951">
                  <c:v>8.8481637619441997</c:v>
                </c:pt>
                <c:pt idx="952">
                  <c:v>8.59669654878393</c:v>
                </c:pt>
                <c:pt idx="953">
                  <c:v>7.48364833577482</c:v>
                </c:pt>
                <c:pt idx="954">
                  <c:v>5.8333830666128801</c:v>
                </c:pt>
                <c:pt idx="955">
                  <c:v>3.9743534678327599</c:v>
                </c:pt>
                <c:pt idx="956">
                  <c:v>7.2762356763958396</c:v>
                </c:pt>
                <c:pt idx="957">
                  <c:v>5.8293052793485201</c:v>
                </c:pt>
                <c:pt idx="958">
                  <c:v>8.7774606484788293</c:v>
                </c:pt>
                <c:pt idx="959">
                  <c:v>5.6512468763265202</c:v>
                </c:pt>
                <c:pt idx="960">
                  <c:v>8.2440692667799098</c:v>
                </c:pt>
                <c:pt idx="961">
                  <c:v>5.6228280291821502</c:v>
                </c:pt>
                <c:pt idx="962">
                  <c:v>7.2304995851467204</c:v>
                </c:pt>
                <c:pt idx="963">
                  <c:v>6.9678325941764099</c:v>
                </c:pt>
                <c:pt idx="964">
                  <c:v>7.1915320552697599</c:v>
                </c:pt>
                <c:pt idx="965">
                  <c:v>7.1912069004301102</c:v>
                </c:pt>
                <c:pt idx="966">
                  <c:v>8.8924374418130707</c:v>
                </c:pt>
                <c:pt idx="967">
                  <c:v>8.6976272813639692</c:v>
                </c:pt>
                <c:pt idx="968">
                  <c:v>7.2303487886993496</c:v>
                </c:pt>
                <c:pt idx="969">
                  <c:v>9.6893888121940996</c:v>
                </c:pt>
                <c:pt idx="970">
                  <c:v>7.5345531323372699</c:v>
                </c:pt>
                <c:pt idx="971">
                  <c:v>6.9976023261618199</c:v>
                </c:pt>
                <c:pt idx="972">
                  <c:v>8.7790424403799197</c:v>
                </c:pt>
                <c:pt idx="973">
                  <c:v>8.2375834487465696</c:v>
                </c:pt>
                <c:pt idx="974">
                  <c:v>7.62499016005615</c:v>
                </c:pt>
                <c:pt idx="975">
                  <c:v>8.3861925622338198</c:v>
                </c:pt>
                <c:pt idx="976">
                  <c:v>5.8722759836643297</c:v>
                </c:pt>
                <c:pt idx="977">
                  <c:v>4.2372497950667798</c:v>
                </c:pt>
                <c:pt idx="978">
                  <c:v>4.3918640629113703</c:v>
                </c:pt>
                <c:pt idx="979">
                  <c:v>2.7544227749613799</c:v>
                </c:pt>
                <c:pt idx="980">
                  <c:v>1.8640530054332101</c:v>
                </c:pt>
                <c:pt idx="981">
                  <c:v>0.54269128135171496</c:v>
                </c:pt>
                <c:pt idx="982">
                  <c:v>1.5007859345096399</c:v>
                </c:pt>
                <c:pt idx="983">
                  <c:v>1.6512470168661799</c:v>
                </c:pt>
                <c:pt idx="984">
                  <c:v>1.916396651431</c:v>
                </c:pt>
                <c:pt idx="985">
                  <c:v>7.4044362186072101</c:v>
                </c:pt>
                <c:pt idx="986">
                  <c:v>6.47191727124215</c:v>
                </c:pt>
                <c:pt idx="987">
                  <c:v>6.3041632921239303</c:v>
                </c:pt>
                <c:pt idx="988">
                  <c:v>9.2230798584272797</c:v>
                </c:pt>
                <c:pt idx="989">
                  <c:v>8.4363245270034799</c:v>
                </c:pt>
                <c:pt idx="990">
                  <c:v>7.1127393407213999</c:v>
                </c:pt>
                <c:pt idx="991">
                  <c:v>9.3926591028772393</c:v>
                </c:pt>
                <c:pt idx="992">
                  <c:v>6.1587154062443599</c:v>
                </c:pt>
                <c:pt idx="993">
                  <c:v>8.1413666759432406</c:v>
                </c:pt>
                <c:pt idx="994">
                  <c:v>8.1027470774526602</c:v>
                </c:pt>
                <c:pt idx="995">
                  <c:v>7.91415491426317</c:v>
                </c:pt>
                <c:pt idx="996">
                  <c:v>5.9571492507936998</c:v>
                </c:pt>
                <c:pt idx="997">
                  <c:v>6.0172172877285099</c:v>
                </c:pt>
                <c:pt idx="998">
                  <c:v>8.7414988373731894</c:v>
                </c:pt>
                <c:pt idx="999">
                  <c:v>7.6456202136141203</c:v>
                </c:pt>
                <c:pt idx="1000">
                  <c:v>7.3084095121594199</c:v>
                </c:pt>
                <c:pt idx="1001">
                  <c:v>7.4670505163877401</c:v>
                </c:pt>
                <c:pt idx="1002">
                  <c:v>8.2858226039424405</c:v>
                </c:pt>
                <c:pt idx="1003">
                  <c:v>8.4884553300989793</c:v>
                </c:pt>
                <c:pt idx="1004">
                  <c:v>7.1974531720236099</c:v>
                </c:pt>
                <c:pt idx="1005">
                  <c:v>2.4580417824290701</c:v>
                </c:pt>
                <c:pt idx="1006">
                  <c:v>1.55993112860245</c:v>
                </c:pt>
                <c:pt idx="1007">
                  <c:v>1.9937528727385001</c:v>
                </c:pt>
                <c:pt idx="1008">
                  <c:v>2.0595244711359002</c:v>
                </c:pt>
                <c:pt idx="1009">
                  <c:v>1.3131205411529701</c:v>
                </c:pt>
                <c:pt idx="1010">
                  <c:v>8.1663658994841803</c:v>
                </c:pt>
                <c:pt idx="1011">
                  <c:v>6.2025728250866301</c:v>
                </c:pt>
                <c:pt idx="1012">
                  <c:v>5.4999446325369803</c:v>
                </c:pt>
                <c:pt idx="1013">
                  <c:v>7.8292730077539998</c:v>
                </c:pt>
                <c:pt idx="1014">
                  <c:v>7.4749225621794801</c:v>
                </c:pt>
                <c:pt idx="1015">
                  <c:v>7.51578525782472</c:v>
                </c:pt>
                <c:pt idx="1016">
                  <c:v>8.2786448501271508</c:v>
                </c:pt>
                <c:pt idx="1017">
                  <c:v>6.4794955781207699</c:v>
                </c:pt>
                <c:pt idx="1018">
                  <c:v>7.6517557440665804</c:v>
                </c:pt>
                <c:pt idx="1019">
                  <c:v>7.0522511157691801</c:v>
                </c:pt>
                <c:pt idx="1020">
                  <c:v>6.4332780377974901</c:v>
                </c:pt>
                <c:pt idx="1021">
                  <c:v>8.7187521357648698</c:v>
                </c:pt>
                <c:pt idx="1022">
                  <c:v>5.2349787811423996</c:v>
                </c:pt>
                <c:pt idx="1023">
                  <c:v>7.4843905370392303</c:v>
                </c:pt>
                <c:pt idx="1024">
                  <c:v>7.8156628429804798</c:v>
                </c:pt>
                <c:pt idx="1025">
                  <c:v>8.0944257839114595</c:v>
                </c:pt>
                <c:pt idx="1026">
                  <c:v>6.9349047761759701</c:v>
                </c:pt>
                <c:pt idx="1027">
                  <c:v>9.3304280794004395</c:v>
                </c:pt>
                <c:pt idx="1028">
                  <c:v>8.6444448301276804</c:v>
                </c:pt>
                <c:pt idx="1029">
                  <c:v>2.7206844260563199</c:v>
                </c:pt>
                <c:pt idx="1030">
                  <c:v>6.7288932671204904</c:v>
                </c:pt>
                <c:pt idx="1031">
                  <c:v>7.4056959972612999</c:v>
                </c:pt>
                <c:pt idx="1032">
                  <c:v>7.5665251207728499</c:v>
                </c:pt>
                <c:pt idx="1033">
                  <c:v>8.2633625726637607</c:v>
                </c:pt>
                <c:pt idx="1034">
                  <c:v>6.5348260933339599</c:v>
                </c:pt>
                <c:pt idx="1035">
                  <c:v>8.9795718702548797</c:v>
                </c:pt>
                <c:pt idx="1036">
                  <c:v>9.7476441501677797</c:v>
                </c:pt>
                <c:pt idx="1037">
                  <c:v>9.4557163652219192</c:v>
                </c:pt>
                <c:pt idx="1038">
                  <c:v>6.0159857834082997</c:v>
                </c:pt>
                <c:pt idx="1039">
                  <c:v>7.3735669291930401</c:v>
                </c:pt>
                <c:pt idx="1040">
                  <c:v>6.1101039723190302</c:v>
                </c:pt>
                <c:pt idx="1041">
                  <c:v>5.8746643794792099</c:v>
                </c:pt>
                <c:pt idx="1042">
                  <c:v>8.7091412184393793</c:v>
                </c:pt>
                <c:pt idx="1043">
                  <c:v>7.6598618385110004</c:v>
                </c:pt>
                <c:pt idx="1044">
                  <c:v>5.6134213153791404</c:v>
                </c:pt>
                <c:pt idx="1045">
                  <c:v>6.7391607773105804</c:v>
                </c:pt>
                <c:pt idx="1046">
                  <c:v>7.8994577584315202</c:v>
                </c:pt>
                <c:pt idx="1047">
                  <c:v>7.9831246539819203</c:v>
                </c:pt>
                <c:pt idx="1048">
                  <c:v>6.3099587451716399</c:v>
                </c:pt>
                <c:pt idx="1049">
                  <c:v>1.8099516383457399</c:v>
                </c:pt>
                <c:pt idx="1050">
                  <c:v>8.1799792058503495</c:v>
                </c:pt>
                <c:pt idx="1051">
                  <c:v>7.3790655017349804</c:v>
                </c:pt>
                <c:pt idx="1052">
                  <c:v>7.27342395097088</c:v>
                </c:pt>
                <c:pt idx="1053">
                  <c:v>7.8396944559841097</c:v>
                </c:pt>
                <c:pt idx="1054">
                  <c:v>7.1905314580095903</c:v>
                </c:pt>
                <c:pt idx="1055">
                  <c:v>7.0673951631558101</c:v>
                </c:pt>
                <c:pt idx="1056">
                  <c:v>7.0856823739923502</c:v>
                </c:pt>
                <c:pt idx="1057">
                  <c:v>5.5143936025490099</c:v>
                </c:pt>
                <c:pt idx="1058">
                  <c:v>10.1841425312446</c:v>
                </c:pt>
                <c:pt idx="1059">
                  <c:v>5.8435076343372403</c:v>
                </c:pt>
                <c:pt idx="1060">
                  <c:v>6.7655595803787003</c:v>
                </c:pt>
                <c:pt idx="1061">
                  <c:v>7.6410696166553898</c:v>
                </c:pt>
                <c:pt idx="1062">
                  <c:v>6.4912820483588796</c:v>
                </c:pt>
                <c:pt idx="1063">
                  <c:v>5.9433992851471098</c:v>
                </c:pt>
                <c:pt idx="1064">
                  <c:v>7.4014132210762904</c:v>
                </c:pt>
                <c:pt idx="1065">
                  <c:v>8.47675603905701</c:v>
                </c:pt>
                <c:pt idx="1066">
                  <c:v>7.0125594487855603</c:v>
                </c:pt>
                <c:pt idx="1067">
                  <c:v>3.76757776636429</c:v>
                </c:pt>
                <c:pt idx="1068">
                  <c:v>0.74813651833138295</c:v>
                </c:pt>
                <c:pt idx="1069">
                  <c:v>5.4791205856326597</c:v>
                </c:pt>
                <c:pt idx="1070">
                  <c:v>7.1130778473298202</c:v>
                </c:pt>
                <c:pt idx="1071">
                  <c:v>9.2561898888016199</c:v>
                </c:pt>
                <c:pt idx="1072">
                  <c:v>8.1683773041806393</c:v>
                </c:pt>
                <c:pt idx="1073">
                  <c:v>8.3767921316161207</c:v>
                </c:pt>
                <c:pt idx="1074">
                  <c:v>8.9128499400797807</c:v>
                </c:pt>
                <c:pt idx="1075">
                  <c:v>8.2206895342518909</c:v>
                </c:pt>
                <c:pt idx="1076">
                  <c:v>7.4839452162805902</c:v>
                </c:pt>
                <c:pt idx="1077">
                  <c:v>8.5966266483473799</c:v>
                </c:pt>
                <c:pt idx="1078">
                  <c:v>7.7730879793390297</c:v>
                </c:pt>
                <c:pt idx="1079">
                  <c:v>7.4749225621794801</c:v>
                </c:pt>
                <c:pt idx="1080">
                  <c:v>8.5161736020816097</c:v>
                </c:pt>
                <c:pt idx="1081">
                  <c:v>7.0937146410094201</c:v>
                </c:pt>
                <c:pt idx="1082">
                  <c:v>8.4693285286257591</c:v>
                </c:pt>
                <c:pt idx="1083">
                  <c:v>7.6779691931681304</c:v>
                </c:pt>
                <c:pt idx="1084">
                  <c:v>6.8413803482767603</c:v>
                </c:pt>
                <c:pt idx="1085">
                  <c:v>7.1178412871908296</c:v>
                </c:pt>
                <c:pt idx="1086">
                  <c:v>7.2759788511964096</c:v>
                </c:pt>
                <c:pt idx="1087">
                  <c:v>1.67504850820794</c:v>
                </c:pt>
                <c:pt idx="1088">
                  <c:v>6.5766351937660898</c:v>
                </c:pt>
                <c:pt idx="1089">
                  <c:v>6.2516358629558999</c:v>
                </c:pt>
                <c:pt idx="1090">
                  <c:v>6.6437631747916797</c:v>
                </c:pt>
                <c:pt idx="1091">
                  <c:v>8.7533536372515108</c:v>
                </c:pt>
                <c:pt idx="1092">
                  <c:v>7.6268939652042302</c:v>
                </c:pt>
                <c:pt idx="1093">
                  <c:v>6.4249433924875099</c:v>
                </c:pt>
                <c:pt idx="1094">
                  <c:v>9.5303841686161199</c:v>
                </c:pt>
                <c:pt idx="1095">
                  <c:v>5.7665692448526604</c:v>
                </c:pt>
                <c:pt idx="1096">
                  <c:v>6.1778076501983801</c:v>
                </c:pt>
                <c:pt idx="1097">
                  <c:v>7.53570609684113</c:v>
                </c:pt>
                <c:pt idx="1098">
                  <c:v>7.6760104101486197</c:v>
                </c:pt>
                <c:pt idx="1099">
                  <c:v>7.1016094633478897</c:v>
                </c:pt>
                <c:pt idx="1100">
                  <c:v>6.8727475801265303</c:v>
                </c:pt>
                <c:pt idx="1101">
                  <c:v>7.9255023469279404</c:v>
                </c:pt>
                <c:pt idx="1102">
                  <c:v>6.7460212302678597</c:v>
                </c:pt>
                <c:pt idx="1103">
                  <c:v>9.4043379735669603</c:v>
                </c:pt>
                <c:pt idx="1104">
                  <c:v>11.1434922506677</c:v>
                </c:pt>
                <c:pt idx="1105">
                  <c:v>1.97545545172583</c:v>
                </c:pt>
                <c:pt idx="1106">
                  <c:v>8.3143749687745903</c:v>
                </c:pt>
                <c:pt idx="1107">
                  <c:v>7.2355025714475598</c:v>
                </c:pt>
                <c:pt idx="1108">
                  <c:v>8.8862736370267292</c:v>
                </c:pt>
                <c:pt idx="1109">
                  <c:v>6.5993465524570603</c:v>
                </c:pt>
                <c:pt idx="1110">
                  <c:v>7.5967488128967098</c:v>
                </c:pt>
                <c:pt idx="1111">
                  <c:v>6.5224073775743197</c:v>
                </c:pt>
                <c:pt idx="1112">
                  <c:v>8.9716204992486404</c:v>
                </c:pt>
                <c:pt idx="1113">
                  <c:v>6.3670257757241</c:v>
                </c:pt>
                <c:pt idx="1114">
                  <c:v>8.3891205265869697</c:v>
                </c:pt>
                <c:pt idx="1115">
                  <c:v>7.66287384046763</c:v>
                </c:pt>
                <c:pt idx="1116">
                  <c:v>7.3536115326574301</c:v>
                </c:pt>
                <c:pt idx="1117">
                  <c:v>7.7841542394612997</c:v>
                </c:pt>
                <c:pt idx="1118">
                  <c:v>7.32121228762096</c:v>
                </c:pt>
                <c:pt idx="1119">
                  <c:v>5.7935044748663804</c:v>
                </c:pt>
                <c:pt idx="1120">
                  <c:v>3.6903307154015002</c:v>
                </c:pt>
                <c:pt idx="1121">
                  <c:v>1.59080041801663</c:v>
                </c:pt>
                <c:pt idx="1122">
                  <c:v>2.1741305565370102</c:v>
                </c:pt>
                <c:pt idx="1123">
                  <c:v>0.52170387162940801</c:v>
                </c:pt>
                <c:pt idx="1124">
                  <c:v>6.6485855195149401</c:v>
                </c:pt>
                <c:pt idx="1125">
                  <c:v>7.97596889131521</c:v>
                </c:pt>
                <c:pt idx="1126">
                  <c:v>7.9717426637979703</c:v>
                </c:pt>
                <c:pt idx="1127">
                  <c:v>8.8529758964913299</c:v>
                </c:pt>
                <c:pt idx="1128">
                  <c:v>7.0694646873163602</c:v>
                </c:pt>
                <c:pt idx="1129">
                  <c:v>8.3571461819568906</c:v>
                </c:pt>
                <c:pt idx="1130">
                  <c:v>7.3311098752761001</c:v>
                </c:pt>
                <c:pt idx="1131">
                  <c:v>9.48630762368626</c:v>
                </c:pt>
                <c:pt idx="1132">
                  <c:v>7.3853769613760498</c:v>
                </c:pt>
                <c:pt idx="1133">
                  <c:v>6.9584431591329903</c:v>
                </c:pt>
                <c:pt idx="1134">
                  <c:v>8.1702708991525892</c:v>
                </c:pt>
                <c:pt idx="1135">
                  <c:v>9.5266692353032507</c:v>
                </c:pt>
                <c:pt idx="1136">
                  <c:v>8.9266273946620895</c:v>
                </c:pt>
                <c:pt idx="1137">
                  <c:v>8.0815311168648005</c:v>
                </c:pt>
                <c:pt idx="1138">
                  <c:v>6.7261443735485997</c:v>
                </c:pt>
                <c:pt idx="1139">
                  <c:v>6.6782217338125802</c:v>
                </c:pt>
                <c:pt idx="1140">
                  <c:v>5.4932043454987101</c:v>
                </c:pt>
                <c:pt idx="1141">
                  <c:v>0.93411173484042798</c:v>
                </c:pt>
                <c:pt idx="1142">
                  <c:v>7.5640943134571303</c:v>
                </c:pt>
                <c:pt idx="1143">
                  <c:v>6.6798977734932699</c:v>
                </c:pt>
                <c:pt idx="1144">
                  <c:v>8.6997949802949499</c:v>
                </c:pt>
                <c:pt idx="1145">
                  <c:v>7.3619909456627202</c:v>
                </c:pt>
                <c:pt idx="1146">
                  <c:v>6.7113922398454999</c:v>
                </c:pt>
                <c:pt idx="1147">
                  <c:v>6.6565887267999502</c:v>
                </c:pt>
                <c:pt idx="1148">
                  <c:v>8.7345260724785394</c:v>
                </c:pt>
                <c:pt idx="1149">
                  <c:v>8.8241871268119993</c:v>
                </c:pt>
                <c:pt idx="1150">
                  <c:v>7.3318724968927604</c:v>
                </c:pt>
                <c:pt idx="1151">
                  <c:v>7.3171415689400696</c:v>
                </c:pt>
                <c:pt idx="1152">
                  <c:v>7.3730305022474401</c:v>
                </c:pt>
                <c:pt idx="1153">
                  <c:v>7.4512915022391804</c:v>
                </c:pt>
                <c:pt idx="1154">
                  <c:v>9.8270895305899195</c:v>
                </c:pt>
                <c:pt idx="1155">
                  <c:v>6.8426652596720796</c:v>
                </c:pt>
                <c:pt idx="1156">
                  <c:v>8.5710485863600301</c:v>
                </c:pt>
                <c:pt idx="1157">
                  <c:v>9.6739769440337504</c:v>
                </c:pt>
                <c:pt idx="1158">
                  <c:v>6.6162004116454103</c:v>
                </c:pt>
                <c:pt idx="1159">
                  <c:v>2.4418806444208401</c:v>
                </c:pt>
                <c:pt idx="1160">
                  <c:v>5.2493916228389104</c:v>
                </c:pt>
                <c:pt idx="1161">
                  <c:v>8.0963672881713808</c:v>
                </c:pt>
                <c:pt idx="1162">
                  <c:v>8.4471826566124495</c:v>
                </c:pt>
                <c:pt idx="1163">
                  <c:v>7.4159972795724203</c:v>
                </c:pt>
                <c:pt idx="1164">
                  <c:v>7.9199684314686403</c:v>
                </c:pt>
                <c:pt idx="1165">
                  <c:v>6.6971404047724903</c:v>
                </c:pt>
                <c:pt idx="1166">
                  <c:v>7.6824121905784697</c:v>
                </c:pt>
                <c:pt idx="1167">
                  <c:v>6.9469574963914704</c:v>
                </c:pt>
                <c:pt idx="1168">
                  <c:v>7.6054596639269496</c:v>
                </c:pt>
                <c:pt idx="1169">
                  <c:v>8.8379096035228795</c:v>
                </c:pt>
                <c:pt idx="1170">
                  <c:v>7.9596553860632797</c:v>
                </c:pt>
                <c:pt idx="1171">
                  <c:v>7.3103337376597404</c:v>
                </c:pt>
                <c:pt idx="1172">
                  <c:v>7.4254715376174802</c:v>
                </c:pt>
                <c:pt idx="1173">
                  <c:v>10.0498606510541</c:v>
                </c:pt>
                <c:pt idx="1174">
                  <c:v>9.4602316192633005</c:v>
                </c:pt>
                <c:pt idx="1175">
                  <c:v>6.2756996772842397</c:v>
                </c:pt>
                <c:pt idx="1176">
                  <c:v>3.0252162807283698</c:v>
                </c:pt>
                <c:pt idx="1177">
                  <c:v>0.56437533924495498</c:v>
                </c:pt>
                <c:pt idx="1178">
                  <c:v>9.8421322616134699</c:v>
                </c:pt>
                <c:pt idx="1179">
                  <c:v>6.42766165553103</c:v>
                </c:pt>
                <c:pt idx="1180">
                  <c:v>6.78604512067459</c:v>
                </c:pt>
                <c:pt idx="1181">
                  <c:v>7.5675869790897599</c:v>
                </c:pt>
                <c:pt idx="1182">
                  <c:v>9.6177133758024507</c:v>
                </c:pt>
                <c:pt idx="1183">
                  <c:v>7.09599072488695</c:v>
                </c:pt>
                <c:pt idx="1184">
                  <c:v>8.3616724315725506</c:v>
                </c:pt>
                <c:pt idx="1185">
                  <c:v>7.0126654775376203</c:v>
                </c:pt>
                <c:pt idx="1186">
                  <c:v>6.74115490324745</c:v>
                </c:pt>
                <c:pt idx="1187">
                  <c:v>8.2687315545087507</c:v>
                </c:pt>
                <c:pt idx="1188">
                  <c:v>8.5937136065593407</c:v>
                </c:pt>
                <c:pt idx="1189">
                  <c:v>7.0513667574371901</c:v>
                </c:pt>
                <c:pt idx="1190">
                  <c:v>9.9284027520755398</c:v>
                </c:pt>
                <c:pt idx="1191">
                  <c:v>6.6370660846523899</c:v>
                </c:pt>
                <c:pt idx="1192">
                  <c:v>9.8305971187876509</c:v>
                </c:pt>
                <c:pt idx="1193">
                  <c:v>3.9655695747733199</c:v>
                </c:pt>
                <c:pt idx="1194">
                  <c:v>0.59844826776762605</c:v>
                </c:pt>
                <c:pt idx="1195">
                  <c:v>2.0163660566590398</c:v>
                </c:pt>
                <c:pt idx="1196">
                  <c:v>5.9036895540057301</c:v>
                </c:pt>
                <c:pt idx="1197">
                  <c:v>8.0049571521280392</c:v>
                </c:pt>
                <c:pt idx="1198">
                  <c:v>8.9882222456265399</c:v>
                </c:pt>
                <c:pt idx="1199">
                  <c:v>7.3389709254935402</c:v>
                </c:pt>
                <c:pt idx="1200">
                  <c:v>7.8296130851587398</c:v>
                </c:pt>
                <c:pt idx="1201">
                  <c:v>7.0235039721925103</c:v>
                </c:pt>
                <c:pt idx="1202">
                  <c:v>8.1225249740033298</c:v>
                </c:pt>
                <c:pt idx="1203">
                  <c:v>6.1076016937704498</c:v>
                </c:pt>
                <c:pt idx="1204">
                  <c:v>6.7859021782088602</c:v>
                </c:pt>
                <c:pt idx="1205">
                  <c:v>8.5706833762140402</c:v>
                </c:pt>
                <c:pt idx="1206">
                  <c:v>6.6382371133140099</c:v>
                </c:pt>
                <c:pt idx="1207">
                  <c:v>6.0143034605423003</c:v>
                </c:pt>
                <c:pt idx="1208">
                  <c:v>3.1002485088703802</c:v>
                </c:pt>
                <c:pt idx="1209">
                  <c:v>0.81206164564662797</c:v>
                </c:pt>
                <c:pt idx="1210">
                  <c:v>5.9606890403161401</c:v>
                </c:pt>
                <c:pt idx="1211">
                  <c:v>7.9162605667392398</c:v>
                </c:pt>
                <c:pt idx="1212">
                  <c:v>6.2730929407799199</c:v>
                </c:pt>
                <c:pt idx="1213">
                  <c:v>8.7779444537474802</c:v>
                </c:pt>
                <c:pt idx="1214">
                  <c:v>7.1023453814269901</c:v>
                </c:pt>
                <c:pt idx="1215">
                  <c:v>7.06370065019519</c:v>
                </c:pt>
                <c:pt idx="1216">
                  <c:v>6.4271362241597201</c:v>
                </c:pt>
                <c:pt idx="1217">
                  <c:v>6.5390766681942702</c:v>
                </c:pt>
                <c:pt idx="1218">
                  <c:v>7.6030948300569596</c:v>
                </c:pt>
                <c:pt idx="1219">
                  <c:v>6.8619122270643</c:v>
                </c:pt>
                <c:pt idx="1220">
                  <c:v>6.4687175591244701</c:v>
                </c:pt>
                <c:pt idx="1221">
                  <c:v>6.3458153129233796</c:v>
                </c:pt>
                <c:pt idx="1222">
                  <c:v>7.4853801387251098</c:v>
                </c:pt>
                <c:pt idx="1223">
                  <c:v>2.1790188747060002</c:v>
                </c:pt>
                <c:pt idx="1224">
                  <c:v>6.9641153046690496</c:v>
                </c:pt>
                <c:pt idx="1225">
                  <c:v>8.5298819416255398</c:v>
                </c:pt>
                <c:pt idx="1226">
                  <c:v>6.3668765500730498</c:v>
                </c:pt>
                <c:pt idx="1227">
                  <c:v>7.3226071547591598</c:v>
                </c:pt>
                <c:pt idx="1228">
                  <c:v>6.2550303538181096</c:v>
                </c:pt>
                <c:pt idx="1229">
                  <c:v>7.6919689154306896</c:v>
                </c:pt>
                <c:pt idx="1230">
                  <c:v>7.7748763309570901</c:v>
                </c:pt>
                <c:pt idx="1231">
                  <c:v>8.0268862542482609</c:v>
                </c:pt>
                <c:pt idx="1232">
                  <c:v>9.7207772497942795</c:v>
                </c:pt>
                <c:pt idx="1233">
                  <c:v>6.6668240356653499</c:v>
                </c:pt>
                <c:pt idx="1234">
                  <c:v>6.1356608285559897</c:v>
                </c:pt>
                <c:pt idx="1235">
                  <c:v>5.5777815175204903</c:v>
                </c:pt>
                <c:pt idx="1236">
                  <c:v>3.1535943229246599</c:v>
                </c:pt>
                <c:pt idx="1237">
                  <c:v>8.6400371756346903</c:v>
                </c:pt>
                <c:pt idx="1238">
                  <c:v>7.8487045437146099</c:v>
                </c:pt>
                <c:pt idx="1239">
                  <c:v>7.53092066583155</c:v>
                </c:pt>
                <c:pt idx="1240">
                  <c:v>9.1505499088338507</c:v>
                </c:pt>
                <c:pt idx="1241">
                  <c:v>6.3466085650684096</c:v>
                </c:pt>
                <c:pt idx="1242">
                  <c:v>8.6108352865214108</c:v>
                </c:pt>
                <c:pt idx="1243">
                  <c:v>7.7592579030797699</c:v>
                </c:pt>
                <c:pt idx="1244">
                  <c:v>7.2925209073138904</c:v>
                </c:pt>
                <c:pt idx="1245">
                  <c:v>6.8497636882728603</c:v>
                </c:pt>
                <c:pt idx="1246">
                  <c:v>7.8342021666274704</c:v>
                </c:pt>
                <c:pt idx="1247">
                  <c:v>7.6028199406997699</c:v>
                </c:pt>
                <c:pt idx="1248">
                  <c:v>8.9056282039673302</c:v>
                </c:pt>
                <c:pt idx="1249">
                  <c:v>1.4961780034849901</c:v>
                </c:pt>
                <c:pt idx="1250">
                  <c:v>7.6901884177942703</c:v>
                </c:pt>
                <c:pt idx="1251">
                  <c:v>7.7491513995131696</c:v>
                </c:pt>
                <c:pt idx="1252">
                  <c:v>6.4859491948294101</c:v>
                </c:pt>
                <c:pt idx="1253">
                  <c:v>8.8672976320008896</c:v>
                </c:pt>
                <c:pt idx="1254">
                  <c:v>7.0426559064069503</c:v>
                </c:pt>
                <c:pt idx="1255">
                  <c:v>6.2468763500857198</c:v>
                </c:pt>
                <c:pt idx="1256">
                  <c:v>7.6021287903159802</c:v>
                </c:pt>
                <c:pt idx="1257">
                  <c:v>7.6658057318115898</c:v>
                </c:pt>
                <c:pt idx="1258">
                  <c:v>3.1761768763168301</c:v>
                </c:pt>
                <c:pt idx="1259">
                  <c:v>1.4935021519423</c:v>
                </c:pt>
                <c:pt idx="1260">
                  <c:v>2.4281887982383301</c:v>
                </c:pt>
                <c:pt idx="1261">
                  <c:v>1.1833594127909299</c:v>
                </c:pt>
                <c:pt idx="1262">
                  <c:v>6.5459119884103103</c:v>
                </c:pt>
                <c:pt idx="1263">
                  <c:v>7.7586390093270099</c:v>
                </c:pt>
                <c:pt idx="1264">
                  <c:v>7.0304814494761301</c:v>
                </c:pt>
                <c:pt idx="1265">
                  <c:v>6.7177531795708596</c:v>
                </c:pt>
                <c:pt idx="1266">
                  <c:v>7.76973511457948</c:v>
                </c:pt>
                <c:pt idx="1267">
                  <c:v>6.7393382772955102</c:v>
                </c:pt>
                <c:pt idx="1268">
                  <c:v>6.8355762558492499</c:v>
                </c:pt>
                <c:pt idx="1269">
                  <c:v>9.22621909488638</c:v>
                </c:pt>
                <c:pt idx="1270">
                  <c:v>7.8324892132331101</c:v>
                </c:pt>
                <c:pt idx="1271">
                  <c:v>7.6959343907576798</c:v>
                </c:pt>
                <c:pt idx="1272">
                  <c:v>1.39322094364338</c:v>
                </c:pt>
                <c:pt idx="1273">
                  <c:v>8.6650717420929801</c:v>
                </c:pt>
                <c:pt idx="1274">
                  <c:v>8.5725887521584507</c:v>
                </c:pt>
                <c:pt idx="1275">
                  <c:v>8.6857426363554406</c:v>
                </c:pt>
                <c:pt idx="1276">
                  <c:v>7.1727633953590502</c:v>
                </c:pt>
                <c:pt idx="1277">
                  <c:v>6.0221786479266903</c:v>
                </c:pt>
                <c:pt idx="1278">
                  <c:v>7.3467015996158596</c:v>
                </c:pt>
                <c:pt idx="1279">
                  <c:v>6.4155665238147099</c:v>
                </c:pt>
                <c:pt idx="1280">
                  <c:v>6.8886770256765599</c:v>
                </c:pt>
                <c:pt idx="1281">
                  <c:v>8.1261731484723203</c:v>
                </c:pt>
                <c:pt idx="1282">
                  <c:v>1.3839422497410001</c:v>
                </c:pt>
                <c:pt idx="1283">
                  <c:v>6.6767930945533598</c:v>
                </c:pt>
                <c:pt idx="1284">
                  <c:v>6.4650434665161001</c:v>
                </c:pt>
                <c:pt idx="1285">
                  <c:v>8.3923037453432201</c:v>
                </c:pt>
                <c:pt idx="1286">
                  <c:v>8.1451208791642795</c:v>
                </c:pt>
                <c:pt idx="1287">
                  <c:v>9.1072925341883995</c:v>
                </c:pt>
                <c:pt idx="1288">
                  <c:v>8.2284838256254407</c:v>
                </c:pt>
                <c:pt idx="1289">
                  <c:v>7.5480164276542299</c:v>
                </c:pt>
                <c:pt idx="1290">
                  <c:v>7.5041417300523499</c:v>
                </c:pt>
                <c:pt idx="1291">
                  <c:v>7.4568057827443903</c:v>
                </c:pt>
                <c:pt idx="1292">
                  <c:v>8.9107317212330894</c:v>
                </c:pt>
                <c:pt idx="1293">
                  <c:v>2.0623306987737098</c:v>
                </c:pt>
                <c:pt idx="1294">
                  <c:v>8.0677269587449292</c:v>
                </c:pt>
                <c:pt idx="1295">
                  <c:v>7.8608868546270703</c:v>
                </c:pt>
                <c:pt idx="1296">
                  <c:v>8.7477678855134293</c:v>
                </c:pt>
                <c:pt idx="1297">
                  <c:v>8.1466571179718894</c:v>
                </c:pt>
                <c:pt idx="1298">
                  <c:v>9.4589655574238893</c:v>
                </c:pt>
                <c:pt idx="1299">
                  <c:v>6.1489458384898503</c:v>
                </c:pt>
                <c:pt idx="1300">
                  <c:v>10.3815075919193</c:v>
                </c:pt>
                <c:pt idx="1301">
                  <c:v>8.6820614751636001</c:v>
                </c:pt>
                <c:pt idx="1302">
                  <c:v>8.0101839769054504</c:v>
                </c:pt>
                <c:pt idx="1303">
                  <c:v>4.5496073570389299</c:v>
                </c:pt>
                <c:pt idx="1304">
                  <c:v>0.59837208414577703</c:v>
                </c:pt>
                <c:pt idx="1305">
                  <c:v>1.9258159316046199</c:v>
                </c:pt>
                <c:pt idx="1306">
                  <c:v>7.6360422830114798</c:v>
                </c:pt>
                <c:pt idx="1307">
                  <c:v>8.1422973727668602</c:v>
                </c:pt>
                <c:pt idx="1308">
                  <c:v>8.7643908376417308</c:v>
                </c:pt>
                <c:pt idx="1309">
                  <c:v>8.5640608989002693</c:v>
                </c:pt>
                <c:pt idx="1310">
                  <c:v>7.3091454302385204</c:v>
                </c:pt>
                <c:pt idx="1311">
                  <c:v>7.3525897296468603</c:v>
                </c:pt>
                <c:pt idx="1312">
                  <c:v>3.7228061440598199</c:v>
                </c:pt>
                <c:pt idx="1313">
                  <c:v>0.88835051085007599</c:v>
                </c:pt>
                <c:pt idx="1314">
                  <c:v>7.0666647428638498</c:v>
                </c:pt>
                <c:pt idx="1315">
                  <c:v>8.1221880381912399</c:v>
                </c:pt>
                <c:pt idx="1316">
                  <c:v>7.6116148293335</c:v>
                </c:pt>
                <c:pt idx="1317">
                  <c:v>5.9536518727720997</c:v>
                </c:pt>
                <c:pt idx="1318">
                  <c:v>3.27592165767014</c:v>
                </c:pt>
                <c:pt idx="1319">
                  <c:v>2.11461543990925</c:v>
                </c:pt>
                <c:pt idx="1320">
                  <c:v>0.32622612274141699</c:v>
                </c:pt>
                <c:pt idx="1321">
                  <c:v>6.6225825571211701</c:v>
                </c:pt>
                <c:pt idx="1322">
                  <c:v>6.3316074601475201</c:v>
                </c:pt>
                <c:pt idx="1323">
                  <c:v>6.2784925531532796</c:v>
                </c:pt>
                <c:pt idx="1324">
                  <c:v>6.7627667045096604</c:v>
                </c:pt>
                <c:pt idx="1325">
                  <c:v>3.7031060019273201</c:v>
                </c:pt>
                <c:pt idx="1326">
                  <c:v>0.59404611106178395</c:v>
                </c:pt>
                <c:pt idx="1327">
                  <c:v>6.8214445866952502</c:v>
                </c:pt>
                <c:pt idx="1328">
                  <c:v>6.6215772474720298</c:v>
                </c:pt>
                <c:pt idx="1329">
                  <c:v>9.4798115954768001</c:v>
                </c:pt>
                <c:pt idx="1330">
                  <c:v>1.53290165080913</c:v>
                </c:pt>
                <c:pt idx="1331">
                  <c:v>5.3320414277677202</c:v>
                </c:pt>
                <c:pt idx="1332">
                  <c:v>9.0436250174707595</c:v>
                </c:pt>
                <c:pt idx="1333">
                  <c:v>6.8948683193986202</c:v>
                </c:pt>
                <c:pt idx="1334">
                  <c:v>6.5530245541780401</c:v>
                </c:pt>
                <c:pt idx="1335">
                  <c:v>9.0868737527364001</c:v>
                </c:pt>
                <c:pt idx="1336">
                  <c:v>1.5990918664276099</c:v>
                </c:pt>
                <c:pt idx="1337">
                  <c:v>8.1111767559404004</c:v>
                </c:pt>
                <c:pt idx="1338">
                  <c:v>9.99957317744812</c:v>
                </c:pt>
                <c:pt idx="1339">
                  <c:v>6.4931622915620499</c:v>
                </c:pt>
                <c:pt idx="1340">
                  <c:v>7.51796787932079</c:v>
                </c:pt>
                <c:pt idx="1341">
                  <c:v>6.4470342866293997</c:v>
                </c:pt>
                <c:pt idx="1342">
                  <c:v>1.00946597622943</c:v>
                </c:pt>
                <c:pt idx="1343">
                  <c:v>5.5019576080297803</c:v>
                </c:pt>
                <c:pt idx="1344">
                  <c:v>7.5315372033898198</c:v>
                </c:pt>
                <c:pt idx="1345">
                  <c:v>7.7776990519563398</c:v>
                </c:pt>
                <c:pt idx="1346">
                  <c:v>6.9020452878157403</c:v>
                </c:pt>
                <c:pt idx="1347">
                  <c:v>4.8997692742080501</c:v>
                </c:pt>
                <c:pt idx="1348">
                  <c:v>0.46339512658061799</c:v>
                </c:pt>
                <c:pt idx="1349">
                  <c:v>6.5907794292907198</c:v>
                </c:pt>
                <c:pt idx="1350">
                  <c:v>6.8999333521543704</c:v>
                </c:pt>
                <c:pt idx="1351">
                  <c:v>7.8250664151908396</c:v>
                </c:pt>
                <c:pt idx="1352">
                  <c:v>6.0378567660644302</c:v>
                </c:pt>
                <c:pt idx="1353">
                  <c:v>2.5148017222996399</c:v>
                </c:pt>
                <c:pt idx="1354">
                  <c:v>7.3907404454338801</c:v>
                </c:pt>
                <c:pt idx="1355">
                  <c:v>7.2725034643233801</c:v>
                </c:pt>
                <c:pt idx="1356">
                  <c:v>5.9182877496688002</c:v>
                </c:pt>
                <c:pt idx="1357">
                  <c:v>4.0340790711683097</c:v>
                </c:pt>
                <c:pt idx="1358">
                  <c:v>0.45094185330178799</c:v>
                </c:pt>
                <c:pt idx="1359">
                  <c:v>1.9191353348267599</c:v>
                </c:pt>
                <c:pt idx="1360">
                  <c:v>7.2910875556656896</c:v>
                </c:pt>
                <c:pt idx="1361">
                  <c:v>8.0511723362568404</c:v>
                </c:pt>
                <c:pt idx="1362">
                  <c:v>1.52606947218573</c:v>
                </c:pt>
                <c:pt idx="1363">
                  <c:v>6.7845308730155596</c:v>
                </c:pt>
                <c:pt idx="1364">
                  <c:v>7.5886285812853398</c:v>
                </c:pt>
                <c:pt idx="1365">
                  <c:v>1.8875953153810501</c:v>
                </c:pt>
                <c:pt idx="1366">
                  <c:v>3.2956021648485598</c:v>
                </c:pt>
                <c:pt idx="1367">
                  <c:v>2.36889673468897</c:v>
                </c:pt>
                <c:pt idx="1368">
                  <c:v>0.38182838571914002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DD-8F40-A42D-0A11EED9E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043887"/>
        <c:axId val="208046159"/>
      </c:scatterChart>
      <c:valAx>
        <c:axId val="20804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Stand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08046159"/>
        <c:crosses val="autoZero"/>
        <c:crossBetween val="midCat"/>
      </c:valAx>
      <c:valAx>
        <c:axId val="20804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Basal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08043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Characteristics</a:t>
            </a:r>
            <a:r>
              <a:rPr lang="en-US" baseline="0"/>
              <a:t> of Plot at Year 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 - init data frm model c=1'!$F$1</c:f>
              <c:strCache>
                <c:ptCount val="1"/>
                <c:pt idx="0">
                  <c:v>mean_dbh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'Input - init data frm model c=1'!$C$2:$C$1370</c:f>
              <c:numCache>
                <c:formatCode>General</c:formatCode>
                <c:ptCount val="1369"/>
                <c:pt idx="0">
                  <c:v>27.717411924119201</c:v>
                </c:pt>
                <c:pt idx="1">
                  <c:v>28.456217732884401</c:v>
                </c:pt>
                <c:pt idx="2">
                  <c:v>31.057195767195701</c:v>
                </c:pt>
                <c:pt idx="3">
                  <c:v>27.5658692810457</c:v>
                </c:pt>
                <c:pt idx="4">
                  <c:v>26.4943666666666</c:v>
                </c:pt>
                <c:pt idx="5">
                  <c:v>26.652677777777701</c:v>
                </c:pt>
                <c:pt idx="6">
                  <c:v>23.657777777777699</c:v>
                </c:pt>
                <c:pt idx="7">
                  <c:v>28.7141931216931</c:v>
                </c:pt>
                <c:pt idx="8">
                  <c:v>27.826352413018999</c:v>
                </c:pt>
                <c:pt idx="9">
                  <c:v>27.0102469135802</c:v>
                </c:pt>
                <c:pt idx="10">
                  <c:v>28.0624111111111</c:v>
                </c:pt>
                <c:pt idx="11">
                  <c:v>27.953024054982802</c:v>
                </c:pt>
                <c:pt idx="12">
                  <c:v>28.677874396135199</c:v>
                </c:pt>
                <c:pt idx="13">
                  <c:v>29.365319865319801</c:v>
                </c:pt>
                <c:pt idx="14">
                  <c:v>26.770900000000001</c:v>
                </c:pt>
                <c:pt idx="15">
                  <c:v>28.517622222222201</c:v>
                </c:pt>
                <c:pt idx="16">
                  <c:v>26.5225222222222</c:v>
                </c:pt>
                <c:pt idx="17">
                  <c:v>27.0637934904601</c:v>
                </c:pt>
                <c:pt idx="18">
                  <c:v>27.010011111111101</c:v>
                </c:pt>
                <c:pt idx="19">
                  <c:v>26.705555555555499</c:v>
                </c:pt>
                <c:pt idx="20">
                  <c:v>26.478980526918601</c:v>
                </c:pt>
                <c:pt idx="21">
                  <c:v>26.670555555555499</c:v>
                </c:pt>
                <c:pt idx="22">
                  <c:v>27.219650436953799</c:v>
                </c:pt>
                <c:pt idx="23">
                  <c:v>27.017721661054999</c:v>
                </c:pt>
                <c:pt idx="24">
                  <c:v>25.991166666666601</c:v>
                </c:pt>
                <c:pt idx="25">
                  <c:v>26.991999999999901</c:v>
                </c:pt>
                <c:pt idx="26">
                  <c:v>26.666233333333299</c:v>
                </c:pt>
                <c:pt idx="27">
                  <c:v>27.281755555555499</c:v>
                </c:pt>
                <c:pt idx="28">
                  <c:v>26.6901444444444</c:v>
                </c:pt>
                <c:pt idx="29">
                  <c:v>27.467288888888799</c:v>
                </c:pt>
                <c:pt idx="30">
                  <c:v>26.5150111111111</c:v>
                </c:pt>
                <c:pt idx="31">
                  <c:v>24.6482888888888</c:v>
                </c:pt>
                <c:pt idx="32">
                  <c:v>28.638502923976599</c:v>
                </c:pt>
                <c:pt idx="33">
                  <c:v>26.016643274853799</c:v>
                </c:pt>
                <c:pt idx="34">
                  <c:v>27.098694158075599</c:v>
                </c:pt>
                <c:pt idx="35">
                  <c:v>24.845440613026799</c:v>
                </c:pt>
                <c:pt idx="36">
                  <c:v>28.637545219638199</c:v>
                </c:pt>
                <c:pt idx="37">
                  <c:v>26.886288888888899</c:v>
                </c:pt>
                <c:pt idx="38">
                  <c:v>27.559169472502798</c:v>
                </c:pt>
                <c:pt idx="39">
                  <c:v>26.8728333333333</c:v>
                </c:pt>
                <c:pt idx="40">
                  <c:v>28.4638666666666</c:v>
                </c:pt>
                <c:pt idx="41">
                  <c:v>27.821391694725001</c:v>
                </c:pt>
                <c:pt idx="42">
                  <c:v>27.6762444444444</c:v>
                </c:pt>
                <c:pt idx="43">
                  <c:v>25.575588888888799</c:v>
                </c:pt>
                <c:pt idx="44">
                  <c:v>28.33</c:v>
                </c:pt>
                <c:pt idx="45">
                  <c:v>28.0096666666666</c:v>
                </c:pt>
                <c:pt idx="46">
                  <c:v>30.156886304909499</c:v>
                </c:pt>
                <c:pt idx="47">
                  <c:v>27.019171075837701</c:v>
                </c:pt>
                <c:pt idx="48">
                  <c:v>27.7066893424036</c:v>
                </c:pt>
                <c:pt idx="49">
                  <c:v>25.0806802721088</c:v>
                </c:pt>
                <c:pt idx="50">
                  <c:v>26.949058956916002</c:v>
                </c:pt>
                <c:pt idx="51">
                  <c:v>25.444603174603099</c:v>
                </c:pt>
                <c:pt idx="52">
                  <c:v>28.117652933832701</c:v>
                </c:pt>
                <c:pt idx="53">
                  <c:v>28.315228070175401</c:v>
                </c:pt>
                <c:pt idx="54">
                  <c:v>27.482569444444401</c:v>
                </c:pt>
                <c:pt idx="55">
                  <c:v>26.4008449074074</c:v>
                </c:pt>
                <c:pt idx="56">
                  <c:v>26.6853555555555</c:v>
                </c:pt>
                <c:pt idx="57">
                  <c:v>28.236088888888801</c:v>
                </c:pt>
                <c:pt idx="58">
                  <c:v>26.127422222222201</c:v>
                </c:pt>
                <c:pt idx="59">
                  <c:v>26.5977</c:v>
                </c:pt>
                <c:pt idx="60">
                  <c:v>27.305746352412999</c:v>
                </c:pt>
                <c:pt idx="61">
                  <c:v>25.734877777777701</c:v>
                </c:pt>
                <c:pt idx="62">
                  <c:v>27.3586888888888</c:v>
                </c:pt>
                <c:pt idx="63">
                  <c:v>29.1735222222222</c:v>
                </c:pt>
                <c:pt idx="64">
                  <c:v>28.375333333333302</c:v>
                </c:pt>
                <c:pt idx="65">
                  <c:v>27.542622222222199</c:v>
                </c:pt>
                <c:pt idx="66">
                  <c:v>25.945188888888801</c:v>
                </c:pt>
                <c:pt idx="67">
                  <c:v>26.8083777777777</c:v>
                </c:pt>
                <c:pt idx="68">
                  <c:v>25.175074074074001</c:v>
                </c:pt>
                <c:pt idx="69">
                  <c:v>27.7968233618233</c:v>
                </c:pt>
                <c:pt idx="70">
                  <c:v>28.3795959595959</c:v>
                </c:pt>
                <c:pt idx="71">
                  <c:v>27.574544444444399</c:v>
                </c:pt>
                <c:pt idx="72">
                  <c:v>25.764421534937</c:v>
                </c:pt>
                <c:pt idx="73">
                  <c:v>28.3791578947368</c:v>
                </c:pt>
                <c:pt idx="74">
                  <c:v>28.592165242165201</c:v>
                </c:pt>
                <c:pt idx="75">
                  <c:v>27.3210265700483</c:v>
                </c:pt>
                <c:pt idx="76">
                  <c:v>27.1139955106621</c:v>
                </c:pt>
                <c:pt idx="77">
                  <c:v>26.035722222222201</c:v>
                </c:pt>
                <c:pt idx="78">
                  <c:v>24.971788888888799</c:v>
                </c:pt>
                <c:pt idx="79">
                  <c:v>29.4451964085297</c:v>
                </c:pt>
                <c:pt idx="80">
                  <c:v>30.306273849607098</c:v>
                </c:pt>
                <c:pt idx="81">
                  <c:v>27.700505050505001</c:v>
                </c:pt>
                <c:pt idx="82">
                  <c:v>28.950288888888799</c:v>
                </c:pt>
                <c:pt idx="83">
                  <c:v>26.491224489795901</c:v>
                </c:pt>
                <c:pt idx="84">
                  <c:v>29.086600000000001</c:v>
                </c:pt>
                <c:pt idx="85">
                  <c:v>25.4870707070707</c:v>
                </c:pt>
                <c:pt idx="86">
                  <c:v>26.565822222222199</c:v>
                </c:pt>
                <c:pt idx="87">
                  <c:v>27.378644444444401</c:v>
                </c:pt>
                <c:pt idx="88">
                  <c:v>28.9188664421997</c:v>
                </c:pt>
                <c:pt idx="89">
                  <c:v>27.115566666666599</c:v>
                </c:pt>
                <c:pt idx="90">
                  <c:v>26.485988888888802</c:v>
                </c:pt>
                <c:pt idx="91">
                  <c:v>29.501608623548901</c:v>
                </c:pt>
                <c:pt idx="92">
                  <c:v>29.247972508591001</c:v>
                </c:pt>
                <c:pt idx="93">
                  <c:v>28.6448111111111</c:v>
                </c:pt>
                <c:pt idx="94">
                  <c:v>30.173011111110998</c:v>
                </c:pt>
                <c:pt idx="95">
                  <c:v>26.415622222222201</c:v>
                </c:pt>
                <c:pt idx="96">
                  <c:v>26.730899999999998</c:v>
                </c:pt>
                <c:pt idx="97">
                  <c:v>27.557833894500501</c:v>
                </c:pt>
                <c:pt idx="98">
                  <c:v>28.128210526315801</c:v>
                </c:pt>
                <c:pt idx="99">
                  <c:v>26.314350877193</c:v>
                </c:pt>
                <c:pt idx="100">
                  <c:v>27.4624216524216</c:v>
                </c:pt>
                <c:pt idx="101">
                  <c:v>28.8516248506571</c:v>
                </c:pt>
                <c:pt idx="102">
                  <c:v>25.923444444444399</c:v>
                </c:pt>
                <c:pt idx="103">
                  <c:v>26.333625140291801</c:v>
                </c:pt>
                <c:pt idx="104">
                  <c:v>26.690188888888802</c:v>
                </c:pt>
                <c:pt idx="105">
                  <c:v>27.606655555555498</c:v>
                </c:pt>
                <c:pt idx="106">
                  <c:v>28.291133333333299</c:v>
                </c:pt>
                <c:pt idx="107">
                  <c:v>27.442511111111099</c:v>
                </c:pt>
                <c:pt idx="108">
                  <c:v>27.450711111111101</c:v>
                </c:pt>
                <c:pt idx="109">
                  <c:v>26.044344444444398</c:v>
                </c:pt>
                <c:pt idx="110">
                  <c:v>25.316144444444401</c:v>
                </c:pt>
                <c:pt idx="111">
                  <c:v>24.433988888888798</c:v>
                </c:pt>
                <c:pt idx="112">
                  <c:v>28.2072</c:v>
                </c:pt>
                <c:pt idx="113">
                  <c:v>26.947251461988198</c:v>
                </c:pt>
                <c:pt idx="114">
                  <c:v>29.261454248366</c:v>
                </c:pt>
                <c:pt idx="115">
                  <c:v>27.9598428731762</c:v>
                </c:pt>
                <c:pt idx="116">
                  <c:v>26.528978675645298</c:v>
                </c:pt>
                <c:pt idx="117">
                  <c:v>27.386780045351401</c:v>
                </c:pt>
                <c:pt idx="118">
                  <c:v>29.090246913580199</c:v>
                </c:pt>
                <c:pt idx="119">
                  <c:v>28.1310437710437</c:v>
                </c:pt>
                <c:pt idx="120">
                  <c:v>27.2035555555555</c:v>
                </c:pt>
                <c:pt idx="121">
                  <c:v>28.9981222222222</c:v>
                </c:pt>
                <c:pt idx="122">
                  <c:v>27.747340067340001</c:v>
                </c:pt>
                <c:pt idx="123">
                  <c:v>30.753532163742602</c:v>
                </c:pt>
                <c:pt idx="124">
                  <c:v>24.8852574525745</c:v>
                </c:pt>
                <c:pt idx="125">
                  <c:v>24.625851851851799</c:v>
                </c:pt>
                <c:pt idx="126">
                  <c:v>26.898243727598501</c:v>
                </c:pt>
                <c:pt idx="127">
                  <c:v>28.4097392290249</c:v>
                </c:pt>
                <c:pt idx="128">
                  <c:v>27.3470333333333</c:v>
                </c:pt>
                <c:pt idx="129">
                  <c:v>25.637182940516201</c:v>
                </c:pt>
                <c:pt idx="130">
                  <c:v>27.103153759820401</c:v>
                </c:pt>
                <c:pt idx="131">
                  <c:v>25.7651927437641</c:v>
                </c:pt>
                <c:pt idx="132">
                  <c:v>25.358799999999999</c:v>
                </c:pt>
                <c:pt idx="133">
                  <c:v>24.617077777777698</c:v>
                </c:pt>
                <c:pt idx="134">
                  <c:v>27.4731088664422</c:v>
                </c:pt>
                <c:pt idx="135">
                  <c:v>26.7565888888888</c:v>
                </c:pt>
                <c:pt idx="136">
                  <c:v>29.074088888888799</c:v>
                </c:pt>
                <c:pt idx="137">
                  <c:v>27.460455555555502</c:v>
                </c:pt>
                <c:pt idx="138">
                  <c:v>27.633546576879901</c:v>
                </c:pt>
                <c:pt idx="139">
                  <c:v>25.9950286368843</c:v>
                </c:pt>
                <c:pt idx="140">
                  <c:v>26.764656084656</c:v>
                </c:pt>
                <c:pt idx="141">
                  <c:v>28.0387766554433</c:v>
                </c:pt>
                <c:pt idx="142">
                  <c:v>26.610711111111101</c:v>
                </c:pt>
                <c:pt idx="143">
                  <c:v>26.515233333333299</c:v>
                </c:pt>
                <c:pt idx="144">
                  <c:v>30.001380471380401</c:v>
                </c:pt>
                <c:pt idx="145">
                  <c:v>28.369922222222201</c:v>
                </c:pt>
                <c:pt idx="146">
                  <c:v>27.232850729517299</c:v>
                </c:pt>
                <c:pt idx="147">
                  <c:v>26.540819304152599</c:v>
                </c:pt>
                <c:pt idx="148">
                  <c:v>26.215211111111099</c:v>
                </c:pt>
                <c:pt idx="149">
                  <c:v>29.756071829405101</c:v>
                </c:pt>
                <c:pt idx="150">
                  <c:v>26.265612829324098</c:v>
                </c:pt>
                <c:pt idx="151">
                  <c:v>27.499503546099199</c:v>
                </c:pt>
                <c:pt idx="152">
                  <c:v>27.722118055555502</c:v>
                </c:pt>
                <c:pt idx="153">
                  <c:v>27.7070094562647</c:v>
                </c:pt>
                <c:pt idx="154">
                  <c:v>24.573287037037002</c:v>
                </c:pt>
                <c:pt idx="155">
                  <c:v>28.577754629629599</c:v>
                </c:pt>
                <c:pt idx="156">
                  <c:v>26.786455555555499</c:v>
                </c:pt>
                <c:pt idx="157">
                  <c:v>26.032077777777701</c:v>
                </c:pt>
                <c:pt idx="158">
                  <c:v>25.6782222222222</c:v>
                </c:pt>
                <c:pt idx="159">
                  <c:v>27.627777777777698</c:v>
                </c:pt>
                <c:pt idx="160">
                  <c:v>26.079666666666601</c:v>
                </c:pt>
                <c:pt idx="161">
                  <c:v>27.413591470258101</c:v>
                </c:pt>
                <c:pt idx="162">
                  <c:v>28.241043083900198</c:v>
                </c:pt>
                <c:pt idx="163">
                  <c:v>27.059444444444399</c:v>
                </c:pt>
                <c:pt idx="164">
                  <c:v>27.2242888888888</c:v>
                </c:pt>
                <c:pt idx="165">
                  <c:v>28.491757369614501</c:v>
                </c:pt>
                <c:pt idx="166">
                  <c:v>29.757199999999902</c:v>
                </c:pt>
                <c:pt idx="167">
                  <c:v>28.924133333333302</c:v>
                </c:pt>
                <c:pt idx="168">
                  <c:v>29.3538888888888</c:v>
                </c:pt>
                <c:pt idx="169">
                  <c:v>26.7689461626574</c:v>
                </c:pt>
                <c:pt idx="170">
                  <c:v>27.251677777777701</c:v>
                </c:pt>
                <c:pt idx="171">
                  <c:v>26.045866666666601</c:v>
                </c:pt>
                <c:pt idx="172">
                  <c:v>27.600844444444402</c:v>
                </c:pt>
                <c:pt idx="173">
                  <c:v>25.914242424242399</c:v>
                </c:pt>
                <c:pt idx="174">
                  <c:v>29.830355555555499</c:v>
                </c:pt>
                <c:pt idx="175">
                  <c:v>27.845199999999998</c:v>
                </c:pt>
                <c:pt idx="176">
                  <c:v>27.170466666666599</c:v>
                </c:pt>
                <c:pt idx="177">
                  <c:v>25.698988888888799</c:v>
                </c:pt>
                <c:pt idx="178">
                  <c:v>27.910277777777701</c:v>
                </c:pt>
                <c:pt idx="179">
                  <c:v>27.5764999999999</c:v>
                </c:pt>
                <c:pt idx="180">
                  <c:v>26.4671777777777</c:v>
                </c:pt>
                <c:pt idx="181">
                  <c:v>27.546388888888899</c:v>
                </c:pt>
                <c:pt idx="182">
                  <c:v>24.940077777777699</c:v>
                </c:pt>
                <c:pt idx="183">
                  <c:v>25.471688888888899</c:v>
                </c:pt>
                <c:pt idx="184">
                  <c:v>27.2421851851851</c:v>
                </c:pt>
                <c:pt idx="185">
                  <c:v>25.7951444444444</c:v>
                </c:pt>
                <c:pt idx="186">
                  <c:v>25.544811111111098</c:v>
                </c:pt>
                <c:pt idx="187">
                  <c:v>25.6105666666666</c:v>
                </c:pt>
                <c:pt idx="188">
                  <c:v>29.4422888888888</c:v>
                </c:pt>
                <c:pt idx="189">
                  <c:v>29.096066666666601</c:v>
                </c:pt>
                <c:pt idx="190">
                  <c:v>27.192738496071801</c:v>
                </c:pt>
                <c:pt idx="191">
                  <c:v>28.183011111111099</c:v>
                </c:pt>
                <c:pt idx="192">
                  <c:v>29.449188888888798</c:v>
                </c:pt>
                <c:pt idx="193">
                  <c:v>26.376060606060602</c:v>
                </c:pt>
                <c:pt idx="194">
                  <c:v>29.066399999999899</c:v>
                </c:pt>
                <c:pt idx="195">
                  <c:v>27.737666666666598</c:v>
                </c:pt>
                <c:pt idx="196">
                  <c:v>25.609122222222201</c:v>
                </c:pt>
                <c:pt idx="197">
                  <c:v>27.3985185185185</c:v>
                </c:pt>
                <c:pt idx="198">
                  <c:v>26.125988888888799</c:v>
                </c:pt>
                <c:pt idx="199">
                  <c:v>28.506344444444402</c:v>
                </c:pt>
                <c:pt idx="200">
                  <c:v>27.470354609929</c:v>
                </c:pt>
                <c:pt idx="201">
                  <c:v>26.9234871794871</c:v>
                </c:pt>
                <c:pt idx="202">
                  <c:v>29.282599999999999</c:v>
                </c:pt>
                <c:pt idx="203">
                  <c:v>27.239376417233501</c:v>
                </c:pt>
                <c:pt idx="204">
                  <c:v>26.892008978675602</c:v>
                </c:pt>
                <c:pt idx="205">
                  <c:v>29.633711111111101</c:v>
                </c:pt>
                <c:pt idx="206">
                  <c:v>28.022311111111101</c:v>
                </c:pt>
                <c:pt idx="207">
                  <c:v>26.722388888888801</c:v>
                </c:pt>
                <c:pt idx="208">
                  <c:v>26.732677777777699</c:v>
                </c:pt>
                <c:pt idx="209">
                  <c:v>27.327530864197499</c:v>
                </c:pt>
                <c:pt idx="210">
                  <c:v>26.2471888888888</c:v>
                </c:pt>
                <c:pt idx="211">
                  <c:v>27.695452462772</c:v>
                </c:pt>
                <c:pt idx="212">
                  <c:v>28.5104222222222</c:v>
                </c:pt>
                <c:pt idx="213">
                  <c:v>27.2561840628507</c:v>
                </c:pt>
                <c:pt idx="214">
                  <c:v>28.268044444444399</c:v>
                </c:pt>
                <c:pt idx="215">
                  <c:v>29.1330045351473</c:v>
                </c:pt>
                <c:pt idx="216">
                  <c:v>26.299244444444401</c:v>
                </c:pt>
                <c:pt idx="217">
                  <c:v>24.863320707070699</c:v>
                </c:pt>
                <c:pt idx="218">
                  <c:v>26.980655555555501</c:v>
                </c:pt>
                <c:pt idx="219">
                  <c:v>29.9033583021223</c:v>
                </c:pt>
                <c:pt idx="220">
                  <c:v>27.3463589743589</c:v>
                </c:pt>
                <c:pt idx="221">
                  <c:v>27.023490338164201</c:v>
                </c:pt>
                <c:pt idx="222">
                  <c:v>29.560933333333299</c:v>
                </c:pt>
                <c:pt idx="223">
                  <c:v>28.143041526374802</c:v>
                </c:pt>
                <c:pt idx="224">
                  <c:v>26.677227833894499</c:v>
                </c:pt>
                <c:pt idx="225">
                  <c:v>27.563308080808</c:v>
                </c:pt>
                <c:pt idx="226">
                  <c:v>29.1013194444444</c:v>
                </c:pt>
                <c:pt idx="227">
                  <c:v>26.961771771771701</c:v>
                </c:pt>
                <c:pt idx="228">
                  <c:v>26.229472502805798</c:v>
                </c:pt>
                <c:pt idx="229">
                  <c:v>27.208577777777698</c:v>
                </c:pt>
                <c:pt idx="230">
                  <c:v>25.653388888888799</c:v>
                </c:pt>
                <c:pt idx="231">
                  <c:v>28.276222222222199</c:v>
                </c:pt>
                <c:pt idx="232">
                  <c:v>27.689211111111099</c:v>
                </c:pt>
                <c:pt idx="233">
                  <c:v>28.4686555555555</c:v>
                </c:pt>
                <c:pt idx="234">
                  <c:v>26.637561327561301</c:v>
                </c:pt>
                <c:pt idx="235">
                  <c:v>28.802553191489299</c:v>
                </c:pt>
                <c:pt idx="236">
                  <c:v>26.442133333333299</c:v>
                </c:pt>
                <c:pt idx="237">
                  <c:v>28.048686868686801</c:v>
                </c:pt>
                <c:pt idx="238">
                  <c:v>29.6659034792368</c:v>
                </c:pt>
                <c:pt idx="239">
                  <c:v>28.872144444444402</c:v>
                </c:pt>
                <c:pt idx="240">
                  <c:v>25.761755555555499</c:v>
                </c:pt>
                <c:pt idx="241">
                  <c:v>31.0303928170595</c:v>
                </c:pt>
                <c:pt idx="242">
                  <c:v>26.1042666666666</c:v>
                </c:pt>
                <c:pt idx="243">
                  <c:v>26.996588103254702</c:v>
                </c:pt>
                <c:pt idx="244">
                  <c:v>28.1172789115646</c:v>
                </c:pt>
                <c:pt idx="245">
                  <c:v>24.299588888888898</c:v>
                </c:pt>
                <c:pt idx="246">
                  <c:v>26.145688888888799</c:v>
                </c:pt>
                <c:pt idx="247">
                  <c:v>26.355975056689299</c:v>
                </c:pt>
                <c:pt idx="248">
                  <c:v>26.952233560090701</c:v>
                </c:pt>
                <c:pt idx="249">
                  <c:v>29.392622222222201</c:v>
                </c:pt>
                <c:pt idx="250">
                  <c:v>26.7903555555555</c:v>
                </c:pt>
                <c:pt idx="251">
                  <c:v>25.343950617283902</c:v>
                </c:pt>
                <c:pt idx="252">
                  <c:v>29.058499999999999</c:v>
                </c:pt>
                <c:pt idx="253">
                  <c:v>27.575288888888799</c:v>
                </c:pt>
                <c:pt idx="254">
                  <c:v>28.751750841750798</c:v>
                </c:pt>
                <c:pt idx="255">
                  <c:v>30.075040091638002</c:v>
                </c:pt>
                <c:pt idx="256">
                  <c:v>25.1853333333333</c:v>
                </c:pt>
                <c:pt idx="257">
                  <c:v>30.2428507295174</c:v>
                </c:pt>
                <c:pt idx="258">
                  <c:v>27.377766666666599</c:v>
                </c:pt>
                <c:pt idx="259">
                  <c:v>25.7062777777777</c:v>
                </c:pt>
                <c:pt idx="260">
                  <c:v>31.0636825396825</c:v>
                </c:pt>
                <c:pt idx="261">
                  <c:v>27.2800444444444</c:v>
                </c:pt>
                <c:pt idx="262">
                  <c:v>26.4051851851851</c:v>
                </c:pt>
                <c:pt idx="263">
                  <c:v>27.259147640791401</c:v>
                </c:pt>
                <c:pt idx="264">
                  <c:v>25.5477398989898</c:v>
                </c:pt>
                <c:pt idx="265">
                  <c:v>29.036522222222199</c:v>
                </c:pt>
                <c:pt idx="266">
                  <c:v>26.660761548064901</c:v>
                </c:pt>
                <c:pt idx="267">
                  <c:v>30.548495726495702</c:v>
                </c:pt>
                <c:pt idx="268">
                  <c:v>25.330759259259199</c:v>
                </c:pt>
                <c:pt idx="269">
                  <c:v>28.036899999999999</c:v>
                </c:pt>
                <c:pt idx="270">
                  <c:v>28.537700000000001</c:v>
                </c:pt>
                <c:pt idx="271">
                  <c:v>27.715869809203099</c:v>
                </c:pt>
                <c:pt idx="272">
                  <c:v>29.081425364758701</c:v>
                </c:pt>
                <c:pt idx="273">
                  <c:v>29.362822222222199</c:v>
                </c:pt>
                <c:pt idx="274">
                  <c:v>24.7101333333333</c:v>
                </c:pt>
                <c:pt idx="275">
                  <c:v>29.301299999999902</c:v>
                </c:pt>
                <c:pt idx="276">
                  <c:v>27.2522666666666</c:v>
                </c:pt>
                <c:pt idx="277">
                  <c:v>24.869319727891099</c:v>
                </c:pt>
                <c:pt idx="278">
                  <c:v>25.755873015873</c:v>
                </c:pt>
                <c:pt idx="279">
                  <c:v>29.500411111111099</c:v>
                </c:pt>
                <c:pt idx="280">
                  <c:v>27.3821768707483</c:v>
                </c:pt>
                <c:pt idx="281">
                  <c:v>30.6495888888888</c:v>
                </c:pt>
                <c:pt idx="282">
                  <c:v>28.524333333333299</c:v>
                </c:pt>
                <c:pt idx="283">
                  <c:v>31.5643310657596</c:v>
                </c:pt>
                <c:pt idx="284">
                  <c:v>20.588611111111099</c:v>
                </c:pt>
                <c:pt idx="285">
                  <c:v>22.198271604938199</c:v>
                </c:pt>
                <c:pt idx="286">
                  <c:v>32.218055555555502</c:v>
                </c:pt>
                <c:pt idx="287">
                  <c:v>24.913801169590599</c:v>
                </c:pt>
                <c:pt idx="288">
                  <c:v>26.584859708193001</c:v>
                </c:pt>
                <c:pt idx="289">
                  <c:v>26.852888888888799</c:v>
                </c:pt>
                <c:pt idx="290">
                  <c:v>25.4650673400673</c:v>
                </c:pt>
                <c:pt idx="291">
                  <c:v>27.003662131519199</c:v>
                </c:pt>
                <c:pt idx="292">
                  <c:v>25.263086419753002</c:v>
                </c:pt>
                <c:pt idx="293">
                  <c:v>28.513912363067199</c:v>
                </c:pt>
                <c:pt idx="294">
                  <c:v>29.002316118935799</c:v>
                </c:pt>
                <c:pt idx="295">
                  <c:v>28.8522446689113</c:v>
                </c:pt>
                <c:pt idx="296">
                  <c:v>27.049599999999899</c:v>
                </c:pt>
                <c:pt idx="297">
                  <c:v>26.315238095238001</c:v>
                </c:pt>
                <c:pt idx="298">
                  <c:v>30.5338888888889</c:v>
                </c:pt>
                <c:pt idx="299">
                  <c:v>30.0025033467202</c:v>
                </c:pt>
                <c:pt idx="300">
                  <c:v>26.690610328638499</c:v>
                </c:pt>
                <c:pt idx="301">
                  <c:v>26.4211396011396</c:v>
                </c:pt>
                <c:pt idx="302">
                  <c:v>30.7126444444444</c:v>
                </c:pt>
                <c:pt idx="303">
                  <c:v>27.1358854166666</c:v>
                </c:pt>
                <c:pt idx="304">
                  <c:v>27.993311111111101</c:v>
                </c:pt>
                <c:pt idx="305">
                  <c:v>28.445147392290199</c:v>
                </c:pt>
                <c:pt idx="306">
                  <c:v>26.121133557800199</c:v>
                </c:pt>
                <c:pt idx="307">
                  <c:v>26.479499999999899</c:v>
                </c:pt>
                <c:pt idx="308">
                  <c:v>27.1642444444444</c:v>
                </c:pt>
                <c:pt idx="309">
                  <c:v>26.120999999999999</c:v>
                </c:pt>
                <c:pt idx="310">
                  <c:v>27.8889999999999</c:v>
                </c:pt>
                <c:pt idx="311">
                  <c:v>26.1227444444444</c:v>
                </c:pt>
                <c:pt idx="312">
                  <c:v>26.7113444444444</c:v>
                </c:pt>
                <c:pt idx="313">
                  <c:v>26.720875420875402</c:v>
                </c:pt>
                <c:pt idx="314">
                  <c:v>26.392133333333302</c:v>
                </c:pt>
                <c:pt idx="315">
                  <c:v>27.7096296296296</c:v>
                </c:pt>
                <c:pt idx="316">
                  <c:v>27.3120089786756</c:v>
                </c:pt>
                <c:pt idx="317">
                  <c:v>28.335966183574801</c:v>
                </c:pt>
                <c:pt idx="318">
                  <c:v>33.923999999999999</c:v>
                </c:pt>
                <c:pt idx="319">
                  <c:v>29.430740740740699</c:v>
                </c:pt>
                <c:pt idx="320">
                  <c:v>27.4543853427895</c:v>
                </c:pt>
                <c:pt idx="321">
                  <c:v>27.214298540965199</c:v>
                </c:pt>
                <c:pt idx="322">
                  <c:v>28.279465541490801</c:v>
                </c:pt>
                <c:pt idx="323">
                  <c:v>26.767666666666599</c:v>
                </c:pt>
                <c:pt idx="324">
                  <c:v>26.0097938144329</c:v>
                </c:pt>
                <c:pt idx="325">
                  <c:v>25.3736139169472</c:v>
                </c:pt>
                <c:pt idx="326">
                  <c:v>27.415464852607698</c:v>
                </c:pt>
                <c:pt idx="327">
                  <c:v>26.386522222222201</c:v>
                </c:pt>
                <c:pt idx="328">
                  <c:v>27.169555555555501</c:v>
                </c:pt>
                <c:pt idx="329">
                  <c:v>31.005802469135698</c:v>
                </c:pt>
                <c:pt idx="330">
                  <c:v>25.2996969696969</c:v>
                </c:pt>
                <c:pt idx="331">
                  <c:v>25.5374747474747</c:v>
                </c:pt>
                <c:pt idx="332">
                  <c:v>27.469058956916101</c:v>
                </c:pt>
                <c:pt idx="333">
                  <c:v>27.109236812570099</c:v>
                </c:pt>
                <c:pt idx="334">
                  <c:v>27.6219888888889</c:v>
                </c:pt>
                <c:pt idx="335">
                  <c:v>28.8700805152979</c:v>
                </c:pt>
                <c:pt idx="336">
                  <c:v>30.105144444444399</c:v>
                </c:pt>
                <c:pt idx="337">
                  <c:v>27.679766666666598</c:v>
                </c:pt>
                <c:pt idx="338">
                  <c:v>25.103000000000002</c:v>
                </c:pt>
                <c:pt idx="339">
                  <c:v>24.3047250280583</c:v>
                </c:pt>
                <c:pt idx="340">
                  <c:v>24.944877777777702</c:v>
                </c:pt>
                <c:pt idx="341">
                  <c:v>28.098754208754201</c:v>
                </c:pt>
                <c:pt idx="342">
                  <c:v>28.623699999999999</c:v>
                </c:pt>
                <c:pt idx="343">
                  <c:v>25.795733333333299</c:v>
                </c:pt>
                <c:pt idx="344">
                  <c:v>28.931166666666599</c:v>
                </c:pt>
                <c:pt idx="345">
                  <c:v>28.8607744107744</c:v>
                </c:pt>
                <c:pt idx="346">
                  <c:v>28.6879777777777</c:v>
                </c:pt>
                <c:pt idx="347">
                  <c:v>27.2428666666666</c:v>
                </c:pt>
                <c:pt idx="348">
                  <c:v>25.4973777777777</c:v>
                </c:pt>
                <c:pt idx="349">
                  <c:v>27.233298611111099</c:v>
                </c:pt>
                <c:pt idx="350">
                  <c:v>27.632621082621</c:v>
                </c:pt>
                <c:pt idx="351">
                  <c:v>25.9813982521847</c:v>
                </c:pt>
                <c:pt idx="352">
                  <c:v>26.131822721597999</c:v>
                </c:pt>
                <c:pt idx="353">
                  <c:v>28.706666666666599</c:v>
                </c:pt>
                <c:pt idx="354">
                  <c:v>26.615017543859601</c:v>
                </c:pt>
                <c:pt idx="355">
                  <c:v>28.1243634259259</c:v>
                </c:pt>
                <c:pt idx="356">
                  <c:v>29.0846554149085</c:v>
                </c:pt>
                <c:pt idx="357">
                  <c:v>27.070288600288599</c:v>
                </c:pt>
                <c:pt idx="358">
                  <c:v>29.049788888888799</c:v>
                </c:pt>
                <c:pt idx="359">
                  <c:v>28.150415263748499</c:v>
                </c:pt>
                <c:pt idx="360">
                  <c:v>27.809331065759601</c:v>
                </c:pt>
                <c:pt idx="361">
                  <c:v>26.977422222222199</c:v>
                </c:pt>
                <c:pt idx="362">
                  <c:v>28.553444444444398</c:v>
                </c:pt>
                <c:pt idx="363">
                  <c:v>26.682188888888799</c:v>
                </c:pt>
                <c:pt idx="364">
                  <c:v>27.435966666666602</c:v>
                </c:pt>
                <c:pt idx="365">
                  <c:v>26.522480359147</c:v>
                </c:pt>
                <c:pt idx="366">
                  <c:v>27.2817346938775</c:v>
                </c:pt>
                <c:pt idx="367">
                  <c:v>26.113199999999999</c:v>
                </c:pt>
                <c:pt idx="368">
                  <c:v>25.890011337868401</c:v>
                </c:pt>
                <c:pt idx="369">
                  <c:v>26.3985746352413</c:v>
                </c:pt>
                <c:pt idx="370">
                  <c:v>29.828153594771202</c:v>
                </c:pt>
                <c:pt idx="371">
                  <c:v>27.302311111111099</c:v>
                </c:pt>
                <c:pt idx="372">
                  <c:v>24.548977777777701</c:v>
                </c:pt>
                <c:pt idx="373">
                  <c:v>26.8392666666666</c:v>
                </c:pt>
                <c:pt idx="374">
                  <c:v>27.4399555555555</c:v>
                </c:pt>
                <c:pt idx="375">
                  <c:v>27.0663555555555</c:v>
                </c:pt>
                <c:pt idx="376">
                  <c:v>24.999629629629599</c:v>
                </c:pt>
                <c:pt idx="377">
                  <c:v>28.698799102132401</c:v>
                </c:pt>
                <c:pt idx="378">
                  <c:v>28.097477777777701</c:v>
                </c:pt>
                <c:pt idx="379">
                  <c:v>28.850922222222199</c:v>
                </c:pt>
                <c:pt idx="380">
                  <c:v>27.021088888888801</c:v>
                </c:pt>
                <c:pt idx="381">
                  <c:v>26.0274298540965</c:v>
                </c:pt>
                <c:pt idx="382">
                  <c:v>26.338699999999999</c:v>
                </c:pt>
                <c:pt idx="383">
                  <c:v>28.611503928170599</c:v>
                </c:pt>
                <c:pt idx="384">
                  <c:v>26.291363636363599</c:v>
                </c:pt>
                <c:pt idx="385">
                  <c:v>28.320324074074001</c:v>
                </c:pt>
                <c:pt idx="386">
                  <c:v>28.128444444444401</c:v>
                </c:pt>
                <c:pt idx="387">
                  <c:v>26.308876543209799</c:v>
                </c:pt>
                <c:pt idx="388">
                  <c:v>27.286964490263401</c:v>
                </c:pt>
                <c:pt idx="389">
                  <c:v>29.0067283950617</c:v>
                </c:pt>
                <c:pt idx="390">
                  <c:v>26.472723577235701</c:v>
                </c:pt>
                <c:pt idx="391">
                  <c:v>30.0898111111111</c:v>
                </c:pt>
                <c:pt idx="392">
                  <c:v>26.5880444444444</c:v>
                </c:pt>
                <c:pt idx="393">
                  <c:v>26.515411111111099</c:v>
                </c:pt>
                <c:pt idx="394">
                  <c:v>26.587429854096499</c:v>
                </c:pt>
                <c:pt idx="395">
                  <c:v>28.080577777777702</c:v>
                </c:pt>
                <c:pt idx="396">
                  <c:v>26.459315375982001</c:v>
                </c:pt>
                <c:pt idx="397">
                  <c:v>27.754478114478101</c:v>
                </c:pt>
                <c:pt idx="398">
                  <c:v>26.507126823793399</c:v>
                </c:pt>
                <c:pt idx="399">
                  <c:v>29.559522222222199</c:v>
                </c:pt>
                <c:pt idx="400">
                  <c:v>27.361633333333302</c:v>
                </c:pt>
                <c:pt idx="401">
                  <c:v>29.702277777777699</c:v>
                </c:pt>
                <c:pt idx="402">
                  <c:v>25.476055555555501</c:v>
                </c:pt>
                <c:pt idx="403">
                  <c:v>29.9181666666666</c:v>
                </c:pt>
                <c:pt idx="404">
                  <c:v>28.338059467918601</c:v>
                </c:pt>
                <c:pt idx="405">
                  <c:v>28.542131519274299</c:v>
                </c:pt>
                <c:pt idx="406">
                  <c:v>28.8744671201814</c:v>
                </c:pt>
                <c:pt idx="407">
                  <c:v>25.605399999999999</c:v>
                </c:pt>
                <c:pt idx="408">
                  <c:v>27.801933333333299</c:v>
                </c:pt>
                <c:pt idx="409">
                  <c:v>27.5166222222222</c:v>
                </c:pt>
                <c:pt idx="410">
                  <c:v>28.220303030303</c:v>
                </c:pt>
                <c:pt idx="411">
                  <c:v>28.879477777777701</c:v>
                </c:pt>
                <c:pt idx="412">
                  <c:v>26.902166105499401</c:v>
                </c:pt>
                <c:pt idx="413">
                  <c:v>28.711562499999999</c:v>
                </c:pt>
                <c:pt idx="414">
                  <c:v>25.842599999999901</c:v>
                </c:pt>
                <c:pt idx="415">
                  <c:v>28.211133557800199</c:v>
                </c:pt>
                <c:pt idx="416">
                  <c:v>26.3747333333333</c:v>
                </c:pt>
                <c:pt idx="417">
                  <c:v>29.1525</c:v>
                </c:pt>
                <c:pt idx="418">
                  <c:v>26.8986531986532</c:v>
                </c:pt>
                <c:pt idx="419">
                  <c:v>26.6624742268041</c:v>
                </c:pt>
                <c:pt idx="420">
                  <c:v>25.307133333333301</c:v>
                </c:pt>
                <c:pt idx="421">
                  <c:v>25.524044444444399</c:v>
                </c:pt>
                <c:pt idx="422">
                  <c:v>29.042966666666601</c:v>
                </c:pt>
                <c:pt idx="423">
                  <c:v>27.162233333333301</c:v>
                </c:pt>
                <c:pt idx="424">
                  <c:v>28.479753086419699</c:v>
                </c:pt>
                <c:pt idx="425">
                  <c:v>28.5465444444444</c:v>
                </c:pt>
                <c:pt idx="426">
                  <c:v>26.283153759820401</c:v>
                </c:pt>
                <c:pt idx="427">
                  <c:v>28.5929138321995</c:v>
                </c:pt>
                <c:pt idx="428">
                  <c:v>26.635655555555498</c:v>
                </c:pt>
                <c:pt idx="429">
                  <c:v>29.747333333333302</c:v>
                </c:pt>
                <c:pt idx="430">
                  <c:v>25.885111111111101</c:v>
                </c:pt>
                <c:pt idx="431">
                  <c:v>27.980303030302998</c:v>
                </c:pt>
                <c:pt idx="432">
                  <c:v>25.6258555555555</c:v>
                </c:pt>
                <c:pt idx="433">
                  <c:v>26.675411111111099</c:v>
                </c:pt>
                <c:pt idx="434">
                  <c:v>26.086933333333299</c:v>
                </c:pt>
                <c:pt idx="435">
                  <c:v>25.840988888888798</c:v>
                </c:pt>
                <c:pt idx="436">
                  <c:v>24.544722222222202</c:v>
                </c:pt>
                <c:pt idx="437">
                  <c:v>29.0766500829187</c:v>
                </c:pt>
                <c:pt idx="438">
                  <c:v>27.464006734006698</c:v>
                </c:pt>
                <c:pt idx="439">
                  <c:v>26.484822222222199</c:v>
                </c:pt>
                <c:pt idx="440">
                  <c:v>27.442622222222202</c:v>
                </c:pt>
                <c:pt idx="441">
                  <c:v>26.976199999999999</c:v>
                </c:pt>
                <c:pt idx="442">
                  <c:v>27.213131313131299</c:v>
                </c:pt>
                <c:pt idx="443">
                  <c:v>28.301666666666598</c:v>
                </c:pt>
                <c:pt idx="444">
                  <c:v>28.467088888888899</c:v>
                </c:pt>
                <c:pt idx="445">
                  <c:v>25.823622222222198</c:v>
                </c:pt>
                <c:pt idx="446">
                  <c:v>27.275600000000001</c:v>
                </c:pt>
                <c:pt idx="447">
                  <c:v>27.855768799102101</c:v>
                </c:pt>
                <c:pt idx="448">
                  <c:v>25.821955555555501</c:v>
                </c:pt>
                <c:pt idx="449">
                  <c:v>29.321937984496099</c:v>
                </c:pt>
                <c:pt idx="450">
                  <c:v>21.191515151515102</c:v>
                </c:pt>
                <c:pt idx="451">
                  <c:v>37.275777777777698</c:v>
                </c:pt>
                <c:pt idx="452">
                  <c:v>27.508428731761999</c:v>
                </c:pt>
                <c:pt idx="453">
                  <c:v>27.206228956228902</c:v>
                </c:pt>
                <c:pt idx="454">
                  <c:v>28.747216494845301</c:v>
                </c:pt>
                <c:pt idx="455">
                  <c:v>31.2728170594837</c:v>
                </c:pt>
                <c:pt idx="456">
                  <c:v>25.732944444444399</c:v>
                </c:pt>
                <c:pt idx="457">
                  <c:v>26.105899999999998</c:v>
                </c:pt>
                <c:pt idx="458">
                  <c:v>28.626433333333299</c:v>
                </c:pt>
                <c:pt idx="459">
                  <c:v>28.1176430976431</c:v>
                </c:pt>
                <c:pt idx="460">
                  <c:v>31.503344556677899</c:v>
                </c:pt>
                <c:pt idx="461">
                  <c:v>27.856188888888799</c:v>
                </c:pt>
                <c:pt idx="462">
                  <c:v>29.4507222222222</c:v>
                </c:pt>
                <c:pt idx="463">
                  <c:v>28.307655555555499</c:v>
                </c:pt>
                <c:pt idx="464">
                  <c:v>27.2507555555555</c:v>
                </c:pt>
                <c:pt idx="465">
                  <c:v>28.6140333333333</c:v>
                </c:pt>
                <c:pt idx="466">
                  <c:v>27.7306172839506</c:v>
                </c:pt>
                <c:pt idx="467">
                  <c:v>27.0611896745229</c:v>
                </c:pt>
                <c:pt idx="468">
                  <c:v>28.815140291806902</c:v>
                </c:pt>
                <c:pt idx="469">
                  <c:v>28.387289562289499</c:v>
                </c:pt>
                <c:pt idx="470">
                  <c:v>27.086988888888801</c:v>
                </c:pt>
                <c:pt idx="471">
                  <c:v>28.112603815937099</c:v>
                </c:pt>
                <c:pt idx="472">
                  <c:v>26.462413019079602</c:v>
                </c:pt>
                <c:pt idx="473">
                  <c:v>26.702655555555499</c:v>
                </c:pt>
                <c:pt idx="474">
                  <c:v>26.533711340206199</c:v>
                </c:pt>
                <c:pt idx="475">
                  <c:v>27.204933333333301</c:v>
                </c:pt>
                <c:pt idx="476">
                  <c:v>27.293144444444401</c:v>
                </c:pt>
                <c:pt idx="477">
                  <c:v>28.5430888888888</c:v>
                </c:pt>
                <c:pt idx="478">
                  <c:v>27.574177777777699</c:v>
                </c:pt>
                <c:pt idx="479">
                  <c:v>25.807093153759801</c:v>
                </c:pt>
                <c:pt idx="480">
                  <c:v>30.184965986394499</c:v>
                </c:pt>
                <c:pt idx="481">
                  <c:v>24.845866666666598</c:v>
                </c:pt>
                <c:pt idx="482">
                  <c:v>30.602739018087799</c:v>
                </c:pt>
                <c:pt idx="483">
                  <c:v>26.048281786941502</c:v>
                </c:pt>
                <c:pt idx="484">
                  <c:v>26.766855555555502</c:v>
                </c:pt>
                <c:pt idx="485">
                  <c:v>27.151222222222199</c:v>
                </c:pt>
                <c:pt idx="486">
                  <c:v>28.735244444444401</c:v>
                </c:pt>
                <c:pt idx="487">
                  <c:v>26.477596371882001</c:v>
                </c:pt>
                <c:pt idx="488">
                  <c:v>28.7968444444444</c:v>
                </c:pt>
                <c:pt idx="489">
                  <c:v>26.4761952861952</c:v>
                </c:pt>
                <c:pt idx="490">
                  <c:v>26.500333333333302</c:v>
                </c:pt>
                <c:pt idx="491">
                  <c:v>28.154175084175101</c:v>
                </c:pt>
                <c:pt idx="492">
                  <c:v>27.934655555555501</c:v>
                </c:pt>
                <c:pt idx="493">
                  <c:v>26.696499999999901</c:v>
                </c:pt>
                <c:pt idx="494">
                  <c:v>28.089044444444401</c:v>
                </c:pt>
                <c:pt idx="495">
                  <c:v>25.409666666666599</c:v>
                </c:pt>
                <c:pt idx="496">
                  <c:v>29.745944444444401</c:v>
                </c:pt>
                <c:pt idx="497">
                  <c:v>27.613636363636299</c:v>
                </c:pt>
                <c:pt idx="498">
                  <c:v>26.0719888888888</c:v>
                </c:pt>
                <c:pt idx="499">
                  <c:v>30.098666666666599</c:v>
                </c:pt>
                <c:pt idx="500">
                  <c:v>24.5284194053208</c:v>
                </c:pt>
                <c:pt idx="501">
                  <c:v>26.646968599033801</c:v>
                </c:pt>
                <c:pt idx="502">
                  <c:v>25.991688888888799</c:v>
                </c:pt>
                <c:pt idx="503">
                  <c:v>26.706211111111099</c:v>
                </c:pt>
                <c:pt idx="504">
                  <c:v>26.2972999999999</c:v>
                </c:pt>
                <c:pt idx="505">
                  <c:v>26.340433333333301</c:v>
                </c:pt>
                <c:pt idx="506">
                  <c:v>26.846211111111099</c:v>
                </c:pt>
                <c:pt idx="507">
                  <c:v>30.149786756453398</c:v>
                </c:pt>
                <c:pt idx="508">
                  <c:v>26.105699999999999</c:v>
                </c:pt>
                <c:pt idx="509">
                  <c:v>29.5913</c:v>
                </c:pt>
                <c:pt idx="510">
                  <c:v>26.464700000000001</c:v>
                </c:pt>
                <c:pt idx="511">
                  <c:v>26.257455555555499</c:v>
                </c:pt>
                <c:pt idx="512">
                  <c:v>24.752476851851799</c:v>
                </c:pt>
                <c:pt idx="513">
                  <c:v>30.8802777777777</c:v>
                </c:pt>
                <c:pt idx="514">
                  <c:v>28.742467836257202</c:v>
                </c:pt>
                <c:pt idx="515">
                  <c:v>27.229944444444399</c:v>
                </c:pt>
                <c:pt idx="516">
                  <c:v>25.570280583613901</c:v>
                </c:pt>
                <c:pt idx="517">
                  <c:v>27.654833333333301</c:v>
                </c:pt>
                <c:pt idx="518">
                  <c:v>26.904320987654302</c:v>
                </c:pt>
                <c:pt idx="519">
                  <c:v>27.810111111111102</c:v>
                </c:pt>
                <c:pt idx="520">
                  <c:v>26.9133888888888</c:v>
                </c:pt>
                <c:pt idx="521">
                  <c:v>26.6723999999999</c:v>
                </c:pt>
                <c:pt idx="522">
                  <c:v>28.787411111111101</c:v>
                </c:pt>
                <c:pt idx="523">
                  <c:v>28.355811111111102</c:v>
                </c:pt>
                <c:pt idx="524">
                  <c:v>26.119450056116701</c:v>
                </c:pt>
                <c:pt idx="525">
                  <c:v>25.807411111111101</c:v>
                </c:pt>
                <c:pt idx="526">
                  <c:v>25.1993222222222</c:v>
                </c:pt>
                <c:pt idx="527">
                  <c:v>29.981955555555501</c:v>
                </c:pt>
                <c:pt idx="528">
                  <c:v>27.2283222222222</c:v>
                </c:pt>
                <c:pt idx="529">
                  <c:v>25.161344444444399</c:v>
                </c:pt>
                <c:pt idx="530">
                  <c:v>27.668133333333301</c:v>
                </c:pt>
                <c:pt idx="531">
                  <c:v>26.525732860520101</c:v>
                </c:pt>
                <c:pt idx="532">
                  <c:v>29.058622222222201</c:v>
                </c:pt>
                <c:pt idx="533">
                  <c:v>25.297177777777701</c:v>
                </c:pt>
                <c:pt idx="534">
                  <c:v>28.905701459034699</c:v>
                </c:pt>
                <c:pt idx="535">
                  <c:v>27.468215488215399</c:v>
                </c:pt>
                <c:pt idx="536">
                  <c:v>29.247055555555502</c:v>
                </c:pt>
                <c:pt idx="537">
                  <c:v>26.562866666666601</c:v>
                </c:pt>
                <c:pt idx="538">
                  <c:v>28.721156004489298</c:v>
                </c:pt>
                <c:pt idx="539">
                  <c:v>28.416255555555502</c:v>
                </c:pt>
                <c:pt idx="540">
                  <c:v>29.853703703703701</c:v>
                </c:pt>
                <c:pt idx="541">
                  <c:v>26.9832</c:v>
                </c:pt>
                <c:pt idx="542">
                  <c:v>28.4776777777777</c:v>
                </c:pt>
                <c:pt idx="543">
                  <c:v>27.319976359338</c:v>
                </c:pt>
                <c:pt idx="544">
                  <c:v>27.827716049382701</c:v>
                </c:pt>
                <c:pt idx="545">
                  <c:v>27.7853472222222</c:v>
                </c:pt>
                <c:pt idx="546">
                  <c:v>26.985222222222198</c:v>
                </c:pt>
                <c:pt idx="547">
                  <c:v>26.916222222222199</c:v>
                </c:pt>
                <c:pt idx="548">
                  <c:v>25.7924222222222</c:v>
                </c:pt>
                <c:pt idx="549">
                  <c:v>28.253108866442201</c:v>
                </c:pt>
                <c:pt idx="550">
                  <c:v>27.241043771043699</c:v>
                </c:pt>
                <c:pt idx="551">
                  <c:v>26.630415263748599</c:v>
                </c:pt>
                <c:pt idx="552">
                  <c:v>28.149566666666601</c:v>
                </c:pt>
                <c:pt idx="553">
                  <c:v>26.988711111111101</c:v>
                </c:pt>
                <c:pt idx="554">
                  <c:v>25.035933333333301</c:v>
                </c:pt>
                <c:pt idx="555">
                  <c:v>26.218316498316501</c:v>
                </c:pt>
                <c:pt idx="556">
                  <c:v>27.203966666666599</c:v>
                </c:pt>
                <c:pt idx="557">
                  <c:v>27.772076318742901</c:v>
                </c:pt>
                <c:pt idx="558">
                  <c:v>28.0427664399093</c:v>
                </c:pt>
                <c:pt idx="559">
                  <c:v>27.225666666666601</c:v>
                </c:pt>
                <c:pt idx="560">
                  <c:v>27.374488888888798</c:v>
                </c:pt>
                <c:pt idx="561">
                  <c:v>28.0489450056116</c:v>
                </c:pt>
                <c:pt idx="562">
                  <c:v>28.271911111111098</c:v>
                </c:pt>
                <c:pt idx="563">
                  <c:v>28.2081037037036</c:v>
                </c:pt>
                <c:pt idx="564">
                  <c:v>27.506212121212101</c:v>
                </c:pt>
                <c:pt idx="565">
                  <c:v>27.494022222222199</c:v>
                </c:pt>
                <c:pt idx="566">
                  <c:v>26.863611111111101</c:v>
                </c:pt>
                <c:pt idx="567">
                  <c:v>28.052355555555501</c:v>
                </c:pt>
                <c:pt idx="568">
                  <c:v>28.000900000000001</c:v>
                </c:pt>
                <c:pt idx="569">
                  <c:v>26.604747474747398</c:v>
                </c:pt>
                <c:pt idx="570">
                  <c:v>30.7039222222222</c:v>
                </c:pt>
                <c:pt idx="571">
                  <c:v>25.7982333333333</c:v>
                </c:pt>
                <c:pt idx="572">
                  <c:v>26.570444444444401</c:v>
                </c:pt>
                <c:pt idx="573">
                  <c:v>25.8318222222222</c:v>
                </c:pt>
                <c:pt idx="574">
                  <c:v>27.507188888888798</c:v>
                </c:pt>
                <c:pt idx="575">
                  <c:v>25.684693877550998</c:v>
                </c:pt>
                <c:pt idx="576">
                  <c:v>29.095873015873</c:v>
                </c:pt>
                <c:pt idx="577">
                  <c:v>26.266529209622</c:v>
                </c:pt>
                <c:pt idx="578">
                  <c:v>27.282388888888899</c:v>
                </c:pt>
                <c:pt idx="579">
                  <c:v>26.766399999999901</c:v>
                </c:pt>
                <c:pt idx="580">
                  <c:v>26.781043771043699</c:v>
                </c:pt>
                <c:pt idx="581">
                  <c:v>28.2916777777777</c:v>
                </c:pt>
                <c:pt idx="582">
                  <c:v>30.7885777777777</c:v>
                </c:pt>
                <c:pt idx="583">
                  <c:v>27.093187429854002</c:v>
                </c:pt>
                <c:pt idx="584">
                  <c:v>26.881599999999999</c:v>
                </c:pt>
                <c:pt idx="585">
                  <c:v>30.149988662131499</c:v>
                </c:pt>
                <c:pt idx="586">
                  <c:v>26.182570145903501</c:v>
                </c:pt>
                <c:pt idx="587">
                  <c:v>28.697721661054999</c:v>
                </c:pt>
                <c:pt idx="588">
                  <c:v>26.645133333333298</c:v>
                </c:pt>
                <c:pt idx="589">
                  <c:v>30.254466666666598</c:v>
                </c:pt>
                <c:pt idx="590">
                  <c:v>27.714611111111001</c:v>
                </c:pt>
                <c:pt idx="591">
                  <c:v>30.280596205961999</c:v>
                </c:pt>
                <c:pt idx="592">
                  <c:v>27.125108024691301</c:v>
                </c:pt>
                <c:pt idx="593">
                  <c:v>29.095488888888799</c:v>
                </c:pt>
                <c:pt idx="594">
                  <c:v>26.287488888888799</c:v>
                </c:pt>
                <c:pt idx="595">
                  <c:v>26.474133333333299</c:v>
                </c:pt>
                <c:pt idx="596">
                  <c:v>25.736633333333302</c:v>
                </c:pt>
                <c:pt idx="597">
                  <c:v>26.5134222222222</c:v>
                </c:pt>
                <c:pt idx="598">
                  <c:v>27.4217444444444</c:v>
                </c:pt>
                <c:pt idx="599">
                  <c:v>28.472098765432101</c:v>
                </c:pt>
                <c:pt idx="600">
                  <c:v>27.1704111111111</c:v>
                </c:pt>
                <c:pt idx="601">
                  <c:v>26.3445</c:v>
                </c:pt>
                <c:pt idx="602">
                  <c:v>26.702499999999901</c:v>
                </c:pt>
                <c:pt idx="603">
                  <c:v>26.523699999999899</c:v>
                </c:pt>
                <c:pt idx="604">
                  <c:v>27.915194444444399</c:v>
                </c:pt>
                <c:pt idx="605">
                  <c:v>28.7370949074074</c:v>
                </c:pt>
                <c:pt idx="606">
                  <c:v>25.508422222222201</c:v>
                </c:pt>
                <c:pt idx="607">
                  <c:v>25.322222222222202</c:v>
                </c:pt>
                <c:pt idx="608">
                  <c:v>25.134264870931499</c:v>
                </c:pt>
                <c:pt idx="609">
                  <c:v>29.301500000000001</c:v>
                </c:pt>
                <c:pt idx="610">
                  <c:v>28.052505668934199</c:v>
                </c:pt>
                <c:pt idx="611">
                  <c:v>28.104274376417202</c:v>
                </c:pt>
                <c:pt idx="612">
                  <c:v>28.219753086419701</c:v>
                </c:pt>
                <c:pt idx="613">
                  <c:v>26.5878444444444</c:v>
                </c:pt>
                <c:pt idx="614">
                  <c:v>27.973184421534899</c:v>
                </c:pt>
                <c:pt idx="615">
                  <c:v>27.138444444444399</c:v>
                </c:pt>
                <c:pt idx="616">
                  <c:v>26.662099999999899</c:v>
                </c:pt>
                <c:pt idx="617">
                  <c:v>26.102166666666601</c:v>
                </c:pt>
                <c:pt idx="618">
                  <c:v>27.924522222222201</c:v>
                </c:pt>
                <c:pt idx="619">
                  <c:v>27.841155555555499</c:v>
                </c:pt>
                <c:pt idx="620">
                  <c:v>26.183399999999999</c:v>
                </c:pt>
                <c:pt idx="621">
                  <c:v>25.841449275362301</c:v>
                </c:pt>
                <c:pt idx="622">
                  <c:v>27.417999999999999</c:v>
                </c:pt>
                <c:pt idx="623">
                  <c:v>27.390711111111099</c:v>
                </c:pt>
                <c:pt idx="624">
                  <c:v>26.6513888888888</c:v>
                </c:pt>
                <c:pt idx="625">
                  <c:v>29.565294784580502</c:v>
                </c:pt>
                <c:pt idx="626">
                  <c:v>27.6453423120089</c:v>
                </c:pt>
                <c:pt idx="627">
                  <c:v>25.612671156004399</c:v>
                </c:pt>
                <c:pt idx="628">
                  <c:v>27.945222222222199</c:v>
                </c:pt>
                <c:pt idx="629">
                  <c:v>28.137811111111098</c:v>
                </c:pt>
                <c:pt idx="630">
                  <c:v>26.377233333333301</c:v>
                </c:pt>
                <c:pt idx="631">
                  <c:v>28.7263666666666</c:v>
                </c:pt>
                <c:pt idx="632">
                  <c:v>27.072091503267899</c:v>
                </c:pt>
                <c:pt idx="633">
                  <c:v>22.714888888888801</c:v>
                </c:pt>
                <c:pt idx="634">
                  <c:v>25.7494104308389</c:v>
                </c:pt>
                <c:pt idx="635">
                  <c:v>27.7789450056116</c:v>
                </c:pt>
                <c:pt idx="636">
                  <c:v>31.106206509539799</c:v>
                </c:pt>
                <c:pt idx="637">
                  <c:v>30.431988888888899</c:v>
                </c:pt>
                <c:pt idx="638">
                  <c:v>27.052044444444402</c:v>
                </c:pt>
                <c:pt idx="639">
                  <c:v>28.828622222222201</c:v>
                </c:pt>
                <c:pt idx="640">
                  <c:v>27.9552413019079</c:v>
                </c:pt>
                <c:pt idx="641">
                  <c:v>30.3620666666666</c:v>
                </c:pt>
                <c:pt idx="642">
                  <c:v>26.797676767676698</c:v>
                </c:pt>
                <c:pt idx="643">
                  <c:v>26.826812570145901</c:v>
                </c:pt>
                <c:pt idx="644">
                  <c:v>30.394199999999898</c:v>
                </c:pt>
                <c:pt idx="645">
                  <c:v>28.171700000000001</c:v>
                </c:pt>
                <c:pt idx="646">
                  <c:v>28.9108555555555</c:v>
                </c:pt>
                <c:pt idx="647">
                  <c:v>25.6484666666666</c:v>
                </c:pt>
                <c:pt idx="648">
                  <c:v>26.3736251402918</c:v>
                </c:pt>
                <c:pt idx="649">
                  <c:v>27.082944444444401</c:v>
                </c:pt>
                <c:pt idx="650">
                  <c:v>26.406706349206299</c:v>
                </c:pt>
                <c:pt idx="651">
                  <c:v>26.549841269841199</c:v>
                </c:pt>
                <c:pt idx="652">
                  <c:v>27.9751444444444</c:v>
                </c:pt>
                <c:pt idx="653">
                  <c:v>27.641032547699201</c:v>
                </c:pt>
                <c:pt idx="654">
                  <c:v>27.970233333333301</c:v>
                </c:pt>
                <c:pt idx="655">
                  <c:v>28.528511111111101</c:v>
                </c:pt>
                <c:pt idx="656">
                  <c:v>27.762422222222199</c:v>
                </c:pt>
                <c:pt idx="657">
                  <c:v>28.0017888888889</c:v>
                </c:pt>
                <c:pt idx="658">
                  <c:v>28.876822222222199</c:v>
                </c:pt>
                <c:pt idx="659">
                  <c:v>27.805791245791202</c:v>
                </c:pt>
                <c:pt idx="660">
                  <c:v>30.228999999999999</c:v>
                </c:pt>
                <c:pt idx="661">
                  <c:v>27.626049382716001</c:v>
                </c:pt>
                <c:pt idx="662">
                  <c:v>28.255839506172801</c:v>
                </c:pt>
                <c:pt idx="663">
                  <c:v>30.0621621621621</c:v>
                </c:pt>
                <c:pt idx="664">
                  <c:v>28.924870801033599</c:v>
                </c:pt>
                <c:pt idx="665">
                  <c:v>29.189607182940499</c:v>
                </c:pt>
                <c:pt idx="666">
                  <c:v>28.799943883277201</c:v>
                </c:pt>
                <c:pt idx="667">
                  <c:v>24.3206846240179</c:v>
                </c:pt>
                <c:pt idx="668">
                  <c:v>27.087033333333299</c:v>
                </c:pt>
                <c:pt idx="669">
                  <c:v>28.6647</c:v>
                </c:pt>
                <c:pt idx="670">
                  <c:v>28.178233333333299</c:v>
                </c:pt>
                <c:pt idx="671">
                  <c:v>29.544266666666601</c:v>
                </c:pt>
                <c:pt idx="672">
                  <c:v>26.178276643990898</c:v>
                </c:pt>
                <c:pt idx="673">
                  <c:v>28.439722222222201</c:v>
                </c:pt>
                <c:pt idx="674">
                  <c:v>26.438988888888801</c:v>
                </c:pt>
                <c:pt idx="675">
                  <c:v>28.919733333333301</c:v>
                </c:pt>
                <c:pt idx="676">
                  <c:v>28.6796111111111</c:v>
                </c:pt>
                <c:pt idx="677">
                  <c:v>27.103877777777701</c:v>
                </c:pt>
                <c:pt idx="678">
                  <c:v>27.951144444444399</c:v>
                </c:pt>
                <c:pt idx="679">
                  <c:v>29.101944444444399</c:v>
                </c:pt>
                <c:pt idx="680">
                  <c:v>30.417822671155999</c:v>
                </c:pt>
                <c:pt idx="681">
                  <c:v>25.435264550264499</c:v>
                </c:pt>
                <c:pt idx="682">
                  <c:v>27.4820611916264</c:v>
                </c:pt>
                <c:pt idx="683">
                  <c:v>28.124388888888799</c:v>
                </c:pt>
                <c:pt idx="684">
                  <c:v>26.6067111111111</c:v>
                </c:pt>
                <c:pt idx="685">
                  <c:v>29.7906333333333</c:v>
                </c:pt>
                <c:pt idx="686">
                  <c:v>25.733699999999999</c:v>
                </c:pt>
                <c:pt idx="687">
                  <c:v>28.8586734693877</c:v>
                </c:pt>
                <c:pt idx="688">
                  <c:v>28.4815712682379</c:v>
                </c:pt>
                <c:pt idx="689">
                  <c:v>26.546166666666601</c:v>
                </c:pt>
                <c:pt idx="690">
                  <c:v>27.769281705948298</c:v>
                </c:pt>
                <c:pt idx="691">
                  <c:v>26.862244668911298</c:v>
                </c:pt>
                <c:pt idx="692">
                  <c:v>28.769766666666602</c:v>
                </c:pt>
                <c:pt idx="693">
                  <c:v>28.356666666666602</c:v>
                </c:pt>
                <c:pt idx="694">
                  <c:v>25.533321256038601</c:v>
                </c:pt>
                <c:pt idx="695">
                  <c:v>26.804150326797298</c:v>
                </c:pt>
                <c:pt idx="696">
                  <c:v>27.8409539842873</c:v>
                </c:pt>
                <c:pt idx="697">
                  <c:v>28.220088888888899</c:v>
                </c:pt>
                <c:pt idx="698">
                  <c:v>28.9876767676767</c:v>
                </c:pt>
                <c:pt idx="699">
                  <c:v>28.072244444444401</c:v>
                </c:pt>
                <c:pt idx="700">
                  <c:v>26.764533333333301</c:v>
                </c:pt>
                <c:pt idx="701">
                  <c:v>30.513557800224401</c:v>
                </c:pt>
                <c:pt idx="702">
                  <c:v>27.8052749719416</c:v>
                </c:pt>
                <c:pt idx="703">
                  <c:v>26.968244444444402</c:v>
                </c:pt>
                <c:pt idx="704">
                  <c:v>28.2603703703703</c:v>
                </c:pt>
                <c:pt idx="705">
                  <c:v>27.068455555555499</c:v>
                </c:pt>
                <c:pt idx="706">
                  <c:v>27.895866666666599</c:v>
                </c:pt>
                <c:pt idx="707">
                  <c:v>27.857437641723301</c:v>
                </c:pt>
                <c:pt idx="708">
                  <c:v>28.4090777777777</c:v>
                </c:pt>
                <c:pt idx="709">
                  <c:v>29.803633333333298</c:v>
                </c:pt>
                <c:pt idx="710">
                  <c:v>26.929844444444399</c:v>
                </c:pt>
                <c:pt idx="711">
                  <c:v>26.9458024691357</c:v>
                </c:pt>
                <c:pt idx="712">
                  <c:v>27.437922222222198</c:v>
                </c:pt>
                <c:pt idx="713">
                  <c:v>29.137319587628799</c:v>
                </c:pt>
                <c:pt idx="714">
                  <c:v>25.962631578947299</c:v>
                </c:pt>
                <c:pt idx="715">
                  <c:v>24.244231200897801</c:v>
                </c:pt>
                <c:pt idx="716">
                  <c:v>26.858466666666601</c:v>
                </c:pt>
                <c:pt idx="717">
                  <c:v>25.5818444444444</c:v>
                </c:pt>
                <c:pt idx="718">
                  <c:v>26.340975056689299</c:v>
                </c:pt>
                <c:pt idx="719">
                  <c:v>29.909398148148099</c:v>
                </c:pt>
                <c:pt idx="720">
                  <c:v>26.430222222222199</c:v>
                </c:pt>
                <c:pt idx="721">
                  <c:v>28.111944444444401</c:v>
                </c:pt>
                <c:pt idx="722">
                  <c:v>27.116011111111099</c:v>
                </c:pt>
                <c:pt idx="723">
                  <c:v>28.003922222222201</c:v>
                </c:pt>
                <c:pt idx="724">
                  <c:v>28.9040111111111</c:v>
                </c:pt>
                <c:pt idx="725">
                  <c:v>28.638305274971898</c:v>
                </c:pt>
                <c:pt idx="726">
                  <c:v>28.478345410627998</c:v>
                </c:pt>
                <c:pt idx="727">
                  <c:v>27.073742690058399</c:v>
                </c:pt>
                <c:pt idx="728">
                  <c:v>26.391517615176099</c:v>
                </c:pt>
                <c:pt idx="729">
                  <c:v>27.5118333333333</c:v>
                </c:pt>
                <c:pt idx="730">
                  <c:v>26.602844444444401</c:v>
                </c:pt>
                <c:pt idx="731">
                  <c:v>27.1984777777777</c:v>
                </c:pt>
                <c:pt idx="732">
                  <c:v>28.061333333333302</c:v>
                </c:pt>
                <c:pt idx="733">
                  <c:v>26.806891133557802</c:v>
                </c:pt>
                <c:pt idx="734">
                  <c:v>28.081611111111101</c:v>
                </c:pt>
                <c:pt idx="735">
                  <c:v>28.503077777777701</c:v>
                </c:pt>
                <c:pt idx="736">
                  <c:v>26.614144444444399</c:v>
                </c:pt>
                <c:pt idx="737">
                  <c:v>29.054501718213</c:v>
                </c:pt>
                <c:pt idx="738">
                  <c:v>24.923100000000002</c:v>
                </c:pt>
                <c:pt idx="739">
                  <c:v>27.882400000000001</c:v>
                </c:pt>
                <c:pt idx="740">
                  <c:v>28.437171717171701</c:v>
                </c:pt>
                <c:pt idx="741">
                  <c:v>28.3161952861952</c:v>
                </c:pt>
                <c:pt idx="742">
                  <c:v>26.0023344556677</c:v>
                </c:pt>
                <c:pt idx="743">
                  <c:v>26.054940898345102</c:v>
                </c:pt>
                <c:pt idx="744">
                  <c:v>26.6628703703703</c:v>
                </c:pt>
                <c:pt idx="745">
                  <c:v>27.9108739076154</c:v>
                </c:pt>
                <c:pt idx="746">
                  <c:v>25.569771241830001</c:v>
                </c:pt>
                <c:pt idx="747">
                  <c:v>30.105607235142099</c:v>
                </c:pt>
                <c:pt idx="748">
                  <c:v>27.597188888888901</c:v>
                </c:pt>
                <c:pt idx="749">
                  <c:v>27.8670526315789</c:v>
                </c:pt>
                <c:pt idx="750">
                  <c:v>28.361280602636501</c:v>
                </c:pt>
                <c:pt idx="751">
                  <c:v>29.772397660818701</c:v>
                </c:pt>
                <c:pt idx="752">
                  <c:v>29.773966666666599</c:v>
                </c:pt>
                <c:pt idx="753">
                  <c:v>28.069768518518501</c:v>
                </c:pt>
                <c:pt idx="754">
                  <c:v>26.222933832709099</c:v>
                </c:pt>
                <c:pt idx="755">
                  <c:v>26.839807256235801</c:v>
                </c:pt>
                <c:pt idx="756">
                  <c:v>25.592446689113299</c:v>
                </c:pt>
                <c:pt idx="757">
                  <c:v>26.3934888888888</c:v>
                </c:pt>
                <c:pt idx="758">
                  <c:v>28.606866666666601</c:v>
                </c:pt>
                <c:pt idx="759">
                  <c:v>24.748087855297101</c:v>
                </c:pt>
                <c:pt idx="760">
                  <c:v>27.744488888888899</c:v>
                </c:pt>
                <c:pt idx="761">
                  <c:v>25.229099999999999</c:v>
                </c:pt>
                <c:pt idx="762">
                  <c:v>27.0272166105499</c:v>
                </c:pt>
                <c:pt idx="763">
                  <c:v>27.050088888888801</c:v>
                </c:pt>
                <c:pt idx="764">
                  <c:v>26.935454545454501</c:v>
                </c:pt>
                <c:pt idx="765">
                  <c:v>28.341999999999999</c:v>
                </c:pt>
                <c:pt idx="766">
                  <c:v>27.813688888888802</c:v>
                </c:pt>
                <c:pt idx="767">
                  <c:v>27.515566778900101</c:v>
                </c:pt>
                <c:pt idx="768">
                  <c:v>30.980599999999999</c:v>
                </c:pt>
                <c:pt idx="769">
                  <c:v>29.4125333333333</c:v>
                </c:pt>
                <c:pt idx="770">
                  <c:v>27.799711111111101</c:v>
                </c:pt>
                <c:pt idx="771">
                  <c:v>26.634499999999999</c:v>
                </c:pt>
                <c:pt idx="772">
                  <c:v>24.210260770975001</c:v>
                </c:pt>
                <c:pt idx="773">
                  <c:v>27.203405017921099</c:v>
                </c:pt>
                <c:pt idx="774">
                  <c:v>27.318151927437601</c:v>
                </c:pt>
                <c:pt idx="775">
                  <c:v>27.1209777777777</c:v>
                </c:pt>
                <c:pt idx="776">
                  <c:v>28.244253647586898</c:v>
                </c:pt>
                <c:pt idx="777">
                  <c:v>24.590407407407401</c:v>
                </c:pt>
                <c:pt idx="778">
                  <c:v>25.535833333333301</c:v>
                </c:pt>
                <c:pt idx="779">
                  <c:v>26.055714285714199</c:v>
                </c:pt>
                <c:pt idx="780">
                  <c:v>26.1731444444444</c:v>
                </c:pt>
                <c:pt idx="781">
                  <c:v>27.358755555555501</c:v>
                </c:pt>
                <c:pt idx="782">
                  <c:v>26.267777777777699</c:v>
                </c:pt>
                <c:pt idx="783">
                  <c:v>28.1666099773242</c:v>
                </c:pt>
                <c:pt idx="784">
                  <c:v>24.380972222222201</c:v>
                </c:pt>
                <c:pt idx="785">
                  <c:v>25.994396825396802</c:v>
                </c:pt>
                <c:pt idx="786">
                  <c:v>26.8447474747474</c:v>
                </c:pt>
                <c:pt idx="787">
                  <c:v>27.241333333333301</c:v>
                </c:pt>
                <c:pt idx="788">
                  <c:v>24.727966457023001</c:v>
                </c:pt>
                <c:pt idx="789">
                  <c:v>24.780833333333302</c:v>
                </c:pt>
                <c:pt idx="790">
                  <c:v>30.271666666666601</c:v>
                </c:pt>
                <c:pt idx="791">
                  <c:v>25.6294725028058</c:v>
                </c:pt>
                <c:pt idx="792">
                  <c:v>25.991422222222202</c:v>
                </c:pt>
                <c:pt idx="793">
                  <c:v>29.222401795735099</c:v>
                </c:pt>
                <c:pt idx="794">
                  <c:v>28.449177777777699</c:v>
                </c:pt>
                <c:pt idx="795">
                  <c:v>28.616077777777701</c:v>
                </c:pt>
                <c:pt idx="796">
                  <c:v>28.2768555555555</c:v>
                </c:pt>
                <c:pt idx="797">
                  <c:v>25.791054421768699</c:v>
                </c:pt>
                <c:pt idx="798">
                  <c:v>27.153588888888802</c:v>
                </c:pt>
                <c:pt idx="799">
                  <c:v>26.209122222222199</c:v>
                </c:pt>
                <c:pt idx="800">
                  <c:v>28.559793650793601</c:v>
                </c:pt>
                <c:pt idx="801">
                  <c:v>27.820277777777701</c:v>
                </c:pt>
                <c:pt idx="802">
                  <c:v>26.608333333333299</c:v>
                </c:pt>
                <c:pt idx="803">
                  <c:v>26.5195111111111</c:v>
                </c:pt>
                <c:pt idx="804">
                  <c:v>28.012744444444401</c:v>
                </c:pt>
                <c:pt idx="805">
                  <c:v>26.095207631874199</c:v>
                </c:pt>
                <c:pt idx="806">
                  <c:v>27.550355555555502</c:v>
                </c:pt>
                <c:pt idx="807">
                  <c:v>26.808355555555501</c:v>
                </c:pt>
                <c:pt idx="808">
                  <c:v>28.269266666666599</c:v>
                </c:pt>
                <c:pt idx="809">
                  <c:v>27.0755666666666</c:v>
                </c:pt>
                <c:pt idx="810">
                  <c:v>26.6029555555555</c:v>
                </c:pt>
                <c:pt idx="811">
                  <c:v>29.4078444444444</c:v>
                </c:pt>
                <c:pt idx="812">
                  <c:v>29.250325476992099</c:v>
                </c:pt>
                <c:pt idx="813">
                  <c:v>26.406273148148099</c:v>
                </c:pt>
                <c:pt idx="814">
                  <c:v>27.387340067339998</c:v>
                </c:pt>
                <c:pt idx="815">
                  <c:v>27.983901234567899</c:v>
                </c:pt>
                <c:pt idx="816">
                  <c:v>27.247029478458</c:v>
                </c:pt>
                <c:pt idx="817">
                  <c:v>26.5621333333333</c:v>
                </c:pt>
                <c:pt idx="818">
                  <c:v>27.7402333333333</c:v>
                </c:pt>
                <c:pt idx="819">
                  <c:v>28.273966666666599</c:v>
                </c:pt>
                <c:pt idx="820">
                  <c:v>26.673501683501598</c:v>
                </c:pt>
                <c:pt idx="821">
                  <c:v>25.1972555555555</c:v>
                </c:pt>
                <c:pt idx="822">
                  <c:v>28.6974074074074</c:v>
                </c:pt>
                <c:pt idx="823">
                  <c:v>29.798407407407399</c:v>
                </c:pt>
                <c:pt idx="824">
                  <c:v>27.378155784650598</c:v>
                </c:pt>
                <c:pt idx="825">
                  <c:v>26.972688888888801</c:v>
                </c:pt>
                <c:pt idx="826">
                  <c:v>28.849898989899</c:v>
                </c:pt>
                <c:pt idx="827">
                  <c:v>30.733086419753</c:v>
                </c:pt>
                <c:pt idx="828">
                  <c:v>25.419029239766001</c:v>
                </c:pt>
                <c:pt idx="829">
                  <c:v>28.435505804311699</c:v>
                </c:pt>
                <c:pt idx="830">
                  <c:v>27.225922222222199</c:v>
                </c:pt>
                <c:pt idx="831">
                  <c:v>29.447957351290601</c:v>
                </c:pt>
                <c:pt idx="832">
                  <c:v>25.5195333333333</c:v>
                </c:pt>
                <c:pt idx="833">
                  <c:v>29.992422222222199</c:v>
                </c:pt>
                <c:pt idx="834">
                  <c:v>28.301515151515101</c:v>
                </c:pt>
                <c:pt idx="835">
                  <c:v>28.8407444444444</c:v>
                </c:pt>
                <c:pt idx="836">
                  <c:v>28.969644444444398</c:v>
                </c:pt>
                <c:pt idx="837">
                  <c:v>28.6095124716553</c:v>
                </c:pt>
                <c:pt idx="838">
                  <c:v>28.461257014590299</c:v>
                </c:pt>
                <c:pt idx="839">
                  <c:v>27.3347308132875</c:v>
                </c:pt>
                <c:pt idx="840">
                  <c:v>27.2380920314253</c:v>
                </c:pt>
                <c:pt idx="841">
                  <c:v>27.232511111111101</c:v>
                </c:pt>
                <c:pt idx="842">
                  <c:v>28.425366666666601</c:v>
                </c:pt>
                <c:pt idx="843">
                  <c:v>28.3876744186046</c:v>
                </c:pt>
                <c:pt idx="844">
                  <c:v>23.424761904761901</c:v>
                </c:pt>
                <c:pt idx="845">
                  <c:v>27.167104377104302</c:v>
                </c:pt>
                <c:pt idx="846">
                  <c:v>27.947433333333301</c:v>
                </c:pt>
                <c:pt idx="847">
                  <c:v>25.782133333333299</c:v>
                </c:pt>
                <c:pt idx="848">
                  <c:v>28.171661054994299</c:v>
                </c:pt>
                <c:pt idx="849">
                  <c:v>27.9599333333333</c:v>
                </c:pt>
                <c:pt idx="850">
                  <c:v>27.7119079685746</c:v>
                </c:pt>
                <c:pt idx="851">
                  <c:v>25.981212121212099</c:v>
                </c:pt>
                <c:pt idx="852">
                  <c:v>26.758059964726598</c:v>
                </c:pt>
                <c:pt idx="853">
                  <c:v>29.8586629001883</c:v>
                </c:pt>
                <c:pt idx="854">
                  <c:v>24.356818713450298</c:v>
                </c:pt>
                <c:pt idx="855">
                  <c:v>25.083425925925901</c:v>
                </c:pt>
                <c:pt idx="856">
                  <c:v>29.398222222222198</c:v>
                </c:pt>
                <c:pt idx="857">
                  <c:v>24.876811111111099</c:v>
                </c:pt>
                <c:pt idx="858">
                  <c:v>29.861307189542401</c:v>
                </c:pt>
                <c:pt idx="859">
                  <c:v>27.383194444444399</c:v>
                </c:pt>
                <c:pt idx="860">
                  <c:v>28.6856333333333</c:v>
                </c:pt>
                <c:pt idx="861">
                  <c:v>28.4316498316498</c:v>
                </c:pt>
                <c:pt idx="862">
                  <c:v>26.1799999999999</c:v>
                </c:pt>
                <c:pt idx="863">
                  <c:v>26.1794333333333</c:v>
                </c:pt>
                <c:pt idx="864">
                  <c:v>27.2107888888888</c:v>
                </c:pt>
                <c:pt idx="865">
                  <c:v>29.8293999999999</c:v>
                </c:pt>
                <c:pt idx="866">
                  <c:v>27.167474747474699</c:v>
                </c:pt>
                <c:pt idx="867">
                  <c:v>26.137811111111098</c:v>
                </c:pt>
                <c:pt idx="868">
                  <c:v>27.871655555555499</c:v>
                </c:pt>
                <c:pt idx="869">
                  <c:v>28.610322222222202</c:v>
                </c:pt>
                <c:pt idx="870">
                  <c:v>28.0089337822671</c:v>
                </c:pt>
                <c:pt idx="871">
                  <c:v>29.921144444444401</c:v>
                </c:pt>
                <c:pt idx="872">
                  <c:v>27.977722222222202</c:v>
                </c:pt>
                <c:pt idx="873">
                  <c:v>26.2676444444444</c:v>
                </c:pt>
                <c:pt idx="874">
                  <c:v>32.1971544715447</c:v>
                </c:pt>
                <c:pt idx="875">
                  <c:v>25.044555555555501</c:v>
                </c:pt>
                <c:pt idx="876">
                  <c:v>28.142144444444401</c:v>
                </c:pt>
                <c:pt idx="877">
                  <c:v>29.5693444444444</c:v>
                </c:pt>
                <c:pt idx="878">
                  <c:v>27.200711111111101</c:v>
                </c:pt>
                <c:pt idx="879">
                  <c:v>26.716217732884399</c:v>
                </c:pt>
                <c:pt idx="880">
                  <c:v>29.7099092970521</c:v>
                </c:pt>
                <c:pt idx="881">
                  <c:v>26.636749585406299</c:v>
                </c:pt>
                <c:pt idx="882">
                  <c:v>27.420231990231901</c:v>
                </c:pt>
                <c:pt idx="883">
                  <c:v>29.279705215419401</c:v>
                </c:pt>
                <c:pt idx="884">
                  <c:v>26.767595356550501</c:v>
                </c:pt>
                <c:pt idx="885">
                  <c:v>27.8082407407407</c:v>
                </c:pt>
                <c:pt idx="886">
                  <c:v>26.8485555555555</c:v>
                </c:pt>
                <c:pt idx="887">
                  <c:v>27.921542288557202</c:v>
                </c:pt>
                <c:pt idx="888">
                  <c:v>27.837387057387001</c:v>
                </c:pt>
                <c:pt idx="889">
                  <c:v>28.2605405405405</c:v>
                </c:pt>
                <c:pt idx="890">
                  <c:v>30.3642517006802</c:v>
                </c:pt>
                <c:pt idx="891">
                  <c:v>25.2051739618406</c:v>
                </c:pt>
                <c:pt idx="892">
                  <c:v>27.7826666666666</c:v>
                </c:pt>
                <c:pt idx="893">
                  <c:v>27.124130190796802</c:v>
                </c:pt>
                <c:pt idx="894">
                  <c:v>28.479977777777702</c:v>
                </c:pt>
                <c:pt idx="895">
                  <c:v>25.728249158249099</c:v>
                </c:pt>
                <c:pt idx="896">
                  <c:v>28.402055555555499</c:v>
                </c:pt>
                <c:pt idx="897">
                  <c:v>27.7418069584736</c:v>
                </c:pt>
                <c:pt idx="898">
                  <c:v>28.197211111111098</c:v>
                </c:pt>
                <c:pt idx="899">
                  <c:v>28.040599999999898</c:v>
                </c:pt>
                <c:pt idx="900">
                  <c:v>25.4419222222222</c:v>
                </c:pt>
                <c:pt idx="901">
                  <c:v>27.892119129438701</c:v>
                </c:pt>
                <c:pt idx="902">
                  <c:v>28.847104377104301</c:v>
                </c:pt>
                <c:pt idx="903">
                  <c:v>29.113233333333302</c:v>
                </c:pt>
                <c:pt idx="904">
                  <c:v>28.1927777777777</c:v>
                </c:pt>
                <c:pt idx="905">
                  <c:v>27.010717299578001</c:v>
                </c:pt>
                <c:pt idx="906">
                  <c:v>26.1424579124579</c:v>
                </c:pt>
                <c:pt idx="907">
                  <c:v>29.296111111111099</c:v>
                </c:pt>
                <c:pt idx="908">
                  <c:v>26.534960718293998</c:v>
                </c:pt>
                <c:pt idx="909">
                  <c:v>27.9261552028218</c:v>
                </c:pt>
                <c:pt idx="910">
                  <c:v>26.3350987654321</c:v>
                </c:pt>
                <c:pt idx="911">
                  <c:v>27.155744444444402</c:v>
                </c:pt>
                <c:pt idx="912">
                  <c:v>27.957879818594101</c:v>
                </c:pt>
                <c:pt idx="913">
                  <c:v>29.885536062378101</c:v>
                </c:pt>
                <c:pt idx="914">
                  <c:v>27.4914764079147</c:v>
                </c:pt>
                <c:pt idx="915">
                  <c:v>25.257167277167198</c:v>
                </c:pt>
                <c:pt idx="916">
                  <c:v>27.703501048218001</c:v>
                </c:pt>
                <c:pt idx="917">
                  <c:v>25.830444444444399</c:v>
                </c:pt>
                <c:pt idx="918">
                  <c:v>27.1411447811447</c:v>
                </c:pt>
                <c:pt idx="919">
                  <c:v>28.990204081632601</c:v>
                </c:pt>
                <c:pt idx="920">
                  <c:v>27.177777777777699</c:v>
                </c:pt>
                <c:pt idx="921">
                  <c:v>26.899833333333302</c:v>
                </c:pt>
                <c:pt idx="922">
                  <c:v>27.7231777777777</c:v>
                </c:pt>
                <c:pt idx="923">
                  <c:v>25.673477777777698</c:v>
                </c:pt>
                <c:pt idx="924">
                  <c:v>28.0514814814814</c:v>
                </c:pt>
                <c:pt idx="925">
                  <c:v>28.840455555555501</c:v>
                </c:pt>
                <c:pt idx="926">
                  <c:v>27.493984287317598</c:v>
                </c:pt>
                <c:pt idx="927">
                  <c:v>26.718455555555501</c:v>
                </c:pt>
                <c:pt idx="928">
                  <c:v>26.387879818594101</c:v>
                </c:pt>
                <c:pt idx="929">
                  <c:v>27.040087145969501</c:v>
                </c:pt>
                <c:pt idx="930">
                  <c:v>28.352499999999999</c:v>
                </c:pt>
                <c:pt idx="931">
                  <c:v>34.361904761904697</c:v>
                </c:pt>
                <c:pt idx="932">
                  <c:v>31.496377314814801</c:v>
                </c:pt>
                <c:pt idx="933">
                  <c:v>28.783333333333299</c:v>
                </c:pt>
                <c:pt idx="934">
                  <c:v>29.404531250000002</c:v>
                </c:pt>
                <c:pt idx="935">
                  <c:v>26.5315384615384</c:v>
                </c:pt>
                <c:pt idx="936">
                  <c:v>26.169925093632902</c:v>
                </c:pt>
                <c:pt idx="937">
                  <c:v>29.26</c:v>
                </c:pt>
                <c:pt idx="938">
                  <c:v>26.4434006734006</c:v>
                </c:pt>
                <c:pt idx="939">
                  <c:v>27.9886531986531</c:v>
                </c:pt>
                <c:pt idx="940">
                  <c:v>25.776285072951701</c:v>
                </c:pt>
                <c:pt idx="941">
                  <c:v>26.312166666666599</c:v>
                </c:pt>
                <c:pt idx="942">
                  <c:v>26.052633333333301</c:v>
                </c:pt>
                <c:pt idx="943">
                  <c:v>26.023066666666601</c:v>
                </c:pt>
                <c:pt idx="944">
                  <c:v>26.5500222222222</c:v>
                </c:pt>
                <c:pt idx="945">
                  <c:v>29.105077777777701</c:v>
                </c:pt>
                <c:pt idx="946">
                  <c:v>26.863613916947202</c:v>
                </c:pt>
                <c:pt idx="947">
                  <c:v>27.6230333333333</c:v>
                </c:pt>
                <c:pt idx="948">
                  <c:v>25.871677777777698</c:v>
                </c:pt>
                <c:pt idx="949">
                  <c:v>29.639079685746299</c:v>
                </c:pt>
                <c:pt idx="950">
                  <c:v>28.506475869809201</c:v>
                </c:pt>
                <c:pt idx="951">
                  <c:v>28.1438666666666</c:v>
                </c:pt>
                <c:pt idx="952">
                  <c:v>28.515811111110999</c:v>
                </c:pt>
                <c:pt idx="953">
                  <c:v>26.980975056689299</c:v>
                </c:pt>
                <c:pt idx="954">
                  <c:v>25.304866666666602</c:v>
                </c:pt>
                <c:pt idx="955">
                  <c:v>30.170911680911601</c:v>
                </c:pt>
                <c:pt idx="956">
                  <c:v>26.7851927437641</c:v>
                </c:pt>
                <c:pt idx="957">
                  <c:v>26.842111111111102</c:v>
                </c:pt>
                <c:pt idx="958">
                  <c:v>26.837290249433099</c:v>
                </c:pt>
                <c:pt idx="959">
                  <c:v>25.420240549828101</c:v>
                </c:pt>
                <c:pt idx="960">
                  <c:v>26.220955555555499</c:v>
                </c:pt>
                <c:pt idx="961">
                  <c:v>25.013569023569001</c:v>
                </c:pt>
                <c:pt idx="962">
                  <c:v>27.802682379349001</c:v>
                </c:pt>
                <c:pt idx="963">
                  <c:v>26.157833333333301</c:v>
                </c:pt>
                <c:pt idx="964">
                  <c:v>27.148978675645299</c:v>
                </c:pt>
                <c:pt idx="965">
                  <c:v>27.176105499438801</c:v>
                </c:pt>
                <c:pt idx="966">
                  <c:v>29.4291806958473</c:v>
                </c:pt>
                <c:pt idx="967">
                  <c:v>28.163877777777699</c:v>
                </c:pt>
                <c:pt idx="968">
                  <c:v>27.482111111111099</c:v>
                </c:pt>
                <c:pt idx="969">
                  <c:v>30.361622222222199</c:v>
                </c:pt>
                <c:pt idx="970">
                  <c:v>28.0526444444444</c:v>
                </c:pt>
                <c:pt idx="971">
                  <c:v>26.161366666666598</c:v>
                </c:pt>
                <c:pt idx="972">
                  <c:v>29.2061888888888</c:v>
                </c:pt>
                <c:pt idx="973">
                  <c:v>28.757188888888798</c:v>
                </c:pt>
                <c:pt idx="974">
                  <c:v>26.5924555555555</c:v>
                </c:pt>
                <c:pt idx="975">
                  <c:v>28.330111111111101</c:v>
                </c:pt>
                <c:pt idx="976">
                  <c:v>25.646554433221102</c:v>
                </c:pt>
                <c:pt idx="977">
                  <c:v>26.639893162393101</c:v>
                </c:pt>
                <c:pt idx="978">
                  <c:v>25.934907407407401</c:v>
                </c:pt>
                <c:pt idx="979">
                  <c:v>24.801895424836498</c:v>
                </c:pt>
                <c:pt idx="980">
                  <c:v>28.7662962962963</c:v>
                </c:pt>
                <c:pt idx="981">
                  <c:v>24.395972222222198</c:v>
                </c:pt>
                <c:pt idx="982">
                  <c:v>29.1933333333333</c:v>
                </c:pt>
                <c:pt idx="983">
                  <c:v>26.705458937197999</c:v>
                </c:pt>
                <c:pt idx="984">
                  <c:v>30.281919191919101</c:v>
                </c:pt>
                <c:pt idx="985">
                  <c:v>26.720467836257299</c:v>
                </c:pt>
                <c:pt idx="986">
                  <c:v>26.6157111111111</c:v>
                </c:pt>
                <c:pt idx="987">
                  <c:v>25.812444444444399</c:v>
                </c:pt>
                <c:pt idx="988">
                  <c:v>28.698288888888801</c:v>
                </c:pt>
                <c:pt idx="989">
                  <c:v>29.8552040816326</c:v>
                </c:pt>
                <c:pt idx="990">
                  <c:v>26.979599999999898</c:v>
                </c:pt>
                <c:pt idx="991">
                  <c:v>29.436790123456799</c:v>
                </c:pt>
                <c:pt idx="992">
                  <c:v>24.8381222222222</c:v>
                </c:pt>
                <c:pt idx="993">
                  <c:v>26.766744444444399</c:v>
                </c:pt>
                <c:pt idx="994">
                  <c:v>28.471699999999998</c:v>
                </c:pt>
                <c:pt idx="995">
                  <c:v>27.718383838383801</c:v>
                </c:pt>
                <c:pt idx="996">
                  <c:v>26.980707070706998</c:v>
                </c:pt>
                <c:pt idx="997">
                  <c:v>25.9867666666666</c:v>
                </c:pt>
                <c:pt idx="998">
                  <c:v>28.834826038159299</c:v>
                </c:pt>
                <c:pt idx="999">
                  <c:v>27.010077777777699</c:v>
                </c:pt>
                <c:pt idx="1000">
                  <c:v>27.0176655443322</c:v>
                </c:pt>
                <c:pt idx="1001">
                  <c:v>28.568526077097498</c:v>
                </c:pt>
                <c:pt idx="1002">
                  <c:v>28.612390572390499</c:v>
                </c:pt>
                <c:pt idx="1003">
                  <c:v>27.585422222222199</c:v>
                </c:pt>
                <c:pt idx="1004">
                  <c:v>26.370655555555501</c:v>
                </c:pt>
                <c:pt idx="1005">
                  <c:v>28.690326797385602</c:v>
                </c:pt>
                <c:pt idx="1006">
                  <c:v>30.105641025640999</c:v>
                </c:pt>
                <c:pt idx="1007">
                  <c:v>48.519999999999897</c:v>
                </c:pt>
                <c:pt idx="1008">
                  <c:v>31.411414141414099</c:v>
                </c:pt>
                <c:pt idx="1009">
                  <c:v>24.4641798941798</c:v>
                </c:pt>
                <c:pt idx="1010">
                  <c:v>28.5039371980676</c:v>
                </c:pt>
                <c:pt idx="1011">
                  <c:v>25.4393083900226</c:v>
                </c:pt>
                <c:pt idx="1012">
                  <c:v>24.8564333333333</c:v>
                </c:pt>
                <c:pt idx="1013">
                  <c:v>27.950022222222199</c:v>
                </c:pt>
                <c:pt idx="1014">
                  <c:v>28.719000000000001</c:v>
                </c:pt>
                <c:pt idx="1015">
                  <c:v>25.7053444444444</c:v>
                </c:pt>
                <c:pt idx="1016">
                  <c:v>27.880500000000001</c:v>
                </c:pt>
                <c:pt idx="1017">
                  <c:v>27.287048260381599</c:v>
                </c:pt>
                <c:pt idx="1018">
                  <c:v>28.452400000000001</c:v>
                </c:pt>
                <c:pt idx="1019">
                  <c:v>25.586477777777699</c:v>
                </c:pt>
                <c:pt idx="1020">
                  <c:v>25.691288888888799</c:v>
                </c:pt>
                <c:pt idx="1021">
                  <c:v>29.305499438832701</c:v>
                </c:pt>
                <c:pt idx="1022">
                  <c:v>23.6669555555555</c:v>
                </c:pt>
                <c:pt idx="1023">
                  <c:v>26.936433333333301</c:v>
                </c:pt>
                <c:pt idx="1024">
                  <c:v>27.158077777777699</c:v>
                </c:pt>
                <c:pt idx="1025">
                  <c:v>27.256733333333301</c:v>
                </c:pt>
                <c:pt idx="1026">
                  <c:v>27.7730976430976</c:v>
                </c:pt>
                <c:pt idx="1027">
                  <c:v>29.302709750566901</c:v>
                </c:pt>
                <c:pt idx="1028">
                  <c:v>28.2854888888888</c:v>
                </c:pt>
                <c:pt idx="1029">
                  <c:v>25.004747474747401</c:v>
                </c:pt>
                <c:pt idx="1030">
                  <c:v>27.497012345679</c:v>
                </c:pt>
                <c:pt idx="1031">
                  <c:v>27.017599999999899</c:v>
                </c:pt>
                <c:pt idx="1032">
                  <c:v>27.2384777777777</c:v>
                </c:pt>
                <c:pt idx="1033">
                  <c:v>26.803355555555498</c:v>
                </c:pt>
                <c:pt idx="1034">
                  <c:v>25.964747474747401</c:v>
                </c:pt>
                <c:pt idx="1035">
                  <c:v>28.376060606060602</c:v>
                </c:pt>
                <c:pt idx="1036">
                  <c:v>28.848866666666598</c:v>
                </c:pt>
                <c:pt idx="1037">
                  <c:v>29.4572111111111</c:v>
                </c:pt>
                <c:pt idx="1038">
                  <c:v>25.651054421768698</c:v>
                </c:pt>
                <c:pt idx="1039">
                  <c:v>28.2744111111111</c:v>
                </c:pt>
                <c:pt idx="1040">
                  <c:v>25.978577777777701</c:v>
                </c:pt>
                <c:pt idx="1041">
                  <c:v>24.2980498866213</c:v>
                </c:pt>
                <c:pt idx="1042">
                  <c:v>29.141166666666599</c:v>
                </c:pt>
                <c:pt idx="1043">
                  <c:v>28.935011111111098</c:v>
                </c:pt>
                <c:pt idx="1044">
                  <c:v>26.387048260381501</c:v>
                </c:pt>
                <c:pt idx="1045">
                  <c:v>26.983820861678002</c:v>
                </c:pt>
                <c:pt idx="1046">
                  <c:v>28.5527555555555</c:v>
                </c:pt>
                <c:pt idx="1047">
                  <c:v>30.035433333333302</c:v>
                </c:pt>
                <c:pt idx="1048">
                  <c:v>25.1483888888888</c:v>
                </c:pt>
                <c:pt idx="1049">
                  <c:v>22.2994285714285</c:v>
                </c:pt>
                <c:pt idx="1050">
                  <c:v>29.775140415140399</c:v>
                </c:pt>
                <c:pt idx="1051">
                  <c:v>28.149011111111101</c:v>
                </c:pt>
                <c:pt idx="1052">
                  <c:v>27.350145903479198</c:v>
                </c:pt>
                <c:pt idx="1053">
                  <c:v>27.279411111111099</c:v>
                </c:pt>
                <c:pt idx="1054">
                  <c:v>26.938989898989899</c:v>
                </c:pt>
                <c:pt idx="1055">
                  <c:v>26.023468013468001</c:v>
                </c:pt>
                <c:pt idx="1056">
                  <c:v>26.794803591470199</c:v>
                </c:pt>
                <c:pt idx="1057">
                  <c:v>24.948566666666601</c:v>
                </c:pt>
                <c:pt idx="1058">
                  <c:v>29.4707631874298</c:v>
                </c:pt>
                <c:pt idx="1059">
                  <c:v>24.6388548752834</c:v>
                </c:pt>
                <c:pt idx="1060">
                  <c:v>25.442199775533101</c:v>
                </c:pt>
                <c:pt idx="1061">
                  <c:v>27.091290684623999</c:v>
                </c:pt>
                <c:pt idx="1062">
                  <c:v>26.7299102132435</c:v>
                </c:pt>
                <c:pt idx="1063">
                  <c:v>25.796955555555499</c:v>
                </c:pt>
                <c:pt idx="1064">
                  <c:v>26.8127999999999</c:v>
                </c:pt>
                <c:pt idx="1065">
                  <c:v>28.260774410774399</c:v>
                </c:pt>
                <c:pt idx="1066">
                  <c:v>27.934333333333299</c:v>
                </c:pt>
                <c:pt idx="1067">
                  <c:v>28.033755555555501</c:v>
                </c:pt>
                <c:pt idx="1068">
                  <c:v>29.562345679012299</c:v>
                </c:pt>
                <c:pt idx="1069">
                  <c:v>27.451306471306399</c:v>
                </c:pt>
                <c:pt idx="1070">
                  <c:v>27.964788888888801</c:v>
                </c:pt>
                <c:pt idx="1071">
                  <c:v>29.5499222222222</c:v>
                </c:pt>
                <c:pt idx="1072">
                  <c:v>27.785411111111099</c:v>
                </c:pt>
                <c:pt idx="1073">
                  <c:v>29.440695847362498</c:v>
                </c:pt>
                <c:pt idx="1074">
                  <c:v>28.355733333333301</c:v>
                </c:pt>
                <c:pt idx="1075">
                  <c:v>27.964299999999898</c:v>
                </c:pt>
                <c:pt idx="1076">
                  <c:v>26.798174603174498</c:v>
                </c:pt>
                <c:pt idx="1077">
                  <c:v>27.9390011223344</c:v>
                </c:pt>
                <c:pt idx="1078">
                  <c:v>28.023737373737301</c:v>
                </c:pt>
                <c:pt idx="1079">
                  <c:v>27.708103254769899</c:v>
                </c:pt>
                <c:pt idx="1080">
                  <c:v>27.941511111111101</c:v>
                </c:pt>
                <c:pt idx="1081">
                  <c:v>27.122132435465701</c:v>
                </c:pt>
                <c:pt idx="1082">
                  <c:v>28.118033333333301</c:v>
                </c:pt>
                <c:pt idx="1083">
                  <c:v>28.041972789115601</c:v>
                </c:pt>
                <c:pt idx="1084">
                  <c:v>26.376177777777698</c:v>
                </c:pt>
                <c:pt idx="1085">
                  <c:v>27.648011111111099</c:v>
                </c:pt>
                <c:pt idx="1086">
                  <c:v>27.144777777777801</c:v>
                </c:pt>
                <c:pt idx="1087">
                  <c:v>24.814444444444401</c:v>
                </c:pt>
                <c:pt idx="1088">
                  <c:v>27.3359057971014</c:v>
                </c:pt>
                <c:pt idx="1089">
                  <c:v>24.4808666666666</c:v>
                </c:pt>
                <c:pt idx="1090">
                  <c:v>26.093388888888899</c:v>
                </c:pt>
                <c:pt idx="1091">
                  <c:v>29.4251222222222</c:v>
                </c:pt>
                <c:pt idx="1092">
                  <c:v>26.644166666666599</c:v>
                </c:pt>
                <c:pt idx="1093">
                  <c:v>26.2993714927048</c:v>
                </c:pt>
                <c:pt idx="1094">
                  <c:v>30.503233333333299</c:v>
                </c:pt>
                <c:pt idx="1095">
                  <c:v>25.782289562289499</c:v>
                </c:pt>
                <c:pt idx="1096">
                  <c:v>24.665966666666598</c:v>
                </c:pt>
                <c:pt idx="1097">
                  <c:v>27.371739618406199</c:v>
                </c:pt>
                <c:pt idx="1098">
                  <c:v>27.376543209876498</c:v>
                </c:pt>
                <c:pt idx="1099">
                  <c:v>27.197485970819301</c:v>
                </c:pt>
                <c:pt idx="1100">
                  <c:v>25.349377777777701</c:v>
                </c:pt>
                <c:pt idx="1101">
                  <c:v>26.665061728394999</c:v>
                </c:pt>
                <c:pt idx="1102">
                  <c:v>25.150866666666602</c:v>
                </c:pt>
                <c:pt idx="1103">
                  <c:v>28.808622222222201</c:v>
                </c:pt>
                <c:pt idx="1104">
                  <c:v>32.219285714285697</c:v>
                </c:pt>
                <c:pt idx="1105">
                  <c:v>25.471143790849599</c:v>
                </c:pt>
                <c:pt idx="1106">
                  <c:v>30.464012345678999</c:v>
                </c:pt>
                <c:pt idx="1107">
                  <c:v>27.057324263038499</c:v>
                </c:pt>
                <c:pt idx="1108">
                  <c:v>29.543244444444401</c:v>
                </c:pt>
                <c:pt idx="1109">
                  <c:v>25.752031425364699</c:v>
                </c:pt>
                <c:pt idx="1110">
                  <c:v>28.040033670033601</c:v>
                </c:pt>
                <c:pt idx="1111">
                  <c:v>23.7576888888889</c:v>
                </c:pt>
                <c:pt idx="1112">
                  <c:v>29.1334567901234</c:v>
                </c:pt>
                <c:pt idx="1113">
                  <c:v>25.499133333333301</c:v>
                </c:pt>
                <c:pt idx="1114">
                  <c:v>27.700381593714901</c:v>
                </c:pt>
                <c:pt idx="1115">
                  <c:v>28.055511111111102</c:v>
                </c:pt>
                <c:pt idx="1116">
                  <c:v>28.231944444444402</c:v>
                </c:pt>
                <c:pt idx="1117">
                  <c:v>26.8329555555555</c:v>
                </c:pt>
                <c:pt idx="1118">
                  <c:v>26.830759637188201</c:v>
                </c:pt>
                <c:pt idx="1119">
                  <c:v>25.313928170594799</c:v>
                </c:pt>
                <c:pt idx="1120">
                  <c:v>31.172453703703699</c:v>
                </c:pt>
                <c:pt idx="1121">
                  <c:v>23.379583333333301</c:v>
                </c:pt>
                <c:pt idx="1122">
                  <c:v>28.048174603174601</c:v>
                </c:pt>
                <c:pt idx="1123">
                  <c:v>27.761111111111099</c:v>
                </c:pt>
                <c:pt idx="1124">
                  <c:v>27.574151404151401</c:v>
                </c:pt>
                <c:pt idx="1125">
                  <c:v>27.253266666666601</c:v>
                </c:pt>
                <c:pt idx="1126">
                  <c:v>28.325111111111099</c:v>
                </c:pt>
                <c:pt idx="1127">
                  <c:v>29.3951888888888</c:v>
                </c:pt>
                <c:pt idx="1128">
                  <c:v>28.504533333333299</c:v>
                </c:pt>
                <c:pt idx="1129">
                  <c:v>27.838077777777698</c:v>
                </c:pt>
                <c:pt idx="1130">
                  <c:v>25.8226711560044</c:v>
                </c:pt>
                <c:pt idx="1131">
                  <c:v>29.768832199546399</c:v>
                </c:pt>
                <c:pt idx="1132">
                  <c:v>28.0909555555555</c:v>
                </c:pt>
                <c:pt idx="1133">
                  <c:v>27.1230444444444</c:v>
                </c:pt>
                <c:pt idx="1134">
                  <c:v>26.290460157126802</c:v>
                </c:pt>
                <c:pt idx="1135">
                  <c:v>29.527766666666601</c:v>
                </c:pt>
                <c:pt idx="1136">
                  <c:v>26.572144444444401</c:v>
                </c:pt>
                <c:pt idx="1137">
                  <c:v>27.345288888888799</c:v>
                </c:pt>
                <c:pt idx="1138">
                  <c:v>26.725299999999901</c:v>
                </c:pt>
                <c:pt idx="1139">
                  <c:v>28.670319444444399</c:v>
                </c:pt>
                <c:pt idx="1140">
                  <c:v>26.154800000000002</c:v>
                </c:pt>
                <c:pt idx="1141">
                  <c:v>22.725606060606001</c:v>
                </c:pt>
                <c:pt idx="1142">
                  <c:v>27.7825241545893</c:v>
                </c:pt>
                <c:pt idx="1143">
                  <c:v>26.508855555555499</c:v>
                </c:pt>
                <c:pt idx="1144">
                  <c:v>28.162211111111102</c:v>
                </c:pt>
                <c:pt idx="1145">
                  <c:v>28.177789001122299</c:v>
                </c:pt>
                <c:pt idx="1146">
                  <c:v>26.5342555555555</c:v>
                </c:pt>
                <c:pt idx="1147">
                  <c:v>25.1584222222222</c:v>
                </c:pt>
                <c:pt idx="1148">
                  <c:v>28.796882086167798</c:v>
                </c:pt>
                <c:pt idx="1149">
                  <c:v>28.171899999999901</c:v>
                </c:pt>
                <c:pt idx="1150">
                  <c:v>28.5317620650953</c:v>
                </c:pt>
                <c:pt idx="1151">
                  <c:v>27.446911111111099</c:v>
                </c:pt>
                <c:pt idx="1152">
                  <c:v>28.3219865319865</c:v>
                </c:pt>
                <c:pt idx="1153">
                  <c:v>27.8081</c:v>
                </c:pt>
                <c:pt idx="1154">
                  <c:v>29.323692480359099</c:v>
                </c:pt>
                <c:pt idx="1155">
                  <c:v>26.2947888888888</c:v>
                </c:pt>
                <c:pt idx="1156">
                  <c:v>29.543820861678</c:v>
                </c:pt>
                <c:pt idx="1157">
                  <c:v>29.245744444444401</c:v>
                </c:pt>
                <c:pt idx="1158">
                  <c:v>25.491829405162701</c:v>
                </c:pt>
                <c:pt idx="1159">
                  <c:v>27.4498653198653</c:v>
                </c:pt>
                <c:pt idx="1160">
                  <c:v>26.521062271062199</c:v>
                </c:pt>
                <c:pt idx="1161">
                  <c:v>27.6977444444444</c:v>
                </c:pt>
                <c:pt idx="1162">
                  <c:v>29.7350113378684</c:v>
                </c:pt>
                <c:pt idx="1163">
                  <c:v>28.219225589225498</c:v>
                </c:pt>
                <c:pt idx="1164">
                  <c:v>26.6569111111111</c:v>
                </c:pt>
                <c:pt idx="1165">
                  <c:v>26.940744444444402</c:v>
                </c:pt>
                <c:pt idx="1166">
                  <c:v>28.027452300785601</c:v>
                </c:pt>
                <c:pt idx="1167">
                  <c:v>25.432855555555498</c:v>
                </c:pt>
                <c:pt idx="1168">
                  <c:v>27.1901683501683</c:v>
                </c:pt>
                <c:pt idx="1169">
                  <c:v>29.334622222222201</c:v>
                </c:pt>
                <c:pt idx="1170">
                  <c:v>28.889507445589899</c:v>
                </c:pt>
                <c:pt idx="1171">
                  <c:v>27.4374111111111</c:v>
                </c:pt>
                <c:pt idx="1172">
                  <c:v>27.213188888888801</c:v>
                </c:pt>
                <c:pt idx="1173">
                  <c:v>29.565744444444402</c:v>
                </c:pt>
                <c:pt idx="1174">
                  <c:v>29.365488888888802</c:v>
                </c:pt>
                <c:pt idx="1175">
                  <c:v>26.1132777777777</c:v>
                </c:pt>
                <c:pt idx="1176">
                  <c:v>25.4363888888888</c:v>
                </c:pt>
                <c:pt idx="1177">
                  <c:v>24.659191919191901</c:v>
                </c:pt>
                <c:pt idx="1178">
                  <c:v>32.079382716049302</c:v>
                </c:pt>
                <c:pt idx="1179">
                  <c:v>26.7979555555555</c:v>
                </c:pt>
                <c:pt idx="1180">
                  <c:v>26.102588888888899</c:v>
                </c:pt>
                <c:pt idx="1181">
                  <c:v>27.429977777777701</c:v>
                </c:pt>
                <c:pt idx="1182">
                  <c:v>30.763771043771001</c:v>
                </c:pt>
                <c:pt idx="1183">
                  <c:v>27.400777777777702</c:v>
                </c:pt>
                <c:pt idx="1184">
                  <c:v>29.761611111111002</c:v>
                </c:pt>
                <c:pt idx="1185">
                  <c:v>27.083977777777701</c:v>
                </c:pt>
                <c:pt idx="1186">
                  <c:v>27.283966666666601</c:v>
                </c:pt>
                <c:pt idx="1187">
                  <c:v>28.457744444444401</c:v>
                </c:pt>
                <c:pt idx="1188">
                  <c:v>28.178555555555501</c:v>
                </c:pt>
                <c:pt idx="1189">
                  <c:v>26.7565777777777</c:v>
                </c:pt>
                <c:pt idx="1190">
                  <c:v>31.248811111111099</c:v>
                </c:pt>
                <c:pt idx="1191">
                  <c:v>25.802433333333301</c:v>
                </c:pt>
                <c:pt idx="1192">
                  <c:v>28.436756453423101</c:v>
                </c:pt>
                <c:pt idx="1193">
                  <c:v>26.513514739228999</c:v>
                </c:pt>
                <c:pt idx="1194">
                  <c:v>34.335925925925899</c:v>
                </c:pt>
                <c:pt idx="1195">
                  <c:v>25.760787037037002</c:v>
                </c:pt>
                <c:pt idx="1196">
                  <c:v>27.055758661887602</c:v>
                </c:pt>
                <c:pt idx="1197">
                  <c:v>28.379955555555501</c:v>
                </c:pt>
                <c:pt idx="1198">
                  <c:v>28.995811111111099</c:v>
                </c:pt>
                <c:pt idx="1199">
                  <c:v>27.181666666666601</c:v>
                </c:pt>
                <c:pt idx="1200">
                  <c:v>26.8995464852607</c:v>
                </c:pt>
                <c:pt idx="1201">
                  <c:v>26.6676879910213</c:v>
                </c:pt>
                <c:pt idx="1202">
                  <c:v>27.555433333333301</c:v>
                </c:pt>
                <c:pt idx="1203">
                  <c:v>25.516177777777699</c:v>
                </c:pt>
                <c:pt idx="1204">
                  <c:v>26.588855555555501</c:v>
                </c:pt>
                <c:pt idx="1205">
                  <c:v>29.2202356902357</c:v>
                </c:pt>
                <c:pt idx="1206">
                  <c:v>26.493367346938701</c:v>
                </c:pt>
                <c:pt idx="1207">
                  <c:v>25.1080222222222</c:v>
                </c:pt>
                <c:pt idx="1208">
                  <c:v>25.323451536642999</c:v>
                </c:pt>
                <c:pt idx="1209">
                  <c:v>31.585555555555501</c:v>
                </c:pt>
                <c:pt idx="1210">
                  <c:v>26.624333333333301</c:v>
                </c:pt>
                <c:pt idx="1211">
                  <c:v>28.179877777777701</c:v>
                </c:pt>
                <c:pt idx="1212">
                  <c:v>27.205555555555499</c:v>
                </c:pt>
                <c:pt idx="1213">
                  <c:v>28.811380471380399</c:v>
                </c:pt>
                <c:pt idx="1214">
                  <c:v>27.537283950617201</c:v>
                </c:pt>
                <c:pt idx="1215">
                  <c:v>26.883966666666598</c:v>
                </c:pt>
                <c:pt idx="1216">
                  <c:v>25.980744444444401</c:v>
                </c:pt>
                <c:pt idx="1217">
                  <c:v>25.527620650953899</c:v>
                </c:pt>
                <c:pt idx="1218">
                  <c:v>27.083544444444399</c:v>
                </c:pt>
                <c:pt idx="1219">
                  <c:v>27.007029478458001</c:v>
                </c:pt>
                <c:pt idx="1220">
                  <c:v>25.6229444444444</c:v>
                </c:pt>
                <c:pt idx="1221">
                  <c:v>26.094711111111099</c:v>
                </c:pt>
                <c:pt idx="1222">
                  <c:v>27.7547888888888</c:v>
                </c:pt>
                <c:pt idx="1223">
                  <c:v>28.2729365079365</c:v>
                </c:pt>
                <c:pt idx="1224">
                  <c:v>26.545049382716002</c:v>
                </c:pt>
                <c:pt idx="1225">
                  <c:v>28.021055555555499</c:v>
                </c:pt>
                <c:pt idx="1226">
                  <c:v>26.716004489337799</c:v>
                </c:pt>
                <c:pt idx="1227">
                  <c:v>27.102466666666601</c:v>
                </c:pt>
                <c:pt idx="1228">
                  <c:v>24.6426444444444</c:v>
                </c:pt>
                <c:pt idx="1229">
                  <c:v>28.9211335578002</c:v>
                </c:pt>
                <c:pt idx="1230">
                  <c:v>25.9933221099887</c:v>
                </c:pt>
                <c:pt idx="1231">
                  <c:v>27.840688888888799</c:v>
                </c:pt>
                <c:pt idx="1232">
                  <c:v>31.318428731762001</c:v>
                </c:pt>
                <c:pt idx="1233">
                  <c:v>25.832255555555498</c:v>
                </c:pt>
                <c:pt idx="1234">
                  <c:v>25.366499999999998</c:v>
                </c:pt>
                <c:pt idx="1235">
                  <c:v>23.868630751964101</c:v>
                </c:pt>
                <c:pt idx="1236">
                  <c:v>32.283968253968197</c:v>
                </c:pt>
                <c:pt idx="1237">
                  <c:v>30.368963795255901</c:v>
                </c:pt>
                <c:pt idx="1238">
                  <c:v>27.264722222222201</c:v>
                </c:pt>
                <c:pt idx="1239">
                  <c:v>26.878945005611602</c:v>
                </c:pt>
                <c:pt idx="1240">
                  <c:v>28.8401888888888</c:v>
                </c:pt>
                <c:pt idx="1241">
                  <c:v>25.572177328843999</c:v>
                </c:pt>
                <c:pt idx="1242">
                  <c:v>28.602699999999899</c:v>
                </c:pt>
                <c:pt idx="1243">
                  <c:v>26.720566666666599</c:v>
                </c:pt>
                <c:pt idx="1244">
                  <c:v>25.9631222222222</c:v>
                </c:pt>
                <c:pt idx="1245">
                  <c:v>26.887743764172299</c:v>
                </c:pt>
                <c:pt idx="1246">
                  <c:v>29.216188888888802</c:v>
                </c:pt>
                <c:pt idx="1247">
                  <c:v>27.110235690235601</c:v>
                </c:pt>
                <c:pt idx="1248">
                  <c:v>28.6477111111111</c:v>
                </c:pt>
                <c:pt idx="1249">
                  <c:v>26.728119658119599</c:v>
                </c:pt>
                <c:pt idx="1250">
                  <c:v>28.149049382716001</c:v>
                </c:pt>
                <c:pt idx="1251">
                  <c:v>27.789270482603801</c:v>
                </c:pt>
                <c:pt idx="1252">
                  <c:v>26.1630222222222</c:v>
                </c:pt>
                <c:pt idx="1253">
                  <c:v>28.6307789232531</c:v>
                </c:pt>
                <c:pt idx="1254">
                  <c:v>26.609222222222201</c:v>
                </c:pt>
                <c:pt idx="1255">
                  <c:v>25.391492704826</c:v>
                </c:pt>
                <c:pt idx="1256">
                  <c:v>27.459588888888899</c:v>
                </c:pt>
                <c:pt idx="1257">
                  <c:v>28.3456444444444</c:v>
                </c:pt>
                <c:pt idx="1258">
                  <c:v>26.545215419501101</c:v>
                </c:pt>
                <c:pt idx="1259">
                  <c:v>25.093804713804701</c:v>
                </c:pt>
                <c:pt idx="1260">
                  <c:v>28.786518518518498</c:v>
                </c:pt>
                <c:pt idx="1261">
                  <c:v>38.379506172839498</c:v>
                </c:pt>
                <c:pt idx="1262">
                  <c:v>25.987049382715998</c:v>
                </c:pt>
                <c:pt idx="1263">
                  <c:v>27.710522222222199</c:v>
                </c:pt>
                <c:pt idx="1264">
                  <c:v>27.4931444444444</c:v>
                </c:pt>
                <c:pt idx="1265">
                  <c:v>26.798877777777701</c:v>
                </c:pt>
                <c:pt idx="1266">
                  <c:v>27.5161555555555</c:v>
                </c:pt>
                <c:pt idx="1267">
                  <c:v>24.644500561167199</c:v>
                </c:pt>
                <c:pt idx="1268">
                  <c:v>26.369347079037802</c:v>
                </c:pt>
                <c:pt idx="1269">
                  <c:v>29.281077097505602</c:v>
                </c:pt>
                <c:pt idx="1270">
                  <c:v>28.043877551020401</c:v>
                </c:pt>
                <c:pt idx="1271">
                  <c:v>26.192266666666601</c:v>
                </c:pt>
                <c:pt idx="1272">
                  <c:v>28.7298550724637</c:v>
                </c:pt>
                <c:pt idx="1273">
                  <c:v>29.049938271604901</c:v>
                </c:pt>
                <c:pt idx="1274">
                  <c:v>29.912933333333299</c:v>
                </c:pt>
                <c:pt idx="1275">
                  <c:v>27.916566666666601</c:v>
                </c:pt>
                <c:pt idx="1276">
                  <c:v>27.4489001122334</c:v>
                </c:pt>
                <c:pt idx="1277">
                  <c:v>25.673355780022401</c:v>
                </c:pt>
                <c:pt idx="1278">
                  <c:v>26.704288888888801</c:v>
                </c:pt>
                <c:pt idx="1279">
                  <c:v>26.131391694725</c:v>
                </c:pt>
                <c:pt idx="1280">
                  <c:v>25.453435374149599</c:v>
                </c:pt>
                <c:pt idx="1281">
                  <c:v>27.243647586980899</c:v>
                </c:pt>
                <c:pt idx="1282">
                  <c:v>26.740555555555499</c:v>
                </c:pt>
                <c:pt idx="1283">
                  <c:v>26.578459595959501</c:v>
                </c:pt>
                <c:pt idx="1284">
                  <c:v>26.182300000000001</c:v>
                </c:pt>
                <c:pt idx="1285">
                  <c:v>27.544534231200799</c:v>
                </c:pt>
                <c:pt idx="1286">
                  <c:v>26.8984399551066</c:v>
                </c:pt>
                <c:pt idx="1287">
                  <c:v>29.238788888888902</c:v>
                </c:pt>
                <c:pt idx="1288">
                  <c:v>27.828322222222202</c:v>
                </c:pt>
                <c:pt idx="1289">
                  <c:v>27.817074829931901</c:v>
                </c:pt>
                <c:pt idx="1290">
                  <c:v>28.0035777777777</c:v>
                </c:pt>
                <c:pt idx="1291">
                  <c:v>26.625788888888898</c:v>
                </c:pt>
                <c:pt idx="1292">
                  <c:v>28.3566222222222</c:v>
                </c:pt>
                <c:pt idx="1293">
                  <c:v>28.1271555555555</c:v>
                </c:pt>
                <c:pt idx="1294">
                  <c:v>30.7723456790123</c:v>
                </c:pt>
                <c:pt idx="1295">
                  <c:v>27.9754</c:v>
                </c:pt>
                <c:pt idx="1296">
                  <c:v>28.428344444444399</c:v>
                </c:pt>
                <c:pt idx="1297">
                  <c:v>27.764311111111098</c:v>
                </c:pt>
                <c:pt idx="1298">
                  <c:v>30.6491245791245</c:v>
                </c:pt>
                <c:pt idx="1299">
                  <c:v>24.901311111111099</c:v>
                </c:pt>
                <c:pt idx="1300">
                  <c:v>30.746500000000001</c:v>
                </c:pt>
                <c:pt idx="1301">
                  <c:v>29.981473922902499</c:v>
                </c:pt>
                <c:pt idx="1302">
                  <c:v>28.279399999999999</c:v>
                </c:pt>
                <c:pt idx="1303">
                  <c:v>29.714282407407399</c:v>
                </c:pt>
                <c:pt idx="1304">
                  <c:v>25.6365079365079</c:v>
                </c:pt>
                <c:pt idx="1305">
                  <c:v>27.828849206349201</c:v>
                </c:pt>
                <c:pt idx="1306">
                  <c:v>28.3741134751773</c:v>
                </c:pt>
                <c:pt idx="1307">
                  <c:v>27.546565656565601</c:v>
                </c:pt>
                <c:pt idx="1308">
                  <c:v>27.853288888888802</c:v>
                </c:pt>
                <c:pt idx="1309">
                  <c:v>28.574433221099898</c:v>
                </c:pt>
                <c:pt idx="1310">
                  <c:v>28.1641333333333</c:v>
                </c:pt>
                <c:pt idx="1311">
                  <c:v>26.998462401795699</c:v>
                </c:pt>
                <c:pt idx="1312">
                  <c:v>26.8688652482269</c:v>
                </c:pt>
                <c:pt idx="1313">
                  <c:v>34.886349206349202</c:v>
                </c:pt>
                <c:pt idx="1314">
                  <c:v>29.183520599250901</c:v>
                </c:pt>
                <c:pt idx="1315">
                  <c:v>28.035</c:v>
                </c:pt>
                <c:pt idx="1316">
                  <c:v>25.9870444444444</c:v>
                </c:pt>
                <c:pt idx="1317">
                  <c:v>25.657922222222201</c:v>
                </c:pt>
                <c:pt idx="1318">
                  <c:v>27.3086666666666</c:v>
                </c:pt>
                <c:pt idx="1319">
                  <c:v>27.457744107744102</c:v>
                </c:pt>
                <c:pt idx="1320">
                  <c:v>24.283333333333299</c:v>
                </c:pt>
                <c:pt idx="1321">
                  <c:v>27.324057428214701</c:v>
                </c:pt>
                <c:pt idx="1322">
                  <c:v>26.7307666666666</c:v>
                </c:pt>
                <c:pt idx="1323">
                  <c:v>26.384455667788998</c:v>
                </c:pt>
                <c:pt idx="1324">
                  <c:v>25.557301587301499</c:v>
                </c:pt>
                <c:pt idx="1325">
                  <c:v>28.023379629629598</c:v>
                </c:pt>
                <c:pt idx="1326">
                  <c:v>26.763015873015799</c:v>
                </c:pt>
                <c:pt idx="1327">
                  <c:v>25.0678555555555</c:v>
                </c:pt>
                <c:pt idx="1328">
                  <c:v>25.810381593714901</c:v>
                </c:pt>
                <c:pt idx="1329">
                  <c:v>29.735888888888802</c:v>
                </c:pt>
                <c:pt idx="1330">
                  <c:v>25.766535947712399</c:v>
                </c:pt>
                <c:pt idx="1331">
                  <c:v>25.562891414141401</c:v>
                </c:pt>
                <c:pt idx="1332">
                  <c:v>29.649522222222199</c:v>
                </c:pt>
                <c:pt idx="1333">
                  <c:v>26.746755555555499</c:v>
                </c:pt>
                <c:pt idx="1334">
                  <c:v>26.692255555555501</c:v>
                </c:pt>
                <c:pt idx="1335">
                  <c:v>27.915122222222202</c:v>
                </c:pt>
                <c:pt idx="1336">
                  <c:v>26.9998830409356</c:v>
                </c:pt>
                <c:pt idx="1337">
                  <c:v>27.793939393939301</c:v>
                </c:pt>
                <c:pt idx="1338">
                  <c:v>30.7772111111111</c:v>
                </c:pt>
                <c:pt idx="1339">
                  <c:v>27.555050505050499</c:v>
                </c:pt>
                <c:pt idx="1340">
                  <c:v>26.356877777777701</c:v>
                </c:pt>
                <c:pt idx="1341">
                  <c:v>25.581433333333301</c:v>
                </c:pt>
                <c:pt idx="1342">
                  <c:v>24.1322222222222</c:v>
                </c:pt>
                <c:pt idx="1343">
                  <c:v>25.217602996254598</c:v>
                </c:pt>
                <c:pt idx="1344">
                  <c:v>26.805433333333301</c:v>
                </c:pt>
                <c:pt idx="1345">
                  <c:v>27.039755555555502</c:v>
                </c:pt>
                <c:pt idx="1346">
                  <c:v>25.7549888888888</c:v>
                </c:pt>
                <c:pt idx="1347">
                  <c:v>29.253888888888799</c:v>
                </c:pt>
                <c:pt idx="1348">
                  <c:v>26.268750000000001</c:v>
                </c:pt>
                <c:pt idx="1349">
                  <c:v>28.211012345678999</c:v>
                </c:pt>
                <c:pt idx="1350">
                  <c:v>26.495476992143601</c:v>
                </c:pt>
                <c:pt idx="1351">
                  <c:v>26.310744444444399</c:v>
                </c:pt>
                <c:pt idx="1352">
                  <c:v>26.061638608305199</c:v>
                </c:pt>
                <c:pt idx="1353">
                  <c:v>32.347530864197502</c:v>
                </c:pt>
                <c:pt idx="1354">
                  <c:v>28.065968992247999</c:v>
                </c:pt>
                <c:pt idx="1355">
                  <c:v>26.643733333333302</c:v>
                </c:pt>
                <c:pt idx="1356">
                  <c:v>25.2492666666666</c:v>
                </c:pt>
                <c:pt idx="1357">
                  <c:v>26.219355555555499</c:v>
                </c:pt>
                <c:pt idx="1358">
                  <c:v>34.814444444444398</c:v>
                </c:pt>
                <c:pt idx="1359">
                  <c:v>27.496076388888898</c:v>
                </c:pt>
                <c:pt idx="1360">
                  <c:v>27.965885225885199</c:v>
                </c:pt>
                <c:pt idx="1361">
                  <c:v>27.315388888888801</c:v>
                </c:pt>
                <c:pt idx="1362">
                  <c:v>29.3038888888888</c:v>
                </c:pt>
                <c:pt idx="1363">
                  <c:v>29.7294380587484</c:v>
                </c:pt>
                <c:pt idx="1364">
                  <c:v>27.6549555555555</c:v>
                </c:pt>
                <c:pt idx="1365">
                  <c:v>34.590222222222202</c:v>
                </c:pt>
                <c:pt idx="1366">
                  <c:v>30.9820588235294</c:v>
                </c:pt>
                <c:pt idx="1367">
                  <c:v>25.6936944444444</c:v>
                </c:pt>
                <c:pt idx="1368">
                  <c:v>37.226666666666603</c:v>
                </c:pt>
              </c:numCache>
            </c:numRef>
          </c:xVal>
          <c:yVal>
            <c:numRef>
              <c:f>'Input - init data frm model c=1'!$F$2:$F$1370</c:f>
              <c:numCache>
                <c:formatCode>General</c:formatCode>
                <c:ptCount val="1369"/>
                <c:pt idx="0">
                  <c:v>26.358748291689899</c:v>
                </c:pt>
                <c:pt idx="1">
                  <c:v>28.7927725240461</c:v>
                </c:pt>
                <c:pt idx="2">
                  <c:v>30.977125395683601</c:v>
                </c:pt>
                <c:pt idx="3">
                  <c:v>26.5840047049243</c:v>
                </c:pt>
                <c:pt idx="4">
                  <c:v>25.0566865990635</c:v>
                </c:pt>
                <c:pt idx="5">
                  <c:v>25.620582798995699</c:v>
                </c:pt>
                <c:pt idx="6">
                  <c:v>23.405468887833301</c:v>
                </c:pt>
                <c:pt idx="7">
                  <c:v>29.695563887655599</c:v>
                </c:pt>
                <c:pt idx="8">
                  <c:v>26.5715437027532</c:v>
                </c:pt>
                <c:pt idx="9">
                  <c:v>26.6419016150512</c:v>
                </c:pt>
                <c:pt idx="10">
                  <c:v>28.136491398846399</c:v>
                </c:pt>
                <c:pt idx="11">
                  <c:v>28.494755943753301</c:v>
                </c:pt>
                <c:pt idx="12">
                  <c:v>30.4196707233788</c:v>
                </c:pt>
                <c:pt idx="13">
                  <c:v>27.902366800473999</c:v>
                </c:pt>
                <c:pt idx="14">
                  <c:v>25.172942399131401</c:v>
                </c:pt>
                <c:pt idx="15">
                  <c:v>26.7536181324285</c:v>
                </c:pt>
                <c:pt idx="16">
                  <c:v>26.296915932252102</c:v>
                </c:pt>
                <c:pt idx="17">
                  <c:v>26.493254342378702</c:v>
                </c:pt>
                <c:pt idx="18">
                  <c:v>25.145709999158498</c:v>
                </c:pt>
                <c:pt idx="19">
                  <c:v>26.467907209758</c:v>
                </c:pt>
                <c:pt idx="20">
                  <c:v>26.031826115765799</c:v>
                </c:pt>
                <c:pt idx="21">
                  <c:v>28.749180950959101</c:v>
                </c:pt>
                <c:pt idx="22">
                  <c:v>26.0382211226805</c:v>
                </c:pt>
                <c:pt idx="23">
                  <c:v>26.798139662212101</c:v>
                </c:pt>
                <c:pt idx="24">
                  <c:v>26.127260998846399</c:v>
                </c:pt>
                <c:pt idx="25">
                  <c:v>26.998450865440699</c:v>
                </c:pt>
                <c:pt idx="26">
                  <c:v>26.750378798832799</c:v>
                </c:pt>
                <c:pt idx="27">
                  <c:v>26.756051932360698</c:v>
                </c:pt>
                <c:pt idx="28">
                  <c:v>25.658051932360699</c:v>
                </c:pt>
                <c:pt idx="29">
                  <c:v>26.694011398954999</c:v>
                </c:pt>
                <c:pt idx="30">
                  <c:v>26.375890932157098</c:v>
                </c:pt>
                <c:pt idx="31">
                  <c:v>24.8545614654814</c:v>
                </c:pt>
                <c:pt idx="32">
                  <c:v>28.656136519141299</c:v>
                </c:pt>
                <c:pt idx="33">
                  <c:v>25.6199865440135</c:v>
                </c:pt>
                <c:pt idx="34">
                  <c:v>27.389465073751001</c:v>
                </c:pt>
                <c:pt idx="35">
                  <c:v>23.504374382364499</c:v>
                </c:pt>
                <c:pt idx="36">
                  <c:v>27.836187363304798</c:v>
                </c:pt>
                <c:pt idx="37">
                  <c:v>27.041806932211401</c:v>
                </c:pt>
                <c:pt idx="38">
                  <c:v>27.732062692473999</c:v>
                </c:pt>
                <c:pt idx="39">
                  <c:v>24.975006865820699</c:v>
                </c:pt>
                <c:pt idx="40">
                  <c:v>27.446719265684902</c:v>
                </c:pt>
                <c:pt idx="41">
                  <c:v>29.268694611446598</c:v>
                </c:pt>
                <c:pt idx="42">
                  <c:v>28.37258893213</c:v>
                </c:pt>
                <c:pt idx="43">
                  <c:v>25.6610747322249</c:v>
                </c:pt>
                <c:pt idx="44">
                  <c:v>28.063630679131901</c:v>
                </c:pt>
                <c:pt idx="45">
                  <c:v>26.1750338077414</c:v>
                </c:pt>
                <c:pt idx="46">
                  <c:v>27.669924893164399</c:v>
                </c:pt>
                <c:pt idx="47">
                  <c:v>25.844980043498801</c:v>
                </c:pt>
                <c:pt idx="48">
                  <c:v>27.470657004540801</c:v>
                </c:pt>
                <c:pt idx="49">
                  <c:v>24.815525984326499</c:v>
                </c:pt>
                <c:pt idx="50">
                  <c:v>26.8564744583425</c:v>
                </c:pt>
                <c:pt idx="51">
                  <c:v>23.195263345387701</c:v>
                </c:pt>
                <c:pt idx="52">
                  <c:v>26.894671330250301</c:v>
                </c:pt>
                <c:pt idx="53">
                  <c:v>28.764534473571398</c:v>
                </c:pt>
                <c:pt idx="54">
                  <c:v>26.539743471308</c:v>
                </c:pt>
                <c:pt idx="55">
                  <c:v>26.554966179400999</c:v>
                </c:pt>
                <c:pt idx="56">
                  <c:v>25.0286949324285</c:v>
                </c:pt>
                <c:pt idx="57">
                  <c:v>28.4002204654407</c:v>
                </c:pt>
                <c:pt idx="58">
                  <c:v>25.8237368655764</c:v>
                </c:pt>
                <c:pt idx="59">
                  <c:v>26.096859398955001</c:v>
                </c:pt>
                <c:pt idx="60">
                  <c:v>25.612647541137001</c:v>
                </c:pt>
                <c:pt idx="61">
                  <c:v>24.697632132347099</c:v>
                </c:pt>
                <c:pt idx="62">
                  <c:v>27.2885510655357</c:v>
                </c:pt>
                <c:pt idx="63">
                  <c:v>29.573972932129902</c:v>
                </c:pt>
                <c:pt idx="64">
                  <c:v>27.299797665684899</c:v>
                </c:pt>
                <c:pt idx="65">
                  <c:v>28.017504264260001</c:v>
                </c:pt>
                <c:pt idx="66">
                  <c:v>24.263921179197101</c:v>
                </c:pt>
                <c:pt idx="67">
                  <c:v>26.180150188458502</c:v>
                </c:pt>
                <c:pt idx="68">
                  <c:v>24.519856103538</c:v>
                </c:pt>
                <c:pt idx="69">
                  <c:v>28.671149716675799</c:v>
                </c:pt>
                <c:pt idx="70">
                  <c:v>29.094709954351998</c:v>
                </c:pt>
                <c:pt idx="71">
                  <c:v>26.524692931369898</c:v>
                </c:pt>
                <c:pt idx="72">
                  <c:v>24.882528127559599</c:v>
                </c:pt>
                <c:pt idx="73">
                  <c:v>26.964755227108199</c:v>
                </c:pt>
                <c:pt idx="74">
                  <c:v>26.714962734161102</c:v>
                </c:pt>
                <c:pt idx="75">
                  <c:v>25.886475422650602</c:v>
                </c:pt>
                <c:pt idx="76">
                  <c:v>27.114317881258199</c:v>
                </c:pt>
                <c:pt idx="77">
                  <c:v>24.9703220551885</c:v>
                </c:pt>
                <c:pt idx="78">
                  <c:v>26.063063732048501</c:v>
                </c:pt>
                <c:pt idx="79">
                  <c:v>28.2773715815411</c:v>
                </c:pt>
                <c:pt idx="80">
                  <c:v>29.628847877677401</c:v>
                </c:pt>
                <c:pt idx="81">
                  <c:v>27.756644779997799</c:v>
                </c:pt>
                <c:pt idx="82">
                  <c:v>29.196886865603499</c:v>
                </c:pt>
                <c:pt idx="83">
                  <c:v>25.954014896892801</c:v>
                </c:pt>
                <c:pt idx="84">
                  <c:v>28.540919532224901</c:v>
                </c:pt>
                <c:pt idx="85">
                  <c:v>24.3236569687373</c:v>
                </c:pt>
                <c:pt idx="86">
                  <c:v>25.786429198995702</c:v>
                </c:pt>
                <c:pt idx="87">
                  <c:v>27.1490058264542</c:v>
                </c:pt>
                <c:pt idx="88">
                  <c:v>27.602177448769101</c:v>
                </c:pt>
                <c:pt idx="89">
                  <c:v>27.081485445357099</c:v>
                </c:pt>
                <c:pt idx="90">
                  <c:v>26.642322816622801</c:v>
                </c:pt>
                <c:pt idx="91">
                  <c:v>27.978554482963698</c:v>
                </c:pt>
                <c:pt idx="92">
                  <c:v>29.857365496061799</c:v>
                </c:pt>
                <c:pt idx="93">
                  <c:v>28.119483293184299</c:v>
                </c:pt>
                <c:pt idx="94">
                  <c:v>28.425060055378498</c:v>
                </c:pt>
                <c:pt idx="95">
                  <c:v>25.904414131180001</c:v>
                </c:pt>
                <c:pt idx="96">
                  <c:v>25.8643726656985</c:v>
                </c:pt>
                <c:pt idx="97">
                  <c:v>26.851257776708501</c:v>
                </c:pt>
                <c:pt idx="98">
                  <c:v>26.5929818938225</c:v>
                </c:pt>
                <c:pt idx="99">
                  <c:v>26.103633191872898</c:v>
                </c:pt>
                <c:pt idx="100">
                  <c:v>26.0893095716172</c:v>
                </c:pt>
                <c:pt idx="101">
                  <c:v>27.948453024158201</c:v>
                </c:pt>
                <c:pt idx="102">
                  <c:v>25.331041654998501</c:v>
                </c:pt>
                <c:pt idx="103">
                  <c:v>24.6116220087359</c:v>
                </c:pt>
                <c:pt idx="104">
                  <c:v>25.768675132306399</c:v>
                </c:pt>
                <c:pt idx="105">
                  <c:v>27.7679366655357</c:v>
                </c:pt>
                <c:pt idx="106">
                  <c:v>27.633774265589999</c:v>
                </c:pt>
                <c:pt idx="107">
                  <c:v>26.265028065684898</c:v>
                </c:pt>
                <c:pt idx="108">
                  <c:v>27.483636198900701</c:v>
                </c:pt>
                <c:pt idx="109">
                  <c:v>25.767654112087101</c:v>
                </c:pt>
                <c:pt idx="110">
                  <c:v>24.178990893374198</c:v>
                </c:pt>
                <c:pt idx="111">
                  <c:v>23.064941941011401</c:v>
                </c:pt>
                <c:pt idx="112">
                  <c:v>27.5064554455471</c:v>
                </c:pt>
                <c:pt idx="113">
                  <c:v>25.711582815033001</c:v>
                </c:pt>
                <c:pt idx="114">
                  <c:v>29.1646136953634</c:v>
                </c:pt>
                <c:pt idx="115">
                  <c:v>27.6871716188239</c:v>
                </c:pt>
                <c:pt idx="116">
                  <c:v>24.706798131972501</c:v>
                </c:pt>
                <c:pt idx="117">
                  <c:v>27.7815816301326</c:v>
                </c:pt>
                <c:pt idx="118">
                  <c:v>29.080280613496299</c:v>
                </c:pt>
                <c:pt idx="119">
                  <c:v>25.8296515143427</c:v>
                </c:pt>
                <c:pt idx="120">
                  <c:v>24.896160865793501</c:v>
                </c:pt>
                <c:pt idx="121">
                  <c:v>29.365806932211399</c:v>
                </c:pt>
                <c:pt idx="122">
                  <c:v>27.988092591409</c:v>
                </c:pt>
                <c:pt idx="123">
                  <c:v>30.817155718188701</c:v>
                </c:pt>
                <c:pt idx="124">
                  <c:v>25.7179562588937</c:v>
                </c:pt>
                <c:pt idx="125">
                  <c:v>24.385240992426901</c:v>
                </c:pt>
                <c:pt idx="126">
                  <c:v>26.116305763553001</c:v>
                </c:pt>
                <c:pt idx="127">
                  <c:v>27.5606013002871</c:v>
                </c:pt>
                <c:pt idx="128">
                  <c:v>26.646026588268501</c:v>
                </c:pt>
                <c:pt idx="129">
                  <c:v>25.397208309549701</c:v>
                </c:pt>
                <c:pt idx="130">
                  <c:v>27.2654253860584</c:v>
                </c:pt>
                <c:pt idx="131">
                  <c:v>25.349661631572801</c:v>
                </c:pt>
                <c:pt idx="132">
                  <c:v>25.298127665549199</c:v>
                </c:pt>
                <c:pt idx="133">
                  <c:v>24.3246927321978</c:v>
                </c:pt>
                <c:pt idx="134">
                  <c:v>26.363062962007898</c:v>
                </c:pt>
                <c:pt idx="135">
                  <c:v>26.1704073322928</c:v>
                </c:pt>
                <c:pt idx="136">
                  <c:v>28.570423712087099</c:v>
                </c:pt>
                <c:pt idx="137">
                  <c:v>27.145239769365698</c:v>
                </c:pt>
                <c:pt idx="138">
                  <c:v>25.399017949238001</c:v>
                </c:pt>
                <c:pt idx="139">
                  <c:v>25.697351338051501</c:v>
                </c:pt>
                <c:pt idx="140">
                  <c:v>25.934487496013599</c:v>
                </c:pt>
                <c:pt idx="141">
                  <c:v>27.677280959679599</c:v>
                </c:pt>
                <c:pt idx="142">
                  <c:v>26.2213075406314</c:v>
                </c:pt>
                <c:pt idx="143">
                  <c:v>24.795762436285699</c:v>
                </c:pt>
                <c:pt idx="144">
                  <c:v>31.243435456632</c:v>
                </c:pt>
                <c:pt idx="145">
                  <c:v>28.114917845547101</c:v>
                </c:pt>
                <c:pt idx="146">
                  <c:v>24.9339298981536</c:v>
                </c:pt>
                <c:pt idx="147">
                  <c:v>25.549627069637801</c:v>
                </c:pt>
                <c:pt idx="148">
                  <c:v>26.2498033322385</c:v>
                </c:pt>
                <c:pt idx="149">
                  <c:v>29.5493513120757</c:v>
                </c:pt>
                <c:pt idx="150">
                  <c:v>26.016737662031598</c:v>
                </c:pt>
                <c:pt idx="151">
                  <c:v>27.552441275411802</c:v>
                </c:pt>
                <c:pt idx="152">
                  <c:v>27.432900415620502</c:v>
                </c:pt>
                <c:pt idx="153">
                  <c:v>27.447900566268999</c:v>
                </c:pt>
                <c:pt idx="154">
                  <c:v>22.536682221392802</c:v>
                </c:pt>
                <c:pt idx="155">
                  <c:v>27.758290434377901</c:v>
                </c:pt>
                <c:pt idx="156">
                  <c:v>27.129587102255702</c:v>
                </c:pt>
                <c:pt idx="157">
                  <c:v>26.106953883352801</c:v>
                </c:pt>
                <c:pt idx="158">
                  <c:v>25.660330245357098</c:v>
                </c:pt>
                <c:pt idx="159">
                  <c:v>27.179710859053301</c:v>
                </c:pt>
                <c:pt idx="160">
                  <c:v>24.159082065820702</c:v>
                </c:pt>
                <c:pt idx="161">
                  <c:v>27.126344914737299</c:v>
                </c:pt>
                <c:pt idx="162">
                  <c:v>28.359482856007201</c:v>
                </c:pt>
                <c:pt idx="163">
                  <c:v>26.165461399036399</c:v>
                </c:pt>
                <c:pt idx="164">
                  <c:v>26.6419755989414</c:v>
                </c:pt>
                <c:pt idx="165">
                  <c:v>27.661621708450401</c:v>
                </c:pt>
                <c:pt idx="166">
                  <c:v>27.667534322108501</c:v>
                </c:pt>
                <c:pt idx="167">
                  <c:v>29.209322816622802</c:v>
                </c:pt>
                <c:pt idx="168">
                  <c:v>26.770760726668001</c:v>
                </c:pt>
                <c:pt idx="169">
                  <c:v>26.179153576665598</c:v>
                </c:pt>
                <c:pt idx="170">
                  <c:v>26.755015407361402</c:v>
                </c:pt>
                <c:pt idx="171">
                  <c:v>25.085423159914299</c:v>
                </c:pt>
                <c:pt idx="172">
                  <c:v>26.111690779197101</c:v>
                </c:pt>
                <c:pt idx="173">
                  <c:v>26.300471551227901</c:v>
                </c:pt>
                <c:pt idx="174">
                  <c:v>30.064607311897099</c:v>
                </c:pt>
                <c:pt idx="175">
                  <c:v>26.869235065590001</c:v>
                </c:pt>
                <c:pt idx="176">
                  <c:v>25.550290665725701</c:v>
                </c:pt>
                <c:pt idx="177">
                  <c:v>25.428850599009198</c:v>
                </c:pt>
                <c:pt idx="178">
                  <c:v>27.405485732292799</c:v>
                </c:pt>
                <c:pt idx="179">
                  <c:v>27.669503798765</c:v>
                </c:pt>
                <c:pt idx="180">
                  <c:v>26.790110998819198</c:v>
                </c:pt>
                <c:pt idx="181">
                  <c:v>25.603619665820698</c:v>
                </c:pt>
                <c:pt idx="182">
                  <c:v>25.485869132062099</c:v>
                </c:pt>
                <c:pt idx="183">
                  <c:v>26.9878934653185</c:v>
                </c:pt>
                <c:pt idx="184">
                  <c:v>26.126788188606302</c:v>
                </c:pt>
                <c:pt idx="185">
                  <c:v>25.853678416812802</c:v>
                </c:pt>
                <c:pt idx="186">
                  <c:v>26.104407254618501</c:v>
                </c:pt>
                <c:pt idx="187">
                  <c:v>23.8834229506528</c:v>
                </c:pt>
                <c:pt idx="188">
                  <c:v>29.547933121538499</c:v>
                </c:pt>
                <c:pt idx="189">
                  <c:v>27.691917636285702</c:v>
                </c:pt>
                <c:pt idx="190">
                  <c:v>27.289238517385201</c:v>
                </c:pt>
                <c:pt idx="191">
                  <c:v>26.7072241990635</c:v>
                </c:pt>
                <c:pt idx="192">
                  <c:v>29.3394659321707</c:v>
                </c:pt>
                <c:pt idx="193">
                  <c:v>26.689572928168801</c:v>
                </c:pt>
                <c:pt idx="194">
                  <c:v>29.430933532143499</c:v>
                </c:pt>
                <c:pt idx="195">
                  <c:v>27.161789332319898</c:v>
                </c:pt>
                <c:pt idx="196">
                  <c:v>25.7263258655085</c:v>
                </c:pt>
                <c:pt idx="197">
                  <c:v>26.228471514191899</c:v>
                </c:pt>
                <c:pt idx="198">
                  <c:v>25.235968740821399</c:v>
                </c:pt>
                <c:pt idx="199">
                  <c:v>27.755857712277098</c:v>
                </c:pt>
                <c:pt idx="200">
                  <c:v>26.849324070898099</c:v>
                </c:pt>
                <c:pt idx="201">
                  <c:v>26.9025801881516</c:v>
                </c:pt>
                <c:pt idx="202">
                  <c:v>29.422328302445699</c:v>
                </c:pt>
                <c:pt idx="203">
                  <c:v>27.497158850919799</c:v>
                </c:pt>
                <c:pt idx="204">
                  <c:v>24.8260695894588</c:v>
                </c:pt>
                <c:pt idx="205">
                  <c:v>30.439566340441399</c:v>
                </c:pt>
                <c:pt idx="206">
                  <c:v>27.322800074091401</c:v>
                </c:pt>
                <c:pt idx="207">
                  <c:v>25.1033780933742</c:v>
                </c:pt>
                <c:pt idx="208">
                  <c:v>24.976778465793501</c:v>
                </c:pt>
                <c:pt idx="209">
                  <c:v>26.935824847484099</c:v>
                </c:pt>
                <c:pt idx="210">
                  <c:v>26.3173891321707</c:v>
                </c:pt>
                <c:pt idx="211">
                  <c:v>26.2643172499263</c:v>
                </c:pt>
                <c:pt idx="212">
                  <c:v>27.543566132265699</c:v>
                </c:pt>
                <c:pt idx="213">
                  <c:v>26.6066204029574</c:v>
                </c:pt>
                <c:pt idx="214">
                  <c:v>27.638089798954901</c:v>
                </c:pt>
                <c:pt idx="215">
                  <c:v>29.116609862832998</c:v>
                </c:pt>
                <c:pt idx="216">
                  <c:v>27.1959101320485</c:v>
                </c:pt>
                <c:pt idx="217">
                  <c:v>23.411745084842501</c:v>
                </c:pt>
                <c:pt idx="218">
                  <c:v>26.1611892170028</c:v>
                </c:pt>
                <c:pt idx="219">
                  <c:v>27.595657761934099</c:v>
                </c:pt>
                <c:pt idx="220">
                  <c:v>27.7605598220043</c:v>
                </c:pt>
                <c:pt idx="221">
                  <c:v>25.388362068701799</c:v>
                </c:pt>
                <c:pt idx="222">
                  <c:v>28.4117661884585</c:v>
                </c:pt>
                <c:pt idx="223">
                  <c:v>27.1357073189264</c:v>
                </c:pt>
                <c:pt idx="224">
                  <c:v>26.325879460191899</c:v>
                </c:pt>
                <c:pt idx="225">
                  <c:v>27.4397599230754</c:v>
                </c:pt>
                <c:pt idx="226">
                  <c:v>27.232983853480999</c:v>
                </c:pt>
                <c:pt idx="227">
                  <c:v>25.875754773808801</c:v>
                </c:pt>
                <c:pt idx="228">
                  <c:v>24.9689081471702</c:v>
                </c:pt>
                <c:pt idx="229">
                  <c:v>26.615071065644202</c:v>
                </c:pt>
                <c:pt idx="230">
                  <c:v>24.471790865712101</c:v>
                </c:pt>
                <c:pt idx="231">
                  <c:v>28.563143198859901</c:v>
                </c:pt>
                <c:pt idx="232">
                  <c:v>27.696060473901401</c:v>
                </c:pt>
                <c:pt idx="233">
                  <c:v>28.926755426074202</c:v>
                </c:pt>
                <c:pt idx="234">
                  <c:v>26.3164866027439</c:v>
                </c:pt>
                <c:pt idx="235">
                  <c:v>28.3105965531003</c:v>
                </c:pt>
                <c:pt idx="236">
                  <c:v>26.024517178817099</c:v>
                </c:pt>
                <c:pt idx="237">
                  <c:v>26.936121364103901</c:v>
                </c:pt>
                <c:pt idx="238">
                  <c:v>29.6457422584906</c:v>
                </c:pt>
                <c:pt idx="239">
                  <c:v>28.094164912277101</c:v>
                </c:pt>
                <c:pt idx="240">
                  <c:v>24.324280874471398</c:v>
                </c:pt>
                <c:pt idx="241">
                  <c:v>29.8811450293001</c:v>
                </c:pt>
                <c:pt idx="242">
                  <c:v>25.959085532143501</c:v>
                </c:pt>
                <c:pt idx="243">
                  <c:v>26.241120604977599</c:v>
                </c:pt>
                <c:pt idx="244">
                  <c:v>27.304331631586699</c:v>
                </c:pt>
                <c:pt idx="245">
                  <c:v>25.235881065400001</c:v>
                </c:pt>
                <c:pt idx="246">
                  <c:v>25.253574465630699</c:v>
                </c:pt>
                <c:pt idx="247">
                  <c:v>25.733416665646502</c:v>
                </c:pt>
                <c:pt idx="248">
                  <c:v>26.746710543031298</c:v>
                </c:pt>
                <c:pt idx="249">
                  <c:v>28.814906665725701</c:v>
                </c:pt>
                <c:pt idx="250">
                  <c:v>26.209014532347101</c:v>
                </c:pt>
                <c:pt idx="251">
                  <c:v>25.7761315954507</c:v>
                </c:pt>
                <c:pt idx="252">
                  <c:v>28.750026588268501</c:v>
                </c:pt>
                <c:pt idx="253">
                  <c:v>26.296018741011402</c:v>
                </c:pt>
                <c:pt idx="254">
                  <c:v>29.416845480883101</c:v>
                </c:pt>
                <c:pt idx="255">
                  <c:v>29.062328500564</c:v>
                </c:pt>
                <c:pt idx="256">
                  <c:v>25.499167045357101</c:v>
                </c:pt>
                <c:pt idx="257">
                  <c:v>28.943933600838299</c:v>
                </c:pt>
                <c:pt idx="258">
                  <c:v>25.5085689126571</c:v>
                </c:pt>
                <c:pt idx="259">
                  <c:v>25.873467998751401</c:v>
                </c:pt>
                <c:pt idx="260">
                  <c:v>30.767889332312201</c:v>
                </c:pt>
                <c:pt idx="261">
                  <c:v>27.784606065440698</c:v>
                </c:pt>
                <c:pt idx="262">
                  <c:v>25.828874201954399</c:v>
                </c:pt>
                <c:pt idx="263">
                  <c:v>26.442104473819899</c:v>
                </c:pt>
                <c:pt idx="264">
                  <c:v>24.653090908103799</c:v>
                </c:pt>
                <c:pt idx="265">
                  <c:v>29.096479465508502</c:v>
                </c:pt>
                <c:pt idx="266">
                  <c:v>26.085043250982299</c:v>
                </c:pt>
                <c:pt idx="267">
                  <c:v>30.048770576694501</c:v>
                </c:pt>
                <c:pt idx="268">
                  <c:v>24.6966792044642</c:v>
                </c:pt>
                <c:pt idx="269">
                  <c:v>26.7271102648299</c:v>
                </c:pt>
                <c:pt idx="270">
                  <c:v>27.56819879791</c:v>
                </c:pt>
                <c:pt idx="271">
                  <c:v>27.252493331222201</c:v>
                </c:pt>
                <c:pt idx="272">
                  <c:v>27.867404403953799</c:v>
                </c:pt>
                <c:pt idx="273">
                  <c:v>29.589562245357101</c:v>
                </c:pt>
                <c:pt idx="274">
                  <c:v>24.175754664639999</c:v>
                </c:pt>
                <c:pt idx="275">
                  <c:v>29.718054988078499</c:v>
                </c:pt>
                <c:pt idx="276">
                  <c:v>27.870913265440699</c:v>
                </c:pt>
                <c:pt idx="277">
                  <c:v>24.151745849306099</c:v>
                </c:pt>
                <c:pt idx="278">
                  <c:v>26.697990883088899</c:v>
                </c:pt>
                <c:pt idx="279">
                  <c:v>28.258873999104299</c:v>
                </c:pt>
                <c:pt idx="280">
                  <c:v>24.838360543460599</c:v>
                </c:pt>
                <c:pt idx="281">
                  <c:v>27.943264265888502</c:v>
                </c:pt>
                <c:pt idx="282">
                  <c:v>27.737886399022798</c:v>
                </c:pt>
                <c:pt idx="283">
                  <c:v>30.755148162240499</c:v>
                </c:pt>
                <c:pt idx="284">
                  <c:v>23.057263331750001</c:v>
                </c:pt>
                <c:pt idx="285">
                  <c:v>19.250467088841202</c:v>
                </c:pt>
                <c:pt idx="286">
                  <c:v>32.239615236285701</c:v>
                </c:pt>
                <c:pt idx="287">
                  <c:v>23.014099527203001</c:v>
                </c:pt>
                <c:pt idx="288">
                  <c:v>26.113835380256798</c:v>
                </c:pt>
                <c:pt idx="289">
                  <c:v>26.5637385500828</c:v>
                </c:pt>
                <c:pt idx="290">
                  <c:v>25.966798525794299</c:v>
                </c:pt>
                <c:pt idx="291">
                  <c:v>26.4297313487026</c:v>
                </c:pt>
                <c:pt idx="292">
                  <c:v>24.364166664555501</c:v>
                </c:pt>
                <c:pt idx="293">
                  <c:v>29.1399861020885</c:v>
                </c:pt>
                <c:pt idx="294">
                  <c:v>29.8060253507746</c:v>
                </c:pt>
                <c:pt idx="295">
                  <c:v>27.119200874538901</c:v>
                </c:pt>
                <c:pt idx="296">
                  <c:v>24.994766065875002</c:v>
                </c:pt>
                <c:pt idx="297">
                  <c:v>26.727209669076899</c:v>
                </c:pt>
                <c:pt idx="298">
                  <c:v>30.796551248761599</c:v>
                </c:pt>
                <c:pt idx="299">
                  <c:v>31.168239757744399</c:v>
                </c:pt>
                <c:pt idx="300">
                  <c:v>26.2280373698853</c:v>
                </c:pt>
                <c:pt idx="301">
                  <c:v>25.144317531617201</c:v>
                </c:pt>
                <c:pt idx="302">
                  <c:v>29.221706055188498</c:v>
                </c:pt>
                <c:pt idx="303">
                  <c:v>25.643633718386099</c:v>
                </c:pt>
                <c:pt idx="304">
                  <c:v>28.8923471213485</c:v>
                </c:pt>
                <c:pt idx="305">
                  <c:v>28.5341590453571</c:v>
                </c:pt>
                <c:pt idx="306">
                  <c:v>27.127926711906198</c:v>
                </c:pt>
                <c:pt idx="307">
                  <c:v>25.4052042837328</c:v>
                </c:pt>
                <c:pt idx="308">
                  <c:v>26.085972283732801</c:v>
                </c:pt>
                <c:pt idx="309">
                  <c:v>24.9368222266442</c:v>
                </c:pt>
                <c:pt idx="310">
                  <c:v>27.6799331215385</c:v>
                </c:pt>
                <c:pt idx="311">
                  <c:v>25.547028532265699</c:v>
                </c:pt>
                <c:pt idx="312">
                  <c:v>27.572229265386401</c:v>
                </c:pt>
                <c:pt idx="313">
                  <c:v>24.677424578251799</c:v>
                </c:pt>
                <c:pt idx="314">
                  <c:v>25.883064332279201</c:v>
                </c:pt>
                <c:pt idx="315">
                  <c:v>28.386437776585101</c:v>
                </c:pt>
                <c:pt idx="316">
                  <c:v>26.545319325575701</c:v>
                </c:pt>
                <c:pt idx="317">
                  <c:v>24.755121448704902</c:v>
                </c:pt>
                <c:pt idx="318">
                  <c:v>26.216147999728499</c:v>
                </c:pt>
                <c:pt idx="319">
                  <c:v>27.361517246365</c:v>
                </c:pt>
                <c:pt idx="320">
                  <c:v>27.761992885199</c:v>
                </c:pt>
                <c:pt idx="321">
                  <c:v>26.453974428013002</c:v>
                </c:pt>
                <c:pt idx="322">
                  <c:v>27.704769545824501</c:v>
                </c:pt>
                <c:pt idx="323">
                  <c:v>25.4992420551885</c:v>
                </c:pt>
                <c:pt idx="324">
                  <c:v>22.4942754430589</c:v>
                </c:pt>
                <c:pt idx="325">
                  <c:v>24.4157884165122</c:v>
                </c:pt>
                <c:pt idx="326">
                  <c:v>26.7672818356683</c:v>
                </c:pt>
                <c:pt idx="327">
                  <c:v>25.171837065671401</c:v>
                </c:pt>
                <c:pt idx="328">
                  <c:v>25.727268332442101</c:v>
                </c:pt>
                <c:pt idx="329">
                  <c:v>30.3225608744292</c:v>
                </c:pt>
                <c:pt idx="330">
                  <c:v>23.841321413250299</c:v>
                </c:pt>
                <c:pt idx="331">
                  <c:v>24.983953197606699</c:v>
                </c:pt>
                <c:pt idx="332">
                  <c:v>27.234430203029099</c:v>
                </c:pt>
                <c:pt idx="333">
                  <c:v>26.146426626176002</c:v>
                </c:pt>
                <c:pt idx="334">
                  <c:v>27.9568735404414</c:v>
                </c:pt>
                <c:pt idx="335">
                  <c:v>28.951654849169699</c:v>
                </c:pt>
                <c:pt idx="336">
                  <c:v>31.536197616432801</c:v>
                </c:pt>
                <c:pt idx="337">
                  <c:v>26.7137683406314</c:v>
                </c:pt>
                <c:pt idx="338">
                  <c:v>24.010020893184201</c:v>
                </c:pt>
                <c:pt idx="339">
                  <c:v>23.7083779874256</c:v>
                </c:pt>
                <c:pt idx="340">
                  <c:v>24.0030359599142</c:v>
                </c:pt>
                <c:pt idx="341">
                  <c:v>26.474728598451598</c:v>
                </c:pt>
                <c:pt idx="342">
                  <c:v>28.870965064259899</c:v>
                </c:pt>
                <c:pt idx="343">
                  <c:v>26.3328364654407</c:v>
                </c:pt>
                <c:pt idx="344">
                  <c:v>27.8378863990228</c:v>
                </c:pt>
                <c:pt idx="345">
                  <c:v>27.320555891328201</c:v>
                </c:pt>
                <c:pt idx="346">
                  <c:v>27.705174465739201</c:v>
                </c:pt>
                <c:pt idx="347">
                  <c:v>27.100620665589901</c:v>
                </c:pt>
                <c:pt idx="348">
                  <c:v>25.060651732211401</c:v>
                </c:pt>
                <c:pt idx="349">
                  <c:v>26.652055832258899</c:v>
                </c:pt>
                <c:pt idx="350">
                  <c:v>29.088370084159301</c:v>
                </c:pt>
                <c:pt idx="351">
                  <c:v>27.262058424404501</c:v>
                </c:pt>
                <c:pt idx="352">
                  <c:v>26.2911724321797</c:v>
                </c:pt>
                <c:pt idx="353">
                  <c:v>27.552742094514201</c:v>
                </c:pt>
                <c:pt idx="354">
                  <c:v>27.4187802682195</c:v>
                </c:pt>
                <c:pt idx="355">
                  <c:v>28.667369303114501</c:v>
                </c:pt>
                <c:pt idx="356">
                  <c:v>27.458099528119298</c:v>
                </c:pt>
                <c:pt idx="357">
                  <c:v>25.7202414823265</c:v>
                </c:pt>
                <c:pt idx="358">
                  <c:v>27.683805559914301</c:v>
                </c:pt>
                <c:pt idx="359">
                  <c:v>25.770739662513702</c:v>
                </c:pt>
                <c:pt idx="360">
                  <c:v>25.810592788220099</c:v>
                </c:pt>
                <c:pt idx="361">
                  <c:v>26.486582798995698</c:v>
                </c:pt>
                <c:pt idx="362">
                  <c:v>26.8926419991042</c:v>
                </c:pt>
                <c:pt idx="363">
                  <c:v>25.332427132414999</c:v>
                </c:pt>
                <c:pt idx="364">
                  <c:v>26.8182739989957</c:v>
                </c:pt>
                <c:pt idx="365">
                  <c:v>25.943754140386002</c:v>
                </c:pt>
                <c:pt idx="366">
                  <c:v>27.0031199988921</c:v>
                </c:pt>
                <c:pt idx="367">
                  <c:v>25.817706265535701</c:v>
                </c:pt>
                <c:pt idx="368">
                  <c:v>24.701450571341098</c:v>
                </c:pt>
                <c:pt idx="369">
                  <c:v>26.040650368131299</c:v>
                </c:pt>
                <c:pt idx="370">
                  <c:v>28.1741012865462</c:v>
                </c:pt>
                <c:pt idx="371">
                  <c:v>25.889608493374201</c:v>
                </c:pt>
                <c:pt idx="372">
                  <c:v>23.844601064639999</c:v>
                </c:pt>
                <c:pt idx="373">
                  <c:v>26.571991311897101</c:v>
                </c:pt>
                <c:pt idx="374">
                  <c:v>26.544262474091401</c:v>
                </c:pt>
                <c:pt idx="375">
                  <c:v>26.342389826454198</c:v>
                </c:pt>
                <c:pt idx="376">
                  <c:v>23.556480844732999</c:v>
                </c:pt>
                <c:pt idx="377">
                  <c:v>28.328740941668801</c:v>
                </c:pt>
                <c:pt idx="378">
                  <c:v>26.523990199090701</c:v>
                </c:pt>
                <c:pt idx="379">
                  <c:v>28.0678115989957</c:v>
                </c:pt>
                <c:pt idx="380">
                  <c:v>26.278947665712099</c:v>
                </c:pt>
                <c:pt idx="381">
                  <c:v>25.116591514164501</c:v>
                </c:pt>
                <c:pt idx="382">
                  <c:v>25.442379865644199</c:v>
                </c:pt>
                <c:pt idx="383">
                  <c:v>28.728788079588</c:v>
                </c:pt>
                <c:pt idx="384">
                  <c:v>28.587665150055098</c:v>
                </c:pt>
                <c:pt idx="385">
                  <c:v>27.357507429542299</c:v>
                </c:pt>
                <c:pt idx="386">
                  <c:v>28.605585332157101</c:v>
                </c:pt>
                <c:pt idx="387">
                  <c:v>24.519832443630101</c:v>
                </c:pt>
                <c:pt idx="388">
                  <c:v>26.9275157377776</c:v>
                </c:pt>
                <c:pt idx="389">
                  <c:v>27.959400647123999</c:v>
                </c:pt>
                <c:pt idx="390">
                  <c:v>25.559252031505199</c:v>
                </c:pt>
                <c:pt idx="391">
                  <c:v>29.595956932238501</c:v>
                </c:pt>
                <c:pt idx="392">
                  <c:v>26.388551065535701</c:v>
                </c:pt>
                <c:pt idx="393">
                  <c:v>26.453559398900701</c:v>
                </c:pt>
                <c:pt idx="394">
                  <c:v>26.0872078103693</c:v>
                </c:pt>
                <c:pt idx="395">
                  <c:v>27.9712557988735</c:v>
                </c:pt>
                <c:pt idx="396">
                  <c:v>28.595273264530999</c:v>
                </c:pt>
                <c:pt idx="397">
                  <c:v>27.7187348136998</c:v>
                </c:pt>
                <c:pt idx="398">
                  <c:v>24.529903164151499</c:v>
                </c:pt>
                <c:pt idx="399">
                  <c:v>30.1349163988328</c:v>
                </c:pt>
                <c:pt idx="400">
                  <c:v>27.234742065549199</c:v>
                </c:pt>
                <c:pt idx="401">
                  <c:v>29.803965265603502</c:v>
                </c:pt>
                <c:pt idx="402">
                  <c:v>24.640093398927799</c:v>
                </c:pt>
                <c:pt idx="403">
                  <c:v>31.317901798683501</c:v>
                </c:pt>
                <c:pt idx="404">
                  <c:v>27.549770045884301</c:v>
                </c:pt>
                <c:pt idx="405">
                  <c:v>27.591031835626801</c:v>
                </c:pt>
                <c:pt idx="406">
                  <c:v>27.5776161894883</c:v>
                </c:pt>
                <c:pt idx="407">
                  <c:v>24.530969932387801</c:v>
                </c:pt>
                <c:pt idx="408">
                  <c:v>27.2072143323064</c:v>
                </c:pt>
                <c:pt idx="409">
                  <c:v>27.110202865549201</c:v>
                </c:pt>
                <c:pt idx="410">
                  <c:v>27.5338336507936</c:v>
                </c:pt>
                <c:pt idx="411">
                  <c:v>29.228662857142801</c:v>
                </c:pt>
                <c:pt idx="412">
                  <c:v>27.136789610389599</c:v>
                </c:pt>
                <c:pt idx="413">
                  <c:v>28.1928707142857</c:v>
                </c:pt>
                <c:pt idx="414">
                  <c:v>25.0157364571428</c:v>
                </c:pt>
                <c:pt idx="415">
                  <c:v>28.0824443290043</c:v>
                </c:pt>
                <c:pt idx="416">
                  <c:v>25.9523556571428</c:v>
                </c:pt>
                <c:pt idx="417">
                  <c:v>33.359331428571402</c:v>
                </c:pt>
                <c:pt idx="418">
                  <c:v>26.402641884461701</c:v>
                </c:pt>
                <c:pt idx="419">
                  <c:v>25.505934225894698</c:v>
                </c:pt>
                <c:pt idx="420">
                  <c:v>25.069673598914299</c:v>
                </c:pt>
                <c:pt idx="421">
                  <c:v>24.153439065752799</c:v>
                </c:pt>
                <c:pt idx="422">
                  <c:v>28.0430602657257</c:v>
                </c:pt>
                <c:pt idx="423">
                  <c:v>28.381191865372799</c:v>
                </c:pt>
                <c:pt idx="424">
                  <c:v>28.788381951728599</c:v>
                </c:pt>
                <c:pt idx="425">
                  <c:v>27.423238198982101</c:v>
                </c:pt>
                <c:pt idx="426">
                  <c:v>26.010993197606702</c:v>
                </c:pt>
                <c:pt idx="427">
                  <c:v>28.787150407041501</c:v>
                </c:pt>
                <c:pt idx="428">
                  <c:v>26.008186865657802</c:v>
                </c:pt>
                <c:pt idx="429">
                  <c:v>30.238022265481401</c:v>
                </c:pt>
                <c:pt idx="430">
                  <c:v>25.153405332319998</c:v>
                </c:pt>
                <c:pt idx="431">
                  <c:v>27.394516025917</c:v>
                </c:pt>
                <c:pt idx="432">
                  <c:v>23.802196265834201</c:v>
                </c:pt>
                <c:pt idx="433">
                  <c:v>26.173696999009199</c:v>
                </c:pt>
                <c:pt idx="434">
                  <c:v>24.731046732387799</c:v>
                </c:pt>
                <c:pt idx="435">
                  <c:v>25.425336198846399</c:v>
                </c:pt>
                <c:pt idx="436">
                  <c:v>24.368806932211399</c:v>
                </c:pt>
                <c:pt idx="437">
                  <c:v>28.945013829704699</c:v>
                </c:pt>
                <c:pt idx="438">
                  <c:v>26.4606107733232</c:v>
                </c:pt>
                <c:pt idx="439">
                  <c:v>27.505573865399999</c:v>
                </c:pt>
                <c:pt idx="440">
                  <c:v>27.044716598873499</c:v>
                </c:pt>
                <c:pt idx="441">
                  <c:v>27.229990065440699</c:v>
                </c:pt>
                <c:pt idx="442">
                  <c:v>27.020853534188301</c:v>
                </c:pt>
                <c:pt idx="443">
                  <c:v>28.771784228571399</c:v>
                </c:pt>
                <c:pt idx="444">
                  <c:v>27.4796811428571</c:v>
                </c:pt>
                <c:pt idx="445">
                  <c:v>26.2281252571428</c:v>
                </c:pt>
                <c:pt idx="446">
                  <c:v>26.209513599999902</c:v>
                </c:pt>
                <c:pt idx="447">
                  <c:v>28.415288888888799</c:v>
                </c:pt>
                <c:pt idx="448">
                  <c:v>26.728512457142799</c:v>
                </c:pt>
                <c:pt idx="449">
                  <c:v>29.6024356146179</c:v>
                </c:pt>
                <c:pt idx="450">
                  <c:v>19.743693332428499</c:v>
                </c:pt>
                <c:pt idx="451">
                  <c:v>37.023335332292802</c:v>
                </c:pt>
                <c:pt idx="452">
                  <c:v>25.83987999915</c:v>
                </c:pt>
                <c:pt idx="453">
                  <c:v>26.781443904581501</c:v>
                </c:pt>
                <c:pt idx="454">
                  <c:v>27.964177043628801</c:v>
                </c:pt>
                <c:pt idx="455">
                  <c:v>30.291682288529501</c:v>
                </c:pt>
                <c:pt idx="456">
                  <c:v>24.859789332319998</c:v>
                </c:pt>
                <c:pt idx="457">
                  <c:v>25.4706600655764</c:v>
                </c:pt>
                <c:pt idx="458">
                  <c:v>28.7104623321978</c:v>
                </c:pt>
                <c:pt idx="459">
                  <c:v>26.666379460315301</c:v>
                </c:pt>
                <c:pt idx="460">
                  <c:v>29.843453803776999</c:v>
                </c:pt>
                <c:pt idx="461">
                  <c:v>27.2002111989142</c:v>
                </c:pt>
                <c:pt idx="462">
                  <c:v>29.682863932089202</c:v>
                </c:pt>
                <c:pt idx="463">
                  <c:v>28.471776332170698</c:v>
                </c:pt>
                <c:pt idx="464">
                  <c:v>26.334060732306401</c:v>
                </c:pt>
                <c:pt idx="465">
                  <c:v>29.305771598778499</c:v>
                </c:pt>
                <c:pt idx="466">
                  <c:v>27.044019864246</c:v>
                </c:pt>
                <c:pt idx="467">
                  <c:v>26.694409561202001</c:v>
                </c:pt>
                <c:pt idx="468">
                  <c:v>28.661126530830401</c:v>
                </c:pt>
                <c:pt idx="469">
                  <c:v>27.435512928292201</c:v>
                </c:pt>
                <c:pt idx="470">
                  <c:v>26.9551789988735</c:v>
                </c:pt>
                <c:pt idx="471">
                  <c:v>27.974764241341202</c:v>
                </c:pt>
                <c:pt idx="472">
                  <c:v>25.261287541137001</c:v>
                </c:pt>
                <c:pt idx="473">
                  <c:v>24.988848065847801</c:v>
                </c:pt>
                <c:pt idx="474">
                  <c:v>25.489587559134701</c:v>
                </c:pt>
                <c:pt idx="475">
                  <c:v>25.145704799185701</c:v>
                </c:pt>
                <c:pt idx="476">
                  <c:v>25.6825581714285</c:v>
                </c:pt>
                <c:pt idx="477">
                  <c:v>26.989416914285702</c:v>
                </c:pt>
                <c:pt idx="478">
                  <c:v>26.6998256</c:v>
                </c:pt>
                <c:pt idx="479">
                  <c:v>26.095598961038899</c:v>
                </c:pt>
                <c:pt idx="480">
                  <c:v>28.287459358600501</c:v>
                </c:pt>
                <c:pt idx="481">
                  <c:v>23.746352457142802</c:v>
                </c:pt>
                <c:pt idx="482">
                  <c:v>29.370766777408601</c:v>
                </c:pt>
                <c:pt idx="483">
                  <c:v>24.769743091804099</c:v>
                </c:pt>
                <c:pt idx="484">
                  <c:v>26.704511665549202</c:v>
                </c:pt>
                <c:pt idx="485">
                  <c:v>26.638780998954999</c:v>
                </c:pt>
                <c:pt idx="486">
                  <c:v>29.497341398819199</c:v>
                </c:pt>
                <c:pt idx="487">
                  <c:v>26.3068102709132</c:v>
                </c:pt>
                <c:pt idx="488">
                  <c:v>27.980901932333499</c:v>
                </c:pt>
                <c:pt idx="489">
                  <c:v>25.335131850883101</c:v>
                </c:pt>
                <c:pt idx="490">
                  <c:v>25.845956932238501</c:v>
                </c:pt>
                <c:pt idx="491">
                  <c:v>27.999103567890302</c:v>
                </c:pt>
                <c:pt idx="492">
                  <c:v>29.881412865196399</c:v>
                </c:pt>
                <c:pt idx="493">
                  <c:v>26.885107398846401</c:v>
                </c:pt>
                <c:pt idx="494">
                  <c:v>27.719982332306401</c:v>
                </c:pt>
                <c:pt idx="495">
                  <c:v>25.259502865603501</c:v>
                </c:pt>
                <c:pt idx="496">
                  <c:v>28.6944816657392</c:v>
                </c:pt>
                <c:pt idx="497">
                  <c:v>27.0831789889119</c:v>
                </c:pt>
                <c:pt idx="498">
                  <c:v>25.0869989990364</c:v>
                </c:pt>
                <c:pt idx="499">
                  <c:v>30.685455598832799</c:v>
                </c:pt>
                <c:pt idx="500">
                  <c:v>23.829575867506001</c:v>
                </c:pt>
                <c:pt idx="501">
                  <c:v>26.8251049988346</c:v>
                </c:pt>
                <c:pt idx="502">
                  <c:v>25.2989891322792</c:v>
                </c:pt>
                <c:pt idx="503">
                  <c:v>26.613167065535698</c:v>
                </c:pt>
                <c:pt idx="504">
                  <c:v>26.227219998859901</c:v>
                </c:pt>
                <c:pt idx="505">
                  <c:v>28.270793265223499</c:v>
                </c:pt>
                <c:pt idx="506">
                  <c:v>25.193836599090702</c:v>
                </c:pt>
                <c:pt idx="507">
                  <c:v>28.875410562770501</c:v>
                </c:pt>
                <c:pt idx="508">
                  <c:v>25.056495314285701</c:v>
                </c:pt>
                <c:pt idx="509">
                  <c:v>28.461295542857101</c:v>
                </c:pt>
                <c:pt idx="510">
                  <c:v>26.742212799999901</c:v>
                </c:pt>
                <c:pt idx="511">
                  <c:v>26.2145645714285</c:v>
                </c:pt>
                <c:pt idx="512">
                  <c:v>24.947624761904699</c:v>
                </c:pt>
                <c:pt idx="513">
                  <c:v>30.720582857142801</c:v>
                </c:pt>
                <c:pt idx="514">
                  <c:v>27.3154552973789</c:v>
                </c:pt>
                <c:pt idx="515">
                  <c:v>27.0375951989142</c:v>
                </c:pt>
                <c:pt idx="516">
                  <c:v>24.7203818845577</c:v>
                </c:pt>
                <c:pt idx="517">
                  <c:v>28.373452932021401</c:v>
                </c:pt>
                <c:pt idx="518">
                  <c:v>26.531079864259699</c:v>
                </c:pt>
                <c:pt idx="519">
                  <c:v>27.2840544655221</c:v>
                </c:pt>
                <c:pt idx="520">
                  <c:v>25.939473332374199</c:v>
                </c:pt>
                <c:pt idx="521">
                  <c:v>25.826698998982099</c:v>
                </c:pt>
                <c:pt idx="522">
                  <c:v>29.082308732197799</c:v>
                </c:pt>
                <c:pt idx="523">
                  <c:v>28.676163932143499</c:v>
                </c:pt>
                <c:pt idx="524">
                  <c:v>26.769192119991999</c:v>
                </c:pt>
                <c:pt idx="525">
                  <c:v>24.453785665739201</c:v>
                </c:pt>
                <c:pt idx="526">
                  <c:v>23.739184799077101</c:v>
                </c:pt>
                <c:pt idx="527">
                  <c:v>29.8549039989142</c:v>
                </c:pt>
                <c:pt idx="528">
                  <c:v>25.1988273325642</c:v>
                </c:pt>
                <c:pt idx="529">
                  <c:v>24.597287998914201</c:v>
                </c:pt>
                <c:pt idx="530">
                  <c:v>28.169034198819201</c:v>
                </c:pt>
                <c:pt idx="531">
                  <c:v>25.122843474248398</c:v>
                </c:pt>
                <c:pt idx="532">
                  <c:v>27.5963353768066</c:v>
                </c:pt>
                <c:pt idx="533">
                  <c:v>25.088409398873502</c:v>
                </c:pt>
                <c:pt idx="534">
                  <c:v>27.340831850951599</c:v>
                </c:pt>
                <c:pt idx="535">
                  <c:v>26.085240133766199</c:v>
                </c:pt>
                <c:pt idx="536">
                  <c:v>29.263718665454199</c:v>
                </c:pt>
                <c:pt idx="537">
                  <c:v>26.144308265617099</c:v>
                </c:pt>
                <c:pt idx="538">
                  <c:v>28.286681673881599</c:v>
                </c:pt>
                <c:pt idx="539">
                  <c:v>28.6748395428571</c:v>
                </c:pt>
                <c:pt idx="540">
                  <c:v>30.3460031168831</c:v>
                </c:pt>
                <c:pt idx="541">
                  <c:v>26.717802514285701</c:v>
                </c:pt>
                <c:pt idx="542">
                  <c:v>27.358868571428498</c:v>
                </c:pt>
                <c:pt idx="543">
                  <c:v>26.934853981762899</c:v>
                </c:pt>
                <c:pt idx="544">
                  <c:v>28.3227847619047</c:v>
                </c:pt>
                <c:pt idx="545">
                  <c:v>26.671681832394601</c:v>
                </c:pt>
                <c:pt idx="546">
                  <c:v>25.501019265739199</c:v>
                </c:pt>
                <c:pt idx="547">
                  <c:v>24.632413132496399</c:v>
                </c:pt>
                <c:pt idx="548">
                  <c:v>24.9667690656171</c:v>
                </c:pt>
                <c:pt idx="549">
                  <c:v>27.756198180707798</c:v>
                </c:pt>
                <c:pt idx="550">
                  <c:v>27.501244847251002</c:v>
                </c:pt>
                <c:pt idx="551">
                  <c:v>26.0170160258759</c:v>
                </c:pt>
                <c:pt idx="552">
                  <c:v>27.817364798914198</c:v>
                </c:pt>
                <c:pt idx="553">
                  <c:v>27.198592065522099</c:v>
                </c:pt>
                <c:pt idx="554">
                  <c:v>24.042443132306399</c:v>
                </c:pt>
                <c:pt idx="555">
                  <c:v>25.743566463577199</c:v>
                </c:pt>
                <c:pt idx="556">
                  <c:v>27.751131732102799</c:v>
                </c:pt>
                <c:pt idx="557">
                  <c:v>26.604355419787801</c:v>
                </c:pt>
                <c:pt idx="558">
                  <c:v>25.621859795184399</c:v>
                </c:pt>
                <c:pt idx="559">
                  <c:v>28.0110756653864</c:v>
                </c:pt>
                <c:pt idx="560">
                  <c:v>27.800532865413501</c:v>
                </c:pt>
                <c:pt idx="561">
                  <c:v>26.458331177528098</c:v>
                </c:pt>
                <c:pt idx="562">
                  <c:v>27.847293198887101</c:v>
                </c:pt>
                <c:pt idx="563">
                  <c:v>26.968055821184699</c:v>
                </c:pt>
                <c:pt idx="564">
                  <c:v>27.408014923168</c:v>
                </c:pt>
                <c:pt idx="565">
                  <c:v>26.243119932414899</c:v>
                </c:pt>
                <c:pt idx="566">
                  <c:v>25.652257999104201</c:v>
                </c:pt>
                <c:pt idx="567">
                  <c:v>26.485589065779902</c:v>
                </c:pt>
                <c:pt idx="568">
                  <c:v>27.5337451989414</c:v>
                </c:pt>
                <c:pt idx="569">
                  <c:v>25.526716632018701</c:v>
                </c:pt>
                <c:pt idx="570">
                  <c:v>30.051934628571399</c:v>
                </c:pt>
                <c:pt idx="571">
                  <c:v>24.8684185142857</c:v>
                </c:pt>
                <c:pt idx="572">
                  <c:v>25.8876166857142</c:v>
                </c:pt>
                <c:pt idx="573">
                  <c:v>26.864546285714201</c:v>
                </c:pt>
                <c:pt idx="574">
                  <c:v>27.785609142857101</c:v>
                </c:pt>
                <c:pt idx="575">
                  <c:v>25.975625422740499</c:v>
                </c:pt>
                <c:pt idx="576">
                  <c:v>30.518981224489799</c:v>
                </c:pt>
                <c:pt idx="577">
                  <c:v>25.745824191441798</c:v>
                </c:pt>
                <c:pt idx="578">
                  <c:v>26.070736398995699</c:v>
                </c:pt>
                <c:pt idx="579">
                  <c:v>26.342388665589901</c:v>
                </c:pt>
                <c:pt idx="580">
                  <c:v>26.936921884379501</c:v>
                </c:pt>
                <c:pt idx="581">
                  <c:v>26.1954624658478</c:v>
                </c:pt>
                <c:pt idx="582">
                  <c:v>30.560648132238502</c:v>
                </c:pt>
                <c:pt idx="583">
                  <c:v>26.697796362594499</c:v>
                </c:pt>
                <c:pt idx="584">
                  <c:v>26.750248598927801</c:v>
                </c:pt>
                <c:pt idx="585">
                  <c:v>29.159663468349098</c:v>
                </c:pt>
                <c:pt idx="586">
                  <c:v>25.4591713793975</c:v>
                </c:pt>
                <c:pt idx="587">
                  <c:v>27.451583298658001</c:v>
                </c:pt>
                <c:pt idx="588">
                  <c:v>25.494420399049901</c:v>
                </c:pt>
                <c:pt idx="589">
                  <c:v>29.567064332279202</c:v>
                </c:pt>
                <c:pt idx="590">
                  <c:v>27.050862998927801</c:v>
                </c:pt>
                <c:pt idx="591">
                  <c:v>28.850433901528699</c:v>
                </c:pt>
                <c:pt idx="592">
                  <c:v>27.3979774062262</c:v>
                </c:pt>
                <c:pt idx="593">
                  <c:v>27.8138967323607</c:v>
                </c:pt>
                <c:pt idx="594">
                  <c:v>26.000992732252101</c:v>
                </c:pt>
                <c:pt idx="595">
                  <c:v>25.534751932306399</c:v>
                </c:pt>
                <c:pt idx="596">
                  <c:v>26.173633532089202</c:v>
                </c:pt>
                <c:pt idx="597">
                  <c:v>25.693910265698499</c:v>
                </c:pt>
                <c:pt idx="598">
                  <c:v>27.344025398873502</c:v>
                </c:pt>
                <c:pt idx="599">
                  <c:v>27.9750709379509</c:v>
                </c:pt>
                <c:pt idx="600">
                  <c:v>26.967409371428499</c:v>
                </c:pt>
                <c:pt idx="601">
                  <c:v>26.4987181714285</c:v>
                </c:pt>
                <c:pt idx="602">
                  <c:v>25.9629346285714</c:v>
                </c:pt>
                <c:pt idx="603">
                  <c:v>25.393317028571399</c:v>
                </c:pt>
                <c:pt idx="604">
                  <c:v>27.638770285714202</c:v>
                </c:pt>
                <c:pt idx="605">
                  <c:v>28.2310624989255</c:v>
                </c:pt>
                <c:pt idx="606">
                  <c:v>24.504234599009202</c:v>
                </c:pt>
                <c:pt idx="607">
                  <c:v>25.427378798832802</c:v>
                </c:pt>
                <c:pt idx="608">
                  <c:v>24.667836160615401</c:v>
                </c:pt>
                <c:pt idx="609">
                  <c:v>28.6418370656714</c:v>
                </c:pt>
                <c:pt idx="610">
                  <c:v>29.739622651690201</c:v>
                </c:pt>
                <c:pt idx="611">
                  <c:v>26.545453536551701</c:v>
                </c:pt>
                <c:pt idx="612">
                  <c:v>27.9128498305714</c:v>
                </c:pt>
                <c:pt idx="613">
                  <c:v>24.967200332387801</c:v>
                </c:pt>
                <c:pt idx="614">
                  <c:v>27.392712370084599</c:v>
                </c:pt>
                <c:pt idx="615">
                  <c:v>26.0661525990364</c:v>
                </c:pt>
                <c:pt idx="616">
                  <c:v>25.0871895324692</c:v>
                </c:pt>
                <c:pt idx="617">
                  <c:v>25.110135465725701</c:v>
                </c:pt>
                <c:pt idx="618">
                  <c:v>28.343730598792099</c:v>
                </c:pt>
                <c:pt idx="619">
                  <c:v>28.559860332116401</c:v>
                </c:pt>
                <c:pt idx="620">
                  <c:v>24.696503932414998</c:v>
                </c:pt>
                <c:pt idx="621">
                  <c:v>24.259659516095201</c:v>
                </c:pt>
                <c:pt idx="622">
                  <c:v>26.546168132347098</c:v>
                </c:pt>
                <c:pt idx="623">
                  <c:v>26.9315609322928</c:v>
                </c:pt>
                <c:pt idx="624">
                  <c:v>25.587610265644201</c:v>
                </c:pt>
                <c:pt idx="625">
                  <c:v>29.201157549912502</c:v>
                </c:pt>
                <c:pt idx="626">
                  <c:v>26.666396766689701</c:v>
                </c:pt>
                <c:pt idx="627">
                  <c:v>24.7574521202799</c:v>
                </c:pt>
                <c:pt idx="628">
                  <c:v>26.703075885714199</c:v>
                </c:pt>
                <c:pt idx="629">
                  <c:v>28.1116397714285</c:v>
                </c:pt>
                <c:pt idx="630">
                  <c:v>25.607627428571401</c:v>
                </c:pt>
                <c:pt idx="631">
                  <c:v>27.635143542857101</c:v>
                </c:pt>
                <c:pt idx="632">
                  <c:v>24.9809272829131</c:v>
                </c:pt>
                <c:pt idx="633">
                  <c:v>23.0065737142857</c:v>
                </c:pt>
                <c:pt idx="634">
                  <c:v>25.203772924071401</c:v>
                </c:pt>
                <c:pt idx="635">
                  <c:v>27.603791918067799</c:v>
                </c:pt>
                <c:pt idx="636">
                  <c:v>30.275982961870799</c:v>
                </c:pt>
                <c:pt idx="637">
                  <c:v>30.170122932157099</c:v>
                </c:pt>
                <c:pt idx="638">
                  <c:v>27.0760377987921</c:v>
                </c:pt>
                <c:pt idx="639">
                  <c:v>27.9524582656442</c:v>
                </c:pt>
                <c:pt idx="640">
                  <c:v>27.3492286858542</c:v>
                </c:pt>
                <c:pt idx="641">
                  <c:v>30.578377198832801</c:v>
                </c:pt>
                <c:pt idx="642">
                  <c:v>24.870614342543298</c:v>
                </c:pt>
                <c:pt idx="643">
                  <c:v>26.5703354872193</c:v>
                </c:pt>
                <c:pt idx="644">
                  <c:v>28.238324865739202</c:v>
                </c:pt>
                <c:pt idx="645">
                  <c:v>26.710824665752799</c:v>
                </c:pt>
                <c:pt idx="646">
                  <c:v>26.516859999185701</c:v>
                </c:pt>
                <c:pt idx="647">
                  <c:v>25.4270902655357</c:v>
                </c:pt>
                <c:pt idx="648">
                  <c:v>26.1895037699516</c:v>
                </c:pt>
                <c:pt idx="649">
                  <c:v>26.945685532252099</c:v>
                </c:pt>
                <c:pt idx="650">
                  <c:v>24.411826784963001</c:v>
                </c:pt>
                <c:pt idx="651">
                  <c:v>25.697894724186</c:v>
                </c:pt>
                <c:pt idx="652">
                  <c:v>26.508290665725699</c:v>
                </c:pt>
                <c:pt idx="653">
                  <c:v>27.8239216150101</c:v>
                </c:pt>
                <c:pt idx="654">
                  <c:v>27.7966771988871</c:v>
                </c:pt>
                <c:pt idx="655">
                  <c:v>27.2252599990771</c:v>
                </c:pt>
                <c:pt idx="656">
                  <c:v>28.307763265413499</c:v>
                </c:pt>
                <c:pt idx="657">
                  <c:v>29.665913732021401</c:v>
                </c:pt>
                <c:pt idx="658">
                  <c:v>29.860544685714199</c:v>
                </c:pt>
                <c:pt idx="659">
                  <c:v>27.5410394227994</c:v>
                </c:pt>
                <c:pt idx="660">
                  <c:v>30.3925753142857</c:v>
                </c:pt>
                <c:pt idx="661">
                  <c:v>26.2349989033189</c:v>
                </c:pt>
                <c:pt idx="662">
                  <c:v>25.794747174603099</c:v>
                </c:pt>
                <c:pt idx="663">
                  <c:v>30.4968024710424</c:v>
                </c:pt>
                <c:pt idx="664">
                  <c:v>30.272439533589701</c:v>
                </c:pt>
                <c:pt idx="665">
                  <c:v>29.377432860792201</c:v>
                </c:pt>
                <c:pt idx="666">
                  <c:v>28.570454948398201</c:v>
                </c:pt>
                <c:pt idx="667">
                  <c:v>24.441305588037501</c:v>
                </c:pt>
                <c:pt idx="668">
                  <c:v>26.745547465562801</c:v>
                </c:pt>
                <c:pt idx="669">
                  <c:v>27.848252132292799</c:v>
                </c:pt>
                <c:pt idx="670">
                  <c:v>27.0493543989685</c:v>
                </c:pt>
                <c:pt idx="671">
                  <c:v>29.7275323988328</c:v>
                </c:pt>
                <c:pt idx="672">
                  <c:v>25.407345772594699</c:v>
                </c:pt>
                <c:pt idx="673">
                  <c:v>27.979650514285701</c:v>
                </c:pt>
                <c:pt idx="674">
                  <c:v>24.764515200000002</c:v>
                </c:pt>
                <c:pt idx="675">
                  <c:v>28.221473828571401</c:v>
                </c:pt>
                <c:pt idx="676">
                  <c:v>28.0323647999999</c:v>
                </c:pt>
                <c:pt idx="677">
                  <c:v>25.4940205714285</c:v>
                </c:pt>
                <c:pt idx="678">
                  <c:v>26.2126118857142</c:v>
                </c:pt>
                <c:pt idx="679">
                  <c:v>28.211605942857101</c:v>
                </c:pt>
                <c:pt idx="680">
                  <c:v>30.129950014430001</c:v>
                </c:pt>
                <c:pt idx="681">
                  <c:v>23.722111564625799</c:v>
                </c:pt>
                <c:pt idx="682">
                  <c:v>28.124699296066201</c:v>
                </c:pt>
                <c:pt idx="683">
                  <c:v>27.999519999999901</c:v>
                </c:pt>
                <c:pt idx="684">
                  <c:v>26.961060799999899</c:v>
                </c:pt>
                <c:pt idx="685">
                  <c:v>28.720629028571398</c:v>
                </c:pt>
                <c:pt idx="686">
                  <c:v>25.761818057142801</c:v>
                </c:pt>
                <c:pt idx="687">
                  <c:v>28.8810770845481</c:v>
                </c:pt>
                <c:pt idx="688">
                  <c:v>27.917484329004299</c:v>
                </c:pt>
                <c:pt idx="689">
                  <c:v>25.824154285714201</c:v>
                </c:pt>
                <c:pt idx="690">
                  <c:v>27.5826087157287</c:v>
                </c:pt>
                <c:pt idx="691">
                  <c:v>28.2861651948051</c:v>
                </c:pt>
                <c:pt idx="692">
                  <c:v>28.474509257142799</c:v>
                </c:pt>
                <c:pt idx="693">
                  <c:v>27.5235506285714</c:v>
                </c:pt>
                <c:pt idx="694">
                  <c:v>26.6928899378882</c:v>
                </c:pt>
                <c:pt idx="695">
                  <c:v>26.056121008403299</c:v>
                </c:pt>
                <c:pt idx="696">
                  <c:v>26.925937238106702</c:v>
                </c:pt>
                <c:pt idx="697">
                  <c:v>26.4659014657528</c:v>
                </c:pt>
                <c:pt idx="698">
                  <c:v>27.681956632046099</c:v>
                </c:pt>
                <c:pt idx="699">
                  <c:v>27.751437998941402</c:v>
                </c:pt>
                <c:pt idx="700">
                  <c:v>25.2598349990907</c:v>
                </c:pt>
                <c:pt idx="701">
                  <c:v>31.162967944875799</c:v>
                </c:pt>
                <c:pt idx="702">
                  <c:v>28.444880537532399</c:v>
                </c:pt>
                <c:pt idx="703">
                  <c:v>25.946830332306401</c:v>
                </c:pt>
                <c:pt idx="704">
                  <c:v>28.6607651370851</c:v>
                </c:pt>
                <c:pt idx="705">
                  <c:v>26.126670399999899</c:v>
                </c:pt>
                <c:pt idx="706">
                  <c:v>26.204744000000002</c:v>
                </c:pt>
                <c:pt idx="707">
                  <c:v>27.857336443148601</c:v>
                </c:pt>
                <c:pt idx="708">
                  <c:v>28.057573714285699</c:v>
                </c:pt>
                <c:pt idx="709">
                  <c:v>28.459429257142801</c:v>
                </c:pt>
                <c:pt idx="710">
                  <c:v>26.165375542857099</c:v>
                </c:pt>
                <c:pt idx="711">
                  <c:v>26.117406753246701</c:v>
                </c:pt>
                <c:pt idx="712">
                  <c:v>27.482366399999901</c:v>
                </c:pt>
                <c:pt idx="713">
                  <c:v>29.985629690721598</c:v>
                </c:pt>
                <c:pt idx="714">
                  <c:v>25.4218819047619</c:v>
                </c:pt>
                <c:pt idx="715">
                  <c:v>23.776181933621899</c:v>
                </c:pt>
                <c:pt idx="716">
                  <c:v>25.691900799999999</c:v>
                </c:pt>
                <c:pt idx="717">
                  <c:v>25.381980800000001</c:v>
                </c:pt>
                <c:pt idx="718">
                  <c:v>24.840265189504301</c:v>
                </c:pt>
                <c:pt idx="719">
                  <c:v>28.174000634920599</c:v>
                </c:pt>
                <c:pt idx="720">
                  <c:v>24.497194448979499</c:v>
                </c:pt>
                <c:pt idx="721">
                  <c:v>27.503605142857101</c:v>
                </c:pt>
                <c:pt idx="722">
                  <c:v>27.165718171428502</c:v>
                </c:pt>
                <c:pt idx="723">
                  <c:v>28.374661257142801</c:v>
                </c:pt>
                <c:pt idx="724">
                  <c:v>28.233946971428502</c:v>
                </c:pt>
                <c:pt idx="725">
                  <c:v>27.211766580086501</c:v>
                </c:pt>
                <c:pt idx="726">
                  <c:v>27.3017590062111</c:v>
                </c:pt>
                <c:pt idx="727">
                  <c:v>29.109296842105199</c:v>
                </c:pt>
                <c:pt idx="728">
                  <c:v>25.815603982608799</c:v>
                </c:pt>
                <c:pt idx="729">
                  <c:v>26.9033933989821</c:v>
                </c:pt>
                <c:pt idx="730">
                  <c:v>25.157532999063498</c:v>
                </c:pt>
                <c:pt idx="731">
                  <c:v>27.937420265399901</c:v>
                </c:pt>
                <c:pt idx="732">
                  <c:v>28.368301998832798</c:v>
                </c:pt>
                <c:pt idx="733">
                  <c:v>27.761627069418399</c:v>
                </c:pt>
                <c:pt idx="734">
                  <c:v>27.681508065576399</c:v>
                </c:pt>
                <c:pt idx="735">
                  <c:v>26.075947132523499</c:v>
                </c:pt>
                <c:pt idx="736">
                  <c:v>25.298252571428499</c:v>
                </c:pt>
                <c:pt idx="737">
                  <c:v>29.175523063328399</c:v>
                </c:pt>
                <c:pt idx="738">
                  <c:v>24.869275657142801</c:v>
                </c:pt>
                <c:pt idx="739">
                  <c:v>27.685046857142801</c:v>
                </c:pt>
                <c:pt idx="740">
                  <c:v>28.135700317460302</c:v>
                </c:pt>
                <c:pt idx="741">
                  <c:v>29.5159903030303</c:v>
                </c:pt>
                <c:pt idx="742">
                  <c:v>26.6400434054834</c:v>
                </c:pt>
                <c:pt idx="743">
                  <c:v>26.827864802431598</c:v>
                </c:pt>
                <c:pt idx="744">
                  <c:v>25.886811809523799</c:v>
                </c:pt>
                <c:pt idx="745">
                  <c:v>28.260718330658101</c:v>
                </c:pt>
                <c:pt idx="746">
                  <c:v>23.9484403361344</c:v>
                </c:pt>
                <c:pt idx="747">
                  <c:v>29.066322923588</c:v>
                </c:pt>
                <c:pt idx="748">
                  <c:v>27.765146742857102</c:v>
                </c:pt>
                <c:pt idx="749">
                  <c:v>26.525102195488699</c:v>
                </c:pt>
                <c:pt idx="750">
                  <c:v>28.184448232445501</c:v>
                </c:pt>
                <c:pt idx="751">
                  <c:v>28.2007978345864</c:v>
                </c:pt>
                <c:pt idx="752">
                  <c:v>28.7604292571428</c:v>
                </c:pt>
                <c:pt idx="753">
                  <c:v>27.300696825396798</c:v>
                </c:pt>
                <c:pt idx="754">
                  <c:v>26.338469085072202</c:v>
                </c:pt>
                <c:pt idx="755">
                  <c:v>27.108537142857099</c:v>
                </c:pt>
                <c:pt idx="756">
                  <c:v>24.652670245310201</c:v>
                </c:pt>
                <c:pt idx="757">
                  <c:v>24.5674260571428</c:v>
                </c:pt>
                <c:pt idx="758">
                  <c:v>29.553621485714199</c:v>
                </c:pt>
                <c:pt idx="759">
                  <c:v>23.7034785382059</c:v>
                </c:pt>
                <c:pt idx="760">
                  <c:v>26.533819465779999</c:v>
                </c:pt>
                <c:pt idx="761">
                  <c:v>24.743919065644199</c:v>
                </c:pt>
                <c:pt idx="762">
                  <c:v>26.876163837300801</c:v>
                </c:pt>
                <c:pt idx="763">
                  <c:v>26.305496065630699</c:v>
                </c:pt>
                <c:pt idx="764">
                  <c:v>26.732226261529501</c:v>
                </c:pt>
                <c:pt idx="765">
                  <c:v>28.021723332238501</c:v>
                </c:pt>
                <c:pt idx="766">
                  <c:v>26.699812732415001</c:v>
                </c:pt>
                <c:pt idx="767">
                  <c:v>27.396672554112499</c:v>
                </c:pt>
                <c:pt idx="768">
                  <c:v>30.774837942857101</c:v>
                </c:pt>
                <c:pt idx="769">
                  <c:v>29.050043657142801</c:v>
                </c:pt>
                <c:pt idx="770">
                  <c:v>28.067707428571399</c:v>
                </c:pt>
                <c:pt idx="771">
                  <c:v>26.943016228571398</c:v>
                </c:pt>
                <c:pt idx="772">
                  <c:v>24.594790670553898</c:v>
                </c:pt>
                <c:pt idx="773">
                  <c:v>27.199892718893999</c:v>
                </c:pt>
                <c:pt idx="774">
                  <c:v>27.188947172011598</c:v>
                </c:pt>
                <c:pt idx="775">
                  <c:v>26.107217142857099</c:v>
                </c:pt>
                <c:pt idx="776">
                  <c:v>27.087901183261099</c:v>
                </c:pt>
                <c:pt idx="777">
                  <c:v>24.301407238095202</c:v>
                </c:pt>
                <c:pt idx="778">
                  <c:v>24.930054135338299</c:v>
                </c:pt>
                <c:pt idx="779">
                  <c:v>26.856166893424</c:v>
                </c:pt>
                <c:pt idx="780">
                  <c:v>25.608836342857099</c:v>
                </c:pt>
                <c:pt idx="781">
                  <c:v>28.115730514285701</c:v>
                </c:pt>
                <c:pt idx="782">
                  <c:v>26.074573714285702</c:v>
                </c:pt>
                <c:pt idx="783">
                  <c:v>28.0277226822157</c:v>
                </c:pt>
                <c:pt idx="784">
                  <c:v>23.719193214285699</c:v>
                </c:pt>
                <c:pt idx="785">
                  <c:v>26.1081756734694</c:v>
                </c:pt>
                <c:pt idx="786">
                  <c:v>25.557286233766199</c:v>
                </c:pt>
                <c:pt idx="787">
                  <c:v>27.132002285714201</c:v>
                </c:pt>
                <c:pt idx="788">
                  <c:v>23.2821455525606</c:v>
                </c:pt>
                <c:pt idx="789">
                  <c:v>23.125114285714201</c:v>
                </c:pt>
                <c:pt idx="790">
                  <c:v>33.998559628146801</c:v>
                </c:pt>
                <c:pt idx="791">
                  <c:v>25.7499346789191</c:v>
                </c:pt>
                <c:pt idx="792">
                  <c:v>26.717719132035</c:v>
                </c:pt>
                <c:pt idx="793">
                  <c:v>28.510224241409801</c:v>
                </c:pt>
                <c:pt idx="794">
                  <c:v>28.1261992655764</c:v>
                </c:pt>
                <c:pt idx="795">
                  <c:v>28.328518398914198</c:v>
                </c:pt>
                <c:pt idx="796">
                  <c:v>27.398728065630699</c:v>
                </c:pt>
                <c:pt idx="797">
                  <c:v>24.782528638426399</c:v>
                </c:pt>
                <c:pt idx="798">
                  <c:v>27.558937828571398</c:v>
                </c:pt>
                <c:pt idx="799">
                  <c:v>26.105850285714201</c:v>
                </c:pt>
                <c:pt idx="800">
                  <c:v>28.463073632653</c:v>
                </c:pt>
                <c:pt idx="801">
                  <c:v>27.557694047619002</c:v>
                </c:pt>
                <c:pt idx="802">
                  <c:v>26.788712069970799</c:v>
                </c:pt>
                <c:pt idx="803">
                  <c:v>26.055112914285701</c:v>
                </c:pt>
                <c:pt idx="804">
                  <c:v>27.7259254857142</c:v>
                </c:pt>
                <c:pt idx="805">
                  <c:v>24.912619913419899</c:v>
                </c:pt>
                <c:pt idx="806">
                  <c:v>26.575429257142801</c:v>
                </c:pt>
                <c:pt idx="807">
                  <c:v>27.214696685714198</c:v>
                </c:pt>
                <c:pt idx="808">
                  <c:v>28.119870171428499</c:v>
                </c:pt>
                <c:pt idx="809">
                  <c:v>27.244301942857099</c:v>
                </c:pt>
                <c:pt idx="810">
                  <c:v>26.6788041142857</c:v>
                </c:pt>
                <c:pt idx="811">
                  <c:v>28.6545737142857</c:v>
                </c:pt>
                <c:pt idx="812">
                  <c:v>27.449281385281299</c:v>
                </c:pt>
                <c:pt idx="813">
                  <c:v>24.333914761904701</c:v>
                </c:pt>
                <c:pt idx="814">
                  <c:v>25.204618874458799</c:v>
                </c:pt>
                <c:pt idx="815">
                  <c:v>28.722402539682498</c:v>
                </c:pt>
                <c:pt idx="816">
                  <c:v>27.352831359357801</c:v>
                </c:pt>
                <c:pt idx="817">
                  <c:v>26.760336198846399</c:v>
                </c:pt>
                <c:pt idx="818">
                  <c:v>26.3654593324557</c:v>
                </c:pt>
                <c:pt idx="819">
                  <c:v>27.361724465657801</c:v>
                </c:pt>
                <c:pt idx="820">
                  <c:v>26.503112591505001</c:v>
                </c:pt>
                <c:pt idx="821">
                  <c:v>24.6371857322385</c:v>
                </c:pt>
                <c:pt idx="822">
                  <c:v>27.804532658881602</c:v>
                </c:pt>
                <c:pt idx="823">
                  <c:v>29.578903406180899</c:v>
                </c:pt>
                <c:pt idx="824">
                  <c:v>27.527408306332799</c:v>
                </c:pt>
                <c:pt idx="825">
                  <c:v>25.981438399999998</c:v>
                </c:pt>
                <c:pt idx="826">
                  <c:v>29.7908587590187</c:v>
                </c:pt>
                <c:pt idx="827">
                  <c:v>30.8289306782106</c:v>
                </c:pt>
                <c:pt idx="828">
                  <c:v>24.554207278195399</c:v>
                </c:pt>
                <c:pt idx="829">
                  <c:v>28.601899872068199</c:v>
                </c:pt>
                <c:pt idx="830">
                  <c:v>25.092103314285701</c:v>
                </c:pt>
                <c:pt idx="831">
                  <c:v>28.1685199422799</c:v>
                </c:pt>
                <c:pt idx="832">
                  <c:v>24.883979199999999</c:v>
                </c:pt>
                <c:pt idx="833">
                  <c:v>29.583441599999901</c:v>
                </c:pt>
                <c:pt idx="834">
                  <c:v>27.233510880230799</c:v>
                </c:pt>
                <c:pt idx="835">
                  <c:v>27.591307885714201</c:v>
                </c:pt>
                <c:pt idx="836">
                  <c:v>28.6772525714285</c:v>
                </c:pt>
                <c:pt idx="837">
                  <c:v>27.418502857142801</c:v>
                </c:pt>
                <c:pt idx="838">
                  <c:v>26.515859624819601</c:v>
                </c:pt>
                <c:pt idx="839">
                  <c:v>27.228835110456501</c:v>
                </c:pt>
                <c:pt idx="840">
                  <c:v>26.668467301587299</c:v>
                </c:pt>
                <c:pt idx="841">
                  <c:v>25.922714971428501</c:v>
                </c:pt>
                <c:pt idx="842">
                  <c:v>27.061304685714202</c:v>
                </c:pt>
                <c:pt idx="843">
                  <c:v>26.804653820597999</c:v>
                </c:pt>
                <c:pt idx="844">
                  <c:v>22.502961632653001</c:v>
                </c:pt>
                <c:pt idx="845">
                  <c:v>26.200199190904701</c:v>
                </c:pt>
                <c:pt idx="846">
                  <c:v>24.9260950659699</c:v>
                </c:pt>
                <c:pt idx="847">
                  <c:v>24.5088692657121</c:v>
                </c:pt>
                <c:pt idx="848">
                  <c:v>28.403726867480501</c:v>
                </c:pt>
                <c:pt idx="849">
                  <c:v>25.464485865942802</c:v>
                </c:pt>
                <c:pt idx="850">
                  <c:v>26.2202282819235</c:v>
                </c:pt>
                <c:pt idx="851">
                  <c:v>26.203049157079299</c:v>
                </c:pt>
                <c:pt idx="852">
                  <c:v>27.9785107922505</c:v>
                </c:pt>
                <c:pt idx="853">
                  <c:v>32.676874769975697</c:v>
                </c:pt>
                <c:pt idx="854">
                  <c:v>23.721865142857101</c:v>
                </c:pt>
                <c:pt idx="855">
                  <c:v>24.179109761904702</c:v>
                </c:pt>
                <c:pt idx="856">
                  <c:v>29.042757551020401</c:v>
                </c:pt>
                <c:pt idx="857">
                  <c:v>24.258036114285702</c:v>
                </c:pt>
                <c:pt idx="858">
                  <c:v>30.5116352941176</c:v>
                </c:pt>
                <c:pt idx="859">
                  <c:v>27.758659047618998</c:v>
                </c:pt>
                <c:pt idx="860">
                  <c:v>28.411496914285699</c:v>
                </c:pt>
                <c:pt idx="861">
                  <c:v>27.4395172294372</c:v>
                </c:pt>
                <c:pt idx="862">
                  <c:v>25.685403148688</c:v>
                </c:pt>
                <c:pt idx="863">
                  <c:v>24.6254598857142</c:v>
                </c:pt>
                <c:pt idx="864">
                  <c:v>27.441718171428501</c:v>
                </c:pt>
                <c:pt idx="865">
                  <c:v>27.744908342857102</c:v>
                </c:pt>
                <c:pt idx="866">
                  <c:v>26.398835440115398</c:v>
                </c:pt>
                <c:pt idx="867">
                  <c:v>25.450573714285699</c:v>
                </c:pt>
                <c:pt idx="868">
                  <c:v>25.5923890285714</c:v>
                </c:pt>
                <c:pt idx="869">
                  <c:v>28.604068342857101</c:v>
                </c:pt>
                <c:pt idx="870">
                  <c:v>26.743912958152901</c:v>
                </c:pt>
                <c:pt idx="871">
                  <c:v>29.7121558857142</c:v>
                </c:pt>
                <c:pt idx="872">
                  <c:v>27.162098971428499</c:v>
                </c:pt>
                <c:pt idx="873">
                  <c:v>25.6440006857142</c:v>
                </c:pt>
                <c:pt idx="874">
                  <c:v>32.9962826480836</c:v>
                </c:pt>
                <c:pt idx="875">
                  <c:v>24.304990665671401</c:v>
                </c:pt>
                <c:pt idx="876">
                  <c:v>26.942107999077098</c:v>
                </c:pt>
                <c:pt idx="877">
                  <c:v>28.780464999009201</c:v>
                </c:pt>
                <c:pt idx="878">
                  <c:v>26.877287532333501</c:v>
                </c:pt>
                <c:pt idx="879">
                  <c:v>25.502331110137799</c:v>
                </c:pt>
                <c:pt idx="880">
                  <c:v>30.027519726690901</c:v>
                </c:pt>
                <c:pt idx="881">
                  <c:v>27.485447859433901</c:v>
                </c:pt>
                <c:pt idx="882">
                  <c:v>26.222668716894798</c:v>
                </c:pt>
                <c:pt idx="883">
                  <c:v>30.574249329446001</c:v>
                </c:pt>
                <c:pt idx="884">
                  <c:v>25.355050916844299</c:v>
                </c:pt>
                <c:pt idx="885">
                  <c:v>26.965240634920601</c:v>
                </c:pt>
                <c:pt idx="886">
                  <c:v>27.713085206349199</c:v>
                </c:pt>
                <c:pt idx="887">
                  <c:v>27.369442388059699</c:v>
                </c:pt>
                <c:pt idx="888">
                  <c:v>27.4865389010989</c:v>
                </c:pt>
                <c:pt idx="889">
                  <c:v>27.418509034749</c:v>
                </c:pt>
                <c:pt idx="890">
                  <c:v>29.373896443148599</c:v>
                </c:pt>
                <c:pt idx="891">
                  <c:v>25.470456565656502</c:v>
                </c:pt>
                <c:pt idx="892">
                  <c:v>27.097979200000001</c:v>
                </c:pt>
                <c:pt idx="893">
                  <c:v>25.585168715728699</c:v>
                </c:pt>
                <c:pt idx="894">
                  <c:v>28.617034514285699</c:v>
                </c:pt>
                <c:pt idx="895">
                  <c:v>26.006132871572799</c:v>
                </c:pt>
                <c:pt idx="896">
                  <c:v>28.5917627428571</c:v>
                </c:pt>
                <c:pt idx="897">
                  <c:v>26.312076883116799</c:v>
                </c:pt>
                <c:pt idx="898">
                  <c:v>27.164572114285701</c:v>
                </c:pt>
                <c:pt idx="899">
                  <c:v>28.1615538285714</c:v>
                </c:pt>
                <c:pt idx="900">
                  <c:v>24.933507657142801</c:v>
                </c:pt>
                <c:pt idx="901">
                  <c:v>28.741686244477101</c:v>
                </c:pt>
                <c:pt idx="902">
                  <c:v>29.212103434343401</c:v>
                </c:pt>
                <c:pt idx="903">
                  <c:v>27.699736457142802</c:v>
                </c:pt>
                <c:pt idx="904">
                  <c:v>26.4719792207792</c:v>
                </c:pt>
                <c:pt idx="905">
                  <c:v>28.1459443024231</c:v>
                </c:pt>
                <c:pt idx="906">
                  <c:v>25.373526160622198</c:v>
                </c:pt>
                <c:pt idx="907">
                  <c:v>29.379895665549199</c:v>
                </c:pt>
                <c:pt idx="908">
                  <c:v>25.018499527678198</c:v>
                </c:pt>
                <c:pt idx="909">
                  <c:v>27.972501903533999</c:v>
                </c:pt>
                <c:pt idx="910">
                  <c:v>27.357500517246802</c:v>
                </c:pt>
                <c:pt idx="911">
                  <c:v>25.444969932387799</c:v>
                </c:pt>
                <c:pt idx="912">
                  <c:v>26.6698460641399</c:v>
                </c:pt>
                <c:pt idx="913">
                  <c:v>27.937819348370901</c:v>
                </c:pt>
                <c:pt idx="914">
                  <c:v>26.4410761643835</c:v>
                </c:pt>
                <c:pt idx="915">
                  <c:v>24.7843883202511</c:v>
                </c:pt>
                <c:pt idx="916">
                  <c:v>28.058617358490501</c:v>
                </c:pt>
                <c:pt idx="917">
                  <c:v>25.6973263673469</c:v>
                </c:pt>
                <c:pt idx="918">
                  <c:v>24.642919711399699</c:v>
                </c:pt>
                <c:pt idx="919">
                  <c:v>28.901753236151599</c:v>
                </c:pt>
                <c:pt idx="920">
                  <c:v>26.124143542857102</c:v>
                </c:pt>
                <c:pt idx="921">
                  <c:v>26.9359362285714</c:v>
                </c:pt>
                <c:pt idx="922">
                  <c:v>26.7678562285714</c:v>
                </c:pt>
                <c:pt idx="923">
                  <c:v>25.088857828571399</c:v>
                </c:pt>
                <c:pt idx="924">
                  <c:v>27.731061010101001</c:v>
                </c:pt>
                <c:pt idx="925">
                  <c:v>28.2348132571428</c:v>
                </c:pt>
                <c:pt idx="926">
                  <c:v>26.594807503607498</c:v>
                </c:pt>
                <c:pt idx="927">
                  <c:v>26.4065076571428</c:v>
                </c:pt>
                <c:pt idx="928">
                  <c:v>25.588719766763798</c:v>
                </c:pt>
                <c:pt idx="929">
                  <c:v>27.683153389355699</c:v>
                </c:pt>
                <c:pt idx="930">
                  <c:v>24.3875485714285</c:v>
                </c:pt>
                <c:pt idx="931">
                  <c:v>34.662935510204001</c:v>
                </c:pt>
                <c:pt idx="932">
                  <c:v>31.440987221053501</c:v>
                </c:pt>
                <c:pt idx="933">
                  <c:v>27.632572246978398</c:v>
                </c:pt>
                <c:pt idx="934">
                  <c:v>29.759436665535699</c:v>
                </c:pt>
                <c:pt idx="935">
                  <c:v>25.3716563067109</c:v>
                </c:pt>
                <c:pt idx="936">
                  <c:v>25.943615204960601</c:v>
                </c:pt>
                <c:pt idx="937">
                  <c:v>29.257029022449402</c:v>
                </c:pt>
                <c:pt idx="938">
                  <c:v>25.610972814839801</c:v>
                </c:pt>
                <c:pt idx="939">
                  <c:v>27.2626905157077</c:v>
                </c:pt>
                <c:pt idx="940">
                  <c:v>25.0713521030642</c:v>
                </c:pt>
                <c:pt idx="941">
                  <c:v>25.667108934409899</c:v>
                </c:pt>
                <c:pt idx="942">
                  <c:v>26.408876477375699</c:v>
                </c:pt>
                <c:pt idx="943">
                  <c:v>26.254617039257798</c:v>
                </c:pt>
                <c:pt idx="944">
                  <c:v>26.287588382128501</c:v>
                </c:pt>
                <c:pt idx="945">
                  <c:v>28.818736924809201</c:v>
                </c:pt>
                <c:pt idx="946">
                  <c:v>27.708703233570699</c:v>
                </c:pt>
                <c:pt idx="947">
                  <c:v>28.054212715493499</c:v>
                </c:pt>
                <c:pt idx="948">
                  <c:v>24.923303562927099</c:v>
                </c:pt>
                <c:pt idx="949">
                  <c:v>29.254782925547602</c:v>
                </c:pt>
                <c:pt idx="950">
                  <c:v>27.391583916349202</c:v>
                </c:pt>
                <c:pt idx="951">
                  <c:v>28.6411836773757</c:v>
                </c:pt>
                <c:pt idx="952">
                  <c:v>28.558882514285699</c:v>
                </c:pt>
                <c:pt idx="953">
                  <c:v>27.322330728862902</c:v>
                </c:pt>
                <c:pt idx="954">
                  <c:v>23.6957977142857</c:v>
                </c:pt>
                <c:pt idx="955">
                  <c:v>30.073633406593402</c:v>
                </c:pt>
                <c:pt idx="956">
                  <c:v>26.871726597416099</c:v>
                </c:pt>
                <c:pt idx="957">
                  <c:v>24.213257465915699</c:v>
                </c:pt>
                <c:pt idx="958">
                  <c:v>28.538201903358502</c:v>
                </c:pt>
                <c:pt idx="959">
                  <c:v>23.955966047167902</c:v>
                </c:pt>
                <c:pt idx="960">
                  <c:v>27.397217332048498</c:v>
                </c:pt>
                <c:pt idx="961">
                  <c:v>23.721800953354201</c:v>
                </c:pt>
                <c:pt idx="962">
                  <c:v>27.050364291584401</c:v>
                </c:pt>
                <c:pt idx="963">
                  <c:v>25.8243285630221</c:v>
                </c:pt>
                <c:pt idx="964">
                  <c:v>26.2234484955057</c:v>
                </c:pt>
                <c:pt idx="965">
                  <c:v>26.296483348695499</c:v>
                </c:pt>
                <c:pt idx="966">
                  <c:v>28.548598577216399</c:v>
                </c:pt>
                <c:pt idx="967">
                  <c:v>28.573521134504901</c:v>
                </c:pt>
                <c:pt idx="968">
                  <c:v>25.863823734219999</c:v>
                </c:pt>
                <c:pt idx="969">
                  <c:v>29.8563612581742</c:v>
                </c:pt>
                <c:pt idx="970">
                  <c:v>27.064072781938499</c:v>
                </c:pt>
                <c:pt idx="971">
                  <c:v>25.7172147725278</c:v>
                </c:pt>
                <c:pt idx="972">
                  <c:v>28.7022927915392</c:v>
                </c:pt>
                <c:pt idx="973">
                  <c:v>27.144391591349201</c:v>
                </c:pt>
                <c:pt idx="974">
                  <c:v>26.963264134409901</c:v>
                </c:pt>
                <c:pt idx="975">
                  <c:v>27.985284458174199</c:v>
                </c:pt>
                <c:pt idx="976">
                  <c:v>23.818578596323899</c:v>
                </c:pt>
                <c:pt idx="977">
                  <c:v>26.668872528516399</c:v>
                </c:pt>
                <c:pt idx="978">
                  <c:v>24.996994128114999</c:v>
                </c:pt>
                <c:pt idx="979">
                  <c:v>23.413896246498599</c:v>
                </c:pt>
                <c:pt idx="980">
                  <c:v>29.916362448979498</c:v>
                </c:pt>
                <c:pt idx="981">
                  <c:v>26.476497142857099</c:v>
                </c:pt>
                <c:pt idx="982">
                  <c:v>26.487377999321399</c:v>
                </c:pt>
                <c:pt idx="983">
                  <c:v>25.5702924628043</c:v>
                </c:pt>
                <c:pt idx="984">
                  <c:v>28.5422427263474</c:v>
                </c:pt>
                <c:pt idx="985">
                  <c:v>26.835100700663901</c:v>
                </c:pt>
                <c:pt idx="986">
                  <c:v>25.5231935990228</c:v>
                </c:pt>
                <c:pt idx="987">
                  <c:v>25.0202255439157</c:v>
                </c:pt>
                <c:pt idx="988">
                  <c:v>29.2041346964821</c:v>
                </c:pt>
                <c:pt idx="989">
                  <c:v>28.893119019456901</c:v>
                </c:pt>
                <c:pt idx="990">
                  <c:v>25.890603267585</c:v>
                </c:pt>
                <c:pt idx="991">
                  <c:v>29.303445070763999</c:v>
                </c:pt>
                <c:pt idx="992">
                  <c:v>24.218580886786398</c:v>
                </c:pt>
                <c:pt idx="993">
                  <c:v>28.266536125189202</c:v>
                </c:pt>
                <c:pt idx="994">
                  <c:v>28.096696277280699</c:v>
                </c:pt>
                <c:pt idx="995">
                  <c:v>27.639415903041101</c:v>
                </c:pt>
                <c:pt idx="996">
                  <c:v>24.913660712735101</c:v>
                </c:pt>
                <c:pt idx="997">
                  <c:v>24.981542296292101</c:v>
                </c:pt>
                <c:pt idx="998">
                  <c:v>28.302218307888101</c:v>
                </c:pt>
                <c:pt idx="999">
                  <c:v>26.294215610550701</c:v>
                </c:pt>
                <c:pt idx="1000">
                  <c:v>26.728897297883101</c:v>
                </c:pt>
                <c:pt idx="1001">
                  <c:v>26.446743149491201</c:v>
                </c:pt>
                <c:pt idx="1002">
                  <c:v>28.775836586107399</c:v>
                </c:pt>
                <c:pt idx="1003">
                  <c:v>28.047518696482101</c:v>
                </c:pt>
                <c:pt idx="1004">
                  <c:v>25.797438058174201</c:v>
                </c:pt>
                <c:pt idx="1005">
                  <c:v>26.055255462983101</c:v>
                </c:pt>
                <c:pt idx="1006">
                  <c:v>31.817538609241701</c:v>
                </c:pt>
                <c:pt idx="1007">
                  <c:v>55.272314151275502</c:v>
                </c:pt>
                <c:pt idx="1008">
                  <c:v>30.826823029233701</c:v>
                </c:pt>
                <c:pt idx="1009">
                  <c:v>24.584506350261901</c:v>
                </c:pt>
                <c:pt idx="1010">
                  <c:v>29.018924090241399</c:v>
                </c:pt>
                <c:pt idx="1011">
                  <c:v>25.1077554821712</c:v>
                </c:pt>
                <c:pt idx="1012">
                  <c:v>23.597390753326401</c:v>
                </c:pt>
                <c:pt idx="1013">
                  <c:v>27.453839105892801</c:v>
                </c:pt>
                <c:pt idx="1014">
                  <c:v>26.9388623247143</c:v>
                </c:pt>
                <c:pt idx="1015">
                  <c:v>25.9143783058928</c:v>
                </c:pt>
                <c:pt idx="1016">
                  <c:v>27.7296755725278</c:v>
                </c:pt>
                <c:pt idx="1017">
                  <c:v>25.392909245688301</c:v>
                </c:pt>
                <c:pt idx="1018">
                  <c:v>27.0963525438207</c:v>
                </c:pt>
                <c:pt idx="1019">
                  <c:v>26.5617661442007</c:v>
                </c:pt>
                <c:pt idx="1020">
                  <c:v>25.0027560295621</c:v>
                </c:pt>
                <c:pt idx="1021">
                  <c:v>28.768195595114001</c:v>
                </c:pt>
                <c:pt idx="1022">
                  <c:v>23.006948220056401</c:v>
                </c:pt>
                <c:pt idx="1023">
                  <c:v>26.4630445057978</c:v>
                </c:pt>
                <c:pt idx="1024">
                  <c:v>27.009868982033499</c:v>
                </c:pt>
                <c:pt idx="1025">
                  <c:v>26.8718112867864</c:v>
                </c:pt>
                <c:pt idx="1026">
                  <c:v>26.336525609420601</c:v>
                </c:pt>
                <c:pt idx="1027">
                  <c:v>29.5392618863964</c:v>
                </c:pt>
                <c:pt idx="1028">
                  <c:v>27.995561782033501</c:v>
                </c:pt>
                <c:pt idx="1029">
                  <c:v>27.767991920727201</c:v>
                </c:pt>
                <c:pt idx="1030">
                  <c:v>27.036280614912599</c:v>
                </c:pt>
                <c:pt idx="1031">
                  <c:v>26.391686343915701</c:v>
                </c:pt>
                <c:pt idx="1032">
                  <c:v>26.765177782033501</c:v>
                </c:pt>
                <c:pt idx="1033">
                  <c:v>27.7552679727178</c:v>
                </c:pt>
                <c:pt idx="1034">
                  <c:v>25.102541107269801</c:v>
                </c:pt>
                <c:pt idx="1035">
                  <c:v>28.602400713022998</c:v>
                </c:pt>
                <c:pt idx="1036">
                  <c:v>29.509251305987799</c:v>
                </c:pt>
                <c:pt idx="1037">
                  <c:v>29.004091048668499</c:v>
                </c:pt>
                <c:pt idx="1038">
                  <c:v>24.363154451869502</c:v>
                </c:pt>
                <c:pt idx="1039">
                  <c:v>26.646874696102099</c:v>
                </c:pt>
                <c:pt idx="1040">
                  <c:v>24.676633524714202</c:v>
                </c:pt>
                <c:pt idx="1041">
                  <c:v>24.450533013792199</c:v>
                </c:pt>
                <c:pt idx="1042">
                  <c:v>28.659638201044999</c:v>
                </c:pt>
                <c:pt idx="1043">
                  <c:v>27.541755648573499</c:v>
                </c:pt>
                <c:pt idx="1044">
                  <c:v>24.467435258189699</c:v>
                </c:pt>
                <c:pt idx="1045">
                  <c:v>26.525593363563399</c:v>
                </c:pt>
                <c:pt idx="1046">
                  <c:v>27.0860736199614</c:v>
                </c:pt>
                <c:pt idx="1047">
                  <c:v>27.9631898484785</c:v>
                </c:pt>
                <c:pt idx="1048">
                  <c:v>24.2772952295621</c:v>
                </c:pt>
                <c:pt idx="1049">
                  <c:v>23.171222885659098</c:v>
                </c:pt>
                <c:pt idx="1050">
                  <c:v>28.958908206137298</c:v>
                </c:pt>
                <c:pt idx="1051">
                  <c:v>26.745216448573501</c:v>
                </c:pt>
                <c:pt idx="1052">
                  <c:v>26.308650342492701</c:v>
                </c:pt>
                <c:pt idx="1053">
                  <c:v>27.145059572527799</c:v>
                </c:pt>
                <c:pt idx="1054">
                  <c:v>26.370399048756799</c:v>
                </c:pt>
                <c:pt idx="1055">
                  <c:v>25.803237596112499</c:v>
                </c:pt>
                <c:pt idx="1056">
                  <c:v>26.0717311794747</c:v>
                </c:pt>
                <c:pt idx="1057">
                  <c:v>23.349641477090699</c:v>
                </c:pt>
                <c:pt idx="1058">
                  <c:v>30.622876056956699</c:v>
                </c:pt>
                <c:pt idx="1059">
                  <c:v>24.022139913575</c:v>
                </c:pt>
                <c:pt idx="1060">
                  <c:v>25.286329168970401</c:v>
                </c:pt>
                <c:pt idx="1061">
                  <c:v>26.933288216575701</c:v>
                </c:pt>
                <c:pt idx="1062">
                  <c:v>24.871203569823201</c:v>
                </c:pt>
                <c:pt idx="1063">
                  <c:v>24.636591277185701</c:v>
                </c:pt>
                <c:pt idx="1064">
                  <c:v>26.2955605630221</c:v>
                </c:pt>
                <c:pt idx="1065">
                  <c:v>28.2077824349956</c:v>
                </c:pt>
                <c:pt idx="1066">
                  <c:v>26.550851934314899</c:v>
                </c:pt>
                <c:pt idx="1067">
                  <c:v>26.528998038972802</c:v>
                </c:pt>
                <c:pt idx="1068">
                  <c:v>30.056562752428501</c:v>
                </c:pt>
                <c:pt idx="1069">
                  <c:v>24.659979718171101</c:v>
                </c:pt>
                <c:pt idx="1070">
                  <c:v>26.233574229467099</c:v>
                </c:pt>
                <c:pt idx="1071">
                  <c:v>29.806442734504898</c:v>
                </c:pt>
                <c:pt idx="1072">
                  <c:v>27.856964048763501</c:v>
                </c:pt>
                <c:pt idx="1073">
                  <c:v>27.798609688231501</c:v>
                </c:pt>
                <c:pt idx="1074">
                  <c:v>29.3743762488585</c:v>
                </c:pt>
                <c:pt idx="1075">
                  <c:v>27.368284458174202</c:v>
                </c:pt>
                <c:pt idx="1076">
                  <c:v>27.000447386900799</c:v>
                </c:pt>
                <c:pt idx="1077">
                  <c:v>28.087767360390298</c:v>
                </c:pt>
                <c:pt idx="1078">
                  <c:v>27.7311723723924</c:v>
                </c:pt>
                <c:pt idx="1079">
                  <c:v>26.676276403194802</c:v>
                </c:pt>
                <c:pt idx="1080">
                  <c:v>28.7650363537064</c:v>
                </c:pt>
                <c:pt idx="1081">
                  <c:v>26.229279606616799</c:v>
                </c:pt>
                <c:pt idx="1082">
                  <c:v>27.8873326010449</c:v>
                </c:pt>
                <c:pt idx="1083">
                  <c:v>26.845483052494099</c:v>
                </c:pt>
                <c:pt idx="1084">
                  <c:v>25.442177020056398</c:v>
                </c:pt>
                <c:pt idx="1085">
                  <c:v>26.1330899057028</c:v>
                </c:pt>
                <c:pt idx="1086">
                  <c:v>27.1611259821285</c:v>
                </c:pt>
                <c:pt idx="1087">
                  <c:v>23.080799078243299</c:v>
                </c:pt>
                <c:pt idx="1088">
                  <c:v>25.7383398559674</c:v>
                </c:pt>
                <c:pt idx="1089">
                  <c:v>25.003990648858501</c:v>
                </c:pt>
                <c:pt idx="1090">
                  <c:v>25.6063986296571</c:v>
                </c:pt>
                <c:pt idx="1091">
                  <c:v>28.958676791539201</c:v>
                </c:pt>
                <c:pt idx="1092">
                  <c:v>26.3992064391628</c:v>
                </c:pt>
                <c:pt idx="1093">
                  <c:v>25.0291944598066</c:v>
                </c:pt>
                <c:pt idx="1094">
                  <c:v>29.729399467679901</c:v>
                </c:pt>
                <c:pt idx="1095">
                  <c:v>24.175744329895299</c:v>
                </c:pt>
                <c:pt idx="1096">
                  <c:v>24.230379981938501</c:v>
                </c:pt>
                <c:pt idx="1097">
                  <c:v>27.179908399392399</c:v>
                </c:pt>
                <c:pt idx="1098">
                  <c:v>27.076634104062698</c:v>
                </c:pt>
                <c:pt idx="1099">
                  <c:v>26.256997721030999</c:v>
                </c:pt>
                <c:pt idx="1100">
                  <c:v>25.9372513059878</c:v>
                </c:pt>
                <c:pt idx="1101">
                  <c:v>27.7039827141176</c:v>
                </c:pt>
                <c:pt idx="1102">
                  <c:v>25.284500810740699</c:v>
                </c:pt>
                <c:pt idx="1103">
                  <c:v>29.523163353611402</c:v>
                </c:pt>
                <c:pt idx="1104">
                  <c:v>32.229370030262302</c:v>
                </c:pt>
                <c:pt idx="1105">
                  <c:v>25.325075715443202</c:v>
                </c:pt>
                <c:pt idx="1106">
                  <c:v>29.3042035670674</c:v>
                </c:pt>
                <c:pt idx="1107">
                  <c:v>26.932175802940201</c:v>
                </c:pt>
                <c:pt idx="1108">
                  <c:v>29.2327937820335</c:v>
                </c:pt>
                <c:pt idx="1109">
                  <c:v>25.6176008573369</c:v>
                </c:pt>
                <c:pt idx="1110">
                  <c:v>27.116847706628398</c:v>
                </c:pt>
                <c:pt idx="1111">
                  <c:v>24.287153801235</c:v>
                </c:pt>
                <c:pt idx="1112">
                  <c:v>29.187290640818102</c:v>
                </c:pt>
                <c:pt idx="1113">
                  <c:v>25.3653961916343</c:v>
                </c:pt>
                <c:pt idx="1114">
                  <c:v>28.459626725620399</c:v>
                </c:pt>
                <c:pt idx="1115">
                  <c:v>26.808090667679899</c:v>
                </c:pt>
                <c:pt idx="1116">
                  <c:v>26.565534800950001</c:v>
                </c:pt>
                <c:pt idx="1117">
                  <c:v>26.7289927058928</c:v>
                </c:pt>
                <c:pt idx="1118">
                  <c:v>26.632157163419802</c:v>
                </c:pt>
                <c:pt idx="1119">
                  <c:v>24.3221409726536</c:v>
                </c:pt>
                <c:pt idx="1120">
                  <c:v>27.970151171379399</c:v>
                </c:pt>
                <c:pt idx="1121">
                  <c:v>24.893280556874998</c:v>
                </c:pt>
                <c:pt idx="1122">
                  <c:v>26.519033062193799</c:v>
                </c:pt>
                <c:pt idx="1123">
                  <c:v>23.595241905365</c:v>
                </c:pt>
                <c:pt idx="1124">
                  <c:v>26.682072655178899</c:v>
                </c:pt>
                <c:pt idx="1125">
                  <c:v>26.958313811758501</c:v>
                </c:pt>
                <c:pt idx="1126">
                  <c:v>27.303494268629901</c:v>
                </c:pt>
                <c:pt idx="1127">
                  <c:v>29.032418897445702</c:v>
                </c:pt>
                <c:pt idx="1128">
                  <c:v>26.959459278108501</c:v>
                </c:pt>
                <c:pt idx="1129">
                  <c:v>27.9681032214271</c:v>
                </c:pt>
                <c:pt idx="1130">
                  <c:v>26.399594903926399</c:v>
                </c:pt>
                <c:pt idx="1131">
                  <c:v>29.744243753365801</c:v>
                </c:pt>
                <c:pt idx="1132">
                  <c:v>26.5215795446485</c:v>
                </c:pt>
                <c:pt idx="1133">
                  <c:v>25.796808287587101</c:v>
                </c:pt>
                <c:pt idx="1134">
                  <c:v>26.6544423880562</c:v>
                </c:pt>
                <c:pt idx="1135">
                  <c:v>29.182400687777101</c:v>
                </c:pt>
                <c:pt idx="1136">
                  <c:v>28.302009469389901</c:v>
                </c:pt>
                <c:pt idx="1137">
                  <c:v>27.470727640384201</c:v>
                </c:pt>
                <c:pt idx="1138">
                  <c:v>25.914954954507099</c:v>
                </c:pt>
                <c:pt idx="1139">
                  <c:v>28.0115254068767</c:v>
                </c:pt>
                <c:pt idx="1140">
                  <c:v>26.4899942372247</c:v>
                </c:pt>
                <c:pt idx="1141">
                  <c:v>21.089125975876598</c:v>
                </c:pt>
                <c:pt idx="1142">
                  <c:v>27.7198662134813</c:v>
                </c:pt>
                <c:pt idx="1143">
                  <c:v>25.5590418305257</c:v>
                </c:pt>
                <c:pt idx="1144">
                  <c:v>28.273846306924199</c:v>
                </c:pt>
                <c:pt idx="1145">
                  <c:v>26.966138991818099</c:v>
                </c:pt>
                <c:pt idx="1146">
                  <c:v>25.4459033543171</c:v>
                </c:pt>
                <c:pt idx="1147">
                  <c:v>25.423402059531401</c:v>
                </c:pt>
                <c:pt idx="1148">
                  <c:v>29.2806221986705</c:v>
                </c:pt>
                <c:pt idx="1149">
                  <c:v>28.665659088157099</c:v>
                </c:pt>
                <c:pt idx="1150">
                  <c:v>26.592936317300101</c:v>
                </c:pt>
                <c:pt idx="1151">
                  <c:v>25.709743277728499</c:v>
                </c:pt>
                <c:pt idx="1152">
                  <c:v>27.064644869744502</c:v>
                </c:pt>
                <c:pt idx="1153">
                  <c:v>26.655180306734199</c:v>
                </c:pt>
                <c:pt idx="1154">
                  <c:v>29.6896323255353</c:v>
                </c:pt>
                <c:pt idx="1155">
                  <c:v>25.606998363985699</c:v>
                </c:pt>
                <c:pt idx="1156">
                  <c:v>28.5897617514314</c:v>
                </c:pt>
                <c:pt idx="1157">
                  <c:v>29.040273716402801</c:v>
                </c:pt>
                <c:pt idx="1158">
                  <c:v>25.2389889585959</c:v>
                </c:pt>
                <c:pt idx="1159">
                  <c:v>26.578985110445799</c:v>
                </c:pt>
                <c:pt idx="1160">
                  <c:v>24.143872110414399</c:v>
                </c:pt>
                <c:pt idx="1161">
                  <c:v>27.4244272593414</c:v>
                </c:pt>
                <c:pt idx="1162">
                  <c:v>28.337475842542201</c:v>
                </c:pt>
                <c:pt idx="1163">
                  <c:v>26.817119617027402</c:v>
                </c:pt>
                <c:pt idx="1164">
                  <c:v>26.878503945218501</c:v>
                </c:pt>
                <c:pt idx="1165">
                  <c:v>25.855255392611401</c:v>
                </c:pt>
                <c:pt idx="1166">
                  <c:v>26.6283942683751</c:v>
                </c:pt>
                <c:pt idx="1167">
                  <c:v>25.277342040384202</c:v>
                </c:pt>
                <c:pt idx="1168">
                  <c:v>26.243407524730099</c:v>
                </c:pt>
                <c:pt idx="1169">
                  <c:v>28.984470668819899</c:v>
                </c:pt>
                <c:pt idx="1170">
                  <c:v>27.9807808169293</c:v>
                </c:pt>
                <c:pt idx="1171">
                  <c:v>26.679579316402801</c:v>
                </c:pt>
                <c:pt idx="1172">
                  <c:v>26.1162905543171</c:v>
                </c:pt>
                <c:pt idx="1173">
                  <c:v>30.503086497635699</c:v>
                </c:pt>
                <c:pt idx="1174">
                  <c:v>29.6644706117585</c:v>
                </c:pt>
                <c:pt idx="1175">
                  <c:v>24.8536562875871</c:v>
                </c:pt>
                <c:pt idx="1176">
                  <c:v>24.429914605059501</c:v>
                </c:pt>
                <c:pt idx="1177">
                  <c:v>23.746820261960998</c:v>
                </c:pt>
                <c:pt idx="1178">
                  <c:v>31.2409998327587</c:v>
                </c:pt>
                <c:pt idx="1179">
                  <c:v>25.3434692400042</c:v>
                </c:pt>
                <c:pt idx="1180">
                  <c:v>25.911221887967098</c:v>
                </c:pt>
                <c:pt idx="1181">
                  <c:v>27.1183405545071</c:v>
                </c:pt>
                <c:pt idx="1182">
                  <c:v>29.9253570775093</c:v>
                </c:pt>
                <c:pt idx="1183">
                  <c:v>25.778365925501401</c:v>
                </c:pt>
                <c:pt idx="1184">
                  <c:v>28.400854897065699</c:v>
                </c:pt>
                <c:pt idx="1185">
                  <c:v>26.287205278298501</c:v>
                </c:pt>
                <c:pt idx="1186">
                  <c:v>25.353604687397102</c:v>
                </c:pt>
                <c:pt idx="1187">
                  <c:v>27.258646382752801</c:v>
                </c:pt>
                <c:pt idx="1188">
                  <c:v>28.571273545218499</c:v>
                </c:pt>
                <c:pt idx="1189">
                  <c:v>27.062717507304299</c:v>
                </c:pt>
                <c:pt idx="1190">
                  <c:v>30.581290440194199</c:v>
                </c:pt>
                <c:pt idx="1191">
                  <c:v>25.286452345028501</c:v>
                </c:pt>
                <c:pt idx="1192">
                  <c:v>29.5959524411948</c:v>
                </c:pt>
                <c:pt idx="1193">
                  <c:v>26.945405405556802</c:v>
                </c:pt>
                <c:pt idx="1194">
                  <c:v>28.074606984730099</c:v>
                </c:pt>
                <c:pt idx="1195">
                  <c:v>28.285329050559501</c:v>
                </c:pt>
                <c:pt idx="1196">
                  <c:v>25.235135895228801</c:v>
                </c:pt>
                <c:pt idx="1197">
                  <c:v>28.252564078488501</c:v>
                </c:pt>
                <c:pt idx="1198">
                  <c:v>28.414203735360001</c:v>
                </c:pt>
                <c:pt idx="1199">
                  <c:v>27.000964802279999</c:v>
                </c:pt>
                <c:pt idx="1200">
                  <c:v>26.3394723052565</c:v>
                </c:pt>
                <c:pt idx="1201">
                  <c:v>24.956054989711401</c:v>
                </c:pt>
                <c:pt idx="1202">
                  <c:v>27.5167611450285</c:v>
                </c:pt>
                <c:pt idx="1203">
                  <c:v>24.526126935360001</c:v>
                </c:pt>
                <c:pt idx="1204">
                  <c:v>26.139504002279899</c:v>
                </c:pt>
                <c:pt idx="1205">
                  <c:v>29.318899858112498</c:v>
                </c:pt>
                <c:pt idx="1206">
                  <c:v>25.625423267438698</c:v>
                </c:pt>
                <c:pt idx="1207">
                  <c:v>24.6168796974457</c:v>
                </c:pt>
                <c:pt idx="1208">
                  <c:v>24.585816739744601</c:v>
                </c:pt>
                <c:pt idx="1209">
                  <c:v>30.589519578730101</c:v>
                </c:pt>
                <c:pt idx="1210">
                  <c:v>25.6175440655126</c:v>
                </c:pt>
                <c:pt idx="1211">
                  <c:v>27.5840349545071</c:v>
                </c:pt>
                <c:pt idx="1212">
                  <c:v>24.976604687397099</c:v>
                </c:pt>
                <c:pt idx="1213">
                  <c:v>28.742467881090899</c:v>
                </c:pt>
                <c:pt idx="1214">
                  <c:v>26.440299588304399</c:v>
                </c:pt>
                <c:pt idx="1215">
                  <c:v>26.342973221237099</c:v>
                </c:pt>
                <c:pt idx="1216">
                  <c:v>25.503734459341398</c:v>
                </c:pt>
                <c:pt idx="1217">
                  <c:v>25.2563682368759</c:v>
                </c:pt>
                <c:pt idx="1218">
                  <c:v>27.333009754697098</c:v>
                </c:pt>
                <c:pt idx="1219">
                  <c:v>26.0210197493032</c:v>
                </c:pt>
                <c:pt idx="1220">
                  <c:v>25.016076706924199</c:v>
                </c:pt>
                <c:pt idx="1221">
                  <c:v>24.458768249292799</c:v>
                </c:pt>
                <c:pt idx="1222">
                  <c:v>27.1672402117585</c:v>
                </c:pt>
                <c:pt idx="1223">
                  <c:v>26.545629933653</c:v>
                </c:pt>
                <c:pt idx="1224">
                  <c:v>27.0128340764666</c:v>
                </c:pt>
                <c:pt idx="1225">
                  <c:v>27.9679231069242</c:v>
                </c:pt>
                <c:pt idx="1226">
                  <c:v>25.3433282751731</c:v>
                </c:pt>
                <c:pt idx="1227">
                  <c:v>26.5804106496728</c:v>
                </c:pt>
                <c:pt idx="1228">
                  <c:v>24.7918295260714</c:v>
                </c:pt>
                <c:pt idx="1229">
                  <c:v>27.4069225222885</c:v>
                </c:pt>
                <c:pt idx="1230">
                  <c:v>27.172409699656502</c:v>
                </c:pt>
                <c:pt idx="1231">
                  <c:v>27.547554173654198</c:v>
                </c:pt>
                <c:pt idx="1232">
                  <c:v>30.7488811372539</c:v>
                </c:pt>
                <c:pt idx="1233">
                  <c:v>24.539324058961402</c:v>
                </c:pt>
                <c:pt idx="1234">
                  <c:v>24.187280592421398</c:v>
                </c:pt>
                <c:pt idx="1235">
                  <c:v>24.149487852367901</c:v>
                </c:pt>
                <c:pt idx="1236">
                  <c:v>31.059945511852</c:v>
                </c:pt>
                <c:pt idx="1237">
                  <c:v>30.014015775285699</c:v>
                </c:pt>
                <c:pt idx="1238">
                  <c:v>27.39967586901</c:v>
                </c:pt>
                <c:pt idx="1239">
                  <c:v>27.108513941696899</c:v>
                </c:pt>
                <c:pt idx="1240">
                  <c:v>29.2808378309057</c:v>
                </c:pt>
                <c:pt idx="1241">
                  <c:v>25.346776471640599</c:v>
                </c:pt>
                <c:pt idx="1242">
                  <c:v>28.327059983132798</c:v>
                </c:pt>
                <c:pt idx="1243">
                  <c:v>26.5740851258814</c:v>
                </c:pt>
                <c:pt idx="1244">
                  <c:v>25.5583923258814</c:v>
                </c:pt>
                <c:pt idx="1245">
                  <c:v>25.473956736632601</c:v>
                </c:pt>
                <c:pt idx="1246">
                  <c:v>27.094432820667102</c:v>
                </c:pt>
                <c:pt idx="1247">
                  <c:v>26.550574201162998</c:v>
                </c:pt>
                <c:pt idx="1248">
                  <c:v>29.1821198881571</c:v>
                </c:pt>
                <c:pt idx="1249">
                  <c:v>24.288751063802099</c:v>
                </c:pt>
                <c:pt idx="1250">
                  <c:v>28.576462288157099</c:v>
                </c:pt>
                <c:pt idx="1251">
                  <c:v>27.605965985930698</c:v>
                </c:pt>
                <c:pt idx="1252">
                  <c:v>24.779374173274199</c:v>
                </c:pt>
                <c:pt idx="1253">
                  <c:v>29.000345647926299</c:v>
                </c:pt>
                <c:pt idx="1254">
                  <c:v>25.988400687777101</c:v>
                </c:pt>
                <c:pt idx="1255">
                  <c:v>25.048096933318899</c:v>
                </c:pt>
                <c:pt idx="1256">
                  <c:v>26.903128478298498</c:v>
                </c:pt>
                <c:pt idx="1257">
                  <c:v>27.4705376210471</c:v>
                </c:pt>
                <c:pt idx="1258">
                  <c:v>25.350533218690899</c:v>
                </c:pt>
                <c:pt idx="1259">
                  <c:v>22.2376491788051</c:v>
                </c:pt>
                <c:pt idx="1260">
                  <c:v>27.4808738432904</c:v>
                </c:pt>
                <c:pt idx="1261">
                  <c:v>36.175180954190402</c:v>
                </c:pt>
                <c:pt idx="1262">
                  <c:v>27.2460057433677</c:v>
                </c:pt>
                <c:pt idx="1263">
                  <c:v>26.721927712349501</c:v>
                </c:pt>
                <c:pt idx="1264">
                  <c:v>26.463907798036601</c:v>
                </c:pt>
                <c:pt idx="1265">
                  <c:v>25.125456455478002</c:v>
                </c:pt>
                <c:pt idx="1266">
                  <c:v>27.425668226218999</c:v>
                </c:pt>
                <c:pt idx="1267">
                  <c:v>25.316329579007199</c:v>
                </c:pt>
                <c:pt idx="1268">
                  <c:v>25.860258024196298</c:v>
                </c:pt>
                <c:pt idx="1269">
                  <c:v>30.085570493078698</c:v>
                </c:pt>
                <c:pt idx="1270">
                  <c:v>27.516804400162702</c:v>
                </c:pt>
                <c:pt idx="1271">
                  <c:v>26.813353654591399</c:v>
                </c:pt>
                <c:pt idx="1272">
                  <c:v>26.083465591596202</c:v>
                </c:pt>
                <c:pt idx="1273">
                  <c:v>29.851984092674599</c:v>
                </c:pt>
                <c:pt idx="1274">
                  <c:v>28.001790255414701</c:v>
                </c:pt>
                <c:pt idx="1275">
                  <c:v>27.858478969220901</c:v>
                </c:pt>
                <c:pt idx="1276">
                  <c:v>26.0002659721981</c:v>
                </c:pt>
                <c:pt idx="1277">
                  <c:v>24.614284528949899</c:v>
                </c:pt>
                <c:pt idx="1278">
                  <c:v>27.0026538833438</c:v>
                </c:pt>
                <c:pt idx="1279">
                  <c:v>25.215927819102902</c:v>
                </c:pt>
                <c:pt idx="1280">
                  <c:v>25.2237397937857</c:v>
                </c:pt>
                <c:pt idx="1281">
                  <c:v>27.246577169605999</c:v>
                </c:pt>
                <c:pt idx="1282">
                  <c:v>24.1277486887797</c:v>
                </c:pt>
                <c:pt idx="1283">
                  <c:v>26.186747432998299</c:v>
                </c:pt>
                <c:pt idx="1284">
                  <c:v>25.2229131692843</c:v>
                </c:pt>
                <c:pt idx="1285">
                  <c:v>28.139711426039899</c:v>
                </c:pt>
                <c:pt idx="1286">
                  <c:v>26.8843331580529</c:v>
                </c:pt>
                <c:pt idx="1287">
                  <c:v>28.914695226535699</c:v>
                </c:pt>
                <c:pt idx="1288">
                  <c:v>27.865127140595199</c:v>
                </c:pt>
                <c:pt idx="1289">
                  <c:v>27.4054977819854</c:v>
                </c:pt>
                <c:pt idx="1290">
                  <c:v>26.774016769410899</c:v>
                </c:pt>
                <c:pt idx="1291">
                  <c:v>26.831869940468501</c:v>
                </c:pt>
                <c:pt idx="1292">
                  <c:v>28.319666340595202</c:v>
                </c:pt>
                <c:pt idx="1293">
                  <c:v>27.720838169474199</c:v>
                </c:pt>
                <c:pt idx="1294">
                  <c:v>29.610454950460799</c:v>
                </c:pt>
                <c:pt idx="1295">
                  <c:v>27.73718799772</c:v>
                </c:pt>
                <c:pt idx="1296">
                  <c:v>28.484525483470399</c:v>
                </c:pt>
                <c:pt idx="1297">
                  <c:v>27.718196769157601</c:v>
                </c:pt>
                <c:pt idx="1298">
                  <c:v>30.71745670748</c:v>
                </c:pt>
                <c:pt idx="1299">
                  <c:v>24.923525283280402</c:v>
                </c:pt>
                <c:pt idx="1300">
                  <c:v>31.073541426345699</c:v>
                </c:pt>
                <c:pt idx="1301">
                  <c:v>28.558399123573299</c:v>
                </c:pt>
                <c:pt idx="1302">
                  <c:v>28.063446597656601</c:v>
                </c:pt>
                <c:pt idx="1303">
                  <c:v>29.446691486040599</c:v>
                </c:pt>
                <c:pt idx="1304">
                  <c:v>25.282222039265299</c:v>
                </c:pt>
                <c:pt idx="1305">
                  <c:v>26.1484402022074</c:v>
                </c:pt>
                <c:pt idx="1306">
                  <c:v>26.9883291775025</c:v>
                </c:pt>
                <c:pt idx="1307">
                  <c:v>27.376766404769601</c:v>
                </c:pt>
                <c:pt idx="1308">
                  <c:v>28.159607369094299</c:v>
                </c:pt>
                <c:pt idx="1309">
                  <c:v>28.809789232860499</c:v>
                </c:pt>
                <c:pt idx="1310">
                  <c:v>26.666860169600898</c:v>
                </c:pt>
                <c:pt idx="1311">
                  <c:v>26.462547414870599</c:v>
                </c:pt>
                <c:pt idx="1312">
                  <c:v>28.066069602225902</c:v>
                </c:pt>
                <c:pt idx="1313">
                  <c:v>32.1883453053469</c:v>
                </c:pt>
                <c:pt idx="1314">
                  <c:v>28.219061442386199</c:v>
                </c:pt>
                <c:pt idx="1315">
                  <c:v>27.1993311408485</c:v>
                </c:pt>
                <c:pt idx="1316">
                  <c:v>26.501239597593301</c:v>
                </c:pt>
                <c:pt idx="1317">
                  <c:v>24.6727023979733</c:v>
                </c:pt>
                <c:pt idx="1318">
                  <c:v>26.982986410526902</c:v>
                </c:pt>
                <c:pt idx="1319">
                  <c:v>26.063206058686799</c:v>
                </c:pt>
                <c:pt idx="1320">
                  <c:v>21.009713213267801</c:v>
                </c:pt>
                <c:pt idx="1321">
                  <c:v>27.000732485714799</c:v>
                </c:pt>
                <c:pt idx="1322">
                  <c:v>25.2731418838504</c:v>
                </c:pt>
                <c:pt idx="1323">
                  <c:v>24.8443209216931</c:v>
                </c:pt>
                <c:pt idx="1324">
                  <c:v>25.542587723630199</c:v>
                </c:pt>
                <c:pt idx="1325">
                  <c:v>27.634373688251902</c:v>
                </c:pt>
                <c:pt idx="1326">
                  <c:v>28.836430609789101</c:v>
                </c:pt>
                <c:pt idx="1327">
                  <c:v>25.527155425965699</c:v>
                </c:pt>
                <c:pt idx="1328">
                  <c:v>24.5596906763646</c:v>
                </c:pt>
                <c:pt idx="1329">
                  <c:v>30.076598597656599</c:v>
                </c:pt>
                <c:pt idx="1330">
                  <c:v>27.4563043672464</c:v>
                </c:pt>
                <c:pt idx="1331">
                  <c:v>24.291209803241301</c:v>
                </c:pt>
                <c:pt idx="1332">
                  <c:v>28.840927712349501</c:v>
                </c:pt>
                <c:pt idx="1333">
                  <c:v>26.022647112286101</c:v>
                </c:pt>
                <c:pt idx="1334">
                  <c:v>25.242468712539502</c:v>
                </c:pt>
                <c:pt idx="1335">
                  <c:v>28.690625197593299</c:v>
                </c:pt>
                <c:pt idx="1336">
                  <c:v>26.971929321689199</c:v>
                </c:pt>
                <c:pt idx="1337">
                  <c:v>28.464787578204501</c:v>
                </c:pt>
                <c:pt idx="1338">
                  <c:v>30.336058497255699</c:v>
                </c:pt>
                <c:pt idx="1339">
                  <c:v>25.589216278810898</c:v>
                </c:pt>
                <c:pt idx="1340">
                  <c:v>26.35425533555</c:v>
                </c:pt>
                <c:pt idx="1341">
                  <c:v>25.076282021237098</c:v>
                </c:pt>
                <c:pt idx="1342">
                  <c:v>23.927267515539601</c:v>
                </c:pt>
                <c:pt idx="1343">
                  <c:v>24.293579284950201</c:v>
                </c:pt>
                <c:pt idx="1344">
                  <c:v>26.605829583132799</c:v>
                </c:pt>
                <c:pt idx="1345">
                  <c:v>26.9099563833228</c:v>
                </c:pt>
                <c:pt idx="1346">
                  <c:v>25.714495697445699</c:v>
                </c:pt>
                <c:pt idx="1347">
                  <c:v>30.811042185235099</c:v>
                </c:pt>
                <c:pt idx="1348">
                  <c:v>24.349645715642801</c:v>
                </c:pt>
                <c:pt idx="1349">
                  <c:v>26.851597229493599</c:v>
                </c:pt>
                <c:pt idx="1350">
                  <c:v>26.347181127871501</c:v>
                </c:pt>
                <c:pt idx="1351">
                  <c:v>27.590283278868501</c:v>
                </c:pt>
                <c:pt idx="1352">
                  <c:v>24.483024128875901</c:v>
                </c:pt>
                <c:pt idx="1353">
                  <c:v>35.214783177468199</c:v>
                </c:pt>
                <c:pt idx="1354">
                  <c:v>28.144937100853799</c:v>
                </c:pt>
                <c:pt idx="1355">
                  <c:v>26.384240211758499</c:v>
                </c:pt>
                <c:pt idx="1356">
                  <c:v>24.9826058879671</c:v>
                </c:pt>
                <c:pt idx="1357">
                  <c:v>27.236223316782802</c:v>
                </c:pt>
                <c:pt idx="1358">
                  <c:v>30.9370620966857</c:v>
                </c:pt>
                <c:pt idx="1359">
                  <c:v>24.343364584718699</c:v>
                </c:pt>
                <c:pt idx="1360">
                  <c:v>27.8341830688037</c:v>
                </c:pt>
                <c:pt idx="1361">
                  <c:v>27.746043145218501</c:v>
                </c:pt>
                <c:pt idx="1362">
                  <c:v>30.653119169437499</c:v>
                </c:pt>
                <c:pt idx="1363">
                  <c:v>27.819592317049199</c:v>
                </c:pt>
                <c:pt idx="1364">
                  <c:v>27.3071701165928</c:v>
                </c:pt>
                <c:pt idx="1365">
                  <c:v>33.9123319380761</c:v>
                </c:pt>
                <c:pt idx="1366">
                  <c:v>29.658887620857101</c:v>
                </c:pt>
                <c:pt idx="1367">
                  <c:v>24.827529287682101</c:v>
                </c:pt>
                <c:pt idx="1368">
                  <c:v>32.108932857821401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BE-604A-835C-00C733CF7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769631"/>
        <c:axId val="495124735"/>
      </c:scatterChart>
      <c:valAx>
        <c:axId val="36376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Stand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95124735"/>
        <c:crosses val="autoZero"/>
        <c:crossBetween val="midCat"/>
      </c:valAx>
      <c:valAx>
        <c:axId val="49512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DBH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6376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Characteristics of Plots</a:t>
            </a:r>
            <a:r>
              <a:rPr lang="en-US" baseline="0"/>
              <a:t> at Year 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'1_Py3PG2Output'!$F$1</c:f>
              <c:strCache>
                <c:ptCount val="1"/>
                <c:pt idx="0">
                  <c:v> BasalArea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'1_Py3PG2Output'!$C$2:$C$1370</c:f>
              <c:numCache>
                <c:formatCode>General</c:formatCode>
                <c:ptCount val="1369"/>
                <c:pt idx="0">
                  <c:v>77.500000000000227</c:v>
                </c:pt>
                <c:pt idx="1">
                  <c:v>78.333333333333456</c:v>
                </c:pt>
                <c:pt idx="2">
                  <c:v>81.000000000000085</c:v>
                </c:pt>
                <c:pt idx="3">
                  <c:v>77.416666666666742</c:v>
                </c:pt>
                <c:pt idx="4">
                  <c:v>76.333333333333528</c:v>
                </c:pt>
                <c:pt idx="5">
                  <c:v>76.50000000000027</c:v>
                </c:pt>
                <c:pt idx="6">
                  <c:v>73.500000000000398</c:v>
                </c:pt>
                <c:pt idx="7">
                  <c:v>78.500000000000185</c:v>
                </c:pt>
                <c:pt idx="8">
                  <c:v>77.583333333333485</c:v>
                </c:pt>
                <c:pt idx="9">
                  <c:v>76.916666666666771</c:v>
                </c:pt>
                <c:pt idx="10">
                  <c:v>78.000000000000213</c:v>
                </c:pt>
                <c:pt idx="11">
                  <c:v>77.916666666666728</c:v>
                </c:pt>
                <c:pt idx="12">
                  <c:v>78.500000000000185</c:v>
                </c:pt>
                <c:pt idx="13">
                  <c:v>79.250000000000156</c:v>
                </c:pt>
                <c:pt idx="14">
                  <c:v>76.583333333333528</c:v>
                </c:pt>
                <c:pt idx="15">
                  <c:v>78.333333333333456</c:v>
                </c:pt>
                <c:pt idx="16">
                  <c:v>76.333333333333528</c:v>
                </c:pt>
                <c:pt idx="17">
                  <c:v>77.000000000000256</c:v>
                </c:pt>
                <c:pt idx="18">
                  <c:v>76.916666666666771</c:v>
                </c:pt>
                <c:pt idx="19">
                  <c:v>76.50000000000027</c:v>
                </c:pt>
                <c:pt idx="20">
                  <c:v>76.333333333333528</c:v>
                </c:pt>
                <c:pt idx="21">
                  <c:v>76.50000000000027</c:v>
                </c:pt>
                <c:pt idx="22">
                  <c:v>77.083333333333499</c:v>
                </c:pt>
                <c:pt idx="23">
                  <c:v>76.916666666666771</c:v>
                </c:pt>
                <c:pt idx="24">
                  <c:v>75.916666666666814</c:v>
                </c:pt>
                <c:pt idx="25">
                  <c:v>76.916666666666771</c:v>
                </c:pt>
                <c:pt idx="26">
                  <c:v>76.50000000000027</c:v>
                </c:pt>
                <c:pt idx="27">
                  <c:v>77.166666666666757</c:v>
                </c:pt>
                <c:pt idx="28">
                  <c:v>76.50000000000027</c:v>
                </c:pt>
                <c:pt idx="29">
                  <c:v>77.333333333333499</c:v>
                </c:pt>
                <c:pt idx="30">
                  <c:v>76.333333333333528</c:v>
                </c:pt>
                <c:pt idx="31">
                  <c:v>74.41666666666687</c:v>
                </c:pt>
                <c:pt idx="32">
                  <c:v>78.4166666666667</c:v>
                </c:pt>
                <c:pt idx="33">
                  <c:v>75.916666666666814</c:v>
                </c:pt>
                <c:pt idx="34">
                  <c:v>77.000000000000256</c:v>
                </c:pt>
                <c:pt idx="35">
                  <c:v>74.583333333333613</c:v>
                </c:pt>
                <c:pt idx="36">
                  <c:v>78.4166666666667</c:v>
                </c:pt>
                <c:pt idx="37">
                  <c:v>76.666666666666771</c:v>
                </c:pt>
                <c:pt idx="38">
                  <c:v>77.416666666666742</c:v>
                </c:pt>
                <c:pt idx="39">
                  <c:v>76.666666666666771</c:v>
                </c:pt>
                <c:pt idx="40">
                  <c:v>78.333333333333456</c:v>
                </c:pt>
                <c:pt idx="41">
                  <c:v>77.583333333333485</c:v>
                </c:pt>
                <c:pt idx="42">
                  <c:v>77.500000000000227</c:v>
                </c:pt>
                <c:pt idx="43">
                  <c:v>75.416666666666828</c:v>
                </c:pt>
                <c:pt idx="44">
                  <c:v>78.166666666666714</c:v>
                </c:pt>
                <c:pt idx="45">
                  <c:v>77.916666666666728</c:v>
                </c:pt>
                <c:pt idx="46">
                  <c:v>80.083333333333371</c:v>
                </c:pt>
                <c:pt idx="47">
                  <c:v>76.916666666666771</c:v>
                </c:pt>
                <c:pt idx="48">
                  <c:v>77.500000000000227</c:v>
                </c:pt>
                <c:pt idx="49">
                  <c:v>75.000000000000341</c:v>
                </c:pt>
                <c:pt idx="50">
                  <c:v>76.666666666666771</c:v>
                </c:pt>
                <c:pt idx="51">
                  <c:v>75.250000000000327</c:v>
                </c:pt>
                <c:pt idx="52">
                  <c:v>78.000000000000213</c:v>
                </c:pt>
                <c:pt idx="53">
                  <c:v>78.166666666666714</c:v>
                </c:pt>
                <c:pt idx="54">
                  <c:v>77.333333333333499</c:v>
                </c:pt>
                <c:pt idx="55">
                  <c:v>76.250000000000284</c:v>
                </c:pt>
                <c:pt idx="56">
                  <c:v>76.50000000000027</c:v>
                </c:pt>
                <c:pt idx="57">
                  <c:v>78.083333333333456</c:v>
                </c:pt>
                <c:pt idx="58">
                  <c:v>76.000000000000298</c:v>
                </c:pt>
                <c:pt idx="59">
                  <c:v>76.416666666666785</c:v>
                </c:pt>
                <c:pt idx="60">
                  <c:v>77.166666666666757</c:v>
                </c:pt>
                <c:pt idx="61">
                  <c:v>75.500000000000313</c:v>
                </c:pt>
                <c:pt idx="62">
                  <c:v>77.250000000000242</c:v>
                </c:pt>
                <c:pt idx="63">
                  <c:v>79.083333333333414</c:v>
                </c:pt>
                <c:pt idx="64">
                  <c:v>78.250000000000199</c:v>
                </c:pt>
                <c:pt idx="65">
                  <c:v>77.333333333333499</c:v>
                </c:pt>
                <c:pt idx="66">
                  <c:v>75.666666666666814</c:v>
                </c:pt>
                <c:pt idx="67">
                  <c:v>76.583333333333528</c:v>
                </c:pt>
                <c:pt idx="68">
                  <c:v>75.083333333333584</c:v>
                </c:pt>
                <c:pt idx="69">
                  <c:v>77.583333333333485</c:v>
                </c:pt>
                <c:pt idx="70">
                  <c:v>78.250000000000199</c:v>
                </c:pt>
                <c:pt idx="71">
                  <c:v>77.416666666666742</c:v>
                </c:pt>
                <c:pt idx="72">
                  <c:v>75.58333333333357</c:v>
                </c:pt>
                <c:pt idx="73">
                  <c:v>78.250000000000199</c:v>
                </c:pt>
                <c:pt idx="74">
                  <c:v>78.4166666666667</c:v>
                </c:pt>
                <c:pt idx="75">
                  <c:v>77.166666666666757</c:v>
                </c:pt>
                <c:pt idx="76">
                  <c:v>77.000000000000256</c:v>
                </c:pt>
                <c:pt idx="77">
                  <c:v>75.916666666666814</c:v>
                </c:pt>
                <c:pt idx="78">
                  <c:v>74.916666666666856</c:v>
                </c:pt>
                <c:pt idx="79">
                  <c:v>79.250000000000156</c:v>
                </c:pt>
                <c:pt idx="80">
                  <c:v>80.166666666666629</c:v>
                </c:pt>
                <c:pt idx="81">
                  <c:v>77.500000000000227</c:v>
                </c:pt>
                <c:pt idx="82">
                  <c:v>78.916666666666686</c:v>
                </c:pt>
                <c:pt idx="83">
                  <c:v>76.333333333333528</c:v>
                </c:pt>
                <c:pt idx="84">
                  <c:v>79.000000000000171</c:v>
                </c:pt>
                <c:pt idx="85">
                  <c:v>75.33333333333357</c:v>
                </c:pt>
                <c:pt idx="86">
                  <c:v>76.416666666666785</c:v>
                </c:pt>
                <c:pt idx="87">
                  <c:v>77.250000000000242</c:v>
                </c:pt>
                <c:pt idx="88">
                  <c:v>78.666666666666686</c:v>
                </c:pt>
                <c:pt idx="89">
                  <c:v>77.000000000000256</c:v>
                </c:pt>
                <c:pt idx="90">
                  <c:v>76.333333333333528</c:v>
                </c:pt>
                <c:pt idx="91">
                  <c:v>79.333333333333414</c:v>
                </c:pt>
                <c:pt idx="92">
                  <c:v>79.083333333333414</c:v>
                </c:pt>
                <c:pt idx="93">
                  <c:v>78.4166666666667</c:v>
                </c:pt>
                <c:pt idx="94">
                  <c:v>80.083333333333371</c:v>
                </c:pt>
                <c:pt idx="95">
                  <c:v>76.250000000000284</c:v>
                </c:pt>
                <c:pt idx="96">
                  <c:v>76.50000000000027</c:v>
                </c:pt>
                <c:pt idx="97">
                  <c:v>77.416666666666742</c:v>
                </c:pt>
                <c:pt idx="98">
                  <c:v>78.000000000000213</c:v>
                </c:pt>
                <c:pt idx="99">
                  <c:v>76.166666666666799</c:v>
                </c:pt>
                <c:pt idx="100">
                  <c:v>77.333333333333499</c:v>
                </c:pt>
                <c:pt idx="101">
                  <c:v>78.666666666666686</c:v>
                </c:pt>
                <c:pt idx="102">
                  <c:v>75.666666666666814</c:v>
                </c:pt>
                <c:pt idx="103">
                  <c:v>76.166666666666799</c:v>
                </c:pt>
                <c:pt idx="104">
                  <c:v>76.50000000000027</c:v>
                </c:pt>
                <c:pt idx="105">
                  <c:v>77.416666666666742</c:v>
                </c:pt>
                <c:pt idx="106">
                  <c:v>78.166666666666714</c:v>
                </c:pt>
                <c:pt idx="107">
                  <c:v>77.250000000000242</c:v>
                </c:pt>
                <c:pt idx="108">
                  <c:v>77.333333333333499</c:v>
                </c:pt>
                <c:pt idx="109">
                  <c:v>75.916666666666814</c:v>
                </c:pt>
                <c:pt idx="110">
                  <c:v>75.166666666666842</c:v>
                </c:pt>
                <c:pt idx="111">
                  <c:v>74.250000000000369</c:v>
                </c:pt>
                <c:pt idx="112">
                  <c:v>78.083333333333456</c:v>
                </c:pt>
                <c:pt idx="113">
                  <c:v>76.666666666666771</c:v>
                </c:pt>
                <c:pt idx="114">
                  <c:v>79.166666666666671</c:v>
                </c:pt>
                <c:pt idx="115">
                  <c:v>77.916666666666728</c:v>
                </c:pt>
                <c:pt idx="116">
                  <c:v>76.333333333333528</c:v>
                </c:pt>
                <c:pt idx="117">
                  <c:v>77.250000000000242</c:v>
                </c:pt>
                <c:pt idx="118">
                  <c:v>79.000000000000171</c:v>
                </c:pt>
                <c:pt idx="119">
                  <c:v>78.000000000000213</c:v>
                </c:pt>
                <c:pt idx="120">
                  <c:v>77.083333333333499</c:v>
                </c:pt>
                <c:pt idx="121">
                  <c:v>78.916666666666686</c:v>
                </c:pt>
                <c:pt idx="122">
                  <c:v>77.500000000000227</c:v>
                </c:pt>
                <c:pt idx="123">
                  <c:v>80.583333333333357</c:v>
                </c:pt>
                <c:pt idx="124">
                  <c:v>74.666666666666856</c:v>
                </c:pt>
                <c:pt idx="125">
                  <c:v>74.41666666666687</c:v>
                </c:pt>
                <c:pt idx="126">
                  <c:v>76.666666666666771</c:v>
                </c:pt>
                <c:pt idx="127">
                  <c:v>78.250000000000199</c:v>
                </c:pt>
                <c:pt idx="128">
                  <c:v>77.166666666666757</c:v>
                </c:pt>
                <c:pt idx="129">
                  <c:v>75.416666666666828</c:v>
                </c:pt>
                <c:pt idx="130">
                  <c:v>77.000000000000256</c:v>
                </c:pt>
                <c:pt idx="131">
                  <c:v>75.58333333333357</c:v>
                </c:pt>
                <c:pt idx="132">
                  <c:v>75.250000000000327</c:v>
                </c:pt>
                <c:pt idx="133">
                  <c:v>74.41666666666687</c:v>
                </c:pt>
                <c:pt idx="134">
                  <c:v>77.333333333333499</c:v>
                </c:pt>
                <c:pt idx="135">
                  <c:v>76.583333333333528</c:v>
                </c:pt>
                <c:pt idx="136">
                  <c:v>79.000000000000171</c:v>
                </c:pt>
                <c:pt idx="137">
                  <c:v>77.333333333333499</c:v>
                </c:pt>
                <c:pt idx="138">
                  <c:v>77.416666666666742</c:v>
                </c:pt>
                <c:pt idx="139">
                  <c:v>75.916666666666814</c:v>
                </c:pt>
                <c:pt idx="140">
                  <c:v>76.583333333333528</c:v>
                </c:pt>
                <c:pt idx="141">
                  <c:v>77.916666666666728</c:v>
                </c:pt>
                <c:pt idx="142">
                  <c:v>76.416666666666785</c:v>
                </c:pt>
                <c:pt idx="143">
                  <c:v>76.333333333333528</c:v>
                </c:pt>
                <c:pt idx="144">
                  <c:v>79.916666666666643</c:v>
                </c:pt>
                <c:pt idx="145">
                  <c:v>78.250000000000199</c:v>
                </c:pt>
                <c:pt idx="146">
                  <c:v>77.083333333333499</c:v>
                </c:pt>
                <c:pt idx="147">
                  <c:v>76.333333333333528</c:v>
                </c:pt>
                <c:pt idx="148">
                  <c:v>76.083333333333542</c:v>
                </c:pt>
                <c:pt idx="149">
                  <c:v>79.5833333333334</c:v>
                </c:pt>
                <c:pt idx="150">
                  <c:v>76.166666666666799</c:v>
                </c:pt>
                <c:pt idx="151">
                  <c:v>77.333333333333499</c:v>
                </c:pt>
                <c:pt idx="152">
                  <c:v>77.500000000000227</c:v>
                </c:pt>
                <c:pt idx="153">
                  <c:v>77.500000000000227</c:v>
                </c:pt>
                <c:pt idx="154">
                  <c:v>74.41666666666687</c:v>
                </c:pt>
                <c:pt idx="155">
                  <c:v>78.4166666666667</c:v>
                </c:pt>
                <c:pt idx="156">
                  <c:v>76.583333333333528</c:v>
                </c:pt>
                <c:pt idx="157">
                  <c:v>75.916666666666814</c:v>
                </c:pt>
                <c:pt idx="158">
                  <c:v>75.500000000000313</c:v>
                </c:pt>
                <c:pt idx="159">
                  <c:v>77.416666666666742</c:v>
                </c:pt>
                <c:pt idx="160">
                  <c:v>76.000000000000298</c:v>
                </c:pt>
                <c:pt idx="161">
                  <c:v>77.250000000000242</c:v>
                </c:pt>
                <c:pt idx="162">
                  <c:v>78.083333333333456</c:v>
                </c:pt>
                <c:pt idx="163">
                  <c:v>77.000000000000256</c:v>
                </c:pt>
                <c:pt idx="164">
                  <c:v>77.083333333333499</c:v>
                </c:pt>
                <c:pt idx="165">
                  <c:v>78.333333333333456</c:v>
                </c:pt>
                <c:pt idx="166">
                  <c:v>79.5833333333334</c:v>
                </c:pt>
                <c:pt idx="167">
                  <c:v>78.666666666666686</c:v>
                </c:pt>
                <c:pt idx="168">
                  <c:v>79.250000000000156</c:v>
                </c:pt>
                <c:pt idx="169">
                  <c:v>76.583333333333528</c:v>
                </c:pt>
                <c:pt idx="170">
                  <c:v>77.166666666666757</c:v>
                </c:pt>
                <c:pt idx="171">
                  <c:v>75.916666666666814</c:v>
                </c:pt>
                <c:pt idx="172">
                  <c:v>77.416666666666742</c:v>
                </c:pt>
                <c:pt idx="173">
                  <c:v>75.666666666666814</c:v>
                </c:pt>
                <c:pt idx="174">
                  <c:v>79.5833333333334</c:v>
                </c:pt>
                <c:pt idx="175">
                  <c:v>77.583333333333485</c:v>
                </c:pt>
                <c:pt idx="176">
                  <c:v>77.083333333333499</c:v>
                </c:pt>
                <c:pt idx="177">
                  <c:v>75.500000000000313</c:v>
                </c:pt>
                <c:pt idx="178">
                  <c:v>77.666666666666728</c:v>
                </c:pt>
                <c:pt idx="179">
                  <c:v>77.416666666666742</c:v>
                </c:pt>
                <c:pt idx="180">
                  <c:v>76.333333333333528</c:v>
                </c:pt>
                <c:pt idx="181">
                  <c:v>77.333333333333499</c:v>
                </c:pt>
                <c:pt idx="182">
                  <c:v>74.666666666666856</c:v>
                </c:pt>
                <c:pt idx="183">
                  <c:v>75.33333333333357</c:v>
                </c:pt>
                <c:pt idx="184">
                  <c:v>77.083333333333499</c:v>
                </c:pt>
                <c:pt idx="185">
                  <c:v>75.58333333333357</c:v>
                </c:pt>
                <c:pt idx="186">
                  <c:v>75.33333333333357</c:v>
                </c:pt>
                <c:pt idx="187">
                  <c:v>75.416666666666828</c:v>
                </c:pt>
                <c:pt idx="188">
                  <c:v>79.250000000000156</c:v>
                </c:pt>
                <c:pt idx="189">
                  <c:v>79.000000000000171</c:v>
                </c:pt>
                <c:pt idx="190">
                  <c:v>77.083333333333499</c:v>
                </c:pt>
                <c:pt idx="191">
                  <c:v>78.083333333333456</c:v>
                </c:pt>
                <c:pt idx="192">
                  <c:v>79.250000000000156</c:v>
                </c:pt>
                <c:pt idx="193">
                  <c:v>76.250000000000284</c:v>
                </c:pt>
                <c:pt idx="194">
                  <c:v>79.000000000000171</c:v>
                </c:pt>
                <c:pt idx="195">
                  <c:v>77.500000000000227</c:v>
                </c:pt>
                <c:pt idx="196">
                  <c:v>75.416666666666828</c:v>
                </c:pt>
                <c:pt idx="197">
                  <c:v>77.250000000000242</c:v>
                </c:pt>
                <c:pt idx="198">
                  <c:v>76.000000000000298</c:v>
                </c:pt>
                <c:pt idx="199">
                  <c:v>78.333333333333456</c:v>
                </c:pt>
                <c:pt idx="200">
                  <c:v>77.333333333333499</c:v>
                </c:pt>
                <c:pt idx="201">
                  <c:v>76.666666666666771</c:v>
                </c:pt>
                <c:pt idx="202">
                  <c:v>79.166666666666671</c:v>
                </c:pt>
                <c:pt idx="203">
                  <c:v>77.083333333333499</c:v>
                </c:pt>
                <c:pt idx="204">
                  <c:v>76.666666666666771</c:v>
                </c:pt>
                <c:pt idx="205">
                  <c:v>79.416666666666657</c:v>
                </c:pt>
                <c:pt idx="206">
                  <c:v>77.916666666666728</c:v>
                </c:pt>
                <c:pt idx="207">
                  <c:v>76.50000000000027</c:v>
                </c:pt>
                <c:pt idx="208">
                  <c:v>76.50000000000027</c:v>
                </c:pt>
                <c:pt idx="209">
                  <c:v>77.166666666666757</c:v>
                </c:pt>
                <c:pt idx="210">
                  <c:v>76.083333333333542</c:v>
                </c:pt>
                <c:pt idx="211">
                  <c:v>77.500000000000227</c:v>
                </c:pt>
                <c:pt idx="212">
                  <c:v>78.333333333333456</c:v>
                </c:pt>
                <c:pt idx="213">
                  <c:v>77.166666666666757</c:v>
                </c:pt>
                <c:pt idx="214">
                  <c:v>78.166666666666714</c:v>
                </c:pt>
                <c:pt idx="215">
                  <c:v>79.000000000000171</c:v>
                </c:pt>
                <c:pt idx="216">
                  <c:v>76.166666666666799</c:v>
                </c:pt>
                <c:pt idx="217">
                  <c:v>74.666666666666856</c:v>
                </c:pt>
                <c:pt idx="218">
                  <c:v>76.916666666666771</c:v>
                </c:pt>
                <c:pt idx="219">
                  <c:v>79.666666666666643</c:v>
                </c:pt>
                <c:pt idx="220">
                  <c:v>77.166666666666757</c:v>
                </c:pt>
                <c:pt idx="221">
                  <c:v>76.916666666666771</c:v>
                </c:pt>
                <c:pt idx="222">
                  <c:v>79.416666666666657</c:v>
                </c:pt>
                <c:pt idx="223">
                  <c:v>78.000000000000213</c:v>
                </c:pt>
                <c:pt idx="224">
                  <c:v>76.50000000000027</c:v>
                </c:pt>
                <c:pt idx="225">
                  <c:v>77.416666666666742</c:v>
                </c:pt>
                <c:pt idx="226">
                  <c:v>79.000000000000171</c:v>
                </c:pt>
                <c:pt idx="227">
                  <c:v>76.916666666666771</c:v>
                </c:pt>
                <c:pt idx="228">
                  <c:v>76.083333333333542</c:v>
                </c:pt>
                <c:pt idx="229">
                  <c:v>77.083333333333499</c:v>
                </c:pt>
                <c:pt idx="230">
                  <c:v>75.500000000000313</c:v>
                </c:pt>
                <c:pt idx="231">
                  <c:v>78.166666666666714</c:v>
                </c:pt>
                <c:pt idx="232">
                  <c:v>77.500000000000227</c:v>
                </c:pt>
                <c:pt idx="233">
                  <c:v>78.333333333333456</c:v>
                </c:pt>
                <c:pt idx="234">
                  <c:v>76.416666666666785</c:v>
                </c:pt>
                <c:pt idx="235">
                  <c:v>78.583333333333442</c:v>
                </c:pt>
                <c:pt idx="236">
                  <c:v>76.250000000000284</c:v>
                </c:pt>
                <c:pt idx="237">
                  <c:v>77.916666666666728</c:v>
                </c:pt>
                <c:pt idx="238">
                  <c:v>79.500000000000142</c:v>
                </c:pt>
                <c:pt idx="239">
                  <c:v>78.666666666666686</c:v>
                </c:pt>
                <c:pt idx="240">
                  <c:v>75.58333333333357</c:v>
                </c:pt>
                <c:pt idx="241">
                  <c:v>80.9166666666666</c:v>
                </c:pt>
                <c:pt idx="242">
                  <c:v>76.000000000000298</c:v>
                </c:pt>
                <c:pt idx="243">
                  <c:v>76.916666666666771</c:v>
                </c:pt>
                <c:pt idx="244">
                  <c:v>78.000000000000213</c:v>
                </c:pt>
                <c:pt idx="245">
                  <c:v>74.166666666666885</c:v>
                </c:pt>
                <c:pt idx="246">
                  <c:v>76.000000000000298</c:v>
                </c:pt>
                <c:pt idx="247">
                  <c:v>76.250000000000284</c:v>
                </c:pt>
                <c:pt idx="248">
                  <c:v>76.916666666666771</c:v>
                </c:pt>
                <c:pt idx="249">
                  <c:v>79.250000000000156</c:v>
                </c:pt>
                <c:pt idx="250">
                  <c:v>76.583333333333528</c:v>
                </c:pt>
                <c:pt idx="251">
                  <c:v>75.166666666666842</c:v>
                </c:pt>
                <c:pt idx="252">
                  <c:v>79.000000000000171</c:v>
                </c:pt>
                <c:pt idx="253">
                  <c:v>77.416666666666742</c:v>
                </c:pt>
                <c:pt idx="254">
                  <c:v>78.583333333333442</c:v>
                </c:pt>
                <c:pt idx="255">
                  <c:v>80.000000000000128</c:v>
                </c:pt>
                <c:pt idx="256">
                  <c:v>75.083333333333584</c:v>
                </c:pt>
                <c:pt idx="257">
                  <c:v>80.083333333333371</c:v>
                </c:pt>
                <c:pt idx="258">
                  <c:v>77.250000000000242</c:v>
                </c:pt>
                <c:pt idx="259">
                  <c:v>75.500000000000313</c:v>
                </c:pt>
                <c:pt idx="260">
                  <c:v>81.000000000000085</c:v>
                </c:pt>
                <c:pt idx="261">
                  <c:v>77.166666666666757</c:v>
                </c:pt>
                <c:pt idx="262">
                  <c:v>76.250000000000284</c:v>
                </c:pt>
                <c:pt idx="263">
                  <c:v>77.166666666666757</c:v>
                </c:pt>
                <c:pt idx="264">
                  <c:v>75.33333333333357</c:v>
                </c:pt>
                <c:pt idx="265">
                  <c:v>78.916666666666686</c:v>
                </c:pt>
                <c:pt idx="266">
                  <c:v>76.50000000000027</c:v>
                </c:pt>
                <c:pt idx="267">
                  <c:v>80.333333333333371</c:v>
                </c:pt>
                <c:pt idx="268">
                  <c:v>75.166666666666842</c:v>
                </c:pt>
                <c:pt idx="269">
                  <c:v>77.916666666666728</c:v>
                </c:pt>
                <c:pt idx="270">
                  <c:v>78.333333333333456</c:v>
                </c:pt>
                <c:pt idx="271">
                  <c:v>77.500000000000227</c:v>
                </c:pt>
                <c:pt idx="272">
                  <c:v>79.000000000000171</c:v>
                </c:pt>
                <c:pt idx="273">
                  <c:v>79.250000000000156</c:v>
                </c:pt>
                <c:pt idx="274">
                  <c:v>74.500000000000355</c:v>
                </c:pt>
                <c:pt idx="275">
                  <c:v>79.166666666666671</c:v>
                </c:pt>
                <c:pt idx="276">
                  <c:v>77.166666666666757</c:v>
                </c:pt>
                <c:pt idx="277">
                  <c:v>74.666666666666856</c:v>
                </c:pt>
                <c:pt idx="278">
                  <c:v>75.58333333333357</c:v>
                </c:pt>
                <c:pt idx="279">
                  <c:v>79.333333333333414</c:v>
                </c:pt>
                <c:pt idx="280">
                  <c:v>77.250000000000242</c:v>
                </c:pt>
                <c:pt idx="281">
                  <c:v>80.416666666666615</c:v>
                </c:pt>
                <c:pt idx="282">
                  <c:v>78.333333333333456</c:v>
                </c:pt>
                <c:pt idx="283">
                  <c:v>81.416666666666572</c:v>
                </c:pt>
                <c:pt idx="284">
                  <c:v>70.416666666667041</c:v>
                </c:pt>
                <c:pt idx="285">
                  <c:v>72.083333333333712</c:v>
                </c:pt>
                <c:pt idx="286">
                  <c:v>82.083333333333286</c:v>
                </c:pt>
                <c:pt idx="287">
                  <c:v>74.666666666666856</c:v>
                </c:pt>
                <c:pt idx="288">
                  <c:v>76.416666666666785</c:v>
                </c:pt>
                <c:pt idx="289">
                  <c:v>76.666666666666771</c:v>
                </c:pt>
                <c:pt idx="290">
                  <c:v>75.33333333333357</c:v>
                </c:pt>
                <c:pt idx="291">
                  <c:v>76.916666666666771</c:v>
                </c:pt>
                <c:pt idx="292">
                  <c:v>75.166666666666842</c:v>
                </c:pt>
                <c:pt idx="293">
                  <c:v>78.333333333333456</c:v>
                </c:pt>
                <c:pt idx="294">
                  <c:v>78.916666666666686</c:v>
                </c:pt>
                <c:pt idx="295">
                  <c:v>78.666666666666686</c:v>
                </c:pt>
                <c:pt idx="296">
                  <c:v>76.916666666666771</c:v>
                </c:pt>
                <c:pt idx="297">
                  <c:v>76.166666666666799</c:v>
                </c:pt>
                <c:pt idx="298">
                  <c:v>80.333333333333371</c:v>
                </c:pt>
                <c:pt idx="299">
                  <c:v>79.916666666666643</c:v>
                </c:pt>
                <c:pt idx="300">
                  <c:v>76.50000000000027</c:v>
                </c:pt>
                <c:pt idx="301">
                  <c:v>76.250000000000284</c:v>
                </c:pt>
                <c:pt idx="302">
                  <c:v>80.500000000000099</c:v>
                </c:pt>
                <c:pt idx="303">
                  <c:v>77.000000000000256</c:v>
                </c:pt>
                <c:pt idx="304">
                  <c:v>77.916666666666728</c:v>
                </c:pt>
                <c:pt idx="305">
                  <c:v>78.250000000000199</c:v>
                </c:pt>
                <c:pt idx="306">
                  <c:v>76.000000000000298</c:v>
                </c:pt>
                <c:pt idx="307">
                  <c:v>76.333333333333528</c:v>
                </c:pt>
                <c:pt idx="308">
                  <c:v>77.083333333333499</c:v>
                </c:pt>
                <c:pt idx="309">
                  <c:v>76.000000000000298</c:v>
                </c:pt>
                <c:pt idx="310">
                  <c:v>77.666666666666728</c:v>
                </c:pt>
                <c:pt idx="311">
                  <c:v>76.000000000000298</c:v>
                </c:pt>
                <c:pt idx="312">
                  <c:v>76.50000000000027</c:v>
                </c:pt>
                <c:pt idx="313">
                  <c:v>76.50000000000027</c:v>
                </c:pt>
                <c:pt idx="314">
                  <c:v>76.250000000000284</c:v>
                </c:pt>
                <c:pt idx="315">
                  <c:v>77.500000000000227</c:v>
                </c:pt>
                <c:pt idx="316">
                  <c:v>77.166666666666757</c:v>
                </c:pt>
                <c:pt idx="317">
                  <c:v>78.166666666666714</c:v>
                </c:pt>
                <c:pt idx="318">
                  <c:v>83.666666666666401</c:v>
                </c:pt>
                <c:pt idx="319">
                  <c:v>79.250000000000156</c:v>
                </c:pt>
                <c:pt idx="320">
                  <c:v>77.333333333333499</c:v>
                </c:pt>
                <c:pt idx="321">
                  <c:v>77.083333333333499</c:v>
                </c:pt>
                <c:pt idx="322">
                  <c:v>78.166666666666714</c:v>
                </c:pt>
                <c:pt idx="323">
                  <c:v>76.583333333333528</c:v>
                </c:pt>
                <c:pt idx="324">
                  <c:v>75.916666666666814</c:v>
                </c:pt>
                <c:pt idx="325">
                  <c:v>75.250000000000327</c:v>
                </c:pt>
                <c:pt idx="326">
                  <c:v>77.250000000000242</c:v>
                </c:pt>
                <c:pt idx="327">
                  <c:v>76.250000000000284</c:v>
                </c:pt>
                <c:pt idx="328">
                  <c:v>77.083333333333499</c:v>
                </c:pt>
                <c:pt idx="329">
                  <c:v>80.9166666666666</c:v>
                </c:pt>
                <c:pt idx="330">
                  <c:v>75.166666666666842</c:v>
                </c:pt>
                <c:pt idx="331">
                  <c:v>75.33333333333357</c:v>
                </c:pt>
                <c:pt idx="332">
                  <c:v>77.333333333333499</c:v>
                </c:pt>
                <c:pt idx="333">
                  <c:v>77.000000000000256</c:v>
                </c:pt>
                <c:pt idx="334">
                  <c:v>77.416666666666742</c:v>
                </c:pt>
                <c:pt idx="335">
                  <c:v>78.666666666666686</c:v>
                </c:pt>
                <c:pt idx="336">
                  <c:v>80.000000000000128</c:v>
                </c:pt>
                <c:pt idx="337">
                  <c:v>77.500000000000227</c:v>
                </c:pt>
                <c:pt idx="338">
                  <c:v>75.000000000000341</c:v>
                </c:pt>
                <c:pt idx="339">
                  <c:v>74.166666666666885</c:v>
                </c:pt>
                <c:pt idx="340">
                  <c:v>74.666666666666856</c:v>
                </c:pt>
                <c:pt idx="341">
                  <c:v>78.000000000000213</c:v>
                </c:pt>
                <c:pt idx="342">
                  <c:v>78.4166666666667</c:v>
                </c:pt>
                <c:pt idx="343">
                  <c:v>75.58333333333357</c:v>
                </c:pt>
                <c:pt idx="344">
                  <c:v>78.666666666666686</c:v>
                </c:pt>
                <c:pt idx="345">
                  <c:v>78.666666666666686</c:v>
                </c:pt>
                <c:pt idx="346">
                  <c:v>78.500000000000185</c:v>
                </c:pt>
                <c:pt idx="347">
                  <c:v>77.083333333333499</c:v>
                </c:pt>
                <c:pt idx="348">
                  <c:v>75.33333333333357</c:v>
                </c:pt>
                <c:pt idx="349">
                  <c:v>77.083333333333499</c:v>
                </c:pt>
                <c:pt idx="350">
                  <c:v>77.416666666666742</c:v>
                </c:pt>
                <c:pt idx="351">
                  <c:v>75.916666666666814</c:v>
                </c:pt>
                <c:pt idx="352">
                  <c:v>76.000000000000298</c:v>
                </c:pt>
                <c:pt idx="353">
                  <c:v>78.500000000000185</c:v>
                </c:pt>
                <c:pt idx="354">
                  <c:v>76.416666666666785</c:v>
                </c:pt>
                <c:pt idx="355">
                  <c:v>78.000000000000213</c:v>
                </c:pt>
                <c:pt idx="356">
                  <c:v>79.000000000000171</c:v>
                </c:pt>
                <c:pt idx="357">
                  <c:v>77.000000000000256</c:v>
                </c:pt>
                <c:pt idx="358">
                  <c:v>78.916666666666686</c:v>
                </c:pt>
                <c:pt idx="359">
                  <c:v>78.083333333333456</c:v>
                </c:pt>
                <c:pt idx="360">
                  <c:v>77.583333333333485</c:v>
                </c:pt>
                <c:pt idx="361">
                  <c:v>76.916666666666771</c:v>
                </c:pt>
                <c:pt idx="362">
                  <c:v>78.4166666666667</c:v>
                </c:pt>
                <c:pt idx="363">
                  <c:v>76.50000000000027</c:v>
                </c:pt>
                <c:pt idx="364">
                  <c:v>77.250000000000242</c:v>
                </c:pt>
                <c:pt idx="365">
                  <c:v>76.333333333333528</c:v>
                </c:pt>
                <c:pt idx="366">
                  <c:v>77.166666666666757</c:v>
                </c:pt>
                <c:pt idx="367">
                  <c:v>76.000000000000298</c:v>
                </c:pt>
                <c:pt idx="368">
                  <c:v>75.666666666666814</c:v>
                </c:pt>
                <c:pt idx="369">
                  <c:v>76.250000000000284</c:v>
                </c:pt>
                <c:pt idx="370">
                  <c:v>79.5833333333334</c:v>
                </c:pt>
                <c:pt idx="371">
                  <c:v>77.166666666666757</c:v>
                </c:pt>
                <c:pt idx="372">
                  <c:v>74.333333333333613</c:v>
                </c:pt>
                <c:pt idx="373">
                  <c:v>76.583333333333528</c:v>
                </c:pt>
                <c:pt idx="374">
                  <c:v>77.250000000000242</c:v>
                </c:pt>
                <c:pt idx="375">
                  <c:v>77.000000000000256</c:v>
                </c:pt>
                <c:pt idx="376">
                  <c:v>74.916666666666856</c:v>
                </c:pt>
                <c:pt idx="377">
                  <c:v>78.500000000000185</c:v>
                </c:pt>
                <c:pt idx="378">
                  <c:v>78.000000000000213</c:v>
                </c:pt>
                <c:pt idx="379">
                  <c:v>78.666666666666686</c:v>
                </c:pt>
                <c:pt idx="380">
                  <c:v>76.916666666666771</c:v>
                </c:pt>
                <c:pt idx="381">
                  <c:v>75.916666666666814</c:v>
                </c:pt>
                <c:pt idx="382">
                  <c:v>76.166666666666799</c:v>
                </c:pt>
                <c:pt idx="383">
                  <c:v>78.4166666666667</c:v>
                </c:pt>
                <c:pt idx="384">
                  <c:v>76.166666666666799</c:v>
                </c:pt>
                <c:pt idx="385">
                  <c:v>78.166666666666714</c:v>
                </c:pt>
                <c:pt idx="386">
                  <c:v>78.000000000000213</c:v>
                </c:pt>
                <c:pt idx="387">
                  <c:v>76.166666666666799</c:v>
                </c:pt>
                <c:pt idx="388">
                  <c:v>77.166666666666757</c:v>
                </c:pt>
                <c:pt idx="389">
                  <c:v>78.916666666666686</c:v>
                </c:pt>
                <c:pt idx="390">
                  <c:v>76.333333333333528</c:v>
                </c:pt>
                <c:pt idx="391">
                  <c:v>80.000000000000128</c:v>
                </c:pt>
                <c:pt idx="392">
                  <c:v>76.416666666666785</c:v>
                </c:pt>
                <c:pt idx="393">
                  <c:v>76.333333333333528</c:v>
                </c:pt>
                <c:pt idx="394">
                  <c:v>76.416666666666785</c:v>
                </c:pt>
                <c:pt idx="395">
                  <c:v>78.000000000000213</c:v>
                </c:pt>
                <c:pt idx="396">
                  <c:v>76.333333333333528</c:v>
                </c:pt>
                <c:pt idx="397">
                  <c:v>77.583333333333485</c:v>
                </c:pt>
                <c:pt idx="398">
                  <c:v>76.333333333333528</c:v>
                </c:pt>
                <c:pt idx="399">
                  <c:v>79.416666666666657</c:v>
                </c:pt>
                <c:pt idx="400">
                  <c:v>77.250000000000242</c:v>
                </c:pt>
                <c:pt idx="401">
                  <c:v>79.500000000000142</c:v>
                </c:pt>
                <c:pt idx="402">
                  <c:v>75.33333333333357</c:v>
                </c:pt>
                <c:pt idx="403">
                  <c:v>79.666666666666643</c:v>
                </c:pt>
                <c:pt idx="404">
                  <c:v>78.166666666666714</c:v>
                </c:pt>
                <c:pt idx="405">
                  <c:v>78.333333333333456</c:v>
                </c:pt>
                <c:pt idx="406">
                  <c:v>78.666666666666686</c:v>
                </c:pt>
                <c:pt idx="407">
                  <c:v>75.416666666666828</c:v>
                </c:pt>
                <c:pt idx="408">
                  <c:v>77.583333333333485</c:v>
                </c:pt>
                <c:pt idx="409">
                  <c:v>77.333333333333499</c:v>
                </c:pt>
                <c:pt idx="410">
                  <c:v>78.083333333333456</c:v>
                </c:pt>
                <c:pt idx="411">
                  <c:v>78.666666666666686</c:v>
                </c:pt>
                <c:pt idx="412">
                  <c:v>76.666666666666771</c:v>
                </c:pt>
                <c:pt idx="413">
                  <c:v>78.500000000000185</c:v>
                </c:pt>
                <c:pt idx="414">
                  <c:v>75.58333333333357</c:v>
                </c:pt>
                <c:pt idx="415">
                  <c:v>78.083333333333456</c:v>
                </c:pt>
                <c:pt idx="416">
                  <c:v>76.250000000000284</c:v>
                </c:pt>
                <c:pt idx="417">
                  <c:v>79.083333333333414</c:v>
                </c:pt>
                <c:pt idx="418">
                  <c:v>76.666666666666771</c:v>
                </c:pt>
                <c:pt idx="419">
                  <c:v>76.50000000000027</c:v>
                </c:pt>
                <c:pt idx="420">
                  <c:v>75.166666666666842</c:v>
                </c:pt>
                <c:pt idx="421">
                  <c:v>75.33333333333357</c:v>
                </c:pt>
                <c:pt idx="422">
                  <c:v>78.916666666666686</c:v>
                </c:pt>
                <c:pt idx="423">
                  <c:v>77.083333333333499</c:v>
                </c:pt>
                <c:pt idx="424">
                  <c:v>78.333333333333456</c:v>
                </c:pt>
                <c:pt idx="425">
                  <c:v>78.333333333333456</c:v>
                </c:pt>
                <c:pt idx="426">
                  <c:v>76.166666666666799</c:v>
                </c:pt>
                <c:pt idx="427">
                  <c:v>78.4166666666667</c:v>
                </c:pt>
                <c:pt idx="428">
                  <c:v>76.416666666666785</c:v>
                </c:pt>
                <c:pt idx="429">
                  <c:v>79.500000000000142</c:v>
                </c:pt>
                <c:pt idx="430">
                  <c:v>75.666666666666814</c:v>
                </c:pt>
                <c:pt idx="431">
                  <c:v>77.916666666666728</c:v>
                </c:pt>
                <c:pt idx="432">
                  <c:v>75.416666666666828</c:v>
                </c:pt>
                <c:pt idx="433">
                  <c:v>76.50000000000027</c:v>
                </c:pt>
                <c:pt idx="434">
                  <c:v>76.000000000000298</c:v>
                </c:pt>
                <c:pt idx="435">
                  <c:v>75.58333333333357</c:v>
                </c:pt>
                <c:pt idx="436">
                  <c:v>74.333333333333613</c:v>
                </c:pt>
                <c:pt idx="437">
                  <c:v>79.000000000000171</c:v>
                </c:pt>
                <c:pt idx="438">
                  <c:v>77.333333333333499</c:v>
                </c:pt>
                <c:pt idx="439">
                  <c:v>76.333333333333528</c:v>
                </c:pt>
                <c:pt idx="440">
                  <c:v>77.250000000000242</c:v>
                </c:pt>
                <c:pt idx="441">
                  <c:v>76.916666666666771</c:v>
                </c:pt>
                <c:pt idx="442">
                  <c:v>77.083333333333499</c:v>
                </c:pt>
                <c:pt idx="443">
                  <c:v>78.166666666666714</c:v>
                </c:pt>
                <c:pt idx="444">
                  <c:v>78.333333333333456</c:v>
                </c:pt>
                <c:pt idx="445">
                  <c:v>75.58333333333357</c:v>
                </c:pt>
                <c:pt idx="446">
                  <c:v>77.166666666666757</c:v>
                </c:pt>
                <c:pt idx="447">
                  <c:v>77.666666666666728</c:v>
                </c:pt>
                <c:pt idx="448">
                  <c:v>75.58333333333357</c:v>
                </c:pt>
                <c:pt idx="449">
                  <c:v>79.166666666666671</c:v>
                </c:pt>
                <c:pt idx="450">
                  <c:v>71.083333333333755</c:v>
                </c:pt>
                <c:pt idx="451">
                  <c:v>87.166666666666103</c:v>
                </c:pt>
                <c:pt idx="452">
                  <c:v>77.333333333333499</c:v>
                </c:pt>
                <c:pt idx="453">
                  <c:v>77.083333333333499</c:v>
                </c:pt>
                <c:pt idx="454">
                  <c:v>78.500000000000185</c:v>
                </c:pt>
                <c:pt idx="455">
                  <c:v>81.166666666666586</c:v>
                </c:pt>
                <c:pt idx="456">
                  <c:v>75.500000000000313</c:v>
                </c:pt>
                <c:pt idx="457">
                  <c:v>76.000000000000298</c:v>
                </c:pt>
                <c:pt idx="458">
                  <c:v>78.4166666666667</c:v>
                </c:pt>
                <c:pt idx="459">
                  <c:v>78.000000000000213</c:v>
                </c:pt>
                <c:pt idx="460">
                  <c:v>81.333333333333329</c:v>
                </c:pt>
                <c:pt idx="461">
                  <c:v>77.666666666666728</c:v>
                </c:pt>
                <c:pt idx="462">
                  <c:v>79.333333333333414</c:v>
                </c:pt>
                <c:pt idx="463">
                  <c:v>78.166666666666714</c:v>
                </c:pt>
                <c:pt idx="464">
                  <c:v>77.166666666666757</c:v>
                </c:pt>
                <c:pt idx="465">
                  <c:v>78.4166666666667</c:v>
                </c:pt>
                <c:pt idx="466">
                  <c:v>77.500000000000227</c:v>
                </c:pt>
                <c:pt idx="467">
                  <c:v>77.000000000000256</c:v>
                </c:pt>
                <c:pt idx="468">
                  <c:v>78.583333333333442</c:v>
                </c:pt>
                <c:pt idx="469">
                  <c:v>78.250000000000199</c:v>
                </c:pt>
                <c:pt idx="470">
                  <c:v>77.000000000000256</c:v>
                </c:pt>
                <c:pt idx="471">
                  <c:v>78.000000000000213</c:v>
                </c:pt>
                <c:pt idx="472">
                  <c:v>76.333333333333528</c:v>
                </c:pt>
                <c:pt idx="473">
                  <c:v>76.50000000000027</c:v>
                </c:pt>
                <c:pt idx="474">
                  <c:v>76.333333333333528</c:v>
                </c:pt>
                <c:pt idx="475">
                  <c:v>77.083333333333499</c:v>
                </c:pt>
                <c:pt idx="476">
                  <c:v>77.166666666666757</c:v>
                </c:pt>
                <c:pt idx="477">
                  <c:v>78.333333333333456</c:v>
                </c:pt>
                <c:pt idx="478">
                  <c:v>77.416666666666742</c:v>
                </c:pt>
                <c:pt idx="479">
                  <c:v>75.58333333333357</c:v>
                </c:pt>
                <c:pt idx="480">
                  <c:v>80.083333333333371</c:v>
                </c:pt>
                <c:pt idx="481">
                  <c:v>74.583333333333613</c:v>
                </c:pt>
                <c:pt idx="482">
                  <c:v>80.416666666666615</c:v>
                </c:pt>
                <c:pt idx="483">
                  <c:v>75.916666666666814</c:v>
                </c:pt>
                <c:pt idx="484">
                  <c:v>76.583333333333528</c:v>
                </c:pt>
                <c:pt idx="485">
                  <c:v>77.083333333333499</c:v>
                </c:pt>
                <c:pt idx="486">
                  <c:v>78.500000000000185</c:v>
                </c:pt>
                <c:pt idx="487">
                  <c:v>76.333333333333528</c:v>
                </c:pt>
                <c:pt idx="488">
                  <c:v>78.583333333333442</c:v>
                </c:pt>
                <c:pt idx="489">
                  <c:v>76.333333333333528</c:v>
                </c:pt>
                <c:pt idx="490">
                  <c:v>76.333333333333528</c:v>
                </c:pt>
                <c:pt idx="491">
                  <c:v>78.083333333333456</c:v>
                </c:pt>
                <c:pt idx="492">
                  <c:v>77.666666666666728</c:v>
                </c:pt>
                <c:pt idx="493">
                  <c:v>76.50000000000027</c:v>
                </c:pt>
                <c:pt idx="494">
                  <c:v>78.000000000000213</c:v>
                </c:pt>
                <c:pt idx="495">
                  <c:v>75.250000000000327</c:v>
                </c:pt>
                <c:pt idx="496">
                  <c:v>79.500000000000142</c:v>
                </c:pt>
                <c:pt idx="497">
                  <c:v>77.416666666666742</c:v>
                </c:pt>
                <c:pt idx="498">
                  <c:v>76.000000000000298</c:v>
                </c:pt>
                <c:pt idx="499">
                  <c:v>80.000000000000128</c:v>
                </c:pt>
                <c:pt idx="500">
                  <c:v>74.333333333333613</c:v>
                </c:pt>
                <c:pt idx="501">
                  <c:v>76.416666666666785</c:v>
                </c:pt>
                <c:pt idx="502">
                  <c:v>75.916666666666814</c:v>
                </c:pt>
                <c:pt idx="503">
                  <c:v>76.50000000000027</c:v>
                </c:pt>
                <c:pt idx="504">
                  <c:v>76.166666666666799</c:v>
                </c:pt>
                <c:pt idx="505">
                  <c:v>76.166666666666799</c:v>
                </c:pt>
                <c:pt idx="506">
                  <c:v>76.583333333333528</c:v>
                </c:pt>
                <c:pt idx="507">
                  <c:v>80.000000000000128</c:v>
                </c:pt>
                <c:pt idx="508">
                  <c:v>76.000000000000298</c:v>
                </c:pt>
                <c:pt idx="509">
                  <c:v>79.416666666666657</c:v>
                </c:pt>
                <c:pt idx="510">
                  <c:v>76.333333333333528</c:v>
                </c:pt>
                <c:pt idx="511">
                  <c:v>76.166666666666799</c:v>
                </c:pt>
                <c:pt idx="512">
                  <c:v>74.583333333333613</c:v>
                </c:pt>
                <c:pt idx="513">
                  <c:v>80.6666666666666</c:v>
                </c:pt>
                <c:pt idx="514">
                  <c:v>78.500000000000185</c:v>
                </c:pt>
                <c:pt idx="515">
                  <c:v>77.083333333333499</c:v>
                </c:pt>
                <c:pt idx="516">
                  <c:v>75.416666666666828</c:v>
                </c:pt>
                <c:pt idx="517">
                  <c:v>77.500000000000227</c:v>
                </c:pt>
                <c:pt idx="518">
                  <c:v>76.666666666666771</c:v>
                </c:pt>
                <c:pt idx="519">
                  <c:v>77.583333333333485</c:v>
                </c:pt>
                <c:pt idx="520">
                  <c:v>76.666666666666771</c:v>
                </c:pt>
                <c:pt idx="521">
                  <c:v>76.50000000000027</c:v>
                </c:pt>
                <c:pt idx="522">
                  <c:v>78.583333333333442</c:v>
                </c:pt>
                <c:pt idx="523">
                  <c:v>78.250000000000199</c:v>
                </c:pt>
                <c:pt idx="524">
                  <c:v>76.000000000000298</c:v>
                </c:pt>
                <c:pt idx="525">
                  <c:v>75.58333333333357</c:v>
                </c:pt>
                <c:pt idx="526">
                  <c:v>75.083333333333584</c:v>
                </c:pt>
                <c:pt idx="527">
                  <c:v>79.916666666666643</c:v>
                </c:pt>
                <c:pt idx="528">
                  <c:v>77.083333333333499</c:v>
                </c:pt>
                <c:pt idx="529">
                  <c:v>75.083333333333584</c:v>
                </c:pt>
                <c:pt idx="530">
                  <c:v>77.500000000000227</c:v>
                </c:pt>
                <c:pt idx="531">
                  <c:v>76.333333333333528</c:v>
                </c:pt>
                <c:pt idx="532">
                  <c:v>79.000000000000171</c:v>
                </c:pt>
                <c:pt idx="533">
                  <c:v>75.166666666666842</c:v>
                </c:pt>
                <c:pt idx="534">
                  <c:v>78.666666666666686</c:v>
                </c:pt>
                <c:pt idx="535">
                  <c:v>77.333333333333499</c:v>
                </c:pt>
                <c:pt idx="536">
                  <c:v>79.083333333333414</c:v>
                </c:pt>
                <c:pt idx="537">
                  <c:v>76.416666666666785</c:v>
                </c:pt>
                <c:pt idx="538">
                  <c:v>78.500000000000185</c:v>
                </c:pt>
                <c:pt idx="539">
                  <c:v>78.250000000000199</c:v>
                </c:pt>
                <c:pt idx="540">
                  <c:v>79.666666666666643</c:v>
                </c:pt>
                <c:pt idx="541">
                  <c:v>76.916666666666771</c:v>
                </c:pt>
                <c:pt idx="542">
                  <c:v>78.333333333333456</c:v>
                </c:pt>
                <c:pt idx="543">
                  <c:v>77.166666666666757</c:v>
                </c:pt>
                <c:pt idx="544">
                  <c:v>77.583333333333485</c:v>
                </c:pt>
                <c:pt idx="545">
                  <c:v>77.583333333333485</c:v>
                </c:pt>
                <c:pt idx="546">
                  <c:v>76.916666666666771</c:v>
                </c:pt>
                <c:pt idx="547">
                  <c:v>76.666666666666771</c:v>
                </c:pt>
                <c:pt idx="548">
                  <c:v>75.58333333333357</c:v>
                </c:pt>
                <c:pt idx="549">
                  <c:v>78.166666666666714</c:v>
                </c:pt>
                <c:pt idx="550">
                  <c:v>77.083333333333499</c:v>
                </c:pt>
                <c:pt idx="551">
                  <c:v>76.416666666666785</c:v>
                </c:pt>
                <c:pt idx="552">
                  <c:v>78.000000000000213</c:v>
                </c:pt>
                <c:pt idx="553">
                  <c:v>76.916666666666771</c:v>
                </c:pt>
                <c:pt idx="554">
                  <c:v>74.916666666666856</c:v>
                </c:pt>
                <c:pt idx="555">
                  <c:v>76.083333333333542</c:v>
                </c:pt>
                <c:pt idx="556">
                  <c:v>77.083333333333499</c:v>
                </c:pt>
                <c:pt idx="557">
                  <c:v>77.583333333333485</c:v>
                </c:pt>
                <c:pt idx="558">
                  <c:v>77.916666666666728</c:v>
                </c:pt>
                <c:pt idx="559">
                  <c:v>77.083333333333499</c:v>
                </c:pt>
                <c:pt idx="560">
                  <c:v>77.250000000000242</c:v>
                </c:pt>
                <c:pt idx="561">
                  <c:v>77.916666666666728</c:v>
                </c:pt>
                <c:pt idx="562">
                  <c:v>78.166666666666714</c:v>
                </c:pt>
                <c:pt idx="563">
                  <c:v>78.083333333333456</c:v>
                </c:pt>
                <c:pt idx="564">
                  <c:v>77.333333333333499</c:v>
                </c:pt>
                <c:pt idx="565">
                  <c:v>77.333333333333499</c:v>
                </c:pt>
                <c:pt idx="566">
                  <c:v>76.666666666666771</c:v>
                </c:pt>
                <c:pt idx="567">
                  <c:v>78.000000000000213</c:v>
                </c:pt>
                <c:pt idx="568">
                  <c:v>77.916666666666728</c:v>
                </c:pt>
                <c:pt idx="569">
                  <c:v>76.416666666666785</c:v>
                </c:pt>
                <c:pt idx="570">
                  <c:v>80.500000000000099</c:v>
                </c:pt>
                <c:pt idx="571">
                  <c:v>75.58333333333357</c:v>
                </c:pt>
                <c:pt idx="572">
                  <c:v>76.416666666666785</c:v>
                </c:pt>
                <c:pt idx="573">
                  <c:v>75.58333333333357</c:v>
                </c:pt>
                <c:pt idx="574">
                  <c:v>77.333333333333499</c:v>
                </c:pt>
                <c:pt idx="575">
                  <c:v>75.500000000000313</c:v>
                </c:pt>
                <c:pt idx="576">
                  <c:v>79.000000000000171</c:v>
                </c:pt>
                <c:pt idx="577">
                  <c:v>76.166666666666799</c:v>
                </c:pt>
                <c:pt idx="578">
                  <c:v>77.166666666666757</c:v>
                </c:pt>
                <c:pt idx="579">
                  <c:v>76.583333333333528</c:v>
                </c:pt>
                <c:pt idx="580">
                  <c:v>76.583333333333528</c:v>
                </c:pt>
                <c:pt idx="581">
                  <c:v>78.166666666666714</c:v>
                </c:pt>
                <c:pt idx="582">
                  <c:v>80.583333333333357</c:v>
                </c:pt>
                <c:pt idx="583">
                  <c:v>77.000000000000256</c:v>
                </c:pt>
                <c:pt idx="584">
                  <c:v>76.666666666666771</c:v>
                </c:pt>
                <c:pt idx="585">
                  <c:v>80.000000000000128</c:v>
                </c:pt>
                <c:pt idx="586">
                  <c:v>76.083333333333542</c:v>
                </c:pt>
                <c:pt idx="587">
                  <c:v>78.500000000000185</c:v>
                </c:pt>
                <c:pt idx="588">
                  <c:v>76.416666666666785</c:v>
                </c:pt>
                <c:pt idx="589">
                  <c:v>80.166666666666629</c:v>
                </c:pt>
                <c:pt idx="590">
                  <c:v>77.500000000000227</c:v>
                </c:pt>
                <c:pt idx="591">
                  <c:v>80.166666666666629</c:v>
                </c:pt>
                <c:pt idx="592">
                  <c:v>77.000000000000256</c:v>
                </c:pt>
                <c:pt idx="593">
                  <c:v>79.000000000000171</c:v>
                </c:pt>
                <c:pt idx="594">
                  <c:v>76.166666666666799</c:v>
                </c:pt>
                <c:pt idx="595">
                  <c:v>76.333333333333528</c:v>
                </c:pt>
                <c:pt idx="596">
                  <c:v>75.500000000000313</c:v>
                </c:pt>
                <c:pt idx="597">
                  <c:v>76.333333333333528</c:v>
                </c:pt>
                <c:pt idx="598">
                  <c:v>77.250000000000242</c:v>
                </c:pt>
                <c:pt idx="599">
                  <c:v>78.333333333333456</c:v>
                </c:pt>
                <c:pt idx="600">
                  <c:v>77.083333333333499</c:v>
                </c:pt>
                <c:pt idx="601">
                  <c:v>76.166666666666799</c:v>
                </c:pt>
                <c:pt idx="602">
                  <c:v>76.50000000000027</c:v>
                </c:pt>
                <c:pt idx="603">
                  <c:v>76.333333333333528</c:v>
                </c:pt>
                <c:pt idx="604">
                  <c:v>77.666666666666728</c:v>
                </c:pt>
                <c:pt idx="605">
                  <c:v>78.500000000000185</c:v>
                </c:pt>
                <c:pt idx="606">
                  <c:v>75.33333333333357</c:v>
                </c:pt>
                <c:pt idx="607">
                  <c:v>75.166666666666842</c:v>
                </c:pt>
                <c:pt idx="608">
                  <c:v>75.000000000000341</c:v>
                </c:pt>
                <c:pt idx="609">
                  <c:v>79.166666666666671</c:v>
                </c:pt>
                <c:pt idx="610">
                  <c:v>78.000000000000213</c:v>
                </c:pt>
                <c:pt idx="611">
                  <c:v>78.000000000000213</c:v>
                </c:pt>
                <c:pt idx="612">
                  <c:v>78.083333333333456</c:v>
                </c:pt>
                <c:pt idx="613">
                  <c:v>76.416666666666785</c:v>
                </c:pt>
                <c:pt idx="614">
                  <c:v>77.916666666666728</c:v>
                </c:pt>
                <c:pt idx="615">
                  <c:v>77.000000000000256</c:v>
                </c:pt>
                <c:pt idx="616">
                  <c:v>76.50000000000027</c:v>
                </c:pt>
                <c:pt idx="617">
                  <c:v>76.000000000000298</c:v>
                </c:pt>
                <c:pt idx="618">
                  <c:v>77.666666666666728</c:v>
                </c:pt>
                <c:pt idx="619">
                  <c:v>77.583333333333485</c:v>
                </c:pt>
                <c:pt idx="620">
                  <c:v>76.083333333333542</c:v>
                </c:pt>
                <c:pt idx="621">
                  <c:v>75.58333333333357</c:v>
                </c:pt>
                <c:pt idx="622">
                  <c:v>77.250000000000242</c:v>
                </c:pt>
                <c:pt idx="623">
                  <c:v>77.250000000000242</c:v>
                </c:pt>
                <c:pt idx="624">
                  <c:v>76.50000000000027</c:v>
                </c:pt>
                <c:pt idx="625">
                  <c:v>79.416666666666657</c:v>
                </c:pt>
                <c:pt idx="626">
                  <c:v>77.416666666666742</c:v>
                </c:pt>
                <c:pt idx="627">
                  <c:v>75.416666666666828</c:v>
                </c:pt>
                <c:pt idx="628">
                  <c:v>77.666666666666728</c:v>
                </c:pt>
                <c:pt idx="629">
                  <c:v>78.000000000000213</c:v>
                </c:pt>
                <c:pt idx="630">
                  <c:v>76.250000000000284</c:v>
                </c:pt>
                <c:pt idx="631">
                  <c:v>78.500000000000185</c:v>
                </c:pt>
                <c:pt idx="632">
                  <c:v>77.000000000000256</c:v>
                </c:pt>
                <c:pt idx="633">
                  <c:v>72.500000000000441</c:v>
                </c:pt>
                <c:pt idx="634">
                  <c:v>75.500000000000313</c:v>
                </c:pt>
                <c:pt idx="635">
                  <c:v>77.583333333333485</c:v>
                </c:pt>
                <c:pt idx="636">
                  <c:v>81.000000000000085</c:v>
                </c:pt>
                <c:pt idx="637">
                  <c:v>80.250000000000114</c:v>
                </c:pt>
                <c:pt idx="638">
                  <c:v>77.000000000000256</c:v>
                </c:pt>
                <c:pt idx="639">
                  <c:v>78.583333333333442</c:v>
                </c:pt>
                <c:pt idx="640">
                  <c:v>77.916666666666728</c:v>
                </c:pt>
                <c:pt idx="641">
                  <c:v>80.250000000000114</c:v>
                </c:pt>
                <c:pt idx="642">
                  <c:v>76.583333333333528</c:v>
                </c:pt>
                <c:pt idx="643">
                  <c:v>76.583333333333528</c:v>
                </c:pt>
                <c:pt idx="644">
                  <c:v>80.250000000000114</c:v>
                </c:pt>
                <c:pt idx="645">
                  <c:v>78.083333333333456</c:v>
                </c:pt>
                <c:pt idx="646">
                  <c:v>78.666666666666686</c:v>
                </c:pt>
                <c:pt idx="647">
                  <c:v>75.416666666666828</c:v>
                </c:pt>
                <c:pt idx="648">
                  <c:v>76.250000000000284</c:v>
                </c:pt>
                <c:pt idx="649">
                  <c:v>77.000000000000256</c:v>
                </c:pt>
                <c:pt idx="650">
                  <c:v>76.250000000000284</c:v>
                </c:pt>
                <c:pt idx="651">
                  <c:v>76.333333333333528</c:v>
                </c:pt>
                <c:pt idx="652">
                  <c:v>77.916666666666728</c:v>
                </c:pt>
                <c:pt idx="653">
                  <c:v>77.416666666666742</c:v>
                </c:pt>
                <c:pt idx="654">
                  <c:v>77.916666666666728</c:v>
                </c:pt>
                <c:pt idx="655">
                  <c:v>78.333333333333456</c:v>
                </c:pt>
                <c:pt idx="656">
                  <c:v>77.583333333333485</c:v>
                </c:pt>
                <c:pt idx="657">
                  <c:v>77.916666666666728</c:v>
                </c:pt>
                <c:pt idx="658">
                  <c:v>78.666666666666686</c:v>
                </c:pt>
                <c:pt idx="659">
                  <c:v>77.583333333333485</c:v>
                </c:pt>
                <c:pt idx="660">
                  <c:v>80.083333333333371</c:v>
                </c:pt>
                <c:pt idx="661">
                  <c:v>77.416666666666742</c:v>
                </c:pt>
                <c:pt idx="662">
                  <c:v>78.166666666666714</c:v>
                </c:pt>
                <c:pt idx="663">
                  <c:v>80.000000000000128</c:v>
                </c:pt>
                <c:pt idx="664">
                  <c:v>78.666666666666686</c:v>
                </c:pt>
                <c:pt idx="665">
                  <c:v>79.083333333333414</c:v>
                </c:pt>
                <c:pt idx="666">
                  <c:v>78.583333333333442</c:v>
                </c:pt>
                <c:pt idx="667">
                  <c:v>74.166666666666885</c:v>
                </c:pt>
                <c:pt idx="668">
                  <c:v>77.000000000000256</c:v>
                </c:pt>
                <c:pt idx="669">
                  <c:v>78.500000000000185</c:v>
                </c:pt>
                <c:pt idx="670">
                  <c:v>78.083333333333456</c:v>
                </c:pt>
                <c:pt idx="671">
                  <c:v>79.333333333333414</c:v>
                </c:pt>
                <c:pt idx="672">
                  <c:v>76.083333333333542</c:v>
                </c:pt>
                <c:pt idx="673">
                  <c:v>78.250000000000199</c:v>
                </c:pt>
                <c:pt idx="674">
                  <c:v>76.250000000000284</c:v>
                </c:pt>
                <c:pt idx="675">
                  <c:v>78.666666666666686</c:v>
                </c:pt>
                <c:pt idx="676">
                  <c:v>78.500000000000185</c:v>
                </c:pt>
                <c:pt idx="677">
                  <c:v>77.000000000000256</c:v>
                </c:pt>
                <c:pt idx="678">
                  <c:v>77.916666666666728</c:v>
                </c:pt>
                <c:pt idx="679">
                  <c:v>79.000000000000171</c:v>
                </c:pt>
                <c:pt idx="680">
                  <c:v>80.250000000000114</c:v>
                </c:pt>
                <c:pt idx="681">
                  <c:v>75.250000000000327</c:v>
                </c:pt>
                <c:pt idx="682">
                  <c:v>77.333333333333499</c:v>
                </c:pt>
                <c:pt idx="683">
                  <c:v>78.000000000000213</c:v>
                </c:pt>
                <c:pt idx="684">
                  <c:v>76.416666666666785</c:v>
                </c:pt>
                <c:pt idx="685">
                  <c:v>79.5833333333334</c:v>
                </c:pt>
                <c:pt idx="686">
                  <c:v>75.500000000000313</c:v>
                </c:pt>
                <c:pt idx="687">
                  <c:v>78.666666666666686</c:v>
                </c:pt>
                <c:pt idx="688">
                  <c:v>78.333333333333456</c:v>
                </c:pt>
                <c:pt idx="689">
                  <c:v>76.333333333333528</c:v>
                </c:pt>
                <c:pt idx="690">
                  <c:v>77.583333333333485</c:v>
                </c:pt>
                <c:pt idx="691">
                  <c:v>76.666666666666771</c:v>
                </c:pt>
                <c:pt idx="692">
                  <c:v>78.583333333333442</c:v>
                </c:pt>
                <c:pt idx="693">
                  <c:v>78.250000000000199</c:v>
                </c:pt>
                <c:pt idx="694">
                  <c:v>75.33333333333357</c:v>
                </c:pt>
                <c:pt idx="695">
                  <c:v>76.583333333333528</c:v>
                </c:pt>
                <c:pt idx="696">
                  <c:v>77.583333333333485</c:v>
                </c:pt>
                <c:pt idx="697">
                  <c:v>78.083333333333456</c:v>
                </c:pt>
                <c:pt idx="698">
                  <c:v>78.916666666666686</c:v>
                </c:pt>
                <c:pt idx="699">
                  <c:v>78.000000000000213</c:v>
                </c:pt>
                <c:pt idx="700">
                  <c:v>76.583333333333528</c:v>
                </c:pt>
                <c:pt idx="701">
                  <c:v>80.333333333333371</c:v>
                </c:pt>
                <c:pt idx="702">
                  <c:v>77.583333333333485</c:v>
                </c:pt>
                <c:pt idx="703">
                  <c:v>76.916666666666771</c:v>
                </c:pt>
                <c:pt idx="704">
                  <c:v>78.166666666666714</c:v>
                </c:pt>
                <c:pt idx="705">
                  <c:v>77.000000000000256</c:v>
                </c:pt>
                <c:pt idx="706">
                  <c:v>77.666666666666728</c:v>
                </c:pt>
                <c:pt idx="707">
                  <c:v>77.666666666666728</c:v>
                </c:pt>
                <c:pt idx="708">
                  <c:v>78.250000000000199</c:v>
                </c:pt>
                <c:pt idx="709">
                  <c:v>79.5833333333334</c:v>
                </c:pt>
                <c:pt idx="710">
                  <c:v>76.666666666666771</c:v>
                </c:pt>
                <c:pt idx="711">
                  <c:v>76.666666666666771</c:v>
                </c:pt>
                <c:pt idx="712">
                  <c:v>77.250000000000242</c:v>
                </c:pt>
                <c:pt idx="713">
                  <c:v>79.000000000000171</c:v>
                </c:pt>
                <c:pt idx="714">
                  <c:v>75.916666666666814</c:v>
                </c:pt>
                <c:pt idx="715">
                  <c:v>74.083333333333627</c:v>
                </c:pt>
                <c:pt idx="716">
                  <c:v>76.666666666666771</c:v>
                </c:pt>
                <c:pt idx="717">
                  <c:v>75.416666666666828</c:v>
                </c:pt>
                <c:pt idx="718">
                  <c:v>76.166666666666799</c:v>
                </c:pt>
                <c:pt idx="719">
                  <c:v>79.666666666666643</c:v>
                </c:pt>
                <c:pt idx="720">
                  <c:v>76.250000000000284</c:v>
                </c:pt>
                <c:pt idx="721">
                  <c:v>78.000000000000213</c:v>
                </c:pt>
                <c:pt idx="722">
                  <c:v>77.000000000000256</c:v>
                </c:pt>
                <c:pt idx="723">
                  <c:v>77.916666666666728</c:v>
                </c:pt>
                <c:pt idx="724">
                  <c:v>78.666666666666686</c:v>
                </c:pt>
                <c:pt idx="725">
                  <c:v>78.4166666666667</c:v>
                </c:pt>
                <c:pt idx="726">
                  <c:v>78.333333333333456</c:v>
                </c:pt>
                <c:pt idx="727">
                  <c:v>77.000000000000256</c:v>
                </c:pt>
                <c:pt idx="728">
                  <c:v>76.250000000000284</c:v>
                </c:pt>
                <c:pt idx="729">
                  <c:v>77.333333333333499</c:v>
                </c:pt>
                <c:pt idx="730">
                  <c:v>76.416666666666785</c:v>
                </c:pt>
                <c:pt idx="731">
                  <c:v>77.083333333333499</c:v>
                </c:pt>
                <c:pt idx="732">
                  <c:v>78.000000000000213</c:v>
                </c:pt>
                <c:pt idx="733">
                  <c:v>76.583333333333528</c:v>
                </c:pt>
                <c:pt idx="734">
                  <c:v>78.000000000000213</c:v>
                </c:pt>
                <c:pt idx="735">
                  <c:v>78.333333333333456</c:v>
                </c:pt>
                <c:pt idx="736">
                  <c:v>76.416666666666785</c:v>
                </c:pt>
                <c:pt idx="737">
                  <c:v>79.000000000000171</c:v>
                </c:pt>
                <c:pt idx="738">
                  <c:v>74.666666666666856</c:v>
                </c:pt>
                <c:pt idx="739">
                  <c:v>77.666666666666728</c:v>
                </c:pt>
                <c:pt idx="740">
                  <c:v>78.250000000000199</c:v>
                </c:pt>
                <c:pt idx="741">
                  <c:v>78.166666666666714</c:v>
                </c:pt>
                <c:pt idx="742">
                  <c:v>75.916666666666814</c:v>
                </c:pt>
                <c:pt idx="743">
                  <c:v>76.000000000000298</c:v>
                </c:pt>
                <c:pt idx="744">
                  <c:v>76.50000000000027</c:v>
                </c:pt>
                <c:pt idx="745">
                  <c:v>77.666666666666728</c:v>
                </c:pt>
                <c:pt idx="746">
                  <c:v>75.416666666666828</c:v>
                </c:pt>
                <c:pt idx="747">
                  <c:v>80.000000000000128</c:v>
                </c:pt>
                <c:pt idx="748">
                  <c:v>77.416666666666742</c:v>
                </c:pt>
                <c:pt idx="749">
                  <c:v>77.666666666666728</c:v>
                </c:pt>
                <c:pt idx="750">
                  <c:v>78.250000000000199</c:v>
                </c:pt>
                <c:pt idx="751">
                  <c:v>79.5833333333334</c:v>
                </c:pt>
                <c:pt idx="752">
                  <c:v>79.5833333333334</c:v>
                </c:pt>
                <c:pt idx="753">
                  <c:v>78.000000000000213</c:v>
                </c:pt>
                <c:pt idx="754">
                  <c:v>76.083333333333542</c:v>
                </c:pt>
                <c:pt idx="755">
                  <c:v>76.583333333333528</c:v>
                </c:pt>
                <c:pt idx="756">
                  <c:v>75.416666666666828</c:v>
                </c:pt>
                <c:pt idx="757">
                  <c:v>76.250000000000284</c:v>
                </c:pt>
                <c:pt idx="758">
                  <c:v>78.4166666666667</c:v>
                </c:pt>
                <c:pt idx="759">
                  <c:v>74.500000000000355</c:v>
                </c:pt>
                <c:pt idx="760">
                  <c:v>77.500000000000227</c:v>
                </c:pt>
                <c:pt idx="761">
                  <c:v>75.083333333333584</c:v>
                </c:pt>
                <c:pt idx="762">
                  <c:v>76.916666666666771</c:v>
                </c:pt>
                <c:pt idx="763">
                  <c:v>77.000000000000256</c:v>
                </c:pt>
                <c:pt idx="764">
                  <c:v>76.666666666666771</c:v>
                </c:pt>
                <c:pt idx="765">
                  <c:v>78.166666666666714</c:v>
                </c:pt>
                <c:pt idx="766">
                  <c:v>77.583333333333485</c:v>
                </c:pt>
                <c:pt idx="767">
                  <c:v>77.333333333333499</c:v>
                </c:pt>
                <c:pt idx="768">
                  <c:v>80.9166666666666</c:v>
                </c:pt>
                <c:pt idx="769">
                  <c:v>79.250000000000156</c:v>
                </c:pt>
                <c:pt idx="770">
                  <c:v>77.583333333333485</c:v>
                </c:pt>
                <c:pt idx="771">
                  <c:v>76.416666666666785</c:v>
                </c:pt>
                <c:pt idx="772">
                  <c:v>74.083333333333627</c:v>
                </c:pt>
                <c:pt idx="773">
                  <c:v>77.083333333333499</c:v>
                </c:pt>
                <c:pt idx="774">
                  <c:v>77.166666666666757</c:v>
                </c:pt>
                <c:pt idx="775">
                  <c:v>77.000000000000256</c:v>
                </c:pt>
                <c:pt idx="776">
                  <c:v>78.083333333333456</c:v>
                </c:pt>
                <c:pt idx="777">
                  <c:v>74.41666666666687</c:v>
                </c:pt>
                <c:pt idx="778">
                  <c:v>75.33333333333357</c:v>
                </c:pt>
                <c:pt idx="779">
                  <c:v>76.000000000000298</c:v>
                </c:pt>
                <c:pt idx="780">
                  <c:v>76.083333333333542</c:v>
                </c:pt>
                <c:pt idx="781">
                  <c:v>77.250000000000242</c:v>
                </c:pt>
                <c:pt idx="782">
                  <c:v>76.166666666666799</c:v>
                </c:pt>
                <c:pt idx="783">
                  <c:v>78.083333333333456</c:v>
                </c:pt>
                <c:pt idx="784">
                  <c:v>74.250000000000369</c:v>
                </c:pt>
                <c:pt idx="785">
                  <c:v>75.916666666666814</c:v>
                </c:pt>
                <c:pt idx="786">
                  <c:v>76.583333333333528</c:v>
                </c:pt>
                <c:pt idx="787">
                  <c:v>77.083333333333499</c:v>
                </c:pt>
                <c:pt idx="788">
                  <c:v>74.500000000000355</c:v>
                </c:pt>
                <c:pt idx="789">
                  <c:v>74.583333333333613</c:v>
                </c:pt>
                <c:pt idx="790">
                  <c:v>80.166666666666629</c:v>
                </c:pt>
                <c:pt idx="791">
                  <c:v>75.416666666666828</c:v>
                </c:pt>
                <c:pt idx="792">
                  <c:v>75.916666666666814</c:v>
                </c:pt>
                <c:pt idx="793">
                  <c:v>79.083333333333414</c:v>
                </c:pt>
                <c:pt idx="794">
                  <c:v>78.250000000000199</c:v>
                </c:pt>
                <c:pt idx="795">
                  <c:v>78.4166666666667</c:v>
                </c:pt>
                <c:pt idx="796">
                  <c:v>78.166666666666714</c:v>
                </c:pt>
                <c:pt idx="797">
                  <c:v>75.58333333333357</c:v>
                </c:pt>
                <c:pt idx="798">
                  <c:v>77.083333333333499</c:v>
                </c:pt>
                <c:pt idx="799">
                  <c:v>76.083333333333542</c:v>
                </c:pt>
                <c:pt idx="800">
                  <c:v>78.4166666666667</c:v>
                </c:pt>
                <c:pt idx="801">
                  <c:v>77.583333333333485</c:v>
                </c:pt>
                <c:pt idx="802">
                  <c:v>76.416666666666785</c:v>
                </c:pt>
                <c:pt idx="803">
                  <c:v>76.333333333333528</c:v>
                </c:pt>
                <c:pt idx="804">
                  <c:v>77.916666666666728</c:v>
                </c:pt>
                <c:pt idx="805">
                  <c:v>76.000000000000298</c:v>
                </c:pt>
                <c:pt idx="806">
                  <c:v>77.416666666666742</c:v>
                </c:pt>
                <c:pt idx="807">
                  <c:v>76.583333333333528</c:v>
                </c:pt>
                <c:pt idx="808">
                  <c:v>78.166666666666714</c:v>
                </c:pt>
                <c:pt idx="809">
                  <c:v>77.000000000000256</c:v>
                </c:pt>
                <c:pt idx="810">
                  <c:v>76.416666666666785</c:v>
                </c:pt>
                <c:pt idx="811">
                  <c:v>79.250000000000156</c:v>
                </c:pt>
                <c:pt idx="812">
                  <c:v>79.166666666666671</c:v>
                </c:pt>
                <c:pt idx="813">
                  <c:v>76.250000000000284</c:v>
                </c:pt>
                <c:pt idx="814">
                  <c:v>77.250000000000242</c:v>
                </c:pt>
                <c:pt idx="815">
                  <c:v>77.916666666666728</c:v>
                </c:pt>
                <c:pt idx="816">
                  <c:v>77.083333333333499</c:v>
                </c:pt>
                <c:pt idx="817">
                  <c:v>76.416666666666785</c:v>
                </c:pt>
                <c:pt idx="818">
                  <c:v>77.500000000000227</c:v>
                </c:pt>
                <c:pt idx="819">
                  <c:v>78.166666666666714</c:v>
                </c:pt>
                <c:pt idx="820">
                  <c:v>76.50000000000027</c:v>
                </c:pt>
                <c:pt idx="821">
                  <c:v>75.083333333333584</c:v>
                </c:pt>
                <c:pt idx="822">
                  <c:v>78.500000000000185</c:v>
                </c:pt>
                <c:pt idx="823">
                  <c:v>79.5833333333334</c:v>
                </c:pt>
                <c:pt idx="824">
                  <c:v>77.250000000000242</c:v>
                </c:pt>
                <c:pt idx="825">
                  <c:v>76.916666666666771</c:v>
                </c:pt>
                <c:pt idx="826">
                  <c:v>78.583333333333442</c:v>
                </c:pt>
                <c:pt idx="827">
                  <c:v>80.500000000000099</c:v>
                </c:pt>
                <c:pt idx="828">
                  <c:v>75.250000000000327</c:v>
                </c:pt>
                <c:pt idx="829">
                  <c:v>78.250000000000199</c:v>
                </c:pt>
                <c:pt idx="830">
                  <c:v>77.083333333333499</c:v>
                </c:pt>
                <c:pt idx="831">
                  <c:v>79.250000000000156</c:v>
                </c:pt>
                <c:pt idx="832">
                  <c:v>75.33333333333357</c:v>
                </c:pt>
                <c:pt idx="833">
                  <c:v>79.916666666666643</c:v>
                </c:pt>
                <c:pt idx="834">
                  <c:v>78.166666666666714</c:v>
                </c:pt>
                <c:pt idx="835">
                  <c:v>78.583333333333442</c:v>
                </c:pt>
                <c:pt idx="836">
                  <c:v>78.916666666666686</c:v>
                </c:pt>
                <c:pt idx="837">
                  <c:v>78.4166666666667</c:v>
                </c:pt>
                <c:pt idx="838">
                  <c:v>78.333333333333456</c:v>
                </c:pt>
                <c:pt idx="839">
                  <c:v>77.166666666666757</c:v>
                </c:pt>
                <c:pt idx="840">
                  <c:v>77.083333333333499</c:v>
                </c:pt>
                <c:pt idx="841">
                  <c:v>77.083333333333499</c:v>
                </c:pt>
                <c:pt idx="842">
                  <c:v>78.250000000000199</c:v>
                </c:pt>
                <c:pt idx="843">
                  <c:v>78.250000000000199</c:v>
                </c:pt>
                <c:pt idx="844">
                  <c:v>73.250000000000412</c:v>
                </c:pt>
                <c:pt idx="845">
                  <c:v>77.083333333333499</c:v>
                </c:pt>
                <c:pt idx="846">
                  <c:v>77.666666666666728</c:v>
                </c:pt>
                <c:pt idx="847">
                  <c:v>75.58333333333357</c:v>
                </c:pt>
                <c:pt idx="848">
                  <c:v>78.083333333333456</c:v>
                </c:pt>
                <c:pt idx="849">
                  <c:v>77.916666666666728</c:v>
                </c:pt>
                <c:pt idx="850">
                  <c:v>77.500000000000227</c:v>
                </c:pt>
                <c:pt idx="851">
                  <c:v>75.916666666666814</c:v>
                </c:pt>
                <c:pt idx="852">
                  <c:v>76.583333333333528</c:v>
                </c:pt>
                <c:pt idx="853">
                  <c:v>79.666666666666643</c:v>
                </c:pt>
                <c:pt idx="854">
                  <c:v>74.250000000000369</c:v>
                </c:pt>
                <c:pt idx="855">
                  <c:v>75.000000000000341</c:v>
                </c:pt>
                <c:pt idx="856">
                  <c:v>79.250000000000156</c:v>
                </c:pt>
                <c:pt idx="857">
                  <c:v>74.666666666666856</c:v>
                </c:pt>
                <c:pt idx="858">
                  <c:v>79.666666666666643</c:v>
                </c:pt>
                <c:pt idx="859">
                  <c:v>77.250000000000242</c:v>
                </c:pt>
                <c:pt idx="860">
                  <c:v>78.500000000000185</c:v>
                </c:pt>
                <c:pt idx="861">
                  <c:v>78.250000000000199</c:v>
                </c:pt>
                <c:pt idx="862">
                  <c:v>76.083333333333542</c:v>
                </c:pt>
                <c:pt idx="863">
                  <c:v>76.083333333333542</c:v>
                </c:pt>
                <c:pt idx="864">
                  <c:v>77.083333333333499</c:v>
                </c:pt>
                <c:pt idx="865">
                  <c:v>79.5833333333334</c:v>
                </c:pt>
                <c:pt idx="866">
                  <c:v>77.083333333333499</c:v>
                </c:pt>
                <c:pt idx="867">
                  <c:v>76.000000000000298</c:v>
                </c:pt>
                <c:pt idx="868">
                  <c:v>77.666666666666728</c:v>
                </c:pt>
                <c:pt idx="869">
                  <c:v>78.4166666666667</c:v>
                </c:pt>
                <c:pt idx="870">
                  <c:v>77.916666666666728</c:v>
                </c:pt>
                <c:pt idx="871">
                  <c:v>79.666666666666643</c:v>
                </c:pt>
                <c:pt idx="872">
                  <c:v>77.916666666666728</c:v>
                </c:pt>
                <c:pt idx="873">
                  <c:v>76.166666666666799</c:v>
                </c:pt>
                <c:pt idx="874">
                  <c:v>82.083333333333286</c:v>
                </c:pt>
                <c:pt idx="875">
                  <c:v>74.916666666666856</c:v>
                </c:pt>
                <c:pt idx="876">
                  <c:v>78.000000000000213</c:v>
                </c:pt>
                <c:pt idx="877">
                  <c:v>79.416666666666657</c:v>
                </c:pt>
                <c:pt idx="878">
                  <c:v>77.083333333333499</c:v>
                </c:pt>
                <c:pt idx="879">
                  <c:v>76.50000000000027</c:v>
                </c:pt>
                <c:pt idx="880">
                  <c:v>79.500000000000142</c:v>
                </c:pt>
                <c:pt idx="881">
                  <c:v>76.416666666666785</c:v>
                </c:pt>
                <c:pt idx="882">
                  <c:v>77.250000000000242</c:v>
                </c:pt>
                <c:pt idx="883">
                  <c:v>79.166666666666671</c:v>
                </c:pt>
                <c:pt idx="884">
                  <c:v>76.583333333333528</c:v>
                </c:pt>
                <c:pt idx="885">
                  <c:v>77.583333333333485</c:v>
                </c:pt>
                <c:pt idx="886">
                  <c:v>76.583333333333528</c:v>
                </c:pt>
                <c:pt idx="887">
                  <c:v>77.666666666666728</c:v>
                </c:pt>
                <c:pt idx="888">
                  <c:v>77.583333333333485</c:v>
                </c:pt>
                <c:pt idx="889">
                  <c:v>78.166666666666714</c:v>
                </c:pt>
                <c:pt idx="890">
                  <c:v>80.250000000000114</c:v>
                </c:pt>
                <c:pt idx="891">
                  <c:v>75.083333333333584</c:v>
                </c:pt>
                <c:pt idx="892">
                  <c:v>77.583333333333485</c:v>
                </c:pt>
                <c:pt idx="893">
                  <c:v>77.000000000000256</c:v>
                </c:pt>
                <c:pt idx="894">
                  <c:v>78.333333333333456</c:v>
                </c:pt>
                <c:pt idx="895">
                  <c:v>75.500000000000313</c:v>
                </c:pt>
                <c:pt idx="896">
                  <c:v>78.250000000000199</c:v>
                </c:pt>
                <c:pt idx="897">
                  <c:v>77.500000000000227</c:v>
                </c:pt>
                <c:pt idx="898">
                  <c:v>78.083333333333456</c:v>
                </c:pt>
                <c:pt idx="899">
                  <c:v>77.916666666666728</c:v>
                </c:pt>
                <c:pt idx="900">
                  <c:v>75.250000000000327</c:v>
                </c:pt>
                <c:pt idx="901">
                  <c:v>77.666666666666728</c:v>
                </c:pt>
                <c:pt idx="902">
                  <c:v>78.583333333333442</c:v>
                </c:pt>
                <c:pt idx="903">
                  <c:v>79.000000000000171</c:v>
                </c:pt>
                <c:pt idx="904">
                  <c:v>78.083333333333456</c:v>
                </c:pt>
                <c:pt idx="905">
                  <c:v>76.916666666666771</c:v>
                </c:pt>
                <c:pt idx="906">
                  <c:v>76.000000000000298</c:v>
                </c:pt>
                <c:pt idx="907">
                  <c:v>79.166666666666671</c:v>
                </c:pt>
                <c:pt idx="908">
                  <c:v>76.333333333333528</c:v>
                </c:pt>
                <c:pt idx="909">
                  <c:v>77.666666666666728</c:v>
                </c:pt>
                <c:pt idx="910">
                  <c:v>76.166666666666799</c:v>
                </c:pt>
                <c:pt idx="911">
                  <c:v>77.083333333333499</c:v>
                </c:pt>
                <c:pt idx="912">
                  <c:v>77.916666666666728</c:v>
                </c:pt>
                <c:pt idx="913">
                  <c:v>79.666666666666643</c:v>
                </c:pt>
                <c:pt idx="914">
                  <c:v>77.333333333333499</c:v>
                </c:pt>
                <c:pt idx="915">
                  <c:v>75.166666666666842</c:v>
                </c:pt>
                <c:pt idx="916">
                  <c:v>77.500000000000227</c:v>
                </c:pt>
                <c:pt idx="917">
                  <c:v>75.58333333333357</c:v>
                </c:pt>
                <c:pt idx="918">
                  <c:v>77.000000000000256</c:v>
                </c:pt>
                <c:pt idx="919">
                  <c:v>78.916666666666686</c:v>
                </c:pt>
                <c:pt idx="920">
                  <c:v>77.083333333333499</c:v>
                </c:pt>
                <c:pt idx="921">
                  <c:v>76.666666666666771</c:v>
                </c:pt>
                <c:pt idx="922">
                  <c:v>77.500000000000227</c:v>
                </c:pt>
                <c:pt idx="923">
                  <c:v>75.500000000000313</c:v>
                </c:pt>
                <c:pt idx="924">
                  <c:v>78.000000000000213</c:v>
                </c:pt>
                <c:pt idx="925">
                  <c:v>78.583333333333442</c:v>
                </c:pt>
                <c:pt idx="926">
                  <c:v>77.333333333333499</c:v>
                </c:pt>
                <c:pt idx="927">
                  <c:v>76.50000000000027</c:v>
                </c:pt>
                <c:pt idx="928">
                  <c:v>76.250000000000284</c:v>
                </c:pt>
                <c:pt idx="929">
                  <c:v>76.916666666666771</c:v>
                </c:pt>
                <c:pt idx="930">
                  <c:v>78.250000000000199</c:v>
                </c:pt>
                <c:pt idx="931">
                  <c:v>84.249999999999844</c:v>
                </c:pt>
                <c:pt idx="932">
                  <c:v>81.333333333333329</c:v>
                </c:pt>
                <c:pt idx="933">
                  <c:v>78.583333333333442</c:v>
                </c:pt>
                <c:pt idx="934">
                  <c:v>79.250000000000156</c:v>
                </c:pt>
                <c:pt idx="935">
                  <c:v>76.333333333333528</c:v>
                </c:pt>
                <c:pt idx="936">
                  <c:v>76.083333333333542</c:v>
                </c:pt>
                <c:pt idx="937">
                  <c:v>79.166666666666671</c:v>
                </c:pt>
                <c:pt idx="938">
                  <c:v>76.250000000000284</c:v>
                </c:pt>
                <c:pt idx="939">
                  <c:v>77.916666666666728</c:v>
                </c:pt>
                <c:pt idx="940">
                  <c:v>75.58333333333357</c:v>
                </c:pt>
                <c:pt idx="941">
                  <c:v>76.166666666666799</c:v>
                </c:pt>
                <c:pt idx="942">
                  <c:v>76.000000000000298</c:v>
                </c:pt>
                <c:pt idx="943">
                  <c:v>75.916666666666814</c:v>
                </c:pt>
                <c:pt idx="944">
                  <c:v>76.416666666666785</c:v>
                </c:pt>
                <c:pt idx="945">
                  <c:v>79.000000000000171</c:v>
                </c:pt>
                <c:pt idx="946">
                  <c:v>76.666666666666771</c:v>
                </c:pt>
                <c:pt idx="947">
                  <c:v>77.416666666666742</c:v>
                </c:pt>
                <c:pt idx="948">
                  <c:v>75.666666666666814</c:v>
                </c:pt>
                <c:pt idx="949">
                  <c:v>79.416666666666657</c:v>
                </c:pt>
                <c:pt idx="950">
                  <c:v>78.333333333333456</c:v>
                </c:pt>
                <c:pt idx="951">
                  <c:v>78.000000000000213</c:v>
                </c:pt>
                <c:pt idx="952">
                  <c:v>78.333333333333456</c:v>
                </c:pt>
                <c:pt idx="953">
                  <c:v>76.916666666666771</c:v>
                </c:pt>
                <c:pt idx="954">
                  <c:v>75.166666666666842</c:v>
                </c:pt>
                <c:pt idx="955">
                  <c:v>80.083333333333371</c:v>
                </c:pt>
                <c:pt idx="956">
                  <c:v>76.583333333333528</c:v>
                </c:pt>
                <c:pt idx="957">
                  <c:v>76.583333333333528</c:v>
                </c:pt>
                <c:pt idx="958">
                  <c:v>76.583333333333528</c:v>
                </c:pt>
                <c:pt idx="959">
                  <c:v>75.250000000000327</c:v>
                </c:pt>
                <c:pt idx="960">
                  <c:v>76.083333333333542</c:v>
                </c:pt>
                <c:pt idx="961">
                  <c:v>74.916666666666856</c:v>
                </c:pt>
                <c:pt idx="962">
                  <c:v>77.583333333333485</c:v>
                </c:pt>
                <c:pt idx="963">
                  <c:v>76.083333333333542</c:v>
                </c:pt>
                <c:pt idx="964">
                  <c:v>77.000000000000256</c:v>
                </c:pt>
                <c:pt idx="965">
                  <c:v>77.083333333333499</c:v>
                </c:pt>
                <c:pt idx="966">
                  <c:v>79.250000000000156</c:v>
                </c:pt>
                <c:pt idx="967">
                  <c:v>78.083333333333456</c:v>
                </c:pt>
                <c:pt idx="968">
                  <c:v>77.333333333333499</c:v>
                </c:pt>
                <c:pt idx="969">
                  <c:v>80.250000000000114</c:v>
                </c:pt>
                <c:pt idx="970">
                  <c:v>78.000000000000213</c:v>
                </c:pt>
                <c:pt idx="971">
                  <c:v>76.083333333333542</c:v>
                </c:pt>
                <c:pt idx="972">
                  <c:v>79.083333333333414</c:v>
                </c:pt>
                <c:pt idx="973">
                  <c:v>78.583333333333442</c:v>
                </c:pt>
                <c:pt idx="974">
                  <c:v>76.416666666666785</c:v>
                </c:pt>
                <c:pt idx="975">
                  <c:v>78.166666666666714</c:v>
                </c:pt>
                <c:pt idx="976">
                  <c:v>75.416666666666828</c:v>
                </c:pt>
                <c:pt idx="977">
                  <c:v>76.416666666666785</c:v>
                </c:pt>
                <c:pt idx="978">
                  <c:v>75.666666666666814</c:v>
                </c:pt>
                <c:pt idx="979">
                  <c:v>74.583333333333613</c:v>
                </c:pt>
                <c:pt idx="980">
                  <c:v>78.583333333333442</c:v>
                </c:pt>
                <c:pt idx="981">
                  <c:v>74.250000000000369</c:v>
                </c:pt>
                <c:pt idx="982">
                  <c:v>79.083333333333414</c:v>
                </c:pt>
                <c:pt idx="983">
                  <c:v>76.50000000000027</c:v>
                </c:pt>
                <c:pt idx="984">
                  <c:v>80.166666666666629</c:v>
                </c:pt>
                <c:pt idx="985">
                  <c:v>76.50000000000027</c:v>
                </c:pt>
                <c:pt idx="986">
                  <c:v>76.416666666666785</c:v>
                </c:pt>
                <c:pt idx="987">
                  <c:v>75.58333333333357</c:v>
                </c:pt>
                <c:pt idx="988">
                  <c:v>78.500000000000185</c:v>
                </c:pt>
                <c:pt idx="989">
                  <c:v>79.666666666666643</c:v>
                </c:pt>
                <c:pt idx="990">
                  <c:v>76.916666666666771</c:v>
                </c:pt>
                <c:pt idx="991">
                  <c:v>79.250000000000156</c:v>
                </c:pt>
                <c:pt idx="992">
                  <c:v>74.583333333333613</c:v>
                </c:pt>
                <c:pt idx="993">
                  <c:v>76.583333333333528</c:v>
                </c:pt>
                <c:pt idx="994">
                  <c:v>78.333333333333456</c:v>
                </c:pt>
                <c:pt idx="995">
                  <c:v>77.500000000000227</c:v>
                </c:pt>
                <c:pt idx="996">
                  <c:v>76.916666666666771</c:v>
                </c:pt>
                <c:pt idx="997">
                  <c:v>75.916666666666814</c:v>
                </c:pt>
                <c:pt idx="998">
                  <c:v>78.583333333333442</c:v>
                </c:pt>
                <c:pt idx="999">
                  <c:v>76.916666666666771</c:v>
                </c:pt>
                <c:pt idx="1000">
                  <c:v>76.916666666666771</c:v>
                </c:pt>
                <c:pt idx="1001">
                  <c:v>78.4166666666667</c:v>
                </c:pt>
                <c:pt idx="1002">
                  <c:v>78.4166666666667</c:v>
                </c:pt>
                <c:pt idx="1003">
                  <c:v>77.416666666666742</c:v>
                </c:pt>
                <c:pt idx="1004">
                  <c:v>76.250000000000284</c:v>
                </c:pt>
                <c:pt idx="1005">
                  <c:v>78.500000000000185</c:v>
                </c:pt>
                <c:pt idx="1006">
                  <c:v>80.000000000000128</c:v>
                </c:pt>
                <c:pt idx="1007">
                  <c:v>98.333333333331893</c:v>
                </c:pt>
                <c:pt idx="1008">
                  <c:v>81.250000000000071</c:v>
                </c:pt>
                <c:pt idx="1009">
                  <c:v>74.333333333333613</c:v>
                </c:pt>
                <c:pt idx="1010">
                  <c:v>78.333333333333456</c:v>
                </c:pt>
                <c:pt idx="1011">
                  <c:v>75.250000000000327</c:v>
                </c:pt>
                <c:pt idx="1012">
                  <c:v>74.666666666666856</c:v>
                </c:pt>
                <c:pt idx="1013">
                  <c:v>77.916666666666728</c:v>
                </c:pt>
                <c:pt idx="1014">
                  <c:v>78.500000000000185</c:v>
                </c:pt>
                <c:pt idx="1015">
                  <c:v>75.500000000000313</c:v>
                </c:pt>
                <c:pt idx="1016">
                  <c:v>77.666666666666728</c:v>
                </c:pt>
                <c:pt idx="1017">
                  <c:v>77.166666666666757</c:v>
                </c:pt>
                <c:pt idx="1018">
                  <c:v>78.333333333333456</c:v>
                </c:pt>
                <c:pt idx="1019">
                  <c:v>75.416666666666828</c:v>
                </c:pt>
                <c:pt idx="1020">
                  <c:v>75.500000000000313</c:v>
                </c:pt>
                <c:pt idx="1021">
                  <c:v>79.166666666666671</c:v>
                </c:pt>
                <c:pt idx="1022">
                  <c:v>73.500000000000398</c:v>
                </c:pt>
                <c:pt idx="1023">
                  <c:v>76.666666666666771</c:v>
                </c:pt>
                <c:pt idx="1024">
                  <c:v>77.083333333333499</c:v>
                </c:pt>
                <c:pt idx="1025">
                  <c:v>77.166666666666757</c:v>
                </c:pt>
                <c:pt idx="1026">
                  <c:v>77.583333333333485</c:v>
                </c:pt>
                <c:pt idx="1027">
                  <c:v>79.166666666666671</c:v>
                </c:pt>
                <c:pt idx="1028">
                  <c:v>78.166666666666714</c:v>
                </c:pt>
                <c:pt idx="1029">
                  <c:v>74.916666666666856</c:v>
                </c:pt>
                <c:pt idx="1030">
                  <c:v>77.333333333333499</c:v>
                </c:pt>
                <c:pt idx="1031">
                  <c:v>76.916666666666771</c:v>
                </c:pt>
                <c:pt idx="1032">
                  <c:v>77.083333333333499</c:v>
                </c:pt>
                <c:pt idx="1033">
                  <c:v>76.583333333333528</c:v>
                </c:pt>
                <c:pt idx="1034">
                  <c:v>75.916666666666814</c:v>
                </c:pt>
                <c:pt idx="1035">
                  <c:v>78.250000000000199</c:v>
                </c:pt>
                <c:pt idx="1036">
                  <c:v>78.583333333333442</c:v>
                </c:pt>
                <c:pt idx="1037">
                  <c:v>79.333333333333414</c:v>
                </c:pt>
                <c:pt idx="1038">
                  <c:v>75.500000000000313</c:v>
                </c:pt>
                <c:pt idx="1039">
                  <c:v>78.166666666666714</c:v>
                </c:pt>
                <c:pt idx="1040">
                  <c:v>75.916666666666814</c:v>
                </c:pt>
                <c:pt idx="1041">
                  <c:v>74.166666666666885</c:v>
                </c:pt>
                <c:pt idx="1042">
                  <c:v>79.000000000000171</c:v>
                </c:pt>
                <c:pt idx="1043">
                  <c:v>78.666666666666686</c:v>
                </c:pt>
                <c:pt idx="1044">
                  <c:v>76.250000000000284</c:v>
                </c:pt>
                <c:pt idx="1045">
                  <c:v>76.916666666666771</c:v>
                </c:pt>
                <c:pt idx="1046">
                  <c:v>78.4166666666667</c:v>
                </c:pt>
                <c:pt idx="1047">
                  <c:v>79.916666666666643</c:v>
                </c:pt>
                <c:pt idx="1048">
                  <c:v>75.000000000000341</c:v>
                </c:pt>
                <c:pt idx="1049">
                  <c:v>72.16666666666697</c:v>
                </c:pt>
                <c:pt idx="1050">
                  <c:v>79.5833333333334</c:v>
                </c:pt>
                <c:pt idx="1051">
                  <c:v>78.000000000000213</c:v>
                </c:pt>
                <c:pt idx="1052">
                  <c:v>77.250000000000242</c:v>
                </c:pt>
                <c:pt idx="1053">
                  <c:v>77.166666666666757</c:v>
                </c:pt>
                <c:pt idx="1054">
                  <c:v>76.666666666666771</c:v>
                </c:pt>
                <c:pt idx="1055">
                  <c:v>75.916666666666814</c:v>
                </c:pt>
                <c:pt idx="1056">
                  <c:v>76.583333333333528</c:v>
                </c:pt>
                <c:pt idx="1057">
                  <c:v>74.666666666666856</c:v>
                </c:pt>
                <c:pt idx="1058">
                  <c:v>79.333333333333414</c:v>
                </c:pt>
                <c:pt idx="1059">
                  <c:v>74.41666666666687</c:v>
                </c:pt>
                <c:pt idx="1060">
                  <c:v>75.250000000000327</c:v>
                </c:pt>
                <c:pt idx="1061">
                  <c:v>77.000000000000256</c:v>
                </c:pt>
                <c:pt idx="1062">
                  <c:v>76.50000000000027</c:v>
                </c:pt>
                <c:pt idx="1063">
                  <c:v>75.58333333333357</c:v>
                </c:pt>
                <c:pt idx="1064">
                  <c:v>76.583333333333528</c:v>
                </c:pt>
                <c:pt idx="1065">
                  <c:v>78.166666666666714</c:v>
                </c:pt>
                <c:pt idx="1066">
                  <c:v>77.666666666666728</c:v>
                </c:pt>
                <c:pt idx="1067">
                  <c:v>77.916666666666728</c:v>
                </c:pt>
                <c:pt idx="1068">
                  <c:v>79.416666666666657</c:v>
                </c:pt>
                <c:pt idx="1069">
                  <c:v>77.333333333333499</c:v>
                </c:pt>
                <c:pt idx="1070">
                  <c:v>77.916666666666728</c:v>
                </c:pt>
                <c:pt idx="1071">
                  <c:v>79.333333333333414</c:v>
                </c:pt>
                <c:pt idx="1072">
                  <c:v>77.583333333333485</c:v>
                </c:pt>
                <c:pt idx="1073">
                  <c:v>79.250000000000156</c:v>
                </c:pt>
                <c:pt idx="1074">
                  <c:v>78.250000000000199</c:v>
                </c:pt>
                <c:pt idx="1075">
                  <c:v>77.916666666666728</c:v>
                </c:pt>
                <c:pt idx="1076">
                  <c:v>76.583333333333528</c:v>
                </c:pt>
                <c:pt idx="1077">
                  <c:v>77.666666666666728</c:v>
                </c:pt>
                <c:pt idx="1078">
                  <c:v>77.916666666666728</c:v>
                </c:pt>
                <c:pt idx="1079">
                  <c:v>77.500000000000227</c:v>
                </c:pt>
                <c:pt idx="1080">
                  <c:v>77.666666666666728</c:v>
                </c:pt>
                <c:pt idx="1081">
                  <c:v>77.000000000000256</c:v>
                </c:pt>
                <c:pt idx="1082">
                  <c:v>78.000000000000213</c:v>
                </c:pt>
                <c:pt idx="1083">
                  <c:v>77.916666666666728</c:v>
                </c:pt>
                <c:pt idx="1084">
                  <c:v>76.250000000000284</c:v>
                </c:pt>
                <c:pt idx="1085">
                  <c:v>77.416666666666742</c:v>
                </c:pt>
                <c:pt idx="1086">
                  <c:v>77.000000000000256</c:v>
                </c:pt>
                <c:pt idx="1087">
                  <c:v>74.583333333333613</c:v>
                </c:pt>
                <c:pt idx="1088">
                  <c:v>77.166666666666757</c:v>
                </c:pt>
                <c:pt idx="1089">
                  <c:v>74.333333333333613</c:v>
                </c:pt>
                <c:pt idx="1090">
                  <c:v>76.000000000000298</c:v>
                </c:pt>
                <c:pt idx="1091">
                  <c:v>79.250000000000156</c:v>
                </c:pt>
                <c:pt idx="1092">
                  <c:v>76.416666666666785</c:v>
                </c:pt>
                <c:pt idx="1093">
                  <c:v>76.166666666666799</c:v>
                </c:pt>
                <c:pt idx="1094">
                  <c:v>80.333333333333371</c:v>
                </c:pt>
                <c:pt idx="1095">
                  <c:v>75.58333333333357</c:v>
                </c:pt>
                <c:pt idx="1096">
                  <c:v>74.500000000000355</c:v>
                </c:pt>
                <c:pt idx="1097">
                  <c:v>77.250000000000242</c:v>
                </c:pt>
                <c:pt idx="1098">
                  <c:v>77.250000000000242</c:v>
                </c:pt>
                <c:pt idx="1099">
                  <c:v>77.083333333333499</c:v>
                </c:pt>
                <c:pt idx="1100">
                  <c:v>75.166666666666842</c:v>
                </c:pt>
                <c:pt idx="1101">
                  <c:v>76.50000000000027</c:v>
                </c:pt>
                <c:pt idx="1102">
                  <c:v>75.083333333333584</c:v>
                </c:pt>
                <c:pt idx="1103">
                  <c:v>78.583333333333442</c:v>
                </c:pt>
                <c:pt idx="1104">
                  <c:v>82.083333333333286</c:v>
                </c:pt>
                <c:pt idx="1105">
                  <c:v>75.33333333333357</c:v>
                </c:pt>
                <c:pt idx="1106">
                  <c:v>80.333333333333371</c:v>
                </c:pt>
                <c:pt idx="1107">
                  <c:v>77.000000000000256</c:v>
                </c:pt>
                <c:pt idx="1108">
                  <c:v>79.333333333333414</c:v>
                </c:pt>
                <c:pt idx="1109">
                  <c:v>75.58333333333357</c:v>
                </c:pt>
                <c:pt idx="1110">
                  <c:v>77.916666666666728</c:v>
                </c:pt>
                <c:pt idx="1111">
                  <c:v>73.583333333333655</c:v>
                </c:pt>
                <c:pt idx="1112">
                  <c:v>79.000000000000171</c:v>
                </c:pt>
                <c:pt idx="1113">
                  <c:v>75.33333333333357</c:v>
                </c:pt>
                <c:pt idx="1114">
                  <c:v>77.500000000000227</c:v>
                </c:pt>
                <c:pt idx="1115">
                  <c:v>78.000000000000213</c:v>
                </c:pt>
                <c:pt idx="1116">
                  <c:v>78.083333333333456</c:v>
                </c:pt>
                <c:pt idx="1117">
                  <c:v>76.583333333333528</c:v>
                </c:pt>
                <c:pt idx="1118">
                  <c:v>76.583333333333528</c:v>
                </c:pt>
                <c:pt idx="1119">
                  <c:v>75.166666666666842</c:v>
                </c:pt>
                <c:pt idx="1120">
                  <c:v>81.083333333333329</c:v>
                </c:pt>
                <c:pt idx="1121">
                  <c:v>73.250000000000412</c:v>
                </c:pt>
                <c:pt idx="1122">
                  <c:v>77.916666666666728</c:v>
                </c:pt>
                <c:pt idx="1123">
                  <c:v>77.583333333333485</c:v>
                </c:pt>
                <c:pt idx="1124">
                  <c:v>77.416666666666742</c:v>
                </c:pt>
                <c:pt idx="1125">
                  <c:v>77.166666666666757</c:v>
                </c:pt>
                <c:pt idx="1126">
                  <c:v>78.166666666666714</c:v>
                </c:pt>
                <c:pt idx="1127">
                  <c:v>79.250000000000156</c:v>
                </c:pt>
                <c:pt idx="1128">
                  <c:v>78.333333333333456</c:v>
                </c:pt>
                <c:pt idx="1129">
                  <c:v>77.583333333333485</c:v>
                </c:pt>
                <c:pt idx="1130">
                  <c:v>75.58333333333357</c:v>
                </c:pt>
                <c:pt idx="1131">
                  <c:v>79.5833333333334</c:v>
                </c:pt>
                <c:pt idx="1132">
                  <c:v>78.000000000000213</c:v>
                </c:pt>
                <c:pt idx="1133">
                  <c:v>77.000000000000256</c:v>
                </c:pt>
                <c:pt idx="1134">
                  <c:v>76.166666666666799</c:v>
                </c:pt>
                <c:pt idx="1135">
                  <c:v>79.333333333333414</c:v>
                </c:pt>
                <c:pt idx="1136">
                  <c:v>76.416666666666785</c:v>
                </c:pt>
                <c:pt idx="1137">
                  <c:v>77.166666666666757</c:v>
                </c:pt>
                <c:pt idx="1138">
                  <c:v>76.50000000000027</c:v>
                </c:pt>
                <c:pt idx="1139">
                  <c:v>78.500000000000185</c:v>
                </c:pt>
                <c:pt idx="1140">
                  <c:v>76.083333333333542</c:v>
                </c:pt>
                <c:pt idx="1141">
                  <c:v>72.500000000000441</c:v>
                </c:pt>
                <c:pt idx="1142">
                  <c:v>77.583333333333485</c:v>
                </c:pt>
                <c:pt idx="1143">
                  <c:v>76.333333333333528</c:v>
                </c:pt>
                <c:pt idx="1144">
                  <c:v>78.083333333333456</c:v>
                </c:pt>
                <c:pt idx="1145">
                  <c:v>78.083333333333456</c:v>
                </c:pt>
                <c:pt idx="1146">
                  <c:v>76.333333333333528</c:v>
                </c:pt>
                <c:pt idx="1147">
                  <c:v>75.083333333333584</c:v>
                </c:pt>
                <c:pt idx="1148">
                  <c:v>78.583333333333442</c:v>
                </c:pt>
                <c:pt idx="1149">
                  <c:v>78.083333333333456</c:v>
                </c:pt>
                <c:pt idx="1150">
                  <c:v>78.333333333333456</c:v>
                </c:pt>
                <c:pt idx="1151">
                  <c:v>77.250000000000242</c:v>
                </c:pt>
                <c:pt idx="1152">
                  <c:v>78.166666666666714</c:v>
                </c:pt>
                <c:pt idx="1153">
                  <c:v>77.583333333333485</c:v>
                </c:pt>
                <c:pt idx="1154">
                  <c:v>79.166666666666671</c:v>
                </c:pt>
                <c:pt idx="1155">
                  <c:v>76.166666666666799</c:v>
                </c:pt>
                <c:pt idx="1156">
                  <c:v>79.333333333333414</c:v>
                </c:pt>
                <c:pt idx="1157">
                  <c:v>79.083333333333414</c:v>
                </c:pt>
                <c:pt idx="1158">
                  <c:v>75.33333333333357</c:v>
                </c:pt>
                <c:pt idx="1159">
                  <c:v>77.250000000000242</c:v>
                </c:pt>
                <c:pt idx="1160">
                  <c:v>76.333333333333528</c:v>
                </c:pt>
                <c:pt idx="1161">
                  <c:v>77.500000000000227</c:v>
                </c:pt>
                <c:pt idx="1162">
                  <c:v>79.500000000000142</c:v>
                </c:pt>
                <c:pt idx="1163">
                  <c:v>78.083333333333456</c:v>
                </c:pt>
                <c:pt idx="1164">
                  <c:v>76.50000000000027</c:v>
                </c:pt>
                <c:pt idx="1165">
                  <c:v>76.666666666666771</c:v>
                </c:pt>
                <c:pt idx="1166">
                  <c:v>77.916666666666728</c:v>
                </c:pt>
                <c:pt idx="1167">
                  <c:v>75.250000000000327</c:v>
                </c:pt>
                <c:pt idx="1168">
                  <c:v>77.083333333333499</c:v>
                </c:pt>
                <c:pt idx="1169">
                  <c:v>79.166666666666671</c:v>
                </c:pt>
                <c:pt idx="1170">
                  <c:v>78.666666666666686</c:v>
                </c:pt>
                <c:pt idx="1171">
                  <c:v>77.250000000000242</c:v>
                </c:pt>
                <c:pt idx="1172">
                  <c:v>77.083333333333499</c:v>
                </c:pt>
                <c:pt idx="1173">
                  <c:v>79.416666666666657</c:v>
                </c:pt>
                <c:pt idx="1174">
                  <c:v>79.250000000000156</c:v>
                </c:pt>
                <c:pt idx="1175">
                  <c:v>76.000000000000298</c:v>
                </c:pt>
                <c:pt idx="1176">
                  <c:v>75.250000000000327</c:v>
                </c:pt>
                <c:pt idx="1177">
                  <c:v>74.500000000000355</c:v>
                </c:pt>
                <c:pt idx="1178">
                  <c:v>82.000000000000028</c:v>
                </c:pt>
                <c:pt idx="1179">
                  <c:v>76.583333333333528</c:v>
                </c:pt>
                <c:pt idx="1180">
                  <c:v>76.000000000000298</c:v>
                </c:pt>
                <c:pt idx="1181">
                  <c:v>77.250000000000242</c:v>
                </c:pt>
                <c:pt idx="1182">
                  <c:v>80.583333333333357</c:v>
                </c:pt>
                <c:pt idx="1183">
                  <c:v>77.250000000000242</c:v>
                </c:pt>
                <c:pt idx="1184">
                  <c:v>79.5833333333334</c:v>
                </c:pt>
                <c:pt idx="1185">
                  <c:v>77.000000000000256</c:v>
                </c:pt>
                <c:pt idx="1186">
                  <c:v>77.166666666666757</c:v>
                </c:pt>
                <c:pt idx="1187">
                  <c:v>78.333333333333456</c:v>
                </c:pt>
                <c:pt idx="1188">
                  <c:v>78.083333333333456</c:v>
                </c:pt>
                <c:pt idx="1189">
                  <c:v>76.583333333333528</c:v>
                </c:pt>
                <c:pt idx="1190">
                  <c:v>81.083333333333329</c:v>
                </c:pt>
                <c:pt idx="1191">
                  <c:v>75.58333333333357</c:v>
                </c:pt>
                <c:pt idx="1192">
                  <c:v>78.250000000000199</c:v>
                </c:pt>
                <c:pt idx="1193">
                  <c:v>76.333333333333528</c:v>
                </c:pt>
                <c:pt idx="1194">
                  <c:v>84.166666666666359</c:v>
                </c:pt>
                <c:pt idx="1195">
                  <c:v>75.58333333333357</c:v>
                </c:pt>
                <c:pt idx="1196">
                  <c:v>77.000000000000256</c:v>
                </c:pt>
                <c:pt idx="1197">
                  <c:v>78.250000000000199</c:v>
                </c:pt>
                <c:pt idx="1198">
                  <c:v>78.916666666666686</c:v>
                </c:pt>
                <c:pt idx="1199">
                  <c:v>77.083333333333499</c:v>
                </c:pt>
                <c:pt idx="1200">
                  <c:v>76.666666666666771</c:v>
                </c:pt>
                <c:pt idx="1201">
                  <c:v>76.50000000000027</c:v>
                </c:pt>
                <c:pt idx="1202">
                  <c:v>77.416666666666742</c:v>
                </c:pt>
                <c:pt idx="1203">
                  <c:v>75.33333333333357</c:v>
                </c:pt>
                <c:pt idx="1204">
                  <c:v>76.416666666666785</c:v>
                </c:pt>
                <c:pt idx="1205">
                  <c:v>79.083333333333414</c:v>
                </c:pt>
                <c:pt idx="1206">
                  <c:v>76.333333333333528</c:v>
                </c:pt>
                <c:pt idx="1207">
                  <c:v>75.000000000000341</c:v>
                </c:pt>
                <c:pt idx="1208">
                  <c:v>75.166666666666842</c:v>
                </c:pt>
                <c:pt idx="1209">
                  <c:v>81.416666666666572</c:v>
                </c:pt>
                <c:pt idx="1210">
                  <c:v>76.416666666666785</c:v>
                </c:pt>
                <c:pt idx="1211">
                  <c:v>78.083333333333456</c:v>
                </c:pt>
                <c:pt idx="1212">
                  <c:v>77.083333333333499</c:v>
                </c:pt>
                <c:pt idx="1213">
                  <c:v>78.583333333333442</c:v>
                </c:pt>
                <c:pt idx="1214">
                  <c:v>77.333333333333499</c:v>
                </c:pt>
                <c:pt idx="1215">
                  <c:v>76.666666666666771</c:v>
                </c:pt>
                <c:pt idx="1216">
                  <c:v>75.916666666666814</c:v>
                </c:pt>
                <c:pt idx="1217">
                  <c:v>75.33333333333357</c:v>
                </c:pt>
                <c:pt idx="1218">
                  <c:v>77.000000000000256</c:v>
                </c:pt>
                <c:pt idx="1219">
                  <c:v>76.916666666666771</c:v>
                </c:pt>
                <c:pt idx="1220">
                  <c:v>75.416666666666828</c:v>
                </c:pt>
                <c:pt idx="1221">
                  <c:v>76.000000000000298</c:v>
                </c:pt>
                <c:pt idx="1222">
                  <c:v>77.583333333333485</c:v>
                </c:pt>
                <c:pt idx="1223">
                  <c:v>78.166666666666714</c:v>
                </c:pt>
                <c:pt idx="1224">
                  <c:v>76.333333333333528</c:v>
                </c:pt>
                <c:pt idx="1225">
                  <c:v>77.916666666666728</c:v>
                </c:pt>
                <c:pt idx="1226">
                  <c:v>76.50000000000027</c:v>
                </c:pt>
                <c:pt idx="1227">
                  <c:v>77.000000000000256</c:v>
                </c:pt>
                <c:pt idx="1228">
                  <c:v>74.41666666666687</c:v>
                </c:pt>
                <c:pt idx="1229">
                  <c:v>78.666666666666686</c:v>
                </c:pt>
                <c:pt idx="1230">
                  <c:v>75.916666666666814</c:v>
                </c:pt>
                <c:pt idx="1231">
                  <c:v>77.583333333333485</c:v>
                </c:pt>
                <c:pt idx="1232">
                  <c:v>81.166666666666586</c:v>
                </c:pt>
                <c:pt idx="1233">
                  <c:v>75.58333333333357</c:v>
                </c:pt>
                <c:pt idx="1234">
                  <c:v>75.250000000000327</c:v>
                </c:pt>
                <c:pt idx="1235">
                  <c:v>73.666666666666899</c:v>
                </c:pt>
                <c:pt idx="1236">
                  <c:v>82.166666666666529</c:v>
                </c:pt>
                <c:pt idx="1237">
                  <c:v>80.250000000000114</c:v>
                </c:pt>
                <c:pt idx="1238">
                  <c:v>77.166666666666757</c:v>
                </c:pt>
                <c:pt idx="1239">
                  <c:v>76.666666666666771</c:v>
                </c:pt>
                <c:pt idx="1240">
                  <c:v>78.583333333333442</c:v>
                </c:pt>
                <c:pt idx="1241">
                  <c:v>75.416666666666828</c:v>
                </c:pt>
                <c:pt idx="1242">
                  <c:v>78.4166666666667</c:v>
                </c:pt>
                <c:pt idx="1243">
                  <c:v>76.50000000000027</c:v>
                </c:pt>
                <c:pt idx="1244">
                  <c:v>75.916666666666814</c:v>
                </c:pt>
                <c:pt idx="1245">
                  <c:v>76.666666666666771</c:v>
                </c:pt>
                <c:pt idx="1246">
                  <c:v>79.083333333333414</c:v>
                </c:pt>
                <c:pt idx="1247">
                  <c:v>77.000000000000256</c:v>
                </c:pt>
                <c:pt idx="1248">
                  <c:v>78.4166666666667</c:v>
                </c:pt>
                <c:pt idx="1249">
                  <c:v>76.50000000000027</c:v>
                </c:pt>
                <c:pt idx="1250">
                  <c:v>78.000000000000213</c:v>
                </c:pt>
                <c:pt idx="1251">
                  <c:v>77.583333333333485</c:v>
                </c:pt>
                <c:pt idx="1252">
                  <c:v>76.083333333333542</c:v>
                </c:pt>
                <c:pt idx="1253">
                  <c:v>78.4166666666667</c:v>
                </c:pt>
                <c:pt idx="1254">
                  <c:v>76.416666666666785</c:v>
                </c:pt>
                <c:pt idx="1255">
                  <c:v>75.250000000000327</c:v>
                </c:pt>
                <c:pt idx="1256">
                  <c:v>77.333333333333499</c:v>
                </c:pt>
                <c:pt idx="1257">
                  <c:v>78.166666666666714</c:v>
                </c:pt>
                <c:pt idx="1258">
                  <c:v>76.333333333333528</c:v>
                </c:pt>
                <c:pt idx="1259">
                  <c:v>75.000000000000341</c:v>
                </c:pt>
                <c:pt idx="1260">
                  <c:v>78.583333333333442</c:v>
                </c:pt>
                <c:pt idx="1261">
                  <c:v>88.249999999999503</c:v>
                </c:pt>
                <c:pt idx="1262">
                  <c:v>75.916666666666814</c:v>
                </c:pt>
                <c:pt idx="1263">
                  <c:v>77.500000000000227</c:v>
                </c:pt>
                <c:pt idx="1264">
                  <c:v>77.333333333333499</c:v>
                </c:pt>
                <c:pt idx="1265">
                  <c:v>76.583333333333528</c:v>
                </c:pt>
                <c:pt idx="1266">
                  <c:v>77.333333333333499</c:v>
                </c:pt>
                <c:pt idx="1267">
                  <c:v>74.41666666666687</c:v>
                </c:pt>
                <c:pt idx="1268">
                  <c:v>76.250000000000284</c:v>
                </c:pt>
                <c:pt idx="1269">
                  <c:v>79.166666666666671</c:v>
                </c:pt>
                <c:pt idx="1270">
                  <c:v>77.916666666666728</c:v>
                </c:pt>
                <c:pt idx="1271">
                  <c:v>76.083333333333542</c:v>
                </c:pt>
                <c:pt idx="1272">
                  <c:v>78.500000000000185</c:v>
                </c:pt>
                <c:pt idx="1273">
                  <c:v>78.916666666666686</c:v>
                </c:pt>
                <c:pt idx="1274">
                  <c:v>79.666666666666643</c:v>
                </c:pt>
                <c:pt idx="1275">
                  <c:v>77.666666666666728</c:v>
                </c:pt>
                <c:pt idx="1276">
                  <c:v>77.250000000000242</c:v>
                </c:pt>
                <c:pt idx="1277">
                  <c:v>75.500000000000313</c:v>
                </c:pt>
                <c:pt idx="1278">
                  <c:v>76.50000000000027</c:v>
                </c:pt>
                <c:pt idx="1279">
                  <c:v>76.000000000000298</c:v>
                </c:pt>
                <c:pt idx="1280">
                  <c:v>75.33333333333357</c:v>
                </c:pt>
                <c:pt idx="1281">
                  <c:v>77.083333333333499</c:v>
                </c:pt>
                <c:pt idx="1282">
                  <c:v>76.50000000000027</c:v>
                </c:pt>
                <c:pt idx="1283">
                  <c:v>76.416666666666785</c:v>
                </c:pt>
                <c:pt idx="1284">
                  <c:v>76.083333333333542</c:v>
                </c:pt>
                <c:pt idx="1285">
                  <c:v>77.333333333333499</c:v>
                </c:pt>
                <c:pt idx="1286">
                  <c:v>76.666666666666771</c:v>
                </c:pt>
                <c:pt idx="1287">
                  <c:v>79.083333333333414</c:v>
                </c:pt>
                <c:pt idx="1288">
                  <c:v>77.583333333333485</c:v>
                </c:pt>
                <c:pt idx="1289">
                  <c:v>77.583333333333485</c:v>
                </c:pt>
                <c:pt idx="1290">
                  <c:v>77.916666666666728</c:v>
                </c:pt>
                <c:pt idx="1291">
                  <c:v>76.416666666666785</c:v>
                </c:pt>
                <c:pt idx="1292">
                  <c:v>78.250000000000199</c:v>
                </c:pt>
                <c:pt idx="1293">
                  <c:v>78.000000000000213</c:v>
                </c:pt>
                <c:pt idx="1294">
                  <c:v>80.583333333333357</c:v>
                </c:pt>
                <c:pt idx="1295">
                  <c:v>77.916666666666728</c:v>
                </c:pt>
                <c:pt idx="1296">
                  <c:v>78.250000000000199</c:v>
                </c:pt>
                <c:pt idx="1297">
                  <c:v>77.583333333333485</c:v>
                </c:pt>
                <c:pt idx="1298">
                  <c:v>80.416666666666615</c:v>
                </c:pt>
                <c:pt idx="1299">
                  <c:v>74.666666666666856</c:v>
                </c:pt>
                <c:pt idx="1300">
                  <c:v>80.500000000000099</c:v>
                </c:pt>
                <c:pt idx="1301">
                  <c:v>79.916666666666643</c:v>
                </c:pt>
                <c:pt idx="1302">
                  <c:v>78.166666666666714</c:v>
                </c:pt>
                <c:pt idx="1303">
                  <c:v>79.500000000000142</c:v>
                </c:pt>
                <c:pt idx="1304">
                  <c:v>75.416666666666828</c:v>
                </c:pt>
                <c:pt idx="1305">
                  <c:v>77.583333333333485</c:v>
                </c:pt>
                <c:pt idx="1306">
                  <c:v>78.250000000000199</c:v>
                </c:pt>
                <c:pt idx="1307">
                  <c:v>77.333333333333499</c:v>
                </c:pt>
                <c:pt idx="1308">
                  <c:v>77.666666666666728</c:v>
                </c:pt>
                <c:pt idx="1309">
                  <c:v>78.4166666666667</c:v>
                </c:pt>
                <c:pt idx="1310">
                  <c:v>78.083333333333456</c:v>
                </c:pt>
                <c:pt idx="1311">
                  <c:v>76.916666666666771</c:v>
                </c:pt>
                <c:pt idx="1312">
                  <c:v>76.666666666666771</c:v>
                </c:pt>
                <c:pt idx="1313">
                  <c:v>84.666666666666316</c:v>
                </c:pt>
                <c:pt idx="1314">
                  <c:v>79.083333333333414</c:v>
                </c:pt>
                <c:pt idx="1315">
                  <c:v>77.916666666666728</c:v>
                </c:pt>
                <c:pt idx="1316">
                  <c:v>75.916666666666814</c:v>
                </c:pt>
                <c:pt idx="1317">
                  <c:v>75.500000000000313</c:v>
                </c:pt>
                <c:pt idx="1318">
                  <c:v>77.166666666666757</c:v>
                </c:pt>
                <c:pt idx="1319">
                  <c:v>77.333333333333499</c:v>
                </c:pt>
                <c:pt idx="1320">
                  <c:v>74.166666666666885</c:v>
                </c:pt>
                <c:pt idx="1321">
                  <c:v>77.166666666666757</c:v>
                </c:pt>
                <c:pt idx="1322">
                  <c:v>76.50000000000027</c:v>
                </c:pt>
                <c:pt idx="1323">
                  <c:v>76.250000000000284</c:v>
                </c:pt>
                <c:pt idx="1324">
                  <c:v>75.416666666666828</c:v>
                </c:pt>
                <c:pt idx="1325">
                  <c:v>77.916666666666728</c:v>
                </c:pt>
                <c:pt idx="1326">
                  <c:v>76.583333333333528</c:v>
                </c:pt>
                <c:pt idx="1327">
                  <c:v>75.000000000000341</c:v>
                </c:pt>
                <c:pt idx="1328">
                  <c:v>75.58333333333357</c:v>
                </c:pt>
                <c:pt idx="1329">
                  <c:v>79.500000000000142</c:v>
                </c:pt>
                <c:pt idx="1330">
                  <c:v>75.58333333333357</c:v>
                </c:pt>
                <c:pt idx="1331">
                  <c:v>75.416666666666828</c:v>
                </c:pt>
                <c:pt idx="1332">
                  <c:v>79.416666666666657</c:v>
                </c:pt>
                <c:pt idx="1333">
                  <c:v>76.50000000000027</c:v>
                </c:pt>
                <c:pt idx="1334">
                  <c:v>76.50000000000027</c:v>
                </c:pt>
                <c:pt idx="1335">
                  <c:v>77.666666666666728</c:v>
                </c:pt>
                <c:pt idx="1336">
                  <c:v>76.916666666666771</c:v>
                </c:pt>
                <c:pt idx="1337">
                  <c:v>77.583333333333485</c:v>
                </c:pt>
                <c:pt idx="1338">
                  <c:v>80.583333333333357</c:v>
                </c:pt>
                <c:pt idx="1339">
                  <c:v>77.416666666666742</c:v>
                </c:pt>
                <c:pt idx="1340">
                  <c:v>76.250000000000284</c:v>
                </c:pt>
                <c:pt idx="1341">
                  <c:v>75.416666666666828</c:v>
                </c:pt>
                <c:pt idx="1342">
                  <c:v>74.000000000000384</c:v>
                </c:pt>
                <c:pt idx="1343">
                  <c:v>75.083333333333584</c:v>
                </c:pt>
                <c:pt idx="1344">
                  <c:v>76.583333333333528</c:v>
                </c:pt>
                <c:pt idx="1345">
                  <c:v>76.916666666666771</c:v>
                </c:pt>
                <c:pt idx="1346">
                  <c:v>75.58333333333357</c:v>
                </c:pt>
                <c:pt idx="1347">
                  <c:v>79.166666666666671</c:v>
                </c:pt>
                <c:pt idx="1348">
                  <c:v>76.166666666666799</c:v>
                </c:pt>
                <c:pt idx="1349">
                  <c:v>78.083333333333456</c:v>
                </c:pt>
                <c:pt idx="1350">
                  <c:v>76.333333333333528</c:v>
                </c:pt>
                <c:pt idx="1351">
                  <c:v>76.166666666666799</c:v>
                </c:pt>
                <c:pt idx="1352">
                  <c:v>76.000000000000298</c:v>
                </c:pt>
                <c:pt idx="1353">
                  <c:v>82.166666666666529</c:v>
                </c:pt>
                <c:pt idx="1354">
                  <c:v>78.000000000000213</c:v>
                </c:pt>
                <c:pt idx="1355">
                  <c:v>76.416666666666785</c:v>
                </c:pt>
                <c:pt idx="1356">
                  <c:v>75.083333333333584</c:v>
                </c:pt>
                <c:pt idx="1357">
                  <c:v>76.083333333333542</c:v>
                </c:pt>
                <c:pt idx="1358">
                  <c:v>84.583333333333073</c:v>
                </c:pt>
                <c:pt idx="1359">
                  <c:v>77.333333333333499</c:v>
                </c:pt>
                <c:pt idx="1360">
                  <c:v>77.916666666666728</c:v>
                </c:pt>
                <c:pt idx="1361">
                  <c:v>77.166666666666757</c:v>
                </c:pt>
                <c:pt idx="1362">
                  <c:v>79.166666666666671</c:v>
                </c:pt>
                <c:pt idx="1363">
                  <c:v>79.500000000000142</c:v>
                </c:pt>
                <c:pt idx="1364">
                  <c:v>77.500000000000227</c:v>
                </c:pt>
                <c:pt idx="1365">
                  <c:v>84.416666666666345</c:v>
                </c:pt>
                <c:pt idx="1366">
                  <c:v>80.9166666666666</c:v>
                </c:pt>
                <c:pt idx="1367">
                  <c:v>75.500000000000313</c:v>
                </c:pt>
                <c:pt idx="1368">
                  <c:v>87.08333333333286</c:v>
                </c:pt>
              </c:numCache>
            </c:numRef>
          </c:xVal>
          <c:yVal>
            <c:numRef>
              <c:f>'1_Py3PG2Output'!$F$2:$F$1370</c:f>
              <c:numCache>
                <c:formatCode>General</c:formatCode>
                <c:ptCount val="1369"/>
                <c:pt idx="0">
                  <c:v>45.52872422489682</c:v>
                </c:pt>
                <c:pt idx="1">
                  <c:v>54.505926030094926</c:v>
                </c:pt>
                <c:pt idx="2">
                  <c:v>45.150870007847814</c:v>
                </c:pt>
                <c:pt idx="3">
                  <c:v>44.974785023592737</c:v>
                </c:pt>
                <c:pt idx="4">
                  <c:v>39.675456767754362</c:v>
                </c:pt>
                <c:pt idx="5">
                  <c:v>43.082176265517788</c:v>
                </c:pt>
                <c:pt idx="6">
                  <c:v>30.965726619246016</c:v>
                </c:pt>
                <c:pt idx="7">
                  <c:v>57.661103805764427</c:v>
                </c:pt>
                <c:pt idx="8">
                  <c:v>46.359786396505577</c:v>
                </c:pt>
                <c:pt idx="9">
                  <c:v>44.154903961418455</c:v>
                </c:pt>
                <c:pt idx="10">
                  <c:v>51.92061193019638</c:v>
                </c:pt>
                <c:pt idx="11">
                  <c:v>53.037806850398113</c:v>
                </c:pt>
                <c:pt idx="12">
                  <c:v>48.019505248974255</c:v>
                </c:pt>
                <c:pt idx="13">
                  <c:v>52.067514894829571</c:v>
                </c:pt>
                <c:pt idx="14">
                  <c:v>42.25683974902617</c:v>
                </c:pt>
                <c:pt idx="15">
                  <c:v>47.88298116557435</c:v>
                </c:pt>
                <c:pt idx="16">
                  <c:v>44.699281407741147</c:v>
                </c:pt>
                <c:pt idx="17">
                  <c:v>44.85225979851738</c:v>
                </c:pt>
                <c:pt idx="18">
                  <c:v>42.734623241832487</c:v>
                </c:pt>
                <c:pt idx="19">
                  <c:v>43.801328618090729</c:v>
                </c:pt>
                <c:pt idx="20">
                  <c:v>44.586151301774485</c:v>
                </c:pt>
                <c:pt idx="21">
                  <c:v>44.908207772445991</c:v>
                </c:pt>
                <c:pt idx="22">
                  <c:v>45.232048001501745</c:v>
                </c:pt>
                <c:pt idx="23">
                  <c:v>48.966447580385434</c:v>
                </c:pt>
                <c:pt idx="24">
                  <c:v>43.852235710136121</c:v>
                </c:pt>
                <c:pt idx="25">
                  <c:v>45.410036314838464</c:v>
                </c:pt>
                <c:pt idx="26">
                  <c:v>44.344857813801347</c:v>
                </c:pt>
                <c:pt idx="27">
                  <c:v>50.909975111068206</c:v>
                </c:pt>
                <c:pt idx="28">
                  <c:v>44.741138065976585</c:v>
                </c:pt>
                <c:pt idx="29">
                  <c:v>45.026409469188678</c:v>
                </c:pt>
                <c:pt idx="30">
                  <c:v>43.689543726047582</c:v>
                </c:pt>
                <c:pt idx="31">
                  <c:v>40.70611066464236</c:v>
                </c:pt>
                <c:pt idx="32">
                  <c:v>56.334832694416853</c:v>
                </c:pt>
                <c:pt idx="33">
                  <c:v>40.483365607938211</c:v>
                </c:pt>
                <c:pt idx="34">
                  <c:v>47.31006602327934</c:v>
                </c:pt>
                <c:pt idx="35">
                  <c:v>27.798754886185172</c:v>
                </c:pt>
                <c:pt idx="36">
                  <c:v>46.559661676908355</c:v>
                </c:pt>
                <c:pt idx="37">
                  <c:v>51.561543773661832</c:v>
                </c:pt>
                <c:pt idx="38">
                  <c:v>53.777255789059879</c:v>
                </c:pt>
                <c:pt idx="39">
                  <c:v>41.419489516390314</c:v>
                </c:pt>
                <c:pt idx="40">
                  <c:v>50.81749907559113</c:v>
                </c:pt>
                <c:pt idx="41">
                  <c:v>55.621113643582234</c:v>
                </c:pt>
                <c:pt idx="42">
                  <c:v>52.979230169417754</c:v>
                </c:pt>
                <c:pt idx="43">
                  <c:v>44.08795890318909</c:v>
                </c:pt>
                <c:pt idx="44">
                  <c:v>48.907784827546578</c:v>
                </c:pt>
                <c:pt idx="45">
                  <c:v>48.057630243510879</c:v>
                </c:pt>
                <c:pt idx="46">
                  <c:v>47.813446344266744</c:v>
                </c:pt>
                <c:pt idx="47">
                  <c:v>39.313215914779491</c:v>
                </c:pt>
                <c:pt idx="48">
                  <c:v>50.440215064022105</c:v>
                </c:pt>
                <c:pt idx="49">
                  <c:v>42.295069433588822</c:v>
                </c:pt>
                <c:pt idx="50">
                  <c:v>45.161949516888527</c:v>
                </c:pt>
                <c:pt idx="51">
                  <c:v>27.490583702376817</c:v>
                </c:pt>
                <c:pt idx="52">
                  <c:v>48.086895042060362</c:v>
                </c:pt>
                <c:pt idx="53">
                  <c:v>49.827427043467033</c:v>
                </c:pt>
                <c:pt idx="54">
                  <c:v>52.000736445771452</c:v>
                </c:pt>
                <c:pt idx="55">
                  <c:v>49.84211611139667</c:v>
                </c:pt>
                <c:pt idx="56">
                  <c:v>42.668473639543414</c:v>
                </c:pt>
                <c:pt idx="57">
                  <c:v>52.524769535349513</c:v>
                </c:pt>
                <c:pt idx="58">
                  <c:v>43.619907096952083</c:v>
                </c:pt>
                <c:pt idx="59">
                  <c:v>42.82082328950726</c:v>
                </c:pt>
                <c:pt idx="60">
                  <c:v>42.582937643069037</c:v>
                </c:pt>
                <c:pt idx="61">
                  <c:v>38.695541814487925</c:v>
                </c:pt>
                <c:pt idx="62">
                  <c:v>51.80449459432608</c:v>
                </c:pt>
                <c:pt idx="63">
                  <c:v>56.822203385661055</c:v>
                </c:pt>
                <c:pt idx="64">
                  <c:v>49.175302672267918</c:v>
                </c:pt>
                <c:pt idx="65">
                  <c:v>52.458163296703951</c:v>
                </c:pt>
                <c:pt idx="66">
                  <c:v>40.509395380350611</c:v>
                </c:pt>
                <c:pt idx="67">
                  <c:v>47.998922168496165</c:v>
                </c:pt>
                <c:pt idx="68">
                  <c:v>36.624079467368198</c:v>
                </c:pt>
                <c:pt idx="69">
                  <c:v>52.182930504272697</c:v>
                </c:pt>
                <c:pt idx="70">
                  <c:v>56.846882492496668</c:v>
                </c:pt>
                <c:pt idx="71">
                  <c:v>46.453813951199727</c:v>
                </c:pt>
                <c:pt idx="72">
                  <c:v>40.773930717070577</c:v>
                </c:pt>
                <c:pt idx="73">
                  <c:v>45.073027571579075</c:v>
                </c:pt>
                <c:pt idx="74">
                  <c:v>40.505080660958171</c:v>
                </c:pt>
                <c:pt idx="75">
                  <c:v>45.019605379779371</c:v>
                </c:pt>
                <c:pt idx="76">
                  <c:v>48.658571547986888</c:v>
                </c:pt>
                <c:pt idx="77">
                  <c:v>40.763757601644038</c:v>
                </c:pt>
                <c:pt idx="78">
                  <c:v>43.536480216245913</c:v>
                </c:pt>
                <c:pt idx="79">
                  <c:v>55.664099121452935</c:v>
                </c:pt>
                <c:pt idx="80">
                  <c:v>53.563221280331724</c:v>
                </c:pt>
                <c:pt idx="81">
                  <c:v>50.777962493945033</c:v>
                </c:pt>
                <c:pt idx="82">
                  <c:v>58.523721413594906</c:v>
                </c:pt>
                <c:pt idx="83">
                  <c:v>44.190628213660858</c:v>
                </c:pt>
                <c:pt idx="84">
                  <c:v>54.264290248590342</c:v>
                </c:pt>
                <c:pt idx="85">
                  <c:v>38.156691424381371</c:v>
                </c:pt>
                <c:pt idx="86">
                  <c:v>44.834813794768451</c:v>
                </c:pt>
                <c:pt idx="87">
                  <c:v>49.084325828580695</c:v>
                </c:pt>
                <c:pt idx="88">
                  <c:v>49.017334336104184</c:v>
                </c:pt>
                <c:pt idx="89">
                  <c:v>50.24257843810345</c:v>
                </c:pt>
                <c:pt idx="90">
                  <c:v>45.792610682626496</c:v>
                </c:pt>
                <c:pt idx="91">
                  <c:v>49.412475128783235</c:v>
                </c:pt>
                <c:pt idx="92">
                  <c:v>63.243656701184356</c:v>
                </c:pt>
                <c:pt idx="93">
                  <c:v>52.223052944868378</c:v>
                </c:pt>
                <c:pt idx="94">
                  <c:v>52.884990423028484</c:v>
                </c:pt>
                <c:pt idx="95">
                  <c:v>44.672054349256619</c:v>
                </c:pt>
                <c:pt idx="96">
                  <c:v>45.561894815847715</c:v>
                </c:pt>
                <c:pt idx="97">
                  <c:v>47.678939941068137</c:v>
                </c:pt>
                <c:pt idx="98">
                  <c:v>46.96083888151901</c:v>
                </c:pt>
                <c:pt idx="99">
                  <c:v>44.134975020365715</c:v>
                </c:pt>
                <c:pt idx="100">
                  <c:v>32.744740642983921</c:v>
                </c:pt>
                <c:pt idx="101">
                  <c:v>53.996219730512721</c:v>
                </c:pt>
                <c:pt idx="102">
                  <c:v>41.00154156293798</c:v>
                </c:pt>
                <c:pt idx="103">
                  <c:v>41.272043979982158</c:v>
                </c:pt>
                <c:pt idx="104">
                  <c:v>42.420034785900008</c:v>
                </c:pt>
                <c:pt idx="105">
                  <c:v>52.565953148363953</c:v>
                </c:pt>
                <c:pt idx="106">
                  <c:v>49.801515344190122</c:v>
                </c:pt>
                <c:pt idx="107">
                  <c:v>44.488791921769653</c:v>
                </c:pt>
                <c:pt idx="108">
                  <c:v>49.60632235802963</c:v>
                </c:pt>
                <c:pt idx="109">
                  <c:v>44.659272213649622</c:v>
                </c:pt>
                <c:pt idx="110">
                  <c:v>38.737704946835514</c:v>
                </c:pt>
                <c:pt idx="111">
                  <c:v>35.656351423617927</c:v>
                </c:pt>
                <c:pt idx="112">
                  <c:v>48.196704802142051</c:v>
                </c:pt>
                <c:pt idx="113">
                  <c:v>42.175523681669539</c:v>
                </c:pt>
                <c:pt idx="114">
                  <c:v>53.997319949328151</c:v>
                </c:pt>
                <c:pt idx="115">
                  <c:v>51.587449436941917</c:v>
                </c:pt>
                <c:pt idx="116">
                  <c:v>42.205725112027203</c:v>
                </c:pt>
                <c:pt idx="117">
                  <c:v>46.187630444488569</c:v>
                </c:pt>
                <c:pt idx="118">
                  <c:v>56.888875898751571</c:v>
                </c:pt>
                <c:pt idx="119">
                  <c:v>43.810499443309027</c:v>
                </c:pt>
                <c:pt idx="120">
                  <c:v>40.316543199306878</c:v>
                </c:pt>
                <c:pt idx="121">
                  <c:v>58.242611040360359</c:v>
                </c:pt>
                <c:pt idx="122">
                  <c:v>49.808879797539753</c:v>
                </c:pt>
                <c:pt idx="123">
                  <c:v>60.791468923267217</c:v>
                </c:pt>
                <c:pt idx="124">
                  <c:v>38.206125531158413</c:v>
                </c:pt>
                <c:pt idx="125">
                  <c:v>37.208410090918768</c:v>
                </c:pt>
                <c:pt idx="126">
                  <c:v>47.426099210231143</c:v>
                </c:pt>
                <c:pt idx="127">
                  <c:v>52.469152247772129</c:v>
                </c:pt>
                <c:pt idx="128">
                  <c:v>43.58697700867755</c:v>
                </c:pt>
                <c:pt idx="129">
                  <c:v>43.863143706843474</c:v>
                </c:pt>
                <c:pt idx="130">
                  <c:v>52.718782058533542</c:v>
                </c:pt>
                <c:pt idx="131">
                  <c:v>43.364215929070511</c:v>
                </c:pt>
                <c:pt idx="132">
                  <c:v>41.34978697727508</c:v>
                </c:pt>
                <c:pt idx="133">
                  <c:v>38.290625742850622</c:v>
                </c:pt>
                <c:pt idx="134">
                  <c:v>46.930372573116237</c:v>
                </c:pt>
                <c:pt idx="135">
                  <c:v>43.619040470817403</c:v>
                </c:pt>
                <c:pt idx="136">
                  <c:v>52.0290963532265</c:v>
                </c:pt>
                <c:pt idx="137">
                  <c:v>48.260254256821668</c:v>
                </c:pt>
                <c:pt idx="138">
                  <c:v>39.623698818484762</c:v>
                </c:pt>
                <c:pt idx="139">
                  <c:v>44.015330678622668</c:v>
                </c:pt>
                <c:pt idx="140">
                  <c:v>40.224998027953056</c:v>
                </c:pt>
                <c:pt idx="141">
                  <c:v>48.410913438595237</c:v>
                </c:pt>
                <c:pt idx="142">
                  <c:v>43.862779418430215</c:v>
                </c:pt>
                <c:pt idx="143">
                  <c:v>37.914588298727757</c:v>
                </c:pt>
                <c:pt idx="144">
                  <c:v>61.982917225707652</c:v>
                </c:pt>
                <c:pt idx="145">
                  <c:v>54.557448398067088</c:v>
                </c:pt>
                <c:pt idx="146">
                  <c:v>41.38205717742531</c:v>
                </c:pt>
                <c:pt idx="147">
                  <c:v>44.728417090590391</c:v>
                </c:pt>
                <c:pt idx="148">
                  <c:v>45.029493175080873</c:v>
                </c:pt>
                <c:pt idx="149">
                  <c:v>57.283645191327899</c:v>
                </c:pt>
                <c:pt idx="150">
                  <c:v>44.146794092258126</c:v>
                </c:pt>
                <c:pt idx="151">
                  <c:v>45.830343626226416</c:v>
                </c:pt>
                <c:pt idx="152">
                  <c:v>52.277459324403708</c:v>
                </c:pt>
                <c:pt idx="153">
                  <c:v>49.14502926454923</c:v>
                </c:pt>
                <c:pt idx="154">
                  <c:v>26.409999357940563</c:v>
                </c:pt>
                <c:pt idx="155">
                  <c:v>49.010236591987429</c:v>
                </c:pt>
                <c:pt idx="156">
                  <c:v>44.370655315422205</c:v>
                </c:pt>
                <c:pt idx="157">
                  <c:v>45.378527772869674</c:v>
                </c:pt>
                <c:pt idx="158">
                  <c:v>43.087957949703245</c:v>
                </c:pt>
                <c:pt idx="159">
                  <c:v>52.854326263539086</c:v>
                </c:pt>
                <c:pt idx="160">
                  <c:v>36.34711757607144</c:v>
                </c:pt>
                <c:pt idx="161">
                  <c:v>51.690651272827985</c:v>
                </c:pt>
                <c:pt idx="162">
                  <c:v>54.700774082757576</c:v>
                </c:pt>
                <c:pt idx="163">
                  <c:v>47.388808322714581</c:v>
                </c:pt>
                <c:pt idx="164">
                  <c:v>45.910682358890043</c:v>
                </c:pt>
                <c:pt idx="165">
                  <c:v>53.232333230812102</c:v>
                </c:pt>
                <c:pt idx="166">
                  <c:v>50.730211187205718</c:v>
                </c:pt>
                <c:pt idx="167">
                  <c:v>54.518116325196573</c:v>
                </c:pt>
                <c:pt idx="168">
                  <c:v>38.467266982402435</c:v>
                </c:pt>
                <c:pt idx="169">
                  <c:v>43.602869655124039</c:v>
                </c:pt>
                <c:pt idx="170">
                  <c:v>47.38123413185712</c:v>
                </c:pt>
                <c:pt idx="171">
                  <c:v>41.800426573756447</c:v>
                </c:pt>
                <c:pt idx="172">
                  <c:v>45.606930984473188</c:v>
                </c:pt>
                <c:pt idx="173">
                  <c:v>45.871500995126482</c:v>
                </c:pt>
                <c:pt idx="174">
                  <c:v>62.779548153313037</c:v>
                </c:pt>
                <c:pt idx="175">
                  <c:v>42.334165629480594</c:v>
                </c:pt>
                <c:pt idx="176">
                  <c:v>44.406009414352013</c:v>
                </c:pt>
                <c:pt idx="177">
                  <c:v>46.27578533044472</c:v>
                </c:pt>
                <c:pt idx="178">
                  <c:v>51.60862996598896</c:v>
                </c:pt>
                <c:pt idx="179">
                  <c:v>48.128289199318388</c:v>
                </c:pt>
                <c:pt idx="180">
                  <c:v>45.63290087553392</c:v>
                </c:pt>
                <c:pt idx="181">
                  <c:v>43.466629531074865</c:v>
                </c:pt>
                <c:pt idx="182">
                  <c:v>42.284159937021975</c:v>
                </c:pt>
                <c:pt idx="183">
                  <c:v>42.995078324499111</c:v>
                </c:pt>
                <c:pt idx="184">
                  <c:v>41.379925662954037</c:v>
                </c:pt>
                <c:pt idx="185">
                  <c:v>46.324552482729402</c:v>
                </c:pt>
                <c:pt idx="186">
                  <c:v>43.544250506843603</c:v>
                </c:pt>
                <c:pt idx="187">
                  <c:v>38.972664404115562</c:v>
                </c:pt>
                <c:pt idx="188">
                  <c:v>58.504606663691447</c:v>
                </c:pt>
                <c:pt idx="189">
                  <c:v>50.193846226323856</c:v>
                </c:pt>
                <c:pt idx="190">
                  <c:v>49.547833655055271</c:v>
                </c:pt>
                <c:pt idx="191">
                  <c:v>45.095149940425102</c:v>
                </c:pt>
                <c:pt idx="192">
                  <c:v>55.148999725956486</c:v>
                </c:pt>
                <c:pt idx="193">
                  <c:v>49.909788239394743</c:v>
                </c:pt>
                <c:pt idx="194">
                  <c:v>56.819371626082706</c:v>
                </c:pt>
                <c:pt idx="195">
                  <c:v>48.655454840480758</c:v>
                </c:pt>
                <c:pt idx="196">
                  <c:v>45.950435489431875</c:v>
                </c:pt>
                <c:pt idx="197">
                  <c:v>45.194246224791677</c:v>
                </c:pt>
                <c:pt idx="198">
                  <c:v>42.806798932027078</c:v>
                </c:pt>
                <c:pt idx="199">
                  <c:v>48.829473720263941</c:v>
                </c:pt>
                <c:pt idx="200">
                  <c:v>46.323949702174808</c:v>
                </c:pt>
                <c:pt idx="201">
                  <c:v>44.455494398586417</c:v>
                </c:pt>
                <c:pt idx="202">
                  <c:v>55.32326743885875</c:v>
                </c:pt>
                <c:pt idx="203">
                  <c:v>49.58695842464617</c:v>
                </c:pt>
                <c:pt idx="204">
                  <c:v>40.027648410433571</c:v>
                </c:pt>
                <c:pt idx="205">
                  <c:v>62.891108463629166</c:v>
                </c:pt>
                <c:pt idx="206">
                  <c:v>46.579130714515571</c:v>
                </c:pt>
                <c:pt idx="207">
                  <c:v>38.252238084476915</c:v>
                </c:pt>
                <c:pt idx="208">
                  <c:v>43.163549145793247</c:v>
                </c:pt>
                <c:pt idx="209">
                  <c:v>48.304550693423394</c:v>
                </c:pt>
                <c:pt idx="210">
                  <c:v>43.208161289337532</c:v>
                </c:pt>
                <c:pt idx="211">
                  <c:v>43.198591947059327</c:v>
                </c:pt>
                <c:pt idx="212">
                  <c:v>47.371697098825976</c:v>
                </c:pt>
                <c:pt idx="213">
                  <c:v>46.979991347402674</c:v>
                </c:pt>
                <c:pt idx="214">
                  <c:v>45.645344818664171</c:v>
                </c:pt>
                <c:pt idx="215">
                  <c:v>56.093004471566509</c:v>
                </c:pt>
                <c:pt idx="216">
                  <c:v>41.87576851548895</c:v>
                </c:pt>
                <c:pt idx="217">
                  <c:v>37.273142967816504</c:v>
                </c:pt>
                <c:pt idx="218">
                  <c:v>41.505881704128775</c:v>
                </c:pt>
                <c:pt idx="219">
                  <c:v>49.514152754840545</c:v>
                </c:pt>
                <c:pt idx="220">
                  <c:v>49.212880361232962</c:v>
                </c:pt>
                <c:pt idx="221">
                  <c:v>41.186117217156195</c:v>
                </c:pt>
                <c:pt idx="222">
                  <c:v>50.769784541783544</c:v>
                </c:pt>
                <c:pt idx="223">
                  <c:v>50.24022305936608</c:v>
                </c:pt>
                <c:pt idx="224">
                  <c:v>45.085018687986981</c:v>
                </c:pt>
                <c:pt idx="225">
                  <c:v>48.388155740724237</c:v>
                </c:pt>
                <c:pt idx="226">
                  <c:v>49.093840877413271</c:v>
                </c:pt>
                <c:pt idx="227">
                  <c:v>42.707879086209864</c:v>
                </c:pt>
                <c:pt idx="228">
                  <c:v>37.717090601798972</c:v>
                </c:pt>
                <c:pt idx="229">
                  <c:v>48.808288567191056</c:v>
                </c:pt>
                <c:pt idx="230">
                  <c:v>39.021905354694262</c:v>
                </c:pt>
                <c:pt idx="231">
                  <c:v>54.347781633529422</c:v>
                </c:pt>
                <c:pt idx="232">
                  <c:v>51.221455687815023</c:v>
                </c:pt>
                <c:pt idx="233">
                  <c:v>54.049218492712548</c:v>
                </c:pt>
                <c:pt idx="234">
                  <c:v>43.347676295470158</c:v>
                </c:pt>
                <c:pt idx="235">
                  <c:v>57.806422962640511</c:v>
                </c:pt>
                <c:pt idx="236">
                  <c:v>43.119049902818531</c:v>
                </c:pt>
                <c:pt idx="237">
                  <c:v>47.122386913843854</c:v>
                </c:pt>
                <c:pt idx="238">
                  <c:v>56.017471129436828</c:v>
                </c:pt>
                <c:pt idx="239">
                  <c:v>54.489839746331285</c:v>
                </c:pt>
                <c:pt idx="240">
                  <c:v>40.901392284062496</c:v>
                </c:pt>
                <c:pt idx="241">
                  <c:v>58.957524525245063</c:v>
                </c:pt>
                <c:pt idx="242">
                  <c:v>42.169981121508478</c:v>
                </c:pt>
                <c:pt idx="243">
                  <c:v>44.324809679481064</c:v>
                </c:pt>
                <c:pt idx="244">
                  <c:v>46.20177745596466</c:v>
                </c:pt>
                <c:pt idx="245">
                  <c:v>42.578105895749218</c:v>
                </c:pt>
                <c:pt idx="246">
                  <c:v>42.456371027217003</c:v>
                </c:pt>
                <c:pt idx="247">
                  <c:v>46.179643347782608</c:v>
                </c:pt>
                <c:pt idx="248">
                  <c:v>43.590016021776165</c:v>
                </c:pt>
                <c:pt idx="249">
                  <c:v>60.936796382846971</c:v>
                </c:pt>
                <c:pt idx="250">
                  <c:v>42.843476059142901</c:v>
                </c:pt>
                <c:pt idx="251">
                  <c:v>41.4432432609796</c:v>
                </c:pt>
                <c:pt idx="252">
                  <c:v>54.952649524277732</c:v>
                </c:pt>
                <c:pt idx="253">
                  <c:v>48.836646863348612</c:v>
                </c:pt>
                <c:pt idx="254">
                  <c:v>55.979448040826419</c:v>
                </c:pt>
                <c:pt idx="255">
                  <c:v>51.493032892585923</c:v>
                </c:pt>
                <c:pt idx="256">
                  <c:v>42.119660850084522</c:v>
                </c:pt>
                <c:pt idx="257">
                  <c:v>56.714619082380445</c:v>
                </c:pt>
                <c:pt idx="258">
                  <c:v>43.367232461396874</c:v>
                </c:pt>
                <c:pt idx="259">
                  <c:v>41.870986119077983</c:v>
                </c:pt>
                <c:pt idx="260">
                  <c:v>59.746482871555067</c:v>
                </c:pt>
                <c:pt idx="261">
                  <c:v>50.316287532769543</c:v>
                </c:pt>
                <c:pt idx="262">
                  <c:v>47.377715979716584</c:v>
                </c:pt>
                <c:pt idx="263">
                  <c:v>42.439712434347754</c:v>
                </c:pt>
                <c:pt idx="264">
                  <c:v>40.51981093117341</c:v>
                </c:pt>
                <c:pt idx="265">
                  <c:v>53.738432359444111</c:v>
                </c:pt>
                <c:pt idx="266">
                  <c:v>43.844523630461367</c:v>
                </c:pt>
                <c:pt idx="267">
                  <c:v>55.717568152274417</c:v>
                </c:pt>
                <c:pt idx="268">
                  <c:v>37.543043088184021</c:v>
                </c:pt>
                <c:pt idx="269">
                  <c:v>47.324203811018712</c:v>
                </c:pt>
                <c:pt idx="270">
                  <c:v>50.909378062010383</c:v>
                </c:pt>
                <c:pt idx="271">
                  <c:v>50.826392868480681</c:v>
                </c:pt>
                <c:pt idx="272">
                  <c:v>47.871945511135259</c:v>
                </c:pt>
                <c:pt idx="273">
                  <c:v>56.982905393255315</c:v>
                </c:pt>
                <c:pt idx="274">
                  <c:v>37.285071290419395</c:v>
                </c:pt>
                <c:pt idx="275">
                  <c:v>54.372250966342392</c:v>
                </c:pt>
                <c:pt idx="276">
                  <c:v>52.105477954379765</c:v>
                </c:pt>
                <c:pt idx="277">
                  <c:v>39.859431049096187</c:v>
                </c:pt>
                <c:pt idx="278">
                  <c:v>48.077248752869593</c:v>
                </c:pt>
                <c:pt idx="279">
                  <c:v>54.653871283671549</c:v>
                </c:pt>
                <c:pt idx="280">
                  <c:v>38.129532056733915</c:v>
                </c:pt>
                <c:pt idx="281">
                  <c:v>47.28431626011519</c:v>
                </c:pt>
                <c:pt idx="282">
                  <c:v>50.697014491906053</c:v>
                </c:pt>
                <c:pt idx="283">
                  <c:v>51.834095874968085</c:v>
                </c:pt>
                <c:pt idx="284">
                  <c:v>19.448114128488118</c:v>
                </c:pt>
                <c:pt idx="285">
                  <c:v>14.849714012086055</c:v>
                </c:pt>
                <c:pt idx="286">
                  <c:v>39.82054963257805</c:v>
                </c:pt>
                <c:pt idx="287">
                  <c:v>34.931137651718458</c:v>
                </c:pt>
                <c:pt idx="288">
                  <c:v>48.965077873064708</c:v>
                </c:pt>
                <c:pt idx="289">
                  <c:v>43.078871801200755</c:v>
                </c:pt>
                <c:pt idx="290">
                  <c:v>38.455142352198308</c:v>
                </c:pt>
                <c:pt idx="291">
                  <c:v>44.07877759051329</c:v>
                </c:pt>
                <c:pt idx="292">
                  <c:v>36.329148192641725</c:v>
                </c:pt>
                <c:pt idx="293">
                  <c:v>54.820381933034376</c:v>
                </c:pt>
                <c:pt idx="294">
                  <c:v>52.20989288310011</c:v>
                </c:pt>
                <c:pt idx="295">
                  <c:v>48.596377587943437</c:v>
                </c:pt>
                <c:pt idx="296">
                  <c:v>40.29967295510302</c:v>
                </c:pt>
                <c:pt idx="297">
                  <c:v>46.168972932266179</c:v>
                </c:pt>
                <c:pt idx="298">
                  <c:v>58.482563947354663</c:v>
                </c:pt>
                <c:pt idx="299">
                  <c:v>61.472413078591813</c:v>
                </c:pt>
                <c:pt idx="300">
                  <c:v>45.854085446745131</c:v>
                </c:pt>
                <c:pt idx="301">
                  <c:v>39.857508728318678</c:v>
                </c:pt>
                <c:pt idx="302">
                  <c:v>55.60980667495037</c:v>
                </c:pt>
                <c:pt idx="303">
                  <c:v>38.327067082257443</c:v>
                </c:pt>
                <c:pt idx="304">
                  <c:v>57.07207782882864</c:v>
                </c:pt>
                <c:pt idx="305">
                  <c:v>52.889799661983851</c:v>
                </c:pt>
                <c:pt idx="306">
                  <c:v>44.392675629217742</c:v>
                </c:pt>
                <c:pt idx="307">
                  <c:v>40.022332597613506</c:v>
                </c:pt>
                <c:pt idx="308">
                  <c:v>43.595606035185916</c:v>
                </c:pt>
                <c:pt idx="309">
                  <c:v>38.909227084908423</c:v>
                </c:pt>
                <c:pt idx="310">
                  <c:v>48.799847941551768</c:v>
                </c:pt>
                <c:pt idx="311">
                  <c:v>43.578622509935336</c:v>
                </c:pt>
                <c:pt idx="312">
                  <c:v>49.105981632835352</c:v>
                </c:pt>
                <c:pt idx="313">
                  <c:v>40.727047257165658</c:v>
                </c:pt>
                <c:pt idx="314">
                  <c:v>43.965253185901148</c:v>
                </c:pt>
                <c:pt idx="315">
                  <c:v>55.706307832165976</c:v>
                </c:pt>
                <c:pt idx="316">
                  <c:v>45.114499330302166</c:v>
                </c:pt>
                <c:pt idx="317">
                  <c:v>32.943877297245685</c:v>
                </c:pt>
                <c:pt idx="318">
                  <c:v>23.597865113827375</c:v>
                </c:pt>
                <c:pt idx="319">
                  <c:v>29.959814641938351</c:v>
                </c:pt>
                <c:pt idx="320">
                  <c:v>49.504073005454778</c:v>
                </c:pt>
                <c:pt idx="321">
                  <c:v>46.554030488233828</c:v>
                </c:pt>
                <c:pt idx="322">
                  <c:v>51.23247776884859</c:v>
                </c:pt>
                <c:pt idx="323">
                  <c:v>38.824147458901791</c:v>
                </c:pt>
                <c:pt idx="324">
                  <c:v>30.962455081426707</c:v>
                </c:pt>
                <c:pt idx="325">
                  <c:v>38.014485965000524</c:v>
                </c:pt>
                <c:pt idx="326">
                  <c:v>44.472110241519147</c:v>
                </c:pt>
                <c:pt idx="327">
                  <c:v>42.754899717627168</c:v>
                </c:pt>
                <c:pt idx="328">
                  <c:v>44.278824346904763</c:v>
                </c:pt>
                <c:pt idx="329">
                  <c:v>62.683887316892651</c:v>
                </c:pt>
                <c:pt idx="330">
                  <c:v>37.188861079134931</c:v>
                </c:pt>
                <c:pt idx="331">
                  <c:v>40.862928145557554</c:v>
                </c:pt>
                <c:pt idx="332">
                  <c:v>49.481835043443439</c:v>
                </c:pt>
                <c:pt idx="333">
                  <c:v>43.349967106859495</c:v>
                </c:pt>
                <c:pt idx="334">
                  <c:v>55.179841207045612</c:v>
                </c:pt>
                <c:pt idx="335">
                  <c:v>49.241891210850746</c:v>
                </c:pt>
                <c:pt idx="336">
                  <c:v>64.386368200002266</c:v>
                </c:pt>
                <c:pt idx="337">
                  <c:v>41.017090292446007</c:v>
                </c:pt>
                <c:pt idx="338">
                  <c:v>35.161788007477043</c:v>
                </c:pt>
                <c:pt idx="339">
                  <c:v>38.452984584620822</c:v>
                </c:pt>
                <c:pt idx="340">
                  <c:v>37.818390141121142</c:v>
                </c:pt>
                <c:pt idx="341">
                  <c:v>45.626566705270967</c:v>
                </c:pt>
                <c:pt idx="342">
                  <c:v>53.500814552047295</c:v>
                </c:pt>
                <c:pt idx="343">
                  <c:v>46.046678206101568</c:v>
                </c:pt>
                <c:pt idx="344">
                  <c:v>50.850270144678852</c:v>
                </c:pt>
                <c:pt idx="345">
                  <c:v>46.886066369321433</c:v>
                </c:pt>
                <c:pt idx="346">
                  <c:v>52.103415036745268</c:v>
                </c:pt>
                <c:pt idx="347">
                  <c:v>50.909956770010126</c:v>
                </c:pt>
                <c:pt idx="348">
                  <c:v>40.709018404478513</c:v>
                </c:pt>
                <c:pt idx="349">
                  <c:v>46.941996242200062</c:v>
                </c:pt>
                <c:pt idx="350">
                  <c:v>43.669681438426295</c:v>
                </c:pt>
                <c:pt idx="351">
                  <c:v>48.373213536569914</c:v>
                </c:pt>
                <c:pt idx="352">
                  <c:v>44.118125959130829</c:v>
                </c:pt>
                <c:pt idx="353">
                  <c:v>48.720306912638222</c:v>
                </c:pt>
                <c:pt idx="354">
                  <c:v>52.70727195793328</c:v>
                </c:pt>
                <c:pt idx="355">
                  <c:v>54.176680257958495</c:v>
                </c:pt>
                <c:pt idx="356">
                  <c:v>49.929404379484552</c:v>
                </c:pt>
                <c:pt idx="357">
                  <c:v>39.81429552787101</c:v>
                </c:pt>
                <c:pt idx="358">
                  <c:v>49.98480263364587</c:v>
                </c:pt>
                <c:pt idx="359">
                  <c:v>47.078015428557741</c:v>
                </c:pt>
                <c:pt idx="360">
                  <c:v>40.746317915716496</c:v>
                </c:pt>
                <c:pt idx="361">
                  <c:v>46.683593393804422</c:v>
                </c:pt>
                <c:pt idx="362">
                  <c:v>46.802415434934652</c:v>
                </c:pt>
                <c:pt idx="363">
                  <c:v>42.022301329777186</c:v>
                </c:pt>
                <c:pt idx="364">
                  <c:v>50.963519762784479</c:v>
                </c:pt>
                <c:pt idx="365">
                  <c:v>43.6407426794648</c:v>
                </c:pt>
                <c:pt idx="366">
                  <c:v>48.158510518138492</c:v>
                </c:pt>
                <c:pt idx="367">
                  <c:v>41.189883176952698</c:v>
                </c:pt>
                <c:pt idx="368">
                  <c:v>39.64110534503633</c:v>
                </c:pt>
                <c:pt idx="369">
                  <c:v>41.658781572671913</c:v>
                </c:pt>
                <c:pt idx="370">
                  <c:v>47.185176059820847</c:v>
                </c:pt>
                <c:pt idx="371">
                  <c:v>43.427477586081778</c:v>
                </c:pt>
                <c:pt idx="372">
                  <c:v>35.043173284773729</c:v>
                </c:pt>
                <c:pt idx="373">
                  <c:v>44.957122749649379</c:v>
                </c:pt>
                <c:pt idx="374">
                  <c:v>44.197818712411589</c:v>
                </c:pt>
                <c:pt idx="375">
                  <c:v>45.10290725365703</c:v>
                </c:pt>
                <c:pt idx="376">
                  <c:v>32.168613425916455</c:v>
                </c:pt>
                <c:pt idx="377">
                  <c:v>56.365355796518685</c:v>
                </c:pt>
                <c:pt idx="378">
                  <c:v>48.022752663506417</c:v>
                </c:pt>
                <c:pt idx="379">
                  <c:v>52.695920989810453</c:v>
                </c:pt>
                <c:pt idx="380">
                  <c:v>45.902964971973567</c:v>
                </c:pt>
                <c:pt idx="381">
                  <c:v>40.282618055138897</c:v>
                </c:pt>
                <c:pt idx="382">
                  <c:v>42.070773031324165</c:v>
                </c:pt>
                <c:pt idx="383">
                  <c:v>54.672933560460208</c:v>
                </c:pt>
                <c:pt idx="384">
                  <c:v>48.709462193879027</c:v>
                </c:pt>
                <c:pt idx="385">
                  <c:v>48.612845599659039</c:v>
                </c:pt>
                <c:pt idx="386">
                  <c:v>54.653829297664146</c:v>
                </c:pt>
                <c:pt idx="387">
                  <c:v>39.950016808145683</c:v>
                </c:pt>
                <c:pt idx="388">
                  <c:v>46.573316937782373</c:v>
                </c:pt>
                <c:pt idx="389">
                  <c:v>49.200421310376875</c:v>
                </c:pt>
                <c:pt idx="390">
                  <c:v>39.814470993182965</c:v>
                </c:pt>
                <c:pt idx="391">
                  <c:v>56.576315055043139</c:v>
                </c:pt>
                <c:pt idx="392">
                  <c:v>42.848293294167206</c:v>
                </c:pt>
                <c:pt idx="393">
                  <c:v>47.646311146538864</c:v>
                </c:pt>
                <c:pt idx="394">
                  <c:v>46.735183689674471</c:v>
                </c:pt>
                <c:pt idx="395">
                  <c:v>49.655362725400067</c:v>
                </c:pt>
                <c:pt idx="396">
                  <c:v>54.062031479031006</c:v>
                </c:pt>
                <c:pt idx="397">
                  <c:v>51.339651280473525</c:v>
                </c:pt>
                <c:pt idx="398">
                  <c:v>38.030932728372548</c:v>
                </c:pt>
                <c:pt idx="399">
                  <c:v>60.448185232284558</c:v>
                </c:pt>
                <c:pt idx="400">
                  <c:v>47.78735047406898</c:v>
                </c:pt>
                <c:pt idx="401">
                  <c:v>59.36039087278364</c:v>
                </c:pt>
                <c:pt idx="402">
                  <c:v>36.073002931900056</c:v>
                </c:pt>
                <c:pt idx="403">
                  <c:v>63.727094739167882</c:v>
                </c:pt>
                <c:pt idx="404">
                  <c:v>44.630139448942977</c:v>
                </c:pt>
                <c:pt idx="405">
                  <c:v>48.607365553564463</c:v>
                </c:pt>
                <c:pt idx="406">
                  <c:v>47.338043171361271</c:v>
                </c:pt>
                <c:pt idx="407">
                  <c:v>40.746141817533669</c:v>
                </c:pt>
                <c:pt idx="408">
                  <c:v>47.373603805075923</c:v>
                </c:pt>
                <c:pt idx="409">
                  <c:v>46.508506985376798</c:v>
                </c:pt>
                <c:pt idx="410">
                  <c:v>52.481684495412253</c:v>
                </c:pt>
                <c:pt idx="411">
                  <c:v>57.084455563171332</c:v>
                </c:pt>
                <c:pt idx="412">
                  <c:v>47.473839357183046</c:v>
                </c:pt>
                <c:pt idx="413">
                  <c:v>51.53194874393018</c:v>
                </c:pt>
                <c:pt idx="414">
                  <c:v>41.352654496012747</c:v>
                </c:pt>
                <c:pt idx="415">
                  <c:v>50.328729415959593</c:v>
                </c:pt>
                <c:pt idx="416">
                  <c:v>38.205695215785006</c:v>
                </c:pt>
                <c:pt idx="417">
                  <c:v>34.470927712687747</c:v>
                </c:pt>
                <c:pt idx="418">
                  <c:v>46.095981852945528</c:v>
                </c:pt>
                <c:pt idx="419">
                  <c:v>43.65925770436791</c:v>
                </c:pt>
                <c:pt idx="420">
                  <c:v>41.679613295877601</c:v>
                </c:pt>
                <c:pt idx="421">
                  <c:v>38.286371236300283</c:v>
                </c:pt>
                <c:pt idx="422">
                  <c:v>52.019703686217099</c:v>
                </c:pt>
                <c:pt idx="423">
                  <c:v>53.983916080250658</c:v>
                </c:pt>
                <c:pt idx="424">
                  <c:v>55.482553329579297</c:v>
                </c:pt>
                <c:pt idx="425">
                  <c:v>47.512312139215936</c:v>
                </c:pt>
                <c:pt idx="426">
                  <c:v>46.273391158982669</c:v>
                </c:pt>
                <c:pt idx="427">
                  <c:v>57.432270986928472</c:v>
                </c:pt>
                <c:pt idx="428">
                  <c:v>45.355971343715346</c:v>
                </c:pt>
                <c:pt idx="429">
                  <c:v>57.465466090248619</c:v>
                </c:pt>
                <c:pt idx="430">
                  <c:v>41.091446364357552</c:v>
                </c:pt>
                <c:pt idx="431">
                  <c:v>51.018319836374069</c:v>
                </c:pt>
                <c:pt idx="432">
                  <c:v>34.703789245504161</c:v>
                </c:pt>
                <c:pt idx="433">
                  <c:v>46.413307860587629</c:v>
                </c:pt>
                <c:pt idx="434">
                  <c:v>37.735250715223252</c:v>
                </c:pt>
                <c:pt idx="435">
                  <c:v>39.991230281698563</c:v>
                </c:pt>
                <c:pt idx="436">
                  <c:v>41.867506281909641</c:v>
                </c:pt>
                <c:pt idx="437">
                  <c:v>50.587359340354176</c:v>
                </c:pt>
                <c:pt idx="438">
                  <c:v>41.682246986785366</c:v>
                </c:pt>
                <c:pt idx="439">
                  <c:v>51.549408338002891</c:v>
                </c:pt>
                <c:pt idx="440">
                  <c:v>49.186148957326722</c:v>
                </c:pt>
                <c:pt idx="441">
                  <c:v>47.94420762824231</c:v>
                </c:pt>
                <c:pt idx="442">
                  <c:v>45.710592774015261</c:v>
                </c:pt>
                <c:pt idx="443">
                  <c:v>55.02778475509357</c:v>
                </c:pt>
                <c:pt idx="444">
                  <c:v>50.935701066363848</c:v>
                </c:pt>
                <c:pt idx="445">
                  <c:v>47.571938743845408</c:v>
                </c:pt>
                <c:pt idx="446">
                  <c:v>45.953870268762905</c:v>
                </c:pt>
                <c:pt idx="447">
                  <c:v>54.701544387082663</c:v>
                </c:pt>
                <c:pt idx="448">
                  <c:v>44.200948595731518</c:v>
                </c:pt>
                <c:pt idx="449">
                  <c:v>49.680483387768035</c:v>
                </c:pt>
                <c:pt idx="450">
                  <c:v>15.56581765923746</c:v>
                </c:pt>
                <c:pt idx="451">
                  <c:v>55.226306871909898</c:v>
                </c:pt>
                <c:pt idx="452">
                  <c:v>44.339852000959972</c:v>
                </c:pt>
                <c:pt idx="453">
                  <c:v>47.664463770371043</c:v>
                </c:pt>
                <c:pt idx="454">
                  <c:v>50.335529917136419</c:v>
                </c:pt>
                <c:pt idx="455">
                  <c:v>56.756120470481584</c:v>
                </c:pt>
                <c:pt idx="456">
                  <c:v>39.381005592714821</c:v>
                </c:pt>
                <c:pt idx="457">
                  <c:v>40.735777839298784</c:v>
                </c:pt>
                <c:pt idx="458">
                  <c:v>56.85257210762461</c:v>
                </c:pt>
                <c:pt idx="459">
                  <c:v>43.698873814404074</c:v>
                </c:pt>
                <c:pt idx="460">
                  <c:v>58.278898120063538</c:v>
                </c:pt>
                <c:pt idx="461">
                  <c:v>49.926336285065673</c:v>
                </c:pt>
                <c:pt idx="462">
                  <c:v>57.672388354209545</c:v>
                </c:pt>
                <c:pt idx="463">
                  <c:v>48.951169997607252</c:v>
                </c:pt>
                <c:pt idx="464">
                  <c:v>45.261300867604582</c:v>
                </c:pt>
                <c:pt idx="465">
                  <c:v>59.236313985258548</c:v>
                </c:pt>
                <c:pt idx="466">
                  <c:v>48.706059677805307</c:v>
                </c:pt>
                <c:pt idx="467">
                  <c:v>47.292728816028614</c:v>
                </c:pt>
                <c:pt idx="468">
                  <c:v>51.501595529476482</c:v>
                </c:pt>
                <c:pt idx="469">
                  <c:v>45.011453857770618</c:v>
                </c:pt>
                <c:pt idx="470">
                  <c:v>46.010821678461824</c:v>
                </c:pt>
                <c:pt idx="471">
                  <c:v>52.453530276347685</c:v>
                </c:pt>
                <c:pt idx="472">
                  <c:v>42.950413955328337</c:v>
                </c:pt>
                <c:pt idx="473">
                  <c:v>41.134328781603969</c:v>
                </c:pt>
                <c:pt idx="474">
                  <c:v>42.988577769051538</c:v>
                </c:pt>
                <c:pt idx="475">
                  <c:v>44.267322959132755</c:v>
                </c:pt>
                <c:pt idx="476">
                  <c:v>42.974017216333912</c:v>
                </c:pt>
                <c:pt idx="477">
                  <c:v>48.098187155458227</c:v>
                </c:pt>
                <c:pt idx="478">
                  <c:v>50.187024904053111</c:v>
                </c:pt>
                <c:pt idx="479">
                  <c:v>45.879804147023229</c:v>
                </c:pt>
                <c:pt idx="480">
                  <c:v>53.710418561829464</c:v>
                </c:pt>
                <c:pt idx="481">
                  <c:v>34.175054644731546</c:v>
                </c:pt>
                <c:pt idx="482">
                  <c:v>47.170232299787607</c:v>
                </c:pt>
                <c:pt idx="483">
                  <c:v>40.382106725118767</c:v>
                </c:pt>
                <c:pt idx="484">
                  <c:v>49.617659863262404</c:v>
                </c:pt>
                <c:pt idx="485">
                  <c:v>46.043667820648125</c:v>
                </c:pt>
                <c:pt idx="486">
                  <c:v>57.51458891490234</c:v>
                </c:pt>
                <c:pt idx="487">
                  <c:v>43.129171509747763</c:v>
                </c:pt>
                <c:pt idx="488">
                  <c:v>53.063559765412514</c:v>
                </c:pt>
                <c:pt idx="489">
                  <c:v>41.61129353081153</c:v>
                </c:pt>
                <c:pt idx="490">
                  <c:v>43.24080538876435</c:v>
                </c:pt>
                <c:pt idx="491">
                  <c:v>51.61720480480485</c:v>
                </c:pt>
                <c:pt idx="492">
                  <c:v>57.28967902825022</c:v>
                </c:pt>
                <c:pt idx="493">
                  <c:v>47.674497200731651</c:v>
                </c:pt>
                <c:pt idx="494">
                  <c:v>53.662420088799642</c:v>
                </c:pt>
                <c:pt idx="495">
                  <c:v>41.352408974738971</c:v>
                </c:pt>
                <c:pt idx="496">
                  <c:v>54.351657460025379</c:v>
                </c:pt>
                <c:pt idx="497">
                  <c:v>49.101210251405881</c:v>
                </c:pt>
                <c:pt idx="498">
                  <c:v>43.156899612617963</c:v>
                </c:pt>
                <c:pt idx="499">
                  <c:v>61.885628605365198</c:v>
                </c:pt>
                <c:pt idx="500">
                  <c:v>33.812335817956587</c:v>
                </c:pt>
                <c:pt idx="501">
                  <c:v>45.348993995452311</c:v>
                </c:pt>
                <c:pt idx="502">
                  <c:v>42.343748648312562</c:v>
                </c:pt>
                <c:pt idx="503">
                  <c:v>50.137246564745709</c:v>
                </c:pt>
                <c:pt idx="504">
                  <c:v>40.433546926029159</c:v>
                </c:pt>
                <c:pt idx="505">
                  <c:v>50.831104824853959</c:v>
                </c:pt>
                <c:pt idx="506">
                  <c:v>43.073442411291857</c:v>
                </c:pt>
                <c:pt idx="507">
                  <c:v>56.461391743925418</c:v>
                </c:pt>
                <c:pt idx="508">
                  <c:v>42.489349323054618</c:v>
                </c:pt>
                <c:pt idx="509">
                  <c:v>54.481934451378166</c:v>
                </c:pt>
                <c:pt idx="510">
                  <c:v>49.817412659824981</c:v>
                </c:pt>
                <c:pt idx="511">
                  <c:v>44.628532946426141</c:v>
                </c:pt>
                <c:pt idx="512">
                  <c:v>32.443010267552424</c:v>
                </c:pt>
                <c:pt idx="513">
                  <c:v>30.322437027221032</c:v>
                </c:pt>
                <c:pt idx="514">
                  <c:v>52.033185024708636</c:v>
                </c:pt>
                <c:pt idx="515">
                  <c:v>48.218960054386798</c:v>
                </c:pt>
                <c:pt idx="516">
                  <c:v>40.174593490393015</c:v>
                </c:pt>
                <c:pt idx="517">
                  <c:v>50.430945420693774</c:v>
                </c:pt>
                <c:pt idx="518">
                  <c:v>46.318040370341315</c:v>
                </c:pt>
                <c:pt idx="519">
                  <c:v>47.185681715352608</c:v>
                </c:pt>
                <c:pt idx="520">
                  <c:v>44.953526383223526</c:v>
                </c:pt>
                <c:pt idx="521">
                  <c:v>47.029226676987292</c:v>
                </c:pt>
                <c:pt idx="522">
                  <c:v>55.881970359967625</c:v>
                </c:pt>
                <c:pt idx="523">
                  <c:v>54.439584896700012</c:v>
                </c:pt>
                <c:pt idx="524">
                  <c:v>49.396436973662603</c:v>
                </c:pt>
                <c:pt idx="525">
                  <c:v>39.330521710478173</c:v>
                </c:pt>
                <c:pt idx="526">
                  <c:v>36.961429161826445</c:v>
                </c:pt>
                <c:pt idx="527">
                  <c:v>57.456467687091632</c:v>
                </c:pt>
                <c:pt idx="528">
                  <c:v>41.949317852553001</c:v>
                </c:pt>
                <c:pt idx="529">
                  <c:v>39.188742162098258</c:v>
                </c:pt>
                <c:pt idx="530">
                  <c:v>53.803054263106453</c:v>
                </c:pt>
                <c:pt idx="531">
                  <c:v>39.035028559457437</c:v>
                </c:pt>
                <c:pt idx="532">
                  <c:v>48.460730734008237</c:v>
                </c:pt>
                <c:pt idx="533">
                  <c:v>42.512930713629011</c:v>
                </c:pt>
                <c:pt idx="534">
                  <c:v>48.80530519782306</c:v>
                </c:pt>
                <c:pt idx="535">
                  <c:v>47.3733102660726</c:v>
                </c:pt>
                <c:pt idx="536">
                  <c:v>54.898007489158452</c:v>
                </c:pt>
                <c:pt idx="537">
                  <c:v>45.469403363856401</c:v>
                </c:pt>
                <c:pt idx="538">
                  <c:v>51.455096052451871</c:v>
                </c:pt>
                <c:pt idx="539">
                  <c:v>52.288953237402303</c:v>
                </c:pt>
                <c:pt idx="540">
                  <c:v>59.174323883521517</c:v>
                </c:pt>
                <c:pt idx="541">
                  <c:v>51.792559370686533</c:v>
                </c:pt>
                <c:pt idx="542">
                  <c:v>49.825598202132639</c:v>
                </c:pt>
                <c:pt idx="543">
                  <c:v>43.266771034106299</c:v>
                </c:pt>
                <c:pt idx="544">
                  <c:v>43.821810190888534</c:v>
                </c:pt>
                <c:pt idx="545">
                  <c:v>45.098597675621463</c:v>
                </c:pt>
                <c:pt idx="546">
                  <c:v>38.955075089031602</c:v>
                </c:pt>
                <c:pt idx="547">
                  <c:v>39.020168779065493</c:v>
                </c:pt>
                <c:pt idx="548">
                  <c:v>40.069464979457372</c:v>
                </c:pt>
                <c:pt idx="549">
                  <c:v>45.359794938324498</c:v>
                </c:pt>
                <c:pt idx="550">
                  <c:v>50.406378816317627</c:v>
                </c:pt>
                <c:pt idx="551">
                  <c:v>43.202202628193128</c:v>
                </c:pt>
                <c:pt idx="552">
                  <c:v>50.066181550048903</c:v>
                </c:pt>
                <c:pt idx="553">
                  <c:v>51.959590390862274</c:v>
                </c:pt>
                <c:pt idx="554">
                  <c:v>36.257290466928183</c:v>
                </c:pt>
                <c:pt idx="555">
                  <c:v>45.324531980846309</c:v>
                </c:pt>
                <c:pt idx="556">
                  <c:v>49.350879475778854</c:v>
                </c:pt>
                <c:pt idx="557">
                  <c:v>43.087456137011223</c:v>
                </c:pt>
                <c:pt idx="558">
                  <c:v>42.337428119135012</c:v>
                </c:pt>
                <c:pt idx="559">
                  <c:v>50.459633315201998</c:v>
                </c:pt>
                <c:pt idx="560">
                  <c:v>49.889013180870727</c:v>
                </c:pt>
                <c:pt idx="561">
                  <c:v>45.639938920872723</c:v>
                </c:pt>
                <c:pt idx="562">
                  <c:v>49.953618418106792</c:v>
                </c:pt>
                <c:pt idx="563">
                  <c:v>42.635904946721858</c:v>
                </c:pt>
                <c:pt idx="564">
                  <c:v>54.299097644091603</c:v>
                </c:pt>
                <c:pt idx="565">
                  <c:v>46.516075491365633</c:v>
                </c:pt>
                <c:pt idx="566">
                  <c:v>45.092339621472092</c:v>
                </c:pt>
                <c:pt idx="567">
                  <c:v>49.478828649824614</c:v>
                </c:pt>
                <c:pt idx="568">
                  <c:v>50.801206344944191</c:v>
                </c:pt>
                <c:pt idx="569">
                  <c:v>42.93209376473115</c:v>
                </c:pt>
                <c:pt idx="570">
                  <c:v>61.515640333464994</c:v>
                </c:pt>
                <c:pt idx="571">
                  <c:v>41.312969250044432</c:v>
                </c:pt>
                <c:pt idx="572">
                  <c:v>44.634577008921411</c:v>
                </c:pt>
                <c:pt idx="573">
                  <c:v>46.240923118766766</c:v>
                </c:pt>
                <c:pt idx="574">
                  <c:v>52.662474924210514</c:v>
                </c:pt>
                <c:pt idx="575">
                  <c:v>36.933435826225995</c:v>
                </c:pt>
                <c:pt idx="576">
                  <c:v>36.95893788736926</c:v>
                </c:pt>
                <c:pt idx="577">
                  <c:v>48.270564745386984</c:v>
                </c:pt>
                <c:pt idx="578">
                  <c:v>43.993288814421355</c:v>
                </c:pt>
                <c:pt idx="579">
                  <c:v>48.507525355005377</c:v>
                </c:pt>
                <c:pt idx="580">
                  <c:v>46.491146389675187</c:v>
                </c:pt>
                <c:pt idx="581">
                  <c:v>45.449578674441405</c:v>
                </c:pt>
                <c:pt idx="582">
                  <c:v>62.452414030243496</c:v>
                </c:pt>
                <c:pt idx="583">
                  <c:v>48.445481518226899</c:v>
                </c:pt>
                <c:pt idx="584">
                  <c:v>48.907493503080872</c:v>
                </c:pt>
                <c:pt idx="585">
                  <c:v>52.242126758912214</c:v>
                </c:pt>
                <c:pt idx="586">
                  <c:v>42.59856138897733</c:v>
                </c:pt>
                <c:pt idx="587">
                  <c:v>45.701044678035991</c:v>
                </c:pt>
                <c:pt idx="588">
                  <c:v>43.463506877552945</c:v>
                </c:pt>
                <c:pt idx="589">
                  <c:v>57.71704979338751</c:v>
                </c:pt>
                <c:pt idx="590">
                  <c:v>47.432632224710375</c:v>
                </c:pt>
                <c:pt idx="591">
                  <c:v>53.053796459820042</c:v>
                </c:pt>
                <c:pt idx="592">
                  <c:v>47.040488734394174</c:v>
                </c:pt>
                <c:pt idx="593">
                  <c:v>51.705937211432087</c:v>
                </c:pt>
                <c:pt idx="594">
                  <c:v>46.188310978121862</c:v>
                </c:pt>
                <c:pt idx="595">
                  <c:v>42.523253144783176</c:v>
                </c:pt>
                <c:pt idx="596">
                  <c:v>46.949227630133315</c:v>
                </c:pt>
                <c:pt idx="597">
                  <c:v>44.819005081317222</c:v>
                </c:pt>
                <c:pt idx="598">
                  <c:v>46.729738300229357</c:v>
                </c:pt>
                <c:pt idx="599">
                  <c:v>52.302838286899707</c:v>
                </c:pt>
                <c:pt idx="600">
                  <c:v>47.458816447817391</c:v>
                </c:pt>
                <c:pt idx="601">
                  <c:v>45.032010119654892</c:v>
                </c:pt>
                <c:pt idx="602">
                  <c:v>46.274953633940072</c:v>
                </c:pt>
                <c:pt idx="603">
                  <c:v>45.632164402650439</c:v>
                </c:pt>
                <c:pt idx="604">
                  <c:v>45.233798458496267</c:v>
                </c:pt>
                <c:pt idx="605">
                  <c:v>52.981576567143549</c:v>
                </c:pt>
                <c:pt idx="606">
                  <c:v>39.875727322500239</c:v>
                </c:pt>
                <c:pt idx="607">
                  <c:v>44.016133288973435</c:v>
                </c:pt>
                <c:pt idx="608">
                  <c:v>41.068254078176388</c:v>
                </c:pt>
                <c:pt idx="609">
                  <c:v>53.576232560638715</c:v>
                </c:pt>
                <c:pt idx="610">
                  <c:v>56.774943842453531</c:v>
                </c:pt>
                <c:pt idx="611">
                  <c:v>42.494703655703745</c:v>
                </c:pt>
                <c:pt idx="612">
                  <c:v>49.85918006408928</c:v>
                </c:pt>
                <c:pt idx="613">
                  <c:v>40.033993997827714</c:v>
                </c:pt>
                <c:pt idx="614">
                  <c:v>49.052207017882509</c:v>
                </c:pt>
                <c:pt idx="615">
                  <c:v>48.309458978695069</c:v>
                </c:pt>
                <c:pt idx="616">
                  <c:v>40.218315193952456</c:v>
                </c:pt>
                <c:pt idx="617">
                  <c:v>42.427064729209427</c:v>
                </c:pt>
                <c:pt idx="618">
                  <c:v>52.724353350074047</c:v>
                </c:pt>
                <c:pt idx="619">
                  <c:v>54.946475635953881</c:v>
                </c:pt>
                <c:pt idx="620">
                  <c:v>39.966431067135176</c:v>
                </c:pt>
                <c:pt idx="621">
                  <c:v>41.535116125397138</c:v>
                </c:pt>
                <c:pt idx="622">
                  <c:v>47.001474302895467</c:v>
                </c:pt>
                <c:pt idx="623">
                  <c:v>46.55327372609721</c:v>
                </c:pt>
                <c:pt idx="624">
                  <c:v>41.527793888186395</c:v>
                </c:pt>
                <c:pt idx="625">
                  <c:v>54.06024182921427</c:v>
                </c:pt>
                <c:pt idx="626">
                  <c:v>47.970645267211616</c:v>
                </c:pt>
                <c:pt idx="627">
                  <c:v>42.40550815027121</c:v>
                </c:pt>
                <c:pt idx="628">
                  <c:v>42.219213194746629</c:v>
                </c:pt>
                <c:pt idx="629">
                  <c:v>52.521493772959893</c:v>
                </c:pt>
                <c:pt idx="630">
                  <c:v>42.568422303711245</c:v>
                </c:pt>
                <c:pt idx="631">
                  <c:v>50.978276291638281</c:v>
                </c:pt>
                <c:pt idx="632">
                  <c:v>36.746840752063093</c:v>
                </c:pt>
                <c:pt idx="633">
                  <c:v>15.012671173616679</c:v>
                </c:pt>
                <c:pt idx="634">
                  <c:v>40.095142747639819</c:v>
                </c:pt>
                <c:pt idx="635">
                  <c:v>50.175935995686451</c:v>
                </c:pt>
                <c:pt idx="636">
                  <c:v>58.830975348762166</c:v>
                </c:pt>
                <c:pt idx="637">
                  <c:v>59.619981065828412</c:v>
                </c:pt>
                <c:pt idx="638">
                  <c:v>46.681678177074254</c:v>
                </c:pt>
                <c:pt idx="639">
                  <c:v>53.101640046513971</c:v>
                </c:pt>
                <c:pt idx="640">
                  <c:v>49.034787096234005</c:v>
                </c:pt>
                <c:pt idx="641">
                  <c:v>63.087420353756428</c:v>
                </c:pt>
                <c:pt idx="642">
                  <c:v>39.300311175492325</c:v>
                </c:pt>
                <c:pt idx="643">
                  <c:v>50.353271618372425</c:v>
                </c:pt>
                <c:pt idx="644">
                  <c:v>49.675013257806242</c:v>
                </c:pt>
                <c:pt idx="645">
                  <c:v>47.000031223544362</c:v>
                </c:pt>
                <c:pt idx="646">
                  <c:v>43.646836279708957</c:v>
                </c:pt>
                <c:pt idx="647">
                  <c:v>42.227964578003309</c:v>
                </c:pt>
                <c:pt idx="648">
                  <c:v>46.031302220628191</c:v>
                </c:pt>
                <c:pt idx="649">
                  <c:v>47.041624764621197</c:v>
                </c:pt>
                <c:pt idx="650">
                  <c:v>35.216770242384143</c:v>
                </c:pt>
                <c:pt idx="651">
                  <c:v>43.294122905370322</c:v>
                </c:pt>
                <c:pt idx="652">
                  <c:v>44.620692267050174</c:v>
                </c:pt>
                <c:pt idx="653">
                  <c:v>51.318937485728895</c:v>
                </c:pt>
                <c:pt idx="654">
                  <c:v>50.253878886770551</c:v>
                </c:pt>
                <c:pt idx="655">
                  <c:v>51.983672087430733</c:v>
                </c:pt>
                <c:pt idx="656">
                  <c:v>50.210779036704089</c:v>
                </c:pt>
                <c:pt idx="657">
                  <c:v>60.695918845884059</c:v>
                </c:pt>
                <c:pt idx="658">
                  <c:v>59.460380047508721</c:v>
                </c:pt>
                <c:pt idx="659">
                  <c:v>49.900189558850009</c:v>
                </c:pt>
                <c:pt idx="660">
                  <c:v>62.598525471548918</c:v>
                </c:pt>
                <c:pt idx="661">
                  <c:v>42.291798974497638</c:v>
                </c:pt>
                <c:pt idx="662">
                  <c:v>41.627153022617016</c:v>
                </c:pt>
                <c:pt idx="663">
                  <c:v>50.192304819542812</c:v>
                </c:pt>
                <c:pt idx="664">
                  <c:v>61.938849615024751</c:v>
                </c:pt>
                <c:pt idx="665">
                  <c:v>55.839511153978705</c:v>
                </c:pt>
                <c:pt idx="666">
                  <c:v>54.983372622460521</c:v>
                </c:pt>
                <c:pt idx="667">
                  <c:v>39.227188301839711</c:v>
                </c:pt>
                <c:pt idx="668">
                  <c:v>46.022665234393969</c:v>
                </c:pt>
                <c:pt idx="669">
                  <c:v>52.123747217669369</c:v>
                </c:pt>
                <c:pt idx="670">
                  <c:v>50.734341634652665</c:v>
                </c:pt>
                <c:pt idx="671">
                  <c:v>59.086781932370911</c:v>
                </c:pt>
                <c:pt idx="672">
                  <c:v>42.718351092057297</c:v>
                </c:pt>
                <c:pt idx="673">
                  <c:v>47.310412063394843</c:v>
                </c:pt>
                <c:pt idx="674">
                  <c:v>36.955106372024979</c:v>
                </c:pt>
                <c:pt idx="675">
                  <c:v>50.152420215706194</c:v>
                </c:pt>
                <c:pt idx="676">
                  <c:v>49.940480948859985</c:v>
                </c:pt>
                <c:pt idx="677">
                  <c:v>43.593323006061212</c:v>
                </c:pt>
                <c:pt idx="678">
                  <c:v>44.731193189763339</c:v>
                </c:pt>
                <c:pt idx="679">
                  <c:v>50.177187084821838</c:v>
                </c:pt>
                <c:pt idx="680">
                  <c:v>60.759637454171418</c:v>
                </c:pt>
                <c:pt idx="681">
                  <c:v>32.751391854266323</c:v>
                </c:pt>
                <c:pt idx="682">
                  <c:v>50.606843095267514</c:v>
                </c:pt>
                <c:pt idx="683">
                  <c:v>50.798288037551984</c:v>
                </c:pt>
                <c:pt idx="684">
                  <c:v>44.983658754948848</c:v>
                </c:pt>
                <c:pt idx="685">
                  <c:v>49.325107913542588</c:v>
                </c:pt>
                <c:pt idx="686">
                  <c:v>42.85853246552719</c:v>
                </c:pt>
                <c:pt idx="687">
                  <c:v>52.698713024206931</c:v>
                </c:pt>
                <c:pt idx="688">
                  <c:v>52.026260761377912</c:v>
                </c:pt>
                <c:pt idx="689">
                  <c:v>44.326359366690269</c:v>
                </c:pt>
                <c:pt idx="690">
                  <c:v>50.87844289020881</c:v>
                </c:pt>
                <c:pt idx="691">
                  <c:v>53.225533645386946</c:v>
                </c:pt>
                <c:pt idx="692">
                  <c:v>50.044157394275345</c:v>
                </c:pt>
                <c:pt idx="693">
                  <c:v>50.26635032371496</c:v>
                </c:pt>
                <c:pt idx="694">
                  <c:v>45.680172241402865</c:v>
                </c:pt>
                <c:pt idx="695">
                  <c:v>32.999504675796111</c:v>
                </c:pt>
                <c:pt idx="696">
                  <c:v>48.712494129612494</c:v>
                </c:pt>
                <c:pt idx="697">
                  <c:v>44.905186663695375</c:v>
                </c:pt>
                <c:pt idx="698">
                  <c:v>49.238772259628462</c:v>
                </c:pt>
                <c:pt idx="699">
                  <c:v>52.934613943050358</c:v>
                </c:pt>
                <c:pt idx="700">
                  <c:v>39.526024920099559</c:v>
                </c:pt>
                <c:pt idx="701">
                  <c:v>61.711396017684223</c:v>
                </c:pt>
                <c:pt idx="702">
                  <c:v>53.409631220546217</c:v>
                </c:pt>
                <c:pt idx="703">
                  <c:v>45.803261303082671</c:v>
                </c:pt>
                <c:pt idx="704">
                  <c:v>54.500895112838791</c:v>
                </c:pt>
                <c:pt idx="705">
                  <c:v>43.178767472031609</c:v>
                </c:pt>
                <c:pt idx="706">
                  <c:v>45.925860327176899</c:v>
                </c:pt>
                <c:pt idx="707">
                  <c:v>51.568847218566788</c:v>
                </c:pt>
                <c:pt idx="708">
                  <c:v>50.973121972661048</c:v>
                </c:pt>
                <c:pt idx="709">
                  <c:v>52.061500143366992</c:v>
                </c:pt>
                <c:pt idx="710">
                  <c:v>43.073268754757571</c:v>
                </c:pt>
                <c:pt idx="711">
                  <c:v>44.942317223959279</c:v>
                </c:pt>
                <c:pt idx="712">
                  <c:v>49.834662118396913</c:v>
                </c:pt>
                <c:pt idx="713">
                  <c:v>58.627749501653504</c:v>
                </c:pt>
                <c:pt idx="714">
                  <c:v>36.592937709295853</c:v>
                </c:pt>
                <c:pt idx="715">
                  <c:v>38.159866715736854</c:v>
                </c:pt>
                <c:pt idx="716">
                  <c:v>43.707152707104527</c:v>
                </c:pt>
                <c:pt idx="717">
                  <c:v>44.885384582757823</c:v>
                </c:pt>
                <c:pt idx="718">
                  <c:v>38.018325643674785</c:v>
                </c:pt>
                <c:pt idx="719">
                  <c:v>49.901674624825951</c:v>
                </c:pt>
                <c:pt idx="720">
                  <c:v>41.027497103825539</c:v>
                </c:pt>
                <c:pt idx="721">
                  <c:v>45.596223178387952</c:v>
                </c:pt>
                <c:pt idx="722">
                  <c:v>48.20391442649801</c:v>
                </c:pt>
                <c:pt idx="723">
                  <c:v>57.019023314195984</c:v>
                </c:pt>
                <c:pt idx="724">
                  <c:v>51.413099167022914</c:v>
                </c:pt>
                <c:pt idx="725">
                  <c:v>50.095454244988993</c:v>
                </c:pt>
                <c:pt idx="726">
                  <c:v>48.147359937948721</c:v>
                </c:pt>
                <c:pt idx="727">
                  <c:v>52.765630447359058</c:v>
                </c:pt>
                <c:pt idx="728">
                  <c:v>39.139238574038835</c:v>
                </c:pt>
                <c:pt idx="729">
                  <c:v>46.754340101575927</c:v>
                </c:pt>
                <c:pt idx="730">
                  <c:v>39.398363225118594</c:v>
                </c:pt>
                <c:pt idx="731">
                  <c:v>49.56989183883023</c:v>
                </c:pt>
                <c:pt idx="732">
                  <c:v>52.952166433401629</c:v>
                </c:pt>
                <c:pt idx="733">
                  <c:v>53.379609837307328</c:v>
                </c:pt>
                <c:pt idx="734">
                  <c:v>47.628787695921645</c:v>
                </c:pt>
                <c:pt idx="735">
                  <c:v>40.987099387229598</c:v>
                </c:pt>
                <c:pt idx="736">
                  <c:v>41.686675476307542</c:v>
                </c:pt>
                <c:pt idx="737">
                  <c:v>51.435619759226817</c:v>
                </c:pt>
                <c:pt idx="738">
                  <c:v>39.679110968824737</c:v>
                </c:pt>
                <c:pt idx="739">
                  <c:v>51.980262024753287</c:v>
                </c:pt>
                <c:pt idx="740">
                  <c:v>53.057951479751623</c:v>
                </c:pt>
                <c:pt idx="741">
                  <c:v>59.190125929949602</c:v>
                </c:pt>
                <c:pt idx="742">
                  <c:v>47.734115720740505</c:v>
                </c:pt>
                <c:pt idx="743">
                  <c:v>47.726753494005266</c:v>
                </c:pt>
                <c:pt idx="744">
                  <c:v>36.999883039711349</c:v>
                </c:pt>
                <c:pt idx="745">
                  <c:v>52.681800458475223</c:v>
                </c:pt>
                <c:pt idx="746">
                  <c:v>35.355759628232057</c:v>
                </c:pt>
                <c:pt idx="747">
                  <c:v>55.11604191123017</c:v>
                </c:pt>
                <c:pt idx="748">
                  <c:v>50.669333026015487</c:v>
                </c:pt>
                <c:pt idx="749">
                  <c:v>47.783476451161789</c:v>
                </c:pt>
                <c:pt idx="750">
                  <c:v>47.305944552333457</c:v>
                </c:pt>
                <c:pt idx="751">
                  <c:v>53.886184571182703</c:v>
                </c:pt>
                <c:pt idx="752">
                  <c:v>52.1236589004438</c:v>
                </c:pt>
                <c:pt idx="753">
                  <c:v>43.115315166317302</c:v>
                </c:pt>
                <c:pt idx="754">
                  <c:v>43.527533071340173</c:v>
                </c:pt>
                <c:pt idx="755">
                  <c:v>48.955953192045257</c:v>
                </c:pt>
                <c:pt idx="756">
                  <c:v>40.438446229115833</c:v>
                </c:pt>
                <c:pt idx="757">
                  <c:v>40.759997287523277</c:v>
                </c:pt>
                <c:pt idx="758">
                  <c:v>53.783778310242838</c:v>
                </c:pt>
                <c:pt idx="759">
                  <c:v>28.784812422557636</c:v>
                </c:pt>
                <c:pt idx="760">
                  <c:v>49.365693945317567</c:v>
                </c:pt>
                <c:pt idx="761">
                  <c:v>40.495223682419059</c:v>
                </c:pt>
                <c:pt idx="762">
                  <c:v>47.761952456424538</c:v>
                </c:pt>
                <c:pt idx="763">
                  <c:v>42.488579864661588</c:v>
                </c:pt>
                <c:pt idx="764">
                  <c:v>47.73674750947594</c:v>
                </c:pt>
                <c:pt idx="765">
                  <c:v>51.210631194551127</c:v>
                </c:pt>
                <c:pt idx="766">
                  <c:v>47.88129798314273</c:v>
                </c:pt>
                <c:pt idx="767">
                  <c:v>51.68805706776498</c:v>
                </c:pt>
                <c:pt idx="768">
                  <c:v>63.73663615308373</c:v>
                </c:pt>
                <c:pt idx="769">
                  <c:v>58.97448294223102</c:v>
                </c:pt>
                <c:pt idx="770">
                  <c:v>49.477863954511889</c:v>
                </c:pt>
                <c:pt idx="771">
                  <c:v>44.975672753078051</c:v>
                </c:pt>
                <c:pt idx="772">
                  <c:v>39.406660537538578</c:v>
                </c:pt>
                <c:pt idx="773">
                  <c:v>45.121127432083</c:v>
                </c:pt>
                <c:pt idx="774">
                  <c:v>50.85345187116878</c:v>
                </c:pt>
                <c:pt idx="775">
                  <c:v>47.170173450951012</c:v>
                </c:pt>
                <c:pt idx="776">
                  <c:v>46.083150685860012</c:v>
                </c:pt>
                <c:pt idx="777">
                  <c:v>39.235079367623371</c:v>
                </c:pt>
                <c:pt idx="778">
                  <c:v>39.09097155236627</c:v>
                </c:pt>
                <c:pt idx="779">
                  <c:v>42.873169679632305</c:v>
                </c:pt>
                <c:pt idx="780">
                  <c:v>45.343614991242575</c:v>
                </c:pt>
                <c:pt idx="781">
                  <c:v>49.698405417813539</c:v>
                </c:pt>
                <c:pt idx="782">
                  <c:v>48.32400340988837</c:v>
                </c:pt>
                <c:pt idx="783">
                  <c:v>48.738353010007238</c:v>
                </c:pt>
                <c:pt idx="784">
                  <c:v>33.116168052457596</c:v>
                </c:pt>
                <c:pt idx="785">
                  <c:v>46.110750230840395</c:v>
                </c:pt>
                <c:pt idx="786">
                  <c:v>42.536620075303077</c:v>
                </c:pt>
                <c:pt idx="787">
                  <c:v>46.878052965790125</c:v>
                </c:pt>
                <c:pt idx="788">
                  <c:v>34.495075929691104</c:v>
                </c:pt>
                <c:pt idx="789">
                  <c:v>22.217940058155527</c:v>
                </c:pt>
                <c:pt idx="790">
                  <c:v>54.544959067727056</c:v>
                </c:pt>
                <c:pt idx="791">
                  <c:v>44.065533286328957</c:v>
                </c:pt>
                <c:pt idx="792">
                  <c:v>46.031747175172498</c:v>
                </c:pt>
                <c:pt idx="793">
                  <c:v>53.542123471263494</c:v>
                </c:pt>
                <c:pt idx="794">
                  <c:v>52.129784649323099</c:v>
                </c:pt>
                <c:pt idx="795">
                  <c:v>52.186567343843635</c:v>
                </c:pt>
                <c:pt idx="796">
                  <c:v>48.238695524371991</c:v>
                </c:pt>
                <c:pt idx="797">
                  <c:v>37.933450234546108</c:v>
                </c:pt>
                <c:pt idx="798">
                  <c:v>50.088631151188522</c:v>
                </c:pt>
                <c:pt idx="799">
                  <c:v>42.694825754185388</c:v>
                </c:pt>
                <c:pt idx="800">
                  <c:v>48.061943254527492</c:v>
                </c:pt>
                <c:pt idx="801">
                  <c:v>54.036883243934625</c:v>
                </c:pt>
                <c:pt idx="802">
                  <c:v>46.945906751157132</c:v>
                </c:pt>
                <c:pt idx="803">
                  <c:v>43.56330115747167</c:v>
                </c:pt>
                <c:pt idx="804">
                  <c:v>49.841349751343408</c:v>
                </c:pt>
                <c:pt idx="805">
                  <c:v>40.439054339294579</c:v>
                </c:pt>
                <c:pt idx="806">
                  <c:v>45.496259151479016</c:v>
                </c:pt>
                <c:pt idx="807">
                  <c:v>48.56931050849181</c:v>
                </c:pt>
                <c:pt idx="808">
                  <c:v>51.903889053962381</c:v>
                </c:pt>
                <c:pt idx="809">
                  <c:v>50.32634126183919</c:v>
                </c:pt>
                <c:pt idx="810">
                  <c:v>48.663188199268973</c:v>
                </c:pt>
                <c:pt idx="811">
                  <c:v>52.712558394982331</c:v>
                </c:pt>
                <c:pt idx="812">
                  <c:v>49.876089888829362</c:v>
                </c:pt>
                <c:pt idx="813">
                  <c:v>37.194897583810409</c:v>
                </c:pt>
                <c:pt idx="814">
                  <c:v>34.418758140671287</c:v>
                </c:pt>
                <c:pt idx="815">
                  <c:v>44.717842215470057</c:v>
                </c:pt>
                <c:pt idx="816">
                  <c:v>47.764480233233321</c:v>
                </c:pt>
                <c:pt idx="817">
                  <c:v>48.238713972062783</c:v>
                </c:pt>
                <c:pt idx="818">
                  <c:v>49.316685596271256</c:v>
                </c:pt>
                <c:pt idx="819">
                  <c:v>50.209321273276174</c:v>
                </c:pt>
                <c:pt idx="820">
                  <c:v>44.818152481216295</c:v>
                </c:pt>
                <c:pt idx="821">
                  <c:v>38.799007842769569</c:v>
                </c:pt>
                <c:pt idx="822">
                  <c:v>47.993507088243923</c:v>
                </c:pt>
                <c:pt idx="823">
                  <c:v>51.087268667272731</c:v>
                </c:pt>
                <c:pt idx="824">
                  <c:v>50.563239098333419</c:v>
                </c:pt>
                <c:pt idx="825">
                  <c:v>45.164478704568083</c:v>
                </c:pt>
                <c:pt idx="826">
                  <c:v>58.176382189465549</c:v>
                </c:pt>
                <c:pt idx="827">
                  <c:v>60.504814081167623</c:v>
                </c:pt>
                <c:pt idx="828">
                  <c:v>37.963555127084319</c:v>
                </c:pt>
                <c:pt idx="829">
                  <c:v>50.990122234959905</c:v>
                </c:pt>
                <c:pt idx="830">
                  <c:v>43.439482719674174</c:v>
                </c:pt>
                <c:pt idx="831">
                  <c:v>53.325123991718478</c:v>
                </c:pt>
                <c:pt idx="832">
                  <c:v>41.626548068982061</c:v>
                </c:pt>
                <c:pt idx="833">
                  <c:v>58.128599611273593</c:v>
                </c:pt>
                <c:pt idx="834">
                  <c:v>47.784526836491828</c:v>
                </c:pt>
                <c:pt idx="835">
                  <c:v>50.846882973427078</c:v>
                </c:pt>
                <c:pt idx="836">
                  <c:v>55.993275309443803</c:v>
                </c:pt>
                <c:pt idx="837">
                  <c:v>48.126003300518668</c:v>
                </c:pt>
                <c:pt idx="838">
                  <c:v>47.056671414481123</c:v>
                </c:pt>
                <c:pt idx="839">
                  <c:v>49.068488870872805</c:v>
                </c:pt>
                <c:pt idx="840">
                  <c:v>47.363299466272366</c:v>
                </c:pt>
                <c:pt idx="841">
                  <c:v>43.700306688457658</c:v>
                </c:pt>
                <c:pt idx="842">
                  <c:v>48.896292783536936</c:v>
                </c:pt>
                <c:pt idx="843">
                  <c:v>38.600318192329368</c:v>
                </c:pt>
                <c:pt idx="844">
                  <c:v>14.882528011076715</c:v>
                </c:pt>
                <c:pt idx="845">
                  <c:v>44.580951875417703</c:v>
                </c:pt>
                <c:pt idx="846">
                  <c:v>39.811205228726827</c:v>
                </c:pt>
                <c:pt idx="847">
                  <c:v>42.362718350498454</c:v>
                </c:pt>
                <c:pt idx="848">
                  <c:v>52.089907428397339</c:v>
                </c:pt>
                <c:pt idx="849">
                  <c:v>41.403182010218131</c:v>
                </c:pt>
                <c:pt idx="850">
                  <c:v>45.916333883907505</c:v>
                </c:pt>
                <c:pt idx="851">
                  <c:v>45.368953149436656</c:v>
                </c:pt>
                <c:pt idx="852">
                  <c:v>44.057439050523641</c:v>
                </c:pt>
                <c:pt idx="853">
                  <c:v>56.471864262585314</c:v>
                </c:pt>
                <c:pt idx="854">
                  <c:v>36.238959346254539</c:v>
                </c:pt>
                <c:pt idx="855">
                  <c:v>38.589112262604381</c:v>
                </c:pt>
                <c:pt idx="856">
                  <c:v>54.375037781385174</c:v>
                </c:pt>
                <c:pt idx="857">
                  <c:v>34.422273741376522</c:v>
                </c:pt>
                <c:pt idx="858">
                  <c:v>55.795036965559504</c:v>
                </c:pt>
                <c:pt idx="859">
                  <c:v>52.038603219830421</c:v>
                </c:pt>
                <c:pt idx="860">
                  <c:v>53.535737841875111</c:v>
                </c:pt>
                <c:pt idx="861">
                  <c:v>46.95040883284279</c:v>
                </c:pt>
                <c:pt idx="862">
                  <c:v>40.229079508800609</c:v>
                </c:pt>
                <c:pt idx="863">
                  <c:v>40.560609608087738</c:v>
                </c:pt>
                <c:pt idx="864">
                  <c:v>50.457517995991431</c:v>
                </c:pt>
                <c:pt idx="865">
                  <c:v>51.571419655677069</c:v>
                </c:pt>
                <c:pt idx="866">
                  <c:v>46.147651284493733</c:v>
                </c:pt>
                <c:pt idx="867">
                  <c:v>41.077362473847849</c:v>
                </c:pt>
                <c:pt idx="868">
                  <c:v>40.863293271544691</c:v>
                </c:pt>
                <c:pt idx="869">
                  <c:v>56.312035570224097</c:v>
                </c:pt>
                <c:pt idx="870">
                  <c:v>45.60171322068782</c:v>
                </c:pt>
                <c:pt idx="871">
                  <c:v>61.28802570143985</c:v>
                </c:pt>
                <c:pt idx="872">
                  <c:v>48.13173799034908</c:v>
                </c:pt>
                <c:pt idx="873">
                  <c:v>40.90438517646578</c:v>
                </c:pt>
                <c:pt idx="874">
                  <c:v>62.341265515466269</c:v>
                </c:pt>
                <c:pt idx="875">
                  <c:v>27.000124657001127</c:v>
                </c:pt>
                <c:pt idx="876">
                  <c:v>48.72264944817347</c:v>
                </c:pt>
                <c:pt idx="877">
                  <c:v>56.095345000770045</c:v>
                </c:pt>
                <c:pt idx="878">
                  <c:v>52.169922228177803</c:v>
                </c:pt>
                <c:pt idx="879">
                  <c:v>40.923751632066931</c:v>
                </c:pt>
                <c:pt idx="880">
                  <c:v>55.926249253001984</c:v>
                </c:pt>
                <c:pt idx="881">
                  <c:v>43.877881756982546</c:v>
                </c:pt>
                <c:pt idx="882">
                  <c:v>44.426354532884368</c:v>
                </c:pt>
                <c:pt idx="883">
                  <c:v>62.588170600103858</c:v>
                </c:pt>
                <c:pt idx="884">
                  <c:v>41.040912664784685</c:v>
                </c:pt>
                <c:pt idx="885">
                  <c:v>45.243112907734996</c:v>
                </c:pt>
                <c:pt idx="886">
                  <c:v>49.949880010296305</c:v>
                </c:pt>
                <c:pt idx="887">
                  <c:v>45.035058072628317</c:v>
                </c:pt>
                <c:pt idx="888">
                  <c:v>50.949018896772095</c:v>
                </c:pt>
                <c:pt idx="889">
                  <c:v>46.129914471704097</c:v>
                </c:pt>
                <c:pt idx="890">
                  <c:v>58.331429313405252</c:v>
                </c:pt>
                <c:pt idx="891">
                  <c:v>42.945832829311868</c:v>
                </c:pt>
                <c:pt idx="892">
                  <c:v>49.390626233960077</c:v>
                </c:pt>
                <c:pt idx="893">
                  <c:v>45.480425596058339</c:v>
                </c:pt>
                <c:pt idx="894">
                  <c:v>56.193129480412992</c:v>
                </c:pt>
                <c:pt idx="895">
                  <c:v>42.720603076491017</c:v>
                </c:pt>
                <c:pt idx="896">
                  <c:v>54.553057031068306</c:v>
                </c:pt>
                <c:pt idx="897">
                  <c:v>44.991347423992281</c:v>
                </c:pt>
                <c:pt idx="898">
                  <c:v>48.966988755370863</c:v>
                </c:pt>
                <c:pt idx="899">
                  <c:v>52.630748831174323</c:v>
                </c:pt>
                <c:pt idx="900">
                  <c:v>42.357063553787832</c:v>
                </c:pt>
                <c:pt idx="901">
                  <c:v>53.904275824371069</c:v>
                </c:pt>
                <c:pt idx="902">
                  <c:v>55.707484991315503</c:v>
                </c:pt>
                <c:pt idx="903">
                  <c:v>51.010195986646899</c:v>
                </c:pt>
                <c:pt idx="904">
                  <c:v>37.502079801800527</c:v>
                </c:pt>
                <c:pt idx="905">
                  <c:v>46.877801012837949</c:v>
                </c:pt>
                <c:pt idx="906">
                  <c:v>41.625184317778995</c:v>
                </c:pt>
                <c:pt idx="907">
                  <c:v>60.852064184223224</c:v>
                </c:pt>
                <c:pt idx="908">
                  <c:v>37.897714208422258</c:v>
                </c:pt>
                <c:pt idx="909">
                  <c:v>46.485851780319443</c:v>
                </c:pt>
                <c:pt idx="910">
                  <c:v>48.440667819761295</c:v>
                </c:pt>
                <c:pt idx="911">
                  <c:v>40.648452184780332</c:v>
                </c:pt>
                <c:pt idx="912">
                  <c:v>46.537317982047675</c:v>
                </c:pt>
                <c:pt idx="913">
                  <c:v>40.168019319047936</c:v>
                </c:pt>
                <c:pt idx="914">
                  <c:v>40.514226527909692</c:v>
                </c:pt>
                <c:pt idx="915">
                  <c:v>40.599608345576513</c:v>
                </c:pt>
                <c:pt idx="916">
                  <c:v>50.188844996440316</c:v>
                </c:pt>
                <c:pt idx="917">
                  <c:v>43.79681404196149</c:v>
                </c:pt>
                <c:pt idx="918">
                  <c:v>41.888808957411733</c:v>
                </c:pt>
                <c:pt idx="919">
                  <c:v>53.576185469137926</c:v>
                </c:pt>
                <c:pt idx="920">
                  <c:v>45.134691088659359</c:v>
                </c:pt>
                <c:pt idx="921">
                  <c:v>50.71257086213614</c:v>
                </c:pt>
                <c:pt idx="922">
                  <c:v>49.25232993520369</c:v>
                </c:pt>
                <c:pt idx="923">
                  <c:v>40.169927233991061</c:v>
                </c:pt>
                <c:pt idx="924">
                  <c:v>49.277399046065582</c:v>
                </c:pt>
                <c:pt idx="925">
                  <c:v>55.240568130671505</c:v>
                </c:pt>
                <c:pt idx="926">
                  <c:v>45.59601678643012</c:v>
                </c:pt>
                <c:pt idx="927">
                  <c:v>44.715481627135006</c:v>
                </c:pt>
                <c:pt idx="928">
                  <c:v>41.752932584428933</c:v>
                </c:pt>
                <c:pt idx="929">
                  <c:v>44.556485054962984</c:v>
                </c:pt>
                <c:pt idx="930">
                  <c:v>28.151391204959783</c:v>
                </c:pt>
                <c:pt idx="931">
                  <c:v>37.329208453282455</c:v>
                </c:pt>
                <c:pt idx="932">
                  <c:v>60.922884489021797</c:v>
                </c:pt>
                <c:pt idx="933">
                  <c:v>46.764959254944131</c:v>
                </c:pt>
                <c:pt idx="934">
                  <c:v>53.717188074408249</c:v>
                </c:pt>
                <c:pt idx="935">
                  <c:v>41.927243043404388</c:v>
                </c:pt>
                <c:pt idx="936">
                  <c:v>43.227941806727941</c:v>
                </c:pt>
                <c:pt idx="937">
                  <c:v>56.252746773862945</c:v>
                </c:pt>
                <c:pt idx="938">
                  <c:v>42.624506494933939</c:v>
                </c:pt>
                <c:pt idx="939">
                  <c:v>47.891792193931515</c:v>
                </c:pt>
                <c:pt idx="940">
                  <c:v>39.799451848936044</c:v>
                </c:pt>
                <c:pt idx="941">
                  <c:v>40.78361875879726</c:v>
                </c:pt>
                <c:pt idx="942">
                  <c:v>46.080361952035773</c:v>
                </c:pt>
                <c:pt idx="943">
                  <c:v>46.734029911668642</c:v>
                </c:pt>
                <c:pt idx="944">
                  <c:v>44.956370814105497</c:v>
                </c:pt>
                <c:pt idx="945">
                  <c:v>55.112414874410575</c:v>
                </c:pt>
                <c:pt idx="946">
                  <c:v>50.460959060429062</c:v>
                </c:pt>
                <c:pt idx="947">
                  <c:v>52.830082305326606</c:v>
                </c:pt>
                <c:pt idx="948">
                  <c:v>39.391951110455345</c:v>
                </c:pt>
                <c:pt idx="949">
                  <c:v>58.499222843371157</c:v>
                </c:pt>
                <c:pt idx="950">
                  <c:v>48.032403638867272</c:v>
                </c:pt>
                <c:pt idx="951">
                  <c:v>55.053667797116688</c:v>
                </c:pt>
                <c:pt idx="952">
                  <c:v>53.284312588933389</c:v>
                </c:pt>
                <c:pt idx="953">
                  <c:v>46.821332530911306</c:v>
                </c:pt>
                <c:pt idx="954">
                  <c:v>37.167275695357603</c:v>
                </c:pt>
                <c:pt idx="955">
                  <c:v>52.608250139538463</c:v>
                </c:pt>
                <c:pt idx="956">
                  <c:v>46.403661741957549</c:v>
                </c:pt>
                <c:pt idx="957">
                  <c:v>36.90147796438383</c:v>
                </c:pt>
                <c:pt idx="958">
                  <c:v>55.787358311127591</c:v>
                </c:pt>
                <c:pt idx="959">
                  <c:v>36.659290344595448</c:v>
                </c:pt>
                <c:pt idx="960">
                  <c:v>51.811985451355056</c:v>
                </c:pt>
                <c:pt idx="961">
                  <c:v>35.705395249750509</c:v>
                </c:pt>
                <c:pt idx="962">
                  <c:v>45.221643738378333</c:v>
                </c:pt>
                <c:pt idx="963">
                  <c:v>43.852702932626038</c:v>
                </c:pt>
                <c:pt idx="964">
                  <c:v>45.588359215584589</c:v>
                </c:pt>
                <c:pt idx="965">
                  <c:v>45.324785198918804</c:v>
                </c:pt>
                <c:pt idx="966">
                  <c:v>55.562233588333655</c:v>
                </c:pt>
                <c:pt idx="967">
                  <c:v>53.79907463822412</c:v>
                </c:pt>
                <c:pt idx="968">
                  <c:v>45.750230677873603</c:v>
                </c:pt>
                <c:pt idx="969">
                  <c:v>59.708336959210854</c:v>
                </c:pt>
                <c:pt idx="970">
                  <c:v>47.133744701644936</c:v>
                </c:pt>
                <c:pt idx="971">
                  <c:v>44.194087274857885</c:v>
                </c:pt>
                <c:pt idx="972">
                  <c:v>54.394295217568221</c:v>
                </c:pt>
                <c:pt idx="973">
                  <c:v>51.744922712275851</c:v>
                </c:pt>
                <c:pt idx="974">
                  <c:v>47.658693788705861</c:v>
                </c:pt>
                <c:pt idx="975">
                  <c:v>52.296548160422937</c:v>
                </c:pt>
                <c:pt idx="976">
                  <c:v>37.447364420785583</c:v>
                </c:pt>
                <c:pt idx="977">
                  <c:v>46.843880007452704</c:v>
                </c:pt>
                <c:pt idx="978">
                  <c:v>35.991504689668488</c:v>
                </c:pt>
                <c:pt idx="979">
                  <c:v>30.58508243635972</c:v>
                </c:pt>
                <c:pt idx="980">
                  <c:v>41.28068563495188</c:v>
                </c:pt>
                <c:pt idx="981">
                  <c:v>26.573115258682844</c:v>
                </c:pt>
                <c:pt idx="982">
                  <c:v>34.503052300206022</c:v>
                </c:pt>
                <c:pt idx="983">
                  <c:v>35.60044668182276</c:v>
                </c:pt>
                <c:pt idx="984">
                  <c:v>41.145821702860189</c:v>
                </c:pt>
                <c:pt idx="985">
                  <c:v>48.477655052816395</c:v>
                </c:pt>
                <c:pt idx="986">
                  <c:v>40.504199033433167</c:v>
                </c:pt>
                <c:pt idx="987">
                  <c:v>39.830411201376691</c:v>
                </c:pt>
                <c:pt idx="988">
                  <c:v>57.1170339042636</c:v>
                </c:pt>
                <c:pt idx="989">
                  <c:v>52.432916032947375</c:v>
                </c:pt>
                <c:pt idx="990">
                  <c:v>44.964125631702586</c:v>
                </c:pt>
                <c:pt idx="991">
                  <c:v>58.529700730422384</c:v>
                </c:pt>
                <c:pt idx="992">
                  <c:v>39.287814311968908</c:v>
                </c:pt>
                <c:pt idx="993">
                  <c:v>50.562388273603041</c:v>
                </c:pt>
                <c:pt idx="994">
                  <c:v>50.203482326987334</c:v>
                </c:pt>
                <c:pt idx="995">
                  <c:v>49.489744392084518</c:v>
                </c:pt>
                <c:pt idx="996">
                  <c:v>37.451399418271087</c:v>
                </c:pt>
                <c:pt idx="997">
                  <c:v>37.671353614571977</c:v>
                </c:pt>
                <c:pt idx="998">
                  <c:v>54.718885589241708</c:v>
                </c:pt>
                <c:pt idx="999">
                  <c:v>48.241195877612761</c:v>
                </c:pt>
                <c:pt idx="1000">
                  <c:v>46.126411285273768</c:v>
                </c:pt>
                <c:pt idx="1001">
                  <c:v>45.152661754478594</c:v>
                </c:pt>
                <c:pt idx="1002">
                  <c:v>51.06686573959886</c:v>
                </c:pt>
                <c:pt idx="1003">
                  <c:v>52.875112517606205</c:v>
                </c:pt>
                <c:pt idx="1004">
                  <c:v>45.51318313272342</c:v>
                </c:pt>
                <c:pt idx="1005">
                  <c:v>37.146227350496822</c:v>
                </c:pt>
                <c:pt idx="1006">
                  <c:v>49.134334405424795</c:v>
                </c:pt>
                <c:pt idx="1007">
                  <c:v>85.911912892418158</c:v>
                </c:pt>
                <c:pt idx="1008">
                  <c:v>43.81081210556718</c:v>
                </c:pt>
                <c:pt idx="1009">
                  <c:v>29.484179323848309</c:v>
                </c:pt>
                <c:pt idx="1010">
                  <c:v>53.961230953047497</c:v>
                </c:pt>
                <c:pt idx="1011">
                  <c:v>39.307646949066289</c:v>
                </c:pt>
                <c:pt idx="1012">
                  <c:v>34.971914873265035</c:v>
                </c:pt>
                <c:pt idx="1013">
                  <c:v>48.901428481150752</c:v>
                </c:pt>
                <c:pt idx="1014">
                  <c:v>46.691488714502412</c:v>
                </c:pt>
                <c:pt idx="1015">
                  <c:v>47.484984553610587</c:v>
                </c:pt>
                <c:pt idx="1016">
                  <c:v>51.92409096815144</c:v>
                </c:pt>
                <c:pt idx="1017">
                  <c:v>40.618512839641276</c:v>
                </c:pt>
                <c:pt idx="1018">
                  <c:v>47.797060038495594</c:v>
                </c:pt>
                <c:pt idx="1019">
                  <c:v>43.912824072399751</c:v>
                </c:pt>
                <c:pt idx="1020">
                  <c:v>40.570069629440304</c:v>
                </c:pt>
                <c:pt idx="1021">
                  <c:v>54.130674145899683</c:v>
                </c:pt>
                <c:pt idx="1022">
                  <c:v>33.304290304492007</c:v>
                </c:pt>
                <c:pt idx="1023">
                  <c:v>47.238142517200068</c:v>
                </c:pt>
                <c:pt idx="1024">
                  <c:v>48.91392934716071</c:v>
                </c:pt>
                <c:pt idx="1025">
                  <c:v>51.047595504866607</c:v>
                </c:pt>
                <c:pt idx="1026">
                  <c:v>43.727208912943759</c:v>
                </c:pt>
                <c:pt idx="1027">
                  <c:v>57.955262889479478</c:v>
                </c:pt>
                <c:pt idx="1028">
                  <c:v>54.05810978138733</c:v>
                </c:pt>
                <c:pt idx="1029">
                  <c:v>41.796691844456959</c:v>
                </c:pt>
                <c:pt idx="1030">
                  <c:v>45.100251114932874</c:v>
                </c:pt>
                <c:pt idx="1031">
                  <c:v>46.616604895676986</c:v>
                </c:pt>
                <c:pt idx="1032">
                  <c:v>47.354631470358441</c:v>
                </c:pt>
                <c:pt idx="1033">
                  <c:v>51.643489111576237</c:v>
                </c:pt>
                <c:pt idx="1034">
                  <c:v>41.473940344446163</c:v>
                </c:pt>
                <c:pt idx="1035">
                  <c:v>55.890482099870468</c:v>
                </c:pt>
                <c:pt idx="1036">
                  <c:v>60.587288614909973</c:v>
                </c:pt>
                <c:pt idx="1037">
                  <c:v>58.565367829358138</c:v>
                </c:pt>
                <c:pt idx="1038">
                  <c:v>38.678079524848826</c:v>
                </c:pt>
                <c:pt idx="1039">
                  <c:v>46.384564384904898</c:v>
                </c:pt>
                <c:pt idx="1040">
                  <c:v>38.577489860873868</c:v>
                </c:pt>
                <c:pt idx="1041">
                  <c:v>37.08872771930114</c:v>
                </c:pt>
                <c:pt idx="1042">
                  <c:v>53.920652316357057</c:v>
                </c:pt>
                <c:pt idx="1043">
                  <c:v>47.822069329108693</c:v>
                </c:pt>
                <c:pt idx="1044">
                  <c:v>35.220058099892974</c:v>
                </c:pt>
                <c:pt idx="1045">
                  <c:v>42.19594570025783</c:v>
                </c:pt>
                <c:pt idx="1046">
                  <c:v>49.382610599390105</c:v>
                </c:pt>
                <c:pt idx="1047">
                  <c:v>49.58410350578599</c:v>
                </c:pt>
                <c:pt idx="1048">
                  <c:v>40.402044497369019</c:v>
                </c:pt>
                <c:pt idx="1049">
                  <c:v>27.259086725908105</c:v>
                </c:pt>
                <c:pt idx="1050">
                  <c:v>54.229481651627495</c:v>
                </c:pt>
                <c:pt idx="1051">
                  <c:v>46.14375397407899</c:v>
                </c:pt>
                <c:pt idx="1052">
                  <c:v>45.889609443085334</c:v>
                </c:pt>
                <c:pt idx="1053">
                  <c:v>49.061054390606209</c:v>
                </c:pt>
                <c:pt idx="1054">
                  <c:v>45.503848094120833</c:v>
                </c:pt>
                <c:pt idx="1055">
                  <c:v>44.905964592251372</c:v>
                </c:pt>
                <c:pt idx="1056">
                  <c:v>44.867614671335808</c:v>
                </c:pt>
                <c:pt idx="1057">
                  <c:v>35.299721894797024</c:v>
                </c:pt>
                <c:pt idx="1058">
                  <c:v>62.685575252459088</c:v>
                </c:pt>
                <c:pt idx="1059">
                  <c:v>36.72916870556756</c:v>
                </c:pt>
                <c:pt idx="1060">
                  <c:v>41.747762800836846</c:v>
                </c:pt>
                <c:pt idx="1061">
                  <c:v>48.076863373449441</c:v>
                </c:pt>
                <c:pt idx="1062">
                  <c:v>40.991020305102289</c:v>
                </c:pt>
                <c:pt idx="1063">
                  <c:v>37.417864410108507</c:v>
                </c:pt>
                <c:pt idx="1064">
                  <c:v>46.775391282053135</c:v>
                </c:pt>
                <c:pt idx="1065">
                  <c:v>53.064666789454925</c:v>
                </c:pt>
                <c:pt idx="1066">
                  <c:v>43.953579889931568</c:v>
                </c:pt>
                <c:pt idx="1067">
                  <c:v>42.36779842013906</c:v>
                </c:pt>
                <c:pt idx="1068">
                  <c:v>33.9595549705599</c:v>
                </c:pt>
                <c:pt idx="1069">
                  <c:v>37.009079886913803</c:v>
                </c:pt>
                <c:pt idx="1070">
                  <c:v>44.755888975368485</c:v>
                </c:pt>
                <c:pt idx="1071">
                  <c:v>56.887422072907555</c:v>
                </c:pt>
                <c:pt idx="1072">
                  <c:v>50.96879587707425</c:v>
                </c:pt>
                <c:pt idx="1073">
                  <c:v>52.316293288695086</c:v>
                </c:pt>
                <c:pt idx="1074">
                  <c:v>54.845350038945242</c:v>
                </c:pt>
                <c:pt idx="1075">
                  <c:v>51.648653162316528</c:v>
                </c:pt>
                <c:pt idx="1076">
                  <c:v>47.385635799276791</c:v>
                </c:pt>
                <c:pt idx="1077">
                  <c:v>53.846314659460525</c:v>
                </c:pt>
                <c:pt idx="1078">
                  <c:v>48.444758844197388</c:v>
                </c:pt>
                <c:pt idx="1079">
                  <c:v>46.994462324140883</c:v>
                </c:pt>
                <c:pt idx="1080">
                  <c:v>52.849142507705025</c:v>
                </c:pt>
                <c:pt idx="1081">
                  <c:v>44.748743611292809</c:v>
                </c:pt>
                <c:pt idx="1082">
                  <c:v>52.996630131872145</c:v>
                </c:pt>
                <c:pt idx="1083">
                  <c:v>48.756801035200304</c:v>
                </c:pt>
                <c:pt idx="1084">
                  <c:v>43.315289097300933</c:v>
                </c:pt>
                <c:pt idx="1085">
                  <c:v>44.598819732352155</c:v>
                </c:pt>
                <c:pt idx="1086">
                  <c:v>45.325396796497046</c:v>
                </c:pt>
                <c:pt idx="1087">
                  <c:v>27.128514515257155</c:v>
                </c:pt>
                <c:pt idx="1088">
                  <c:v>44.637023059230536</c:v>
                </c:pt>
                <c:pt idx="1089">
                  <c:v>39.330125714834701</c:v>
                </c:pt>
                <c:pt idx="1090">
                  <c:v>41.733096073988776</c:v>
                </c:pt>
                <c:pt idx="1091">
                  <c:v>54.156685070235433</c:v>
                </c:pt>
                <c:pt idx="1092">
                  <c:v>48.147120644656837</c:v>
                </c:pt>
                <c:pt idx="1093">
                  <c:v>40.650149008281105</c:v>
                </c:pt>
                <c:pt idx="1094">
                  <c:v>58.712939108934123</c:v>
                </c:pt>
                <c:pt idx="1095">
                  <c:v>36.633810526368471</c:v>
                </c:pt>
                <c:pt idx="1096">
                  <c:v>39.399415988663968</c:v>
                </c:pt>
                <c:pt idx="1097">
                  <c:v>46.787773904647253</c:v>
                </c:pt>
                <c:pt idx="1098">
                  <c:v>48.408601074767617</c:v>
                </c:pt>
                <c:pt idx="1099">
                  <c:v>44.614122222595611</c:v>
                </c:pt>
                <c:pt idx="1100">
                  <c:v>43.095803900044388</c:v>
                </c:pt>
                <c:pt idx="1101">
                  <c:v>49.363588883457211</c:v>
                </c:pt>
                <c:pt idx="1102">
                  <c:v>42.831953427400059</c:v>
                </c:pt>
                <c:pt idx="1103">
                  <c:v>58.413276321061488</c:v>
                </c:pt>
                <c:pt idx="1104">
                  <c:v>64.421520587938844</c:v>
                </c:pt>
                <c:pt idx="1105">
                  <c:v>29.86992024149292</c:v>
                </c:pt>
                <c:pt idx="1106">
                  <c:v>55.311257160694893</c:v>
                </c:pt>
                <c:pt idx="1107">
                  <c:v>45.153275935996646</c:v>
                </c:pt>
                <c:pt idx="1108">
                  <c:v>54.742582396269434</c:v>
                </c:pt>
                <c:pt idx="1109">
                  <c:v>41.404101434741598</c:v>
                </c:pt>
                <c:pt idx="1110">
                  <c:v>47.637775741709682</c:v>
                </c:pt>
                <c:pt idx="1111">
                  <c:v>42.019086093018323</c:v>
                </c:pt>
                <c:pt idx="1112">
                  <c:v>55.816528565249513</c:v>
                </c:pt>
                <c:pt idx="1113">
                  <c:v>39.906086076474118</c:v>
                </c:pt>
                <c:pt idx="1114">
                  <c:v>52.185128149736336</c:v>
                </c:pt>
                <c:pt idx="1115">
                  <c:v>48.129655417727363</c:v>
                </c:pt>
                <c:pt idx="1116">
                  <c:v>46.286949473864723</c:v>
                </c:pt>
                <c:pt idx="1117">
                  <c:v>49.04516495217775</c:v>
                </c:pt>
                <c:pt idx="1118">
                  <c:v>46.164534822120906</c:v>
                </c:pt>
                <c:pt idx="1119">
                  <c:v>36.365035708535338</c:v>
                </c:pt>
                <c:pt idx="1120">
                  <c:v>41.616305495898729</c:v>
                </c:pt>
                <c:pt idx="1121">
                  <c:v>32.169775725119123</c:v>
                </c:pt>
                <c:pt idx="1122">
                  <c:v>40.501705378472721</c:v>
                </c:pt>
                <c:pt idx="1123">
                  <c:v>24.869327279493991</c:v>
                </c:pt>
                <c:pt idx="1124">
                  <c:v>44.890187016368323</c:v>
                </c:pt>
                <c:pt idx="1125">
                  <c:v>50.245268388584726</c:v>
                </c:pt>
                <c:pt idx="1126">
                  <c:v>49.942737046801597</c:v>
                </c:pt>
                <c:pt idx="1127">
                  <c:v>54.808942273654395</c:v>
                </c:pt>
                <c:pt idx="1128">
                  <c:v>43.868302043161798</c:v>
                </c:pt>
                <c:pt idx="1129">
                  <c:v>52.297440692277277</c:v>
                </c:pt>
                <c:pt idx="1130">
                  <c:v>46.41168215429218</c:v>
                </c:pt>
                <c:pt idx="1131">
                  <c:v>59.022085613254383</c:v>
                </c:pt>
                <c:pt idx="1132">
                  <c:v>46.357507709026699</c:v>
                </c:pt>
                <c:pt idx="1133">
                  <c:v>43.751917196268771</c:v>
                </c:pt>
                <c:pt idx="1134">
                  <c:v>51.785112251186519</c:v>
                </c:pt>
                <c:pt idx="1135">
                  <c:v>59.085332241270613</c:v>
                </c:pt>
                <c:pt idx="1136">
                  <c:v>55.547997937025947</c:v>
                </c:pt>
                <c:pt idx="1137">
                  <c:v>50.689817110111733</c:v>
                </c:pt>
                <c:pt idx="1138">
                  <c:v>42.156923898825795</c:v>
                </c:pt>
                <c:pt idx="1139">
                  <c:v>49.514357398853605</c:v>
                </c:pt>
                <c:pt idx="1140">
                  <c:v>43.873199882072669</c:v>
                </c:pt>
                <c:pt idx="1141">
                  <c:v>20.318939303655679</c:v>
                </c:pt>
                <c:pt idx="1142">
                  <c:v>50.864226183731652</c:v>
                </c:pt>
                <c:pt idx="1143">
                  <c:v>42.051292422761883</c:v>
                </c:pt>
                <c:pt idx="1144">
                  <c:v>54.015158401880228</c:v>
                </c:pt>
                <c:pt idx="1145">
                  <c:v>46.021017964101155</c:v>
                </c:pt>
                <c:pt idx="1146">
                  <c:v>42.170159913267128</c:v>
                </c:pt>
                <c:pt idx="1147">
                  <c:v>41.9268426161766</c:v>
                </c:pt>
                <c:pt idx="1148">
                  <c:v>54.457440640750072</c:v>
                </c:pt>
                <c:pt idx="1149">
                  <c:v>54.742716395787426</c:v>
                </c:pt>
                <c:pt idx="1150">
                  <c:v>45.404931580485389</c:v>
                </c:pt>
                <c:pt idx="1151">
                  <c:v>46.470546265575528</c:v>
                </c:pt>
                <c:pt idx="1152">
                  <c:v>46.174504272401997</c:v>
                </c:pt>
                <c:pt idx="1153">
                  <c:v>47.039152642961277</c:v>
                </c:pt>
                <c:pt idx="1154">
                  <c:v>60.656263396964611</c:v>
                </c:pt>
                <c:pt idx="1155">
                  <c:v>43.138618634106443</c:v>
                </c:pt>
                <c:pt idx="1156">
                  <c:v>53.191449645785433</c:v>
                </c:pt>
                <c:pt idx="1157">
                  <c:v>59.920239449876902</c:v>
                </c:pt>
                <c:pt idx="1158">
                  <c:v>41.717607826760648</c:v>
                </c:pt>
                <c:pt idx="1159">
                  <c:v>38.423708662720642</c:v>
                </c:pt>
                <c:pt idx="1160">
                  <c:v>35.761555153873431</c:v>
                </c:pt>
                <c:pt idx="1161">
                  <c:v>50.787018240981389</c:v>
                </c:pt>
                <c:pt idx="1162">
                  <c:v>52.685488554847083</c:v>
                </c:pt>
                <c:pt idx="1163">
                  <c:v>46.467324101694459</c:v>
                </c:pt>
                <c:pt idx="1164">
                  <c:v>49.624136040864272</c:v>
                </c:pt>
                <c:pt idx="1165">
                  <c:v>42.041415508379117</c:v>
                </c:pt>
                <c:pt idx="1166">
                  <c:v>48.377121311822727</c:v>
                </c:pt>
                <c:pt idx="1167">
                  <c:v>44.252424369530061</c:v>
                </c:pt>
                <c:pt idx="1168">
                  <c:v>48.215082665592753</c:v>
                </c:pt>
                <c:pt idx="1169">
                  <c:v>54.686925699299181</c:v>
                </c:pt>
                <c:pt idx="1170">
                  <c:v>49.926486329048359</c:v>
                </c:pt>
                <c:pt idx="1171">
                  <c:v>45.765310600506943</c:v>
                </c:pt>
                <c:pt idx="1172">
                  <c:v>46.796128078808188</c:v>
                </c:pt>
                <c:pt idx="1173">
                  <c:v>61.433115897909182</c:v>
                </c:pt>
                <c:pt idx="1174">
                  <c:v>58.374101509954237</c:v>
                </c:pt>
                <c:pt idx="1175">
                  <c:v>39.610239270412606</c:v>
                </c:pt>
                <c:pt idx="1176">
                  <c:v>34.958885619341018</c:v>
                </c:pt>
                <c:pt idx="1177">
                  <c:v>24.04452348301551</c:v>
                </c:pt>
                <c:pt idx="1178">
                  <c:v>64.101369838377423</c:v>
                </c:pt>
                <c:pt idx="1179">
                  <c:v>40.426313264363777</c:v>
                </c:pt>
                <c:pt idx="1180">
                  <c:v>42.578199115095074</c:v>
                </c:pt>
                <c:pt idx="1181">
                  <c:v>47.179746377885984</c:v>
                </c:pt>
                <c:pt idx="1182">
                  <c:v>59.503201603120921</c:v>
                </c:pt>
                <c:pt idx="1183">
                  <c:v>44.789387968099589</c:v>
                </c:pt>
                <c:pt idx="1184">
                  <c:v>51.869920728824617</c:v>
                </c:pt>
                <c:pt idx="1185">
                  <c:v>44.157501573134205</c:v>
                </c:pt>
                <c:pt idx="1186">
                  <c:v>42.717547582544448</c:v>
                </c:pt>
                <c:pt idx="1187">
                  <c:v>51.959440902648765</c:v>
                </c:pt>
                <c:pt idx="1188">
                  <c:v>53.44944264490411</c:v>
                </c:pt>
                <c:pt idx="1189">
                  <c:v>43.841201575236681</c:v>
                </c:pt>
                <c:pt idx="1190">
                  <c:v>60.740546807169324</c:v>
                </c:pt>
                <c:pt idx="1191">
                  <c:v>41.93280953042499</c:v>
                </c:pt>
                <c:pt idx="1192">
                  <c:v>60.9131549436553</c:v>
                </c:pt>
                <c:pt idx="1193">
                  <c:v>44.275215610448768</c:v>
                </c:pt>
                <c:pt idx="1194">
                  <c:v>26.33986474575681</c:v>
                </c:pt>
                <c:pt idx="1195">
                  <c:v>39.732612540578401</c:v>
                </c:pt>
                <c:pt idx="1196">
                  <c:v>39.590977319790262</c:v>
                </c:pt>
                <c:pt idx="1197">
                  <c:v>49.481862143711872</c:v>
                </c:pt>
                <c:pt idx="1198">
                  <c:v>56.032033892133335</c:v>
                </c:pt>
                <c:pt idx="1199">
                  <c:v>45.764367305285603</c:v>
                </c:pt>
                <c:pt idx="1200">
                  <c:v>50.069465116044455</c:v>
                </c:pt>
                <c:pt idx="1201">
                  <c:v>43.738073614050336</c:v>
                </c:pt>
                <c:pt idx="1202">
                  <c:v>50.711113888630344</c:v>
                </c:pt>
                <c:pt idx="1203">
                  <c:v>38.561600148647287</c:v>
                </c:pt>
                <c:pt idx="1204">
                  <c:v>42.314602649538621</c:v>
                </c:pt>
                <c:pt idx="1205">
                  <c:v>52.834010857688305</c:v>
                </c:pt>
                <c:pt idx="1206">
                  <c:v>41.628749207234563</c:v>
                </c:pt>
                <c:pt idx="1207">
                  <c:v>37.941540456289339</c:v>
                </c:pt>
                <c:pt idx="1208">
                  <c:v>35.893053067722377</c:v>
                </c:pt>
                <c:pt idx="1209">
                  <c:v>36.538912970861773</c:v>
                </c:pt>
                <c:pt idx="1210">
                  <c:v>40.848312877066846</c:v>
                </c:pt>
                <c:pt idx="1211">
                  <c:v>49.298295125860101</c:v>
                </c:pt>
                <c:pt idx="1212">
                  <c:v>39.501104476174554</c:v>
                </c:pt>
                <c:pt idx="1213">
                  <c:v>54.702324378013223</c:v>
                </c:pt>
                <c:pt idx="1214">
                  <c:v>44.636505126034081</c:v>
                </c:pt>
                <c:pt idx="1215">
                  <c:v>44.49732622497261</c:v>
                </c:pt>
                <c:pt idx="1216">
                  <c:v>40.350054247520823</c:v>
                </c:pt>
                <c:pt idx="1217">
                  <c:v>41.316437620269234</c:v>
                </c:pt>
                <c:pt idx="1218">
                  <c:v>47.47927540294463</c:v>
                </c:pt>
                <c:pt idx="1219">
                  <c:v>43.324793338888718</c:v>
                </c:pt>
                <c:pt idx="1220">
                  <c:v>40.846880861492203</c:v>
                </c:pt>
                <c:pt idx="1221">
                  <c:v>40.586406136557009</c:v>
                </c:pt>
                <c:pt idx="1222">
                  <c:v>46.706641541884451</c:v>
                </c:pt>
                <c:pt idx="1223">
                  <c:v>38.958057376722422</c:v>
                </c:pt>
                <c:pt idx="1224">
                  <c:v>47.57438019364966</c:v>
                </c:pt>
                <c:pt idx="1225">
                  <c:v>53.28894375353228</c:v>
                </c:pt>
                <c:pt idx="1226">
                  <c:v>39.820856492400878</c:v>
                </c:pt>
                <c:pt idx="1227">
                  <c:v>45.980743811566555</c:v>
                </c:pt>
                <c:pt idx="1228">
                  <c:v>39.475450038304402</c:v>
                </c:pt>
                <c:pt idx="1229">
                  <c:v>48.367112247160023</c:v>
                </c:pt>
                <c:pt idx="1230">
                  <c:v>48.899431078812455</c:v>
                </c:pt>
                <c:pt idx="1231">
                  <c:v>50.279857302430656</c:v>
                </c:pt>
                <c:pt idx="1232">
                  <c:v>59.387015709614559</c:v>
                </c:pt>
                <c:pt idx="1233">
                  <c:v>42.848482673404128</c:v>
                </c:pt>
                <c:pt idx="1234">
                  <c:v>39.08142167187777</c:v>
                </c:pt>
                <c:pt idx="1235">
                  <c:v>35.184597446549255</c:v>
                </c:pt>
                <c:pt idx="1236">
                  <c:v>54.285819030053311</c:v>
                </c:pt>
                <c:pt idx="1237">
                  <c:v>58.226210521886344</c:v>
                </c:pt>
                <c:pt idx="1238">
                  <c:v>48.993705799805198</c:v>
                </c:pt>
                <c:pt idx="1239">
                  <c:v>47.515622999452901</c:v>
                </c:pt>
                <c:pt idx="1240">
                  <c:v>56.657424617910976</c:v>
                </c:pt>
                <c:pt idx="1241">
                  <c:v>39.608836882176718</c:v>
                </c:pt>
                <c:pt idx="1242">
                  <c:v>53.510955436565702</c:v>
                </c:pt>
                <c:pt idx="1243">
                  <c:v>48.872124867545338</c:v>
                </c:pt>
                <c:pt idx="1244">
                  <c:v>46.51147225766789</c:v>
                </c:pt>
                <c:pt idx="1245">
                  <c:v>43.778155109031729</c:v>
                </c:pt>
                <c:pt idx="1246">
                  <c:v>49.062427838644361</c:v>
                </c:pt>
                <c:pt idx="1247">
                  <c:v>48.129942068683782</c:v>
                </c:pt>
                <c:pt idx="1248">
                  <c:v>54.888046809258341</c:v>
                </c:pt>
                <c:pt idx="1249">
                  <c:v>27.827916210517369</c:v>
                </c:pt>
                <c:pt idx="1250">
                  <c:v>51.981339898114193</c:v>
                </c:pt>
                <c:pt idx="1251">
                  <c:v>48.62708293560533</c:v>
                </c:pt>
                <c:pt idx="1252">
                  <c:v>41.269908461484462</c:v>
                </c:pt>
                <c:pt idx="1253">
                  <c:v>55.484684453108841</c:v>
                </c:pt>
                <c:pt idx="1254">
                  <c:v>44.331785819729276</c:v>
                </c:pt>
                <c:pt idx="1255">
                  <c:v>39.144721618112435</c:v>
                </c:pt>
                <c:pt idx="1256">
                  <c:v>47.573647022543739</c:v>
                </c:pt>
                <c:pt idx="1257">
                  <c:v>47.661063575470337</c:v>
                </c:pt>
                <c:pt idx="1258">
                  <c:v>36.016739471963277</c:v>
                </c:pt>
                <c:pt idx="1259">
                  <c:v>24.03708222009363</c:v>
                </c:pt>
                <c:pt idx="1260">
                  <c:v>40.354326044017235</c:v>
                </c:pt>
                <c:pt idx="1261">
                  <c:v>49.99871088513013</c:v>
                </c:pt>
                <c:pt idx="1262">
                  <c:v>44.294898069878926</c:v>
                </c:pt>
                <c:pt idx="1263">
                  <c:v>48.724277779614198</c:v>
                </c:pt>
                <c:pt idx="1264">
                  <c:v>44.004310922547909</c:v>
                </c:pt>
                <c:pt idx="1265">
                  <c:v>42.677092901280552</c:v>
                </c:pt>
                <c:pt idx="1266">
                  <c:v>48.430727065056253</c:v>
                </c:pt>
                <c:pt idx="1267">
                  <c:v>42.538553525962016</c:v>
                </c:pt>
                <c:pt idx="1268">
                  <c:v>43.284924053922857</c:v>
                </c:pt>
                <c:pt idx="1269">
                  <c:v>56.912901617886654</c:v>
                </c:pt>
                <c:pt idx="1270">
                  <c:v>49.088547240155208</c:v>
                </c:pt>
                <c:pt idx="1271">
                  <c:v>48.421373362121159</c:v>
                </c:pt>
                <c:pt idx="1272">
                  <c:v>27.807869118925151</c:v>
                </c:pt>
                <c:pt idx="1273">
                  <c:v>58.219160319395478</c:v>
                </c:pt>
                <c:pt idx="1274">
                  <c:v>53.788606521747859</c:v>
                </c:pt>
                <c:pt idx="1275">
                  <c:v>54.442177742974096</c:v>
                </c:pt>
                <c:pt idx="1276">
                  <c:v>44.793573767922865</c:v>
                </c:pt>
                <c:pt idx="1277">
                  <c:v>37.874907482709474</c:v>
                </c:pt>
                <c:pt idx="1278">
                  <c:v>45.661749023160446</c:v>
                </c:pt>
                <c:pt idx="1279">
                  <c:v>40.718201471239055</c:v>
                </c:pt>
                <c:pt idx="1280">
                  <c:v>42.772303470516071</c:v>
                </c:pt>
                <c:pt idx="1281">
                  <c:v>51.087939648419173</c:v>
                </c:pt>
                <c:pt idx="1282">
                  <c:v>28.205942608661317</c:v>
                </c:pt>
                <c:pt idx="1283">
                  <c:v>46.08514434080832</c:v>
                </c:pt>
                <c:pt idx="1284">
                  <c:v>40.681527547265517</c:v>
                </c:pt>
                <c:pt idx="1285">
                  <c:v>51.97754634100653</c:v>
                </c:pt>
                <c:pt idx="1286">
                  <c:v>51.791085324150259</c:v>
                </c:pt>
                <c:pt idx="1287">
                  <c:v>56.376297750277303</c:v>
                </c:pt>
                <c:pt idx="1288">
                  <c:v>51.377852871305528</c:v>
                </c:pt>
                <c:pt idx="1289">
                  <c:v>47.658538393385257</c:v>
                </c:pt>
                <c:pt idx="1290">
                  <c:v>46.999176854895659</c:v>
                </c:pt>
                <c:pt idx="1291">
                  <c:v>46.590507450606587</c:v>
                </c:pt>
                <c:pt idx="1292">
                  <c:v>55.536242211535416</c:v>
                </c:pt>
                <c:pt idx="1293">
                  <c:v>40.311231738663622</c:v>
                </c:pt>
                <c:pt idx="1294">
                  <c:v>53.600511026576342</c:v>
                </c:pt>
                <c:pt idx="1295">
                  <c:v>48.87245925615052</c:v>
                </c:pt>
                <c:pt idx="1296">
                  <c:v>54.157663057029126</c:v>
                </c:pt>
                <c:pt idx="1297">
                  <c:v>50.992706194137426</c:v>
                </c:pt>
                <c:pt idx="1298">
                  <c:v>57.66082425822043</c:v>
                </c:pt>
                <c:pt idx="1299">
                  <c:v>38.888813164817243</c:v>
                </c:pt>
                <c:pt idx="1300">
                  <c:v>62.750328065723068</c:v>
                </c:pt>
                <c:pt idx="1301">
                  <c:v>54.019195163686511</c:v>
                </c:pt>
                <c:pt idx="1302">
                  <c:v>49.714826619087113</c:v>
                </c:pt>
                <c:pt idx="1303">
                  <c:v>50.695064128589379</c:v>
                </c:pt>
                <c:pt idx="1304">
                  <c:v>32.511822115830022</c:v>
                </c:pt>
                <c:pt idx="1305">
                  <c:v>33.187822028323829</c:v>
                </c:pt>
                <c:pt idx="1306">
                  <c:v>50.711256749329799</c:v>
                </c:pt>
                <c:pt idx="1307">
                  <c:v>51.06528510790482</c:v>
                </c:pt>
                <c:pt idx="1308">
                  <c:v>54.886484034655702</c:v>
                </c:pt>
                <c:pt idx="1309">
                  <c:v>52.482677802081334</c:v>
                </c:pt>
                <c:pt idx="1310">
                  <c:v>45.463109406641962</c:v>
                </c:pt>
                <c:pt idx="1311">
                  <c:v>45.26772721241192</c:v>
                </c:pt>
                <c:pt idx="1312">
                  <c:v>42.433144384765527</c:v>
                </c:pt>
                <c:pt idx="1313">
                  <c:v>45.532516988379832</c:v>
                </c:pt>
                <c:pt idx="1314">
                  <c:v>47.773349813075185</c:v>
                </c:pt>
                <c:pt idx="1315">
                  <c:v>50.966057446174048</c:v>
                </c:pt>
                <c:pt idx="1316">
                  <c:v>48.236776202623474</c:v>
                </c:pt>
                <c:pt idx="1317">
                  <c:v>36.936180816905242</c:v>
                </c:pt>
                <c:pt idx="1318">
                  <c:v>38.48081532144716</c:v>
                </c:pt>
                <c:pt idx="1319">
                  <c:v>32.217402599330356</c:v>
                </c:pt>
                <c:pt idx="1320">
                  <c:v>17.104874252500007</c:v>
                </c:pt>
                <c:pt idx="1321">
                  <c:v>45.254607642705999</c:v>
                </c:pt>
                <c:pt idx="1322">
                  <c:v>39.579002041661639</c:v>
                </c:pt>
                <c:pt idx="1323">
                  <c:v>39.969467756233954</c:v>
                </c:pt>
                <c:pt idx="1324">
                  <c:v>42.961938147234179</c:v>
                </c:pt>
                <c:pt idx="1325">
                  <c:v>42.284986065990879</c:v>
                </c:pt>
                <c:pt idx="1326">
                  <c:v>32.976645472584238</c:v>
                </c:pt>
                <c:pt idx="1327">
                  <c:v>43.267188121953154</c:v>
                </c:pt>
                <c:pt idx="1328">
                  <c:v>42.650555188496568</c:v>
                </c:pt>
                <c:pt idx="1329">
                  <c:v>57.692204802224211</c:v>
                </c:pt>
                <c:pt idx="1330">
                  <c:v>40.228616448510131</c:v>
                </c:pt>
                <c:pt idx="1331">
                  <c:v>37.295197172778515</c:v>
                </c:pt>
                <c:pt idx="1332">
                  <c:v>55.793709982668702</c:v>
                </c:pt>
                <c:pt idx="1333">
                  <c:v>43.27686287187327</c:v>
                </c:pt>
                <c:pt idx="1334">
                  <c:v>41.319753704167056</c:v>
                </c:pt>
                <c:pt idx="1335">
                  <c:v>56.137085118889743</c:v>
                </c:pt>
                <c:pt idx="1336">
                  <c:v>39.839313555394654</c:v>
                </c:pt>
                <c:pt idx="1337">
                  <c:v>56.243760915631697</c:v>
                </c:pt>
                <c:pt idx="1338">
                  <c:v>61.564897476600855</c:v>
                </c:pt>
                <c:pt idx="1339">
                  <c:v>40.626784355149418</c:v>
                </c:pt>
                <c:pt idx="1340">
                  <c:v>47.381692581954397</c:v>
                </c:pt>
                <c:pt idx="1341">
                  <c:v>40.343320736586691</c:v>
                </c:pt>
                <c:pt idx="1342">
                  <c:v>26.036723450789346</c:v>
                </c:pt>
                <c:pt idx="1343">
                  <c:v>38.629484531933166</c:v>
                </c:pt>
                <c:pt idx="1344">
                  <c:v>47.518913058724706</c:v>
                </c:pt>
                <c:pt idx="1345">
                  <c:v>48.826480200060104</c:v>
                </c:pt>
                <c:pt idx="1346">
                  <c:v>43.726825685283103</c:v>
                </c:pt>
                <c:pt idx="1347">
                  <c:v>54.575190503363025</c:v>
                </c:pt>
                <c:pt idx="1348">
                  <c:v>25.177268191085631</c:v>
                </c:pt>
                <c:pt idx="1349">
                  <c:v>44.889292060471547</c:v>
                </c:pt>
                <c:pt idx="1350">
                  <c:v>43.480056053325768</c:v>
                </c:pt>
                <c:pt idx="1351">
                  <c:v>48.788464207843411</c:v>
                </c:pt>
                <c:pt idx="1352">
                  <c:v>36.961398703690648</c:v>
                </c:pt>
                <c:pt idx="1353">
                  <c:v>61.928951154165382</c:v>
                </c:pt>
                <c:pt idx="1354">
                  <c:v>51.635175569166947</c:v>
                </c:pt>
                <c:pt idx="1355">
                  <c:v>45.67152823088206</c:v>
                </c:pt>
                <c:pt idx="1356">
                  <c:v>36.79005899928832</c:v>
                </c:pt>
                <c:pt idx="1357">
                  <c:v>44.983422210609923</c:v>
                </c:pt>
                <c:pt idx="1358">
                  <c:v>29.269552631051976</c:v>
                </c:pt>
                <c:pt idx="1359">
                  <c:v>30.353703311760711</c:v>
                </c:pt>
                <c:pt idx="1360">
                  <c:v>48.422449291733912</c:v>
                </c:pt>
                <c:pt idx="1361">
                  <c:v>50.09118590205599</c:v>
                </c:pt>
                <c:pt idx="1362">
                  <c:v>42.129269136350551</c:v>
                </c:pt>
                <c:pt idx="1363">
                  <c:v>46.875310453243621</c:v>
                </c:pt>
                <c:pt idx="1364">
                  <c:v>47.22815476295149</c:v>
                </c:pt>
                <c:pt idx="1365">
                  <c:v>52.491292384975615</c:v>
                </c:pt>
                <c:pt idx="1366">
                  <c:v>48.672218883946641</c:v>
                </c:pt>
                <c:pt idx="1367">
                  <c:v>31.55489211925088</c:v>
                </c:pt>
                <c:pt idx="1368">
                  <c:v>27.65928328078633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C-AF49-B8E9-27C619711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367583"/>
        <c:axId val="551086655"/>
      </c:scatterChart>
      <c:valAx>
        <c:axId val="55136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Stand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51086655"/>
        <c:crosses val="autoZero"/>
        <c:crossBetween val="midCat"/>
      </c:valAx>
      <c:valAx>
        <c:axId val="55108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Basal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51367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Characteristics of Plots at Year</a:t>
            </a:r>
            <a:r>
              <a:rPr lang="en-US" baseline="0"/>
              <a:t> 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'1_Py3PG2Output'!$E$1</c:f>
              <c:strCache>
                <c:ptCount val="1"/>
                <c:pt idx="0">
                  <c:v> MeanDBH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'1_Py3PG2Output'!$C$2:$C$1370</c:f>
              <c:numCache>
                <c:formatCode>General</c:formatCode>
                <c:ptCount val="1369"/>
                <c:pt idx="0">
                  <c:v>77.500000000000227</c:v>
                </c:pt>
                <c:pt idx="1">
                  <c:v>78.333333333333456</c:v>
                </c:pt>
                <c:pt idx="2">
                  <c:v>81.000000000000085</c:v>
                </c:pt>
                <c:pt idx="3">
                  <c:v>77.416666666666742</c:v>
                </c:pt>
                <c:pt idx="4">
                  <c:v>76.333333333333528</c:v>
                </c:pt>
                <c:pt idx="5">
                  <c:v>76.50000000000027</c:v>
                </c:pt>
                <c:pt idx="6">
                  <c:v>73.500000000000398</c:v>
                </c:pt>
                <c:pt idx="7">
                  <c:v>78.500000000000185</c:v>
                </c:pt>
                <c:pt idx="8">
                  <c:v>77.583333333333485</c:v>
                </c:pt>
                <c:pt idx="9">
                  <c:v>76.916666666666771</c:v>
                </c:pt>
                <c:pt idx="10">
                  <c:v>78.000000000000213</c:v>
                </c:pt>
                <c:pt idx="11">
                  <c:v>77.916666666666728</c:v>
                </c:pt>
                <c:pt idx="12">
                  <c:v>78.500000000000185</c:v>
                </c:pt>
                <c:pt idx="13">
                  <c:v>79.250000000000156</c:v>
                </c:pt>
                <c:pt idx="14">
                  <c:v>76.583333333333528</c:v>
                </c:pt>
                <c:pt idx="15">
                  <c:v>78.333333333333456</c:v>
                </c:pt>
                <c:pt idx="16">
                  <c:v>76.333333333333528</c:v>
                </c:pt>
                <c:pt idx="17">
                  <c:v>77.000000000000256</c:v>
                </c:pt>
                <c:pt idx="18">
                  <c:v>76.916666666666771</c:v>
                </c:pt>
                <c:pt idx="19">
                  <c:v>76.50000000000027</c:v>
                </c:pt>
                <c:pt idx="20">
                  <c:v>76.333333333333528</c:v>
                </c:pt>
                <c:pt idx="21">
                  <c:v>76.50000000000027</c:v>
                </c:pt>
                <c:pt idx="22">
                  <c:v>77.083333333333499</c:v>
                </c:pt>
                <c:pt idx="23">
                  <c:v>76.916666666666771</c:v>
                </c:pt>
                <c:pt idx="24">
                  <c:v>75.916666666666814</c:v>
                </c:pt>
                <c:pt idx="25">
                  <c:v>76.916666666666771</c:v>
                </c:pt>
                <c:pt idx="26">
                  <c:v>76.50000000000027</c:v>
                </c:pt>
                <c:pt idx="27">
                  <c:v>77.166666666666757</c:v>
                </c:pt>
                <c:pt idx="28">
                  <c:v>76.50000000000027</c:v>
                </c:pt>
                <c:pt idx="29">
                  <c:v>77.333333333333499</c:v>
                </c:pt>
                <c:pt idx="30">
                  <c:v>76.333333333333528</c:v>
                </c:pt>
                <c:pt idx="31">
                  <c:v>74.41666666666687</c:v>
                </c:pt>
                <c:pt idx="32">
                  <c:v>78.4166666666667</c:v>
                </c:pt>
                <c:pt idx="33">
                  <c:v>75.916666666666814</c:v>
                </c:pt>
                <c:pt idx="34">
                  <c:v>77.000000000000256</c:v>
                </c:pt>
                <c:pt idx="35">
                  <c:v>74.583333333333613</c:v>
                </c:pt>
                <c:pt idx="36">
                  <c:v>78.4166666666667</c:v>
                </c:pt>
                <c:pt idx="37">
                  <c:v>76.666666666666771</c:v>
                </c:pt>
                <c:pt idx="38">
                  <c:v>77.416666666666742</c:v>
                </c:pt>
                <c:pt idx="39">
                  <c:v>76.666666666666771</c:v>
                </c:pt>
                <c:pt idx="40">
                  <c:v>78.333333333333456</c:v>
                </c:pt>
                <c:pt idx="41">
                  <c:v>77.583333333333485</c:v>
                </c:pt>
                <c:pt idx="42">
                  <c:v>77.500000000000227</c:v>
                </c:pt>
                <c:pt idx="43">
                  <c:v>75.416666666666828</c:v>
                </c:pt>
                <c:pt idx="44">
                  <c:v>78.166666666666714</c:v>
                </c:pt>
                <c:pt idx="45">
                  <c:v>77.916666666666728</c:v>
                </c:pt>
                <c:pt idx="46">
                  <c:v>80.083333333333371</c:v>
                </c:pt>
                <c:pt idx="47">
                  <c:v>76.916666666666771</c:v>
                </c:pt>
                <c:pt idx="48">
                  <c:v>77.500000000000227</c:v>
                </c:pt>
                <c:pt idx="49">
                  <c:v>75.000000000000341</c:v>
                </c:pt>
                <c:pt idx="50">
                  <c:v>76.666666666666771</c:v>
                </c:pt>
                <c:pt idx="51">
                  <c:v>75.250000000000327</c:v>
                </c:pt>
                <c:pt idx="52">
                  <c:v>78.000000000000213</c:v>
                </c:pt>
                <c:pt idx="53">
                  <c:v>78.166666666666714</c:v>
                </c:pt>
                <c:pt idx="54">
                  <c:v>77.333333333333499</c:v>
                </c:pt>
                <c:pt idx="55">
                  <c:v>76.250000000000284</c:v>
                </c:pt>
                <c:pt idx="56">
                  <c:v>76.50000000000027</c:v>
                </c:pt>
                <c:pt idx="57">
                  <c:v>78.083333333333456</c:v>
                </c:pt>
                <c:pt idx="58">
                  <c:v>76.000000000000298</c:v>
                </c:pt>
                <c:pt idx="59">
                  <c:v>76.416666666666785</c:v>
                </c:pt>
                <c:pt idx="60">
                  <c:v>77.166666666666757</c:v>
                </c:pt>
                <c:pt idx="61">
                  <c:v>75.500000000000313</c:v>
                </c:pt>
                <c:pt idx="62">
                  <c:v>77.250000000000242</c:v>
                </c:pt>
                <c:pt idx="63">
                  <c:v>79.083333333333414</c:v>
                </c:pt>
                <c:pt idx="64">
                  <c:v>78.250000000000199</c:v>
                </c:pt>
                <c:pt idx="65">
                  <c:v>77.333333333333499</c:v>
                </c:pt>
                <c:pt idx="66">
                  <c:v>75.666666666666814</c:v>
                </c:pt>
                <c:pt idx="67">
                  <c:v>76.583333333333528</c:v>
                </c:pt>
                <c:pt idx="68">
                  <c:v>75.083333333333584</c:v>
                </c:pt>
                <c:pt idx="69">
                  <c:v>77.583333333333485</c:v>
                </c:pt>
                <c:pt idx="70">
                  <c:v>78.250000000000199</c:v>
                </c:pt>
                <c:pt idx="71">
                  <c:v>77.416666666666742</c:v>
                </c:pt>
                <c:pt idx="72">
                  <c:v>75.58333333333357</c:v>
                </c:pt>
                <c:pt idx="73">
                  <c:v>78.250000000000199</c:v>
                </c:pt>
                <c:pt idx="74">
                  <c:v>78.4166666666667</c:v>
                </c:pt>
                <c:pt idx="75">
                  <c:v>77.166666666666757</c:v>
                </c:pt>
                <c:pt idx="76">
                  <c:v>77.000000000000256</c:v>
                </c:pt>
                <c:pt idx="77">
                  <c:v>75.916666666666814</c:v>
                </c:pt>
                <c:pt idx="78">
                  <c:v>74.916666666666856</c:v>
                </c:pt>
                <c:pt idx="79">
                  <c:v>79.250000000000156</c:v>
                </c:pt>
                <c:pt idx="80">
                  <c:v>80.166666666666629</c:v>
                </c:pt>
                <c:pt idx="81">
                  <c:v>77.500000000000227</c:v>
                </c:pt>
                <c:pt idx="82">
                  <c:v>78.916666666666686</c:v>
                </c:pt>
                <c:pt idx="83">
                  <c:v>76.333333333333528</c:v>
                </c:pt>
                <c:pt idx="84">
                  <c:v>79.000000000000171</c:v>
                </c:pt>
                <c:pt idx="85">
                  <c:v>75.33333333333357</c:v>
                </c:pt>
                <c:pt idx="86">
                  <c:v>76.416666666666785</c:v>
                </c:pt>
                <c:pt idx="87">
                  <c:v>77.250000000000242</c:v>
                </c:pt>
                <c:pt idx="88">
                  <c:v>78.666666666666686</c:v>
                </c:pt>
                <c:pt idx="89">
                  <c:v>77.000000000000256</c:v>
                </c:pt>
                <c:pt idx="90">
                  <c:v>76.333333333333528</c:v>
                </c:pt>
                <c:pt idx="91">
                  <c:v>79.333333333333414</c:v>
                </c:pt>
                <c:pt idx="92">
                  <c:v>79.083333333333414</c:v>
                </c:pt>
                <c:pt idx="93">
                  <c:v>78.4166666666667</c:v>
                </c:pt>
                <c:pt idx="94">
                  <c:v>80.083333333333371</c:v>
                </c:pt>
                <c:pt idx="95">
                  <c:v>76.250000000000284</c:v>
                </c:pt>
                <c:pt idx="96">
                  <c:v>76.50000000000027</c:v>
                </c:pt>
                <c:pt idx="97">
                  <c:v>77.416666666666742</c:v>
                </c:pt>
                <c:pt idx="98">
                  <c:v>78.000000000000213</c:v>
                </c:pt>
                <c:pt idx="99">
                  <c:v>76.166666666666799</c:v>
                </c:pt>
                <c:pt idx="100">
                  <c:v>77.333333333333499</c:v>
                </c:pt>
                <c:pt idx="101">
                  <c:v>78.666666666666686</c:v>
                </c:pt>
                <c:pt idx="102">
                  <c:v>75.666666666666814</c:v>
                </c:pt>
                <c:pt idx="103">
                  <c:v>76.166666666666799</c:v>
                </c:pt>
                <c:pt idx="104">
                  <c:v>76.50000000000027</c:v>
                </c:pt>
                <c:pt idx="105">
                  <c:v>77.416666666666742</c:v>
                </c:pt>
                <c:pt idx="106">
                  <c:v>78.166666666666714</c:v>
                </c:pt>
                <c:pt idx="107">
                  <c:v>77.250000000000242</c:v>
                </c:pt>
                <c:pt idx="108">
                  <c:v>77.333333333333499</c:v>
                </c:pt>
                <c:pt idx="109">
                  <c:v>75.916666666666814</c:v>
                </c:pt>
                <c:pt idx="110">
                  <c:v>75.166666666666842</c:v>
                </c:pt>
                <c:pt idx="111">
                  <c:v>74.250000000000369</c:v>
                </c:pt>
                <c:pt idx="112">
                  <c:v>78.083333333333456</c:v>
                </c:pt>
                <c:pt idx="113">
                  <c:v>76.666666666666771</c:v>
                </c:pt>
                <c:pt idx="114">
                  <c:v>79.166666666666671</c:v>
                </c:pt>
                <c:pt idx="115">
                  <c:v>77.916666666666728</c:v>
                </c:pt>
                <c:pt idx="116">
                  <c:v>76.333333333333528</c:v>
                </c:pt>
                <c:pt idx="117">
                  <c:v>77.250000000000242</c:v>
                </c:pt>
                <c:pt idx="118">
                  <c:v>79.000000000000171</c:v>
                </c:pt>
                <c:pt idx="119">
                  <c:v>78.000000000000213</c:v>
                </c:pt>
                <c:pt idx="120">
                  <c:v>77.083333333333499</c:v>
                </c:pt>
                <c:pt idx="121">
                  <c:v>78.916666666666686</c:v>
                </c:pt>
                <c:pt idx="122">
                  <c:v>77.500000000000227</c:v>
                </c:pt>
                <c:pt idx="123">
                  <c:v>80.583333333333357</c:v>
                </c:pt>
                <c:pt idx="124">
                  <c:v>74.666666666666856</c:v>
                </c:pt>
                <c:pt idx="125">
                  <c:v>74.41666666666687</c:v>
                </c:pt>
                <c:pt idx="126">
                  <c:v>76.666666666666771</c:v>
                </c:pt>
                <c:pt idx="127">
                  <c:v>78.250000000000199</c:v>
                </c:pt>
                <c:pt idx="128">
                  <c:v>77.166666666666757</c:v>
                </c:pt>
                <c:pt idx="129">
                  <c:v>75.416666666666828</c:v>
                </c:pt>
                <c:pt idx="130">
                  <c:v>77.000000000000256</c:v>
                </c:pt>
                <c:pt idx="131">
                  <c:v>75.58333333333357</c:v>
                </c:pt>
                <c:pt idx="132">
                  <c:v>75.250000000000327</c:v>
                </c:pt>
                <c:pt idx="133">
                  <c:v>74.41666666666687</c:v>
                </c:pt>
                <c:pt idx="134">
                  <c:v>77.333333333333499</c:v>
                </c:pt>
                <c:pt idx="135">
                  <c:v>76.583333333333528</c:v>
                </c:pt>
                <c:pt idx="136">
                  <c:v>79.000000000000171</c:v>
                </c:pt>
                <c:pt idx="137">
                  <c:v>77.333333333333499</c:v>
                </c:pt>
                <c:pt idx="138">
                  <c:v>77.416666666666742</c:v>
                </c:pt>
                <c:pt idx="139">
                  <c:v>75.916666666666814</c:v>
                </c:pt>
                <c:pt idx="140">
                  <c:v>76.583333333333528</c:v>
                </c:pt>
                <c:pt idx="141">
                  <c:v>77.916666666666728</c:v>
                </c:pt>
                <c:pt idx="142">
                  <c:v>76.416666666666785</c:v>
                </c:pt>
                <c:pt idx="143">
                  <c:v>76.333333333333528</c:v>
                </c:pt>
                <c:pt idx="144">
                  <c:v>79.916666666666643</c:v>
                </c:pt>
                <c:pt idx="145">
                  <c:v>78.250000000000199</c:v>
                </c:pt>
                <c:pt idx="146">
                  <c:v>77.083333333333499</c:v>
                </c:pt>
                <c:pt idx="147">
                  <c:v>76.333333333333528</c:v>
                </c:pt>
                <c:pt idx="148">
                  <c:v>76.083333333333542</c:v>
                </c:pt>
                <c:pt idx="149">
                  <c:v>79.5833333333334</c:v>
                </c:pt>
                <c:pt idx="150">
                  <c:v>76.166666666666799</c:v>
                </c:pt>
                <c:pt idx="151">
                  <c:v>77.333333333333499</c:v>
                </c:pt>
                <c:pt idx="152">
                  <c:v>77.500000000000227</c:v>
                </c:pt>
                <c:pt idx="153">
                  <c:v>77.500000000000227</c:v>
                </c:pt>
                <c:pt idx="154">
                  <c:v>74.41666666666687</c:v>
                </c:pt>
                <c:pt idx="155">
                  <c:v>78.4166666666667</c:v>
                </c:pt>
                <c:pt idx="156">
                  <c:v>76.583333333333528</c:v>
                </c:pt>
                <c:pt idx="157">
                  <c:v>75.916666666666814</c:v>
                </c:pt>
                <c:pt idx="158">
                  <c:v>75.500000000000313</c:v>
                </c:pt>
                <c:pt idx="159">
                  <c:v>77.416666666666742</c:v>
                </c:pt>
                <c:pt idx="160">
                  <c:v>76.000000000000298</c:v>
                </c:pt>
                <c:pt idx="161">
                  <c:v>77.250000000000242</c:v>
                </c:pt>
                <c:pt idx="162">
                  <c:v>78.083333333333456</c:v>
                </c:pt>
                <c:pt idx="163">
                  <c:v>77.000000000000256</c:v>
                </c:pt>
                <c:pt idx="164">
                  <c:v>77.083333333333499</c:v>
                </c:pt>
                <c:pt idx="165">
                  <c:v>78.333333333333456</c:v>
                </c:pt>
                <c:pt idx="166">
                  <c:v>79.5833333333334</c:v>
                </c:pt>
                <c:pt idx="167">
                  <c:v>78.666666666666686</c:v>
                </c:pt>
                <c:pt idx="168">
                  <c:v>79.250000000000156</c:v>
                </c:pt>
                <c:pt idx="169">
                  <c:v>76.583333333333528</c:v>
                </c:pt>
                <c:pt idx="170">
                  <c:v>77.166666666666757</c:v>
                </c:pt>
                <c:pt idx="171">
                  <c:v>75.916666666666814</c:v>
                </c:pt>
                <c:pt idx="172">
                  <c:v>77.416666666666742</c:v>
                </c:pt>
                <c:pt idx="173">
                  <c:v>75.666666666666814</c:v>
                </c:pt>
                <c:pt idx="174">
                  <c:v>79.5833333333334</c:v>
                </c:pt>
                <c:pt idx="175">
                  <c:v>77.583333333333485</c:v>
                </c:pt>
                <c:pt idx="176">
                  <c:v>77.083333333333499</c:v>
                </c:pt>
                <c:pt idx="177">
                  <c:v>75.500000000000313</c:v>
                </c:pt>
                <c:pt idx="178">
                  <c:v>77.666666666666728</c:v>
                </c:pt>
                <c:pt idx="179">
                  <c:v>77.416666666666742</c:v>
                </c:pt>
                <c:pt idx="180">
                  <c:v>76.333333333333528</c:v>
                </c:pt>
                <c:pt idx="181">
                  <c:v>77.333333333333499</c:v>
                </c:pt>
                <c:pt idx="182">
                  <c:v>74.666666666666856</c:v>
                </c:pt>
                <c:pt idx="183">
                  <c:v>75.33333333333357</c:v>
                </c:pt>
                <c:pt idx="184">
                  <c:v>77.083333333333499</c:v>
                </c:pt>
                <c:pt idx="185">
                  <c:v>75.58333333333357</c:v>
                </c:pt>
                <c:pt idx="186">
                  <c:v>75.33333333333357</c:v>
                </c:pt>
                <c:pt idx="187">
                  <c:v>75.416666666666828</c:v>
                </c:pt>
                <c:pt idx="188">
                  <c:v>79.250000000000156</c:v>
                </c:pt>
                <c:pt idx="189">
                  <c:v>79.000000000000171</c:v>
                </c:pt>
                <c:pt idx="190">
                  <c:v>77.083333333333499</c:v>
                </c:pt>
                <c:pt idx="191">
                  <c:v>78.083333333333456</c:v>
                </c:pt>
                <c:pt idx="192">
                  <c:v>79.250000000000156</c:v>
                </c:pt>
                <c:pt idx="193">
                  <c:v>76.250000000000284</c:v>
                </c:pt>
                <c:pt idx="194">
                  <c:v>79.000000000000171</c:v>
                </c:pt>
                <c:pt idx="195">
                  <c:v>77.500000000000227</c:v>
                </c:pt>
                <c:pt idx="196">
                  <c:v>75.416666666666828</c:v>
                </c:pt>
                <c:pt idx="197">
                  <c:v>77.250000000000242</c:v>
                </c:pt>
                <c:pt idx="198">
                  <c:v>76.000000000000298</c:v>
                </c:pt>
                <c:pt idx="199">
                  <c:v>78.333333333333456</c:v>
                </c:pt>
                <c:pt idx="200">
                  <c:v>77.333333333333499</c:v>
                </c:pt>
                <c:pt idx="201">
                  <c:v>76.666666666666771</c:v>
                </c:pt>
                <c:pt idx="202">
                  <c:v>79.166666666666671</c:v>
                </c:pt>
                <c:pt idx="203">
                  <c:v>77.083333333333499</c:v>
                </c:pt>
                <c:pt idx="204">
                  <c:v>76.666666666666771</c:v>
                </c:pt>
                <c:pt idx="205">
                  <c:v>79.416666666666657</c:v>
                </c:pt>
                <c:pt idx="206">
                  <c:v>77.916666666666728</c:v>
                </c:pt>
                <c:pt idx="207">
                  <c:v>76.50000000000027</c:v>
                </c:pt>
                <c:pt idx="208">
                  <c:v>76.50000000000027</c:v>
                </c:pt>
                <c:pt idx="209">
                  <c:v>77.166666666666757</c:v>
                </c:pt>
                <c:pt idx="210">
                  <c:v>76.083333333333542</c:v>
                </c:pt>
                <c:pt idx="211">
                  <c:v>77.500000000000227</c:v>
                </c:pt>
                <c:pt idx="212">
                  <c:v>78.333333333333456</c:v>
                </c:pt>
                <c:pt idx="213">
                  <c:v>77.166666666666757</c:v>
                </c:pt>
                <c:pt idx="214">
                  <c:v>78.166666666666714</c:v>
                </c:pt>
                <c:pt idx="215">
                  <c:v>79.000000000000171</c:v>
                </c:pt>
                <c:pt idx="216">
                  <c:v>76.166666666666799</c:v>
                </c:pt>
                <c:pt idx="217">
                  <c:v>74.666666666666856</c:v>
                </c:pt>
                <c:pt idx="218">
                  <c:v>76.916666666666771</c:v>
                </c:pt>
                <c:pt idx="219">
                  <c:v>79.666666666666643</c:v>
                </c:pt>
                <c:pt idx="220">
                  <c:v>77.166666666666757</c:v>
                </c:pt>
                <c:pt idx="221">
                  <c:v>76.916666666666771</c:v>
                </c:pt>
                <c:pt idx="222">
                  <c:v>79.416666666666657</c:v>
                </c:pt>
                <c:pt idx="223">
                  <c:v>78.000000000000213</c:v>
                </c:pt>
                <c:pt idx="224">
                  <c:v>76.50000000000027</c:v>
                </c:pt>
                <c:pt idx="225">
                  <c:v>77.416666666666742</c:v>
                </c:pt>
                <c:pt idx="226">
                  <c:v>79.000000000000171</c:v>
                </c:pt>
                <c:pt idx="227">
                  <c:v>76.916666666666771</c:v>
                </c:pt>
                <c:pt idx="228">
                  <c:v>76.083333333333542</c:v>
                </c:pt>
                <c:pt idx="229">
                  <c:v>77.083333333333499</c:v>
                </c:pt>
                <c:pt idx="230">
                  <c:v>75.500000000000313</c:v>
                </c:pt>
                <c:pt idx="231">
                  <c:v>78.166666666666714</c:v>
                </c:pt>
                <c:pt idx="232">
                  <c:v>77.500000000000227</c:v>
                </c:pt>
                <c:pt idx="233">
                  <c:v>78.333333333333456</c:v>
                </c:pt>
                <c:pt idx="234">
                  <c:v>76.416666666666785</c:v>
                </c:pt>
                <c:pt idx="235">
                  <c:v>78.583333333333442</c:v>
                </c:pt>
                <c:pt idx="236">
                  <c:v>76.250000000000284</c:v>
                </c:pt>
                <c:pt idx="237">
                  <c:v>77.916666666666728</c:v>
                </c:pt>
                <c:pt idx="238">
                  <c:v>79.500000000000142</c:v>
                </c:pt>
                <c:pt idx="239">
                  <c:v>78.666666666666686</c:v>
                </c:pt>
                <c:pt idx="240">
                  <c:v>75.58333333333357</c:v>
                </c:pt>
                <c:pt idx="241">
                  <c:v>80.9166666666666</c:v>
                </c:pt>
                <c:pt idx="242">
                  <c:v>76.000000000000298</c:v>
                </c:pt>
                <c:pt idx="243">
                  <c:v>76.916666666666771</c:v>
                </c:pt>
                <c:pt idx="244">
                  <c:v>78.000000000000213</c:v>
                </c:pt>
                <c:pt idx="245">
                  <c:v>74.166666666666885</c:v>
                </c:pt>
                <c:pt idx="246">
                  <c:v>76.000000000000298</c:v>
                </c:pt>
                <c:pt idx="247">
                  <c:v>76.250000000000284</c:v>
                </c:pt>
                <c:pt idx="248">
                  <c:v>76.916666666666771</c:v>
                </c:pt>
                <c:pt idx="249">
                  <c:v>79.250000000000156</c:v>
                </c:pt>
                <c:pt idx="250">
                  <c:v>76.583333333333528</c:v>
                </c:pt>
                <c:pt idx="251">
                  <c:v>75.166666666666842</c:v>
                </c:pt>
                <c:pt idx="252">
                  <c:v>79.000000000000171</c:v>
                </c:pt>
                <c:pt idx="253">
                  <c:v>77.416666666666742</c:v>
                </c:pt>
                <c:pt idx="254">
                  <c:v>78.583333333333442</c:v>
                </c:pt>
                <c:pt idx="255">
                  <c:v>80.000000000000128</c:v>
                </c:pt>
                <c:pt idx="256">
                  <c:v>75.083333333333584</c:v>
                </c:pt>
                <c:pt idx="257">
                  <c:v>80.083333333333371</c:v>
                </c:pt>
                <c:pt idx="258">
                  <c:v>77.250000000000242</c:v>
                </c:pt>
                <c:pt idx="259">
                  <c:v>75.500000000000313</c:v>
                </c:pt>
                <c:pt idx="260">
                  <c:v>81.000000000000085</c:v>
                </c:pt>
                <c:pt idx="261">
                  <c:v>77.166666666666757</c:v>
                </c:pt>
                <c:pt idx="262">
                  <c:v>76.250000000000284</c:v>
                </c:pt>
                <c:pt idx="263">
                  <c:v>77.166666666666757</c:v>
                </c:pt>
                <c:pt idx="264">
                  <c:v>75.33333333333357</c:v>
                </c:pt>
                <c:pt idx="265">
                  <c:v>78.916666666666686</c:v>
                </c:pt>
                <c:pt idx="266">
                  <c:v>76.50000000000027</c:v>
                </c:pt>
                <c:pt idx="267">
                  <c:v>80.333333333333371</c:v>
                </c:pt>
                <c:pt idx="268">
                  <c:v>75.166666666666842</c:v>
                </c:pt>
                <c:pt idx="269">
                  <c:v>77.916666666666728</c:v>
                </c:pt>
                <c:pt idx="270">
                  <c:v>78.333333333333456</c:v>
                </c:pt>
                <c:pt idx="271">
                  <c:v>77.500000000000227</c:v>
                </c:pt>
                <c:pt idx="272">
                  <c:v>79.000000000000171</c:v>
                </c:pt>
                <c:pt idx="273">
                  <c:v>79.250000000000156</c:v>
                </c:pt>
                <c:pt idx="274">
                  <c:v>74.500000000000355</c:v>
                </c:pt>
                <c:pt idx="275">
                  <c:v>79.166666666666671</c:v>
                </c:pt>
                <c:pt idx="276">
                  <c:v>77.166666666666757</c:v>
                </c:pt>
                <c:pt idx="277">
                  <c:v>74.666666666666856</c:v>
                </c:pt>
                <c:pt idx="278">
                  <c:v>75.58333333333357</c:v>
                </c:pt>
                <c:pt idx="279">
                  <c:v>79.333333333333414</c:v>
                </c:pt>
                <c:pt idx="280">
                  <c:v>77.250000000000242</c:v>
                </c:pt>
                <c:pt idx="281">
                  <c:v>80.416666666666615</c:v>
                </c:pt>
                <c:pt idx="282">
                  <c:v>78.333333333333456</c:v>
                </c:pt>
                <c:pt idx="283">
                  <c:v>81.416666666666572</c:v>
                </c:pt>
                <c:pt idx="284">
                  <c:v>70.416666666667041</c:v>
                </c:pt>
                <c:pt idx="285">
                  <c:v>72.083333333333712</c:v>
                </c:pt>
                <c:pt idx="286">
                  <c:v>82.083333333333286</c:v>
                </c:pt>
                <c:pt idx="287">
                  <c:v>74.666666666666856</c:v>
                </c:pt>
                <c:pt idx="288">
                  <c:v>76.416666666666785</c:v>
                </c:pt>
                <c:pt idx="289">
                  <c:v>76.666666666666771</c:v>
                </c:pt>
                <c:pt idx="290">
                  <c:v>75.33333333333357</c:v>
                </c:pt>
                <c:pt idx="291">
                  <c:v>76.916666666666771</c:v>
                </c:pt>
                <c:pt idx="292">
                  <c:v>75.166666666666842</c:v>
                </c:pt>
                <c:pt idx="293">
                  <c:v>78.333333333333456</c:v>
                </c:pt>
                <c:pt idx="294">
                  <c:v>78.916666666666686</c:v>
                </c:pt>
                <c:pt idx="295">
                  <c:v>78.666666666666686</c:v>
                </c:pt>
                <c:pt idx="296">
                  <c:v>76.916666666666771</c:v>
                </c:pt>
                <c:pt idx="297">
                  <c:v>76.166666666666799</c:v>
                </c:pt>
                <c:pt idx="298">
                  <c:v>80.333333333333371</c:v>
                </c:pt>
                <c:pt idx="299">
                  <c:v>79.916666666666643</c:v>
                </c:pt>
                <c:pt idx="300">
                  <c:v>76.50000000000027</c:v>
                </c:pt>
                <c:pt idx="301">
                  <c:v>76.250000000000284</c:v>
                </c:pt>
                <c:pt idx="302">
                  <c:v>80.500000000000099</c:v>
                </c:pt>
                <c:pt idx="303">
                  <c:v>77.000000000000256</c:v>
                </c:pt>
                <c:pt idx="304">
                  <c:v>77.916666666666728</c:v>
                </c:pt>
                <c:pt idx="305">
                  <c:v>78.250000000000199</c:v>
                </c:pt>
                <c:pt idx="306">
                  <c:v>76.000000000000298</c:v>
                </c:pt>
                <c:pt idx="307">
                  <c:v>76.333333333333528</c:v>
                </c:pt>
                <c:pt idx="308">
                  <c:v>77.083333333333499</c:v>
                </c:pt>
                <c:pt idx="309">
                  <c:v>76.000000000000298</c:v>
                </c:pt>
                <c:pt idx="310">
                  <c:v>77.666666666666728</c:v>
                </c:pt>
                <c:pt idx="311">
                  <c:v>76.000000000000298</c:v>
                </c:pt>
                <c:pt idx="312">
                  <c:v>76.50000000000027</c:v>
                </c:pt>
                <c:pt idx="313">
                  <c:v>76.50000000000027</c:v>
                </c:pt>
                <c:pt idx="314">
                  <c:v>76.250000000000284</c:v>
                </c:pt>
                <c:pt idx="315">
                  <c:v>77.500000000000227</c:v>
                </c:pt>
                <c:pt idx="316">
                  <c:v>77.166666666666757</c:v>
                </c:pt>
                <c:pt idx="317">
                  <c:v>78.166666666666714</c:v>
                </c:pt>
                <c:pt idx="318">
                  <c:v>83.666666666666401</c:v>
                </c:pt>
                <c:pt idx="319">
                  <c:v>79.250000000000156</c:v>
                </c:pt>
                <c:pt idx="320">
                  <c:v>77.333333333333499</c:v>
                </c:pt>
                <c:pt idx="321">
                  <c:v>77.083333333333499</c:v>
                </c:pt>
                <c:pt idx="322">
                  <c:v>78.166666666666714</c:v>
                </c:pt>
                <c:pt idx="323">
                  <c:v>76.583333333333528</c:v>
                </c:pt>
                <c:pt idx="324">
                  <c:v>75.916666666666814</c:v>
                </c:pt>
                <c:pt idx="325">
                  <c:v>75.250000000000327</c:v>
                </c:pt>
                <c:pt idx="326">
                  <c:v>77.250000000000242</c:v>
                </c:pt>
                <c:pt idx="327">
                  <c:v>76.250000000000284</c:v>
                </c:pt>
                <c:pt idx="328">
                  <c:v>77.083333333333499</c:v>
                </c:pt>
                <c:pt idx="329">
                  <c:v>80.9166666666666</c:v>
                </c:pt>
                <c:pt idx="330">
                  <c:v>75.166666666666842</c:v>
                </c:pt>
                <c:pt idx="331">
                  <c:v>75.33333333333357</c:v>
                </c:pt>
                <c:pt idx="332">
                  <c:v>77.333333333333499</c:v>
                </c:pt>
                <c:pt idx="333">
                  <c:v>77.000000000000256</c:v>
                </c:pt>
                <c:pt idx="334">
                  <c:v>77.416666666666742</c:v>
                </c:pt>
                <c:pt idx="335">
                  <c:v>78.666666666666686</c:v>
                </c:pt>
                <c:pt idx="336">
                  <c:v>80.000000000000128</c:v>
                </c:pt>
                <c:pt idx="337">
                  <c:v>77.500000000000227</c:v>
                </c:pt>
                <c:pt idx="338">
                  <c:v>75.000000000000341</c:v>
                </c:pt>
                <c:pt idx="339">
                  <c:v>74.166666666666885</c:v>
                </c:pt>
                <c:pt idx="340">
                  <c:v>74.666666666666856</c:v>
                </c:pt>
                <c:pt idx="341">
                  <c:v>78.000000000000213</c:v>
                </c:pt>
                <c:pt idx="342">
                  <c:v>78.4166666666667</c:v>
                </c:pt>
                <c:pt idx="343">
                  <c:v>75.58333333333357</c:v>
                </c:pt>
                <c:pt idx="344">
                  <c:v>78.666666666666686</c:v>
                </c:pt>
                <c:pt idx="345">
                  <c:v>78.666666666666686</c:v>
                </c:pt>
                <c:pt idx="346">
                  <c:v>78.500000000000185</c:v>
                </c:pt>
                <c:pt idx="347">
                  <c:v>77.083333333333499</c:v>
                </c:pt>
                <c:pt idx="348">
                  <c:v>75.33333333333357</c:v>
                </c:pt>
                <c:pt idx="349">
                  <c:v>77.083333333333499</c:v>
                </c:pt>
                <c:pt idx="350">
                  <c:v>77.416666666666742</c:v>
                </c:pt>
                <c:pt idx="351">
                  <c:v>75.916666666666814</c:v>
                </c:pt>
                <c:pt idx="352">
                  <c:v>76.000000000000298</c:v>
                </c:pt>
                <c:pt idx="353">
                  <c:v>78.500000000000185</c:v>
                </c:pt>
                <c:pt idx="354">
                  <c:v>76.416666666666785</c:v>
                </c:pt>
                <c:pt idx="355">
                  <c:v>78.000000000000213</c:v>
                </c:pt>
                <c:pt idx="356">
                  <c:v>79.000000000000171</c:v>
                </c:pt>
                <c:pt idx="357">
                  <c:v>77.000000000000256</c:v>
                </c:pt>
                <c:pt idx="358">
                  <c:v>78.916666666666686</c:v>
                </c:pt>
                <c:pt idx="359">
                  <c:v>78.083333333333456</c:v>
                </c:pt>
                <c:pt idx="360">
                  <c:v>77.583333333333485</c:v>
                </c:pt>
                <c:pt idx="361">
                  <c:v>76.916666666666771</c:v>
                </c:pt>
                <c:pt idx="362">
                  <c:v>78.4166666666667</c:v>
                </c:pt>
                <c:pt idx="363">
                  <c:v>76.50000000000027</c:v>
                </c:pt>
                <c:pt idx="364">
                  <c:v>77.250000000000242</c:v>
                </c:pt>
                <c:pt idx="365">
                  <c:v>76.333333333333528</c:v>
                </c:pt>
                <c:pt idx="366">
                  <c:v>77.166666666666757</c:v>
                </c:pt>
                <c:pt idx="367">
                  <c:v>76.000000000000298</c:v>
                </c:pt>
                <c:pt idx="368">
                  <c:v>75.666666666666814</c:v>
                </c:pt>
                <c:pt idx="369">
                  <c:v>76.250000000000284</c:v>
                </c:pt>
                <c:pt idx="370">
                  <c:v>79.5833333333334</c:v>
                </c:pt>
                <c:pt idx="371">
                  <c:v>77.166666666666757</c:v>
                </c:pt>
                <c:pt idx="372">
                  <c:v>74.333333333333613</c:v>
                </c:pt>
                <c:pt idx="373">
                  <c:v>76.583333333333528</c:v>
                </c:pt>
                <c:pt idx="374">
                  <c:v>77.250000000000242</c:v>
                </c:pt>
                <c:pt idx="375">
                  <c:v>77.000000000000256</c:v>
                </c:pt>
                <c:pt idx="376">
                  <c:v>74.916666666666856</c:v>
                </c:pt>
                <c:pt idx="377">
                  <c:v>78.500000000000185</c:v>
                </c:pt>
                <c:pt idx="378">
                  <c:v>78.000000000000213</c:v>
                </c:pt>
                <c:pt idx="379">
                  <c:v>78.666666666666686</c:v>
                </c:pt>
                <c:pt idx="380">
                  <c:v>76.916666666666771</c:v>
                </c:pt>
                <c:pt idx="381">
                  <c:v>75.916666666666814</c:v>
                </c:pt>
                <c:pt idx="382">
                  <c:v>76.166666666666799</c:v>
                </c:pt>
                <c:pt idx="383">
                  <c:v>78.4166666666667</c:v>
                </c:pt>
                <c:pt idx="384">
                  <c:v>76.166666666666799</c:v>
                </c:pt>
                <c:pt idx="385">
                  <c:v>78.166666666666714</c:v>
                </c:pt>
                <c:pt idx="386">
                  <c:v>78.000000000000213</c:v>
                </c:pt>
                <c:pt idx="387">
                  <c:v>76.166666666666799</c:v>
                </c:pt>
                <c:pt idx="388">
                  <c:v>77.166666666666757</c:v>
                </c:pt>
                <c:pt idx="389">
                  <c:v>78.916666666666686</c:v>
                </c:pt>
                <c:pt idx="390">
                  <c:v>76.333333333333528</c:v>
                </c:pt>
                <c:pt idx="391">
                  <c:v>80.000000000000128</c:v>
                </c:pt>
                <c:pt idx="392">
                  <c:v>76.416666666666785</c:v>
                </c:pt>
                <c:pt idx="393">
                  <c:v>76.333333333333528</c:v>
                </c:pt>
                <c:pt idx="394">
                  <c:v>76.416666666666785</c:v>
                </c:pt>
                <c:pt idx="395">
                  <c:v>78.000000000000213</c:v>
                </c:pt>
                <c:pt idx="396">
                  <c:v>76.333333333333528</c:v>
                </c:pt>
                <c:pt idx="397">
                  <c:v>77.583333333333485</c:v>
                </c:pt>
                <c:pt idx="398">
                  <c:v>76.333333333333528</c:v>
                </c:pt>
                <c:pt idx="399">
                  <c:v>79.416666666666657</c:v>
                </c:pt>
                <c:pt idx="400">
                  <c:v>77.250000000000242</c:v>
                </c:pt>
                <c:pt idx="401">
                  <c:v>79.500000000000142</c:v>
                </c:pt>
                <c:pt idx="402">
                  <c:v>75.33333333333357</c:v>
                </c:pt>
                <c:pt idx="403">
                  <c:v>79.666666666666643</c:v>
                </c:pt>
                <c:pt idx="404">
                  <c:v>78.166666666666714</c:v>
                </c:pt>
                <c:pt idx="405">
                  <c:v>78.333333333333456</c:v>
                </c:pt>
                <c:pt idx="406">
                  <c:v>78.666666666666686</c:v>
                </c:pt>
                <c:pt idx="407">
                  <c:v>75.416666666666828</c:v>
                </c:pt>
                <c:pt idx="408">
                  <c:v>77.583333333333485</c:v>
                </c:pt>
                <c:pt idx="409">
                  <c:v>77.333333333333499</c:v>
                </c:pt>
                <c:pt idx="410">
                  <c:v>78.083333333333456</c:v>
                </c:pt>
                <c:pt idx="411">
                  <c:v>78.666666666666686</c:v>
                </c:pt>
                <c:pt idx="412">
                  <c:v>76.666666666666771</c:v>
                </c:pt>
                <c:pt idx="413">
                  <c:v>78.500000000000185</c:v>
                </c:pt>
                <c:pt idx="414">
                  <c:v>75.58333333333357</c:v>
                </c:pt>
                <c:pt idx="415">
                  <c:v>78.083333333333456</c:v>
                </c:pt>
                <c:pt idx="416">
                  <c:v>76.250000000000284</c:v>
                </c:pt>
                <c:pt idx="417">
                  <c:v>79.083333333333414</c:v>
                </c:pt>
                <c:pt idx="418">
                  <c:v>76.666666666666771</c:v>
                </c:pt>
                <c:pt idx="419">
                  <c:v>76.50000000000027</c:v>
                </c:pt>
                <c:pt idx="420">
                  <c:v>75.166666666666842</c:v>
                </c:pt>
                <c:pt idx="421">
                  <c:v>75.33333333333357</c:v>
                </c:pt>
                <c:pt idx="422">
                  <c:v>78.916666666666686</c:v>
                </c:pt>
                <c:pt idx="423">
                  <c:v>77.083333333333499</c:v>
                </c:pt>
                <c:pt idx="424">
                  <c:v>78.333333333333456</c:v>
                </c:pt>
                <c:pt idx="425">
                  <c:v>78.333333333333456</c:v>
                </c:pt>
                <c:pt idx="426">
                  <c:v>76.166666666666799</c:v>
                </c:pt>
                <c:pt idx="427">
                  <c:v>78.4166666666667</c:v>
                </c:pt>
                <c:pt idx="428">
                  <c:v>76.416666666666785</c:v>
                </c:pt>
                <c:pt idx="429">
                  <c:v>79.500000000000142</c:v>
                </c:pt>
                <c:pt idx="430">
                  <c:v>75.666666666666814</c:v>
                </c:pt>
                <c:pt idx="431">
                  <c:v>77.916666666666728</c:v>
                </c:pt>
                <c:pt idx="432">
                  <c:v>75.416666666666828</c:v>
                </c:pt>
                <c:pt idx="433">
                  <c:v>76.50000000000027</c:v>
                </c:pt>
                <c:pt idx="434">
                  <c:v>76.000000000000298</c:v>
                </c:pt>
                <c:pt idx="435">
                  <c:v>75.58333333333357</c:v>
                </c:pt>
                <c:pt idx="436">
                  <c:v>74.333333333333613</c:v>
                </c:pt>
                <c:pt idx="437">
                  <c:v>79.000000000000171</c:v>
                </c:pt>
                <c:pt idx="438">
                  <c:v>77.333333333333499</c:v>
                </c:pt>
                <c:pt idx="439">
                  <c:v>76.333333333333528</c:v>
                </c:pt>
                <c:pt idx="440">
                  <c:v>77.250000000000242</c:v>
                </c:pt>
                <c:pt idx="441">
                  <c:v>76.916666666666771</c:v>
                </c:pt>
                <c:pt idx="442">
                  <c:v>77.083333333333499</c:v>
                </c:pt>
                <c:pt idx="443">
                  <c:v>78.166666666666714</c:v>
                </c:pt>
                <c:pt idx="444">
                  <c:v>78.333333333333456</c:v>
                </c:pt>
                <c:pt idx="445">
                  <c:v>75.58333333333357</c:v>
                </c:pt>
                <c:pt idx="446">
                  <c:v>77.166666666666757</c:v>
                </c:pt>
                <c:pt idx="447">
                  <c:v>77.666666666666728</c:v>
                </c:pt>
                <c:pt idx="448">
                  <c:v>75.58333333333357</c:v>
                </c:pt>
                <c:pt idx="449">
                  <c:v>79.166666666666671</c:v>
                </c:pt>
                <c:pt idx="450">
                  <c:v>71.083333333333755</c:v>
                </c:pt>
                <c:pt idx="451">
                  <c:v>87.166666666666103</c:v>
                </c:pt>
                <c:pt idx="452">
                  <c:v>77.333333333333499</c:v>
                </c:pt>
                <c:pt idx="453">
                  <c:v>77.083333333333499</c:v>
                </c:pt>
                <c:pt idx="454">
                  <c:v>78.500000000000185</c:v>
                </c:pt>
                <c:pt idx="455">
                  <c:v>81.166666666666586</c:v>
                </c:pt>
                <c:pt idx="456">
                  <c:v>75.500000000000313</c:v>
                </c:pt>
                <c:pt idx="457">
                  <c:v>76.000000000000298</c:v>
                </c:pt>
                <c:pt idx="458">
                  <c:v>78.4166666666667</c:v>
                </c:pt>
                <c:pt idx="459">
                  <c:v>78.000000000000213</c:v>
                </c:pt>
                <c:pt idx="460">
                  <c:v>81.333333333333329</c:v>
                </c:pt>
                <c:pt idx="461">
                  <c:v>77.666666666666728</c:v>
                </c:pt>
                <c:pt idx="462">
                  <c:v>79.333333333333414</c:v>
                </c:pt>
                <c:pt idx="463">
                  <c:v>78.166666666666714</c:v>
                </c:pt>
                <c:pt idx="464">
                  <c:v>77.166666666666757</c:v>
                </c:pt>
                <c:pt idx="465">
                  <c:v>78.4166666666667</c:v>
                </c:pt>
                <c:pt idx="466">
                  <c:v>77.500000000000227</c:v>
                </c:pt>
                <c:pt idx="467">
                  <c:v>77.000000000000256</c:v>
                </c:pt>
                <c:pt idx="468">
                  <c:v>78.583333333333442</c:v>
                </c:pt>
                <c:pt idx="469">
                  <c:v>78.250000000000199</c:v>
                </c:pt>
                <c:pt idx="470">
                  <c:v>77.000000000000256</c:v>
                </c:pt>
                <c:pt idx="471">
                  <c:v>78.000000000000213</c:v>
                </c:pt>
                <c:pt idx="472">
                  <c:v>76.333333333333528</c:v>
                </c:pt>
                <c:pt idx="473">
                  <c:v>76.50000000000027</c:v>
                </c:pt>
                <c:pt idx="474">
                  <c:v>76.333333333333528</c:v>
                </c:pt>
                <c:pt idx="475">
                  <c:v>77.083333333333499</c:v>
                </c:pt>
                <c:pt idx="476">
                  <c:v>77.166666666666757</c:v>
                </c:pt>
                <c:pt idx="477">
                  <c:v>78.333333333333456</c:v>
                </c:pt>
                <c:pt idx="478">
                  <c:v>77.416666666666742</c:v>
                </c:pt>
                <c:pt idx="479">
                  <c:v>75.58333333333357</c:v>
                </c:pt>
                <c:pt idx="480">
                  <c:v>80.083333333333371</c:v>
                </c:pt>
                <c:pt idx="481">
                  <c:v>74.583333333333613</c:v>
                </c:pt>
                <c:pt idx="482">
                  <c:v>80.416666666666615</c:v>
                </c:pt>
                <c:pt idx="483">
                  <c:v>75.916666666666814</c:v>
                </c:pt>
                <c:pt idx="484">
                  <c:v>76.583333333333528</c:v>
                </c:pt>
                <c:pt idx="485">
                  <c:v>77.083333333333499</c:v>
                </c:pt>
                <c:pt idx="486">
                  <c:v>78.500000000000185</c:v>
                </c:pt>
                <c:pt idx="487">
                  <c:v>76.333333333333528</c:v>
                </c:pt>
                <c:pt idx="488">
                  <c:v>78.583333333333442</c:v>
                </c:pt>
                <c:pt idx="489">
                  <c:v>76.333333333333528</c:v>
                </c:pt>
                <c:pt idx="490">
                  <c:v>76.333333333333528</c:v>
                </c:pt>
                <c:pt idx="491">
                  <c:v>78.083333333333456</c:v>
                </c:pt>
                <c:pt idx="492">
                  <c:v>77.666666666666728</c:v>
                </c:pt>
                <c:pt idx="493">
                  <c:v>76.50000000000027</c:v>
                </c:pt>
                <c:pt idx="494">
                  <c:v>78.000000000000213</c:v>
                </c:pt>
                <c:pt idx="495">
                  <c:v>75.250000000000327</c:v>
                </c:pt>
                <c:pt idx="496">
                  <c:v>79.500000000000142</c:v>
                </c:pt>
                <c:pt idx="497">
                  <c:v>77.416666666666742</c:v>
                </c:pt>
                <c:pt idx="498">
                  <c:v>76.000000000000298</c:v>
                </c:pt>
                <c:pt idx="499">
                  <c:v>80.000000000000128</c:v>
                </c:pt>
                <c:pt idx="500">
                  <c:v>74.333333333333613</c:v>
                </c:pt>
                <c:pt idx="501">
                  <c:v>76.416666666666785</c:v>
                </c:pt>
                <c:pt idx="502">
                  <c:v>75.916666666666814</c:v>
                </c:pt>
                <c:pt idx="503">
                  <c:v>76.50000000000027</c:v>
                </c:pt>
                <c:pt idx="504">
                  <c:v>76.166666666666799</c:v>
                </c:pt>
                <c:pt idx="505">
                  <c:v>76.166666666666799</c:v>
                </c:pt>
                <c:pt idx="506">
                  <c:v>76.583333333333528</c:v>
                </c:pt>
                <c:pt idx="507">
                  <c:v>80.000000000000128</c:v>
                </c:pt>
                <c:pt idx="508">
                  <c:v>76.000000000000298</c:v>
                </c:pt>
                <c:pt idx="509">
                  <c:v>79.416666666666657</c:v>
                </c:pt>
                <c:pt idx="510">
                  <c:v>76.333333333333528</c:v>
                </c:pt>
                <c:pt idx="511">
                  <c:v>76.166666666666799</c:v>
                </c:pt>
                <c:pt idx="512">
                  <c:v>74.583333333333613</c:v>
                </c:pt>
                <c:pt idx="513">
                  <c:v>80.6666666666666</c:v>
                </c:pt>
                <c:pt idx="514">
                  <c:v>78.500000000000185</c:v>
                </c:pt>
                <c:pt idx="515">
                  <c:v>77.083333333333499</c:v>
                </c:pt>
                <c:pt idx="516">
                  <c:v>75.416666666666828</c:v>
                </c:pt>
                <c:pt idx="517">
                  <c:v>77.500000000000227</c:v>
                </c:pt>
                <c:pt idx="518">
                  <c:v>76.666666666666771</c:v>
                </c:pt>
                <c:pt idx="519">
                  <c:v>77.583333333333485</c:v>
                </c:pt>
                <c:pt idx="520">
                  <c:v>76.666666666666771</c:v>
                </c:pt>
                <c:pt idx="521">
                  <c:v>76.50000000000027</c:v>
                </c:pt>
                <c:pt idx="522">
                  <c:v>78.583333333333442</c:v>
                </c:pt>
                <c:pt idx="523">
                  <c:v>78.250000000000199</c:v>
                </c:pt>
                <c:pt idx="524">
                  <c:v>76.000000000000298</c:v>
                </c:pt>
                <c:pt idx="525">
                  <c:v>75.58333333333357</c:v>
                </c:pt>
                <c:pt idx="526">
                  <c:v>75.083333333333584</c:v>
                </c:pt>
                <c:pt idx="527">
                  <c:v>79.916666666666643</c:v>
                </c:pt>
                <c:pt idx="528">
                  <c:v>77.083333333333499</c:v>
                </c:pt>
                <c:pt idx="529">
                  <c:v>75.083333333333584</c:v>
                </c:pt>
                <c:pt idx="530">
                  <c:v>77.500000000000227</c:v>
                </c:pt>
                <c:pt idx="531">
                  <c:v>76.333333333333528</c:v>
                </c:pt>
                <c:pt idx="532">
                  <c:v>79.000000000000171</c:v>
                </c:pt>
                <c:pt idx="533">
                  <c:v>75.166666666666842</c:v>
                </c:pt>
                <c:pt idx="534">
                  <c:v>78.666666666666686</c:v>
                </c:pt>
                <c:pt idx="535">
                  <c:v>77.333333333333499</c:v>
                </c:pt>
                <c:pt idx="536">
                  <c:v>79.083333333333414</c:v>
                </c:pt>
                <c:pt idx="537">
                  <c:v>76.416666666666785</c:v>
                </c:pt>
                <c:pt idx="538">
                  <c:v>78.500000000000185</c:v>
                </c:pt>
                <c:pt idx="539">
                  <c:v>78.250000000000199</c:v>
                </c:pt>
                <c:pt idx="540">
                  <c:v>79.666666666666643</c:v>
                </c:pt>
                <c:pt idx="541">
                  <c:v>76.916666666666771</c:v>
                </c:pt>
                <c:pt idx="542">
                  <c:v>78.333333333333456</c:v>
                </c:pt>
                <c:pt idx="543">
                  <c:v>77.166666666666757</c:v>
                </c:pt>
                <c:pt idx="544">
                  <c:v>77.583333333333485</c:v>
                </c:pt>
                <c:pt idx="545">
                  <c:v>77.583333333333485</c:v>
                </c:pt>
                <c:pt idx="546">
                  <c:v>76.916666666666771</c:v>
                </c:pt>
                <c:pt idx="547">
                  <c:v>76.666666666666771</c:v>
                </c:pt>
                <c:pt idx="548">
                  <c:v>75.58333333333357</c:v>
                </c:pt>
                <c:pt idx="549">
                  <c:v>78.166666666666714</c:v>
                </c:pt>
                <c:pt idx="550">
                  <c:v>77.083333333333499</c:v>
                </c:pt>
                <c:pt idx="551">
                  <c:v>76.416666666666785</c:v>
                </c:pt>
                <c:pt idx="552">
                  <c:v>78.000000000000213</c:v>
                </c:pt>
                <c:pt idx="553">
                  <c:v>76.916666666666771</c:v>
                </c:pt>
                <c:pt idx="554">
                  <c:v>74.916666666666856</c:v>
                </c:pt>
                <c:pt idx="555">
                  <c:v>76.083333333333542</c:v>
                </c:pt>
                <c:pt idx="556">
                  <c:v>77.083333333333499</c:v>
                </c:pt>
                <c:pt idx="557">
                  <c:v>77.583333333333485</c:v>
                </c:pt>
                <c:pt idx="558">
                  <c:v>77.916666666666728</c:v>
                </c:pt>
                <c:pt idx="559">
                  <c:v>77.083333333333499</c:v>
                </c:pt>
                <c:pt idx="560">
                  <c:v>77.250000000000242</c:v>
                </c:pt>
                <c:pt idx="561">
                  <c:v>77.916666666666728</c:v>
                </c:pt>
                <c:pt idx="562">
                  <c:v>78.166666666666714</c:v>
                </c:pt>
                <c:pt idx="563">
                  <c:v>78.083333333333456</c:v>
                </c:pt>
                <c:pt idx="564">
                  <c:v>77.333333333333499</c:v>
                </c:pt>
                <c:pt idx="565">
                  <c:v>77.333333333333499</c:v>
                </c:pt>
                <c:pt idx="566">
                  <c:v>76.666666666666771</c:v>
                </c:pt>
                <c:pt idx="567">
                  <c:v>78.000000000000213</c:v>
                </c:pt>
                <c:pt idx="568">
                  <c:v>77.916666666666728</c:v>
                </c:pt>
                <c:pt idx="569">
                  <c:v>76.416666666666785</c:v>
                </c:pt>
                <c:pt idx="570">
                  <c:v>80.500000000000099</c:v>
                </c:pt>
                <c:pt idx="571">
                  <c:v>75.58333333333357</c:v>
                </c:pt>
                <c:pt idx="572">
                  <c:v>76.416666666666785</c:v>
                </c:pt>
                <c:pt idx="573">
                  <c:v>75.58333333333357</c:v>
                </c:pt>
                <c:pt idx="574">
                  <c:v>77.333333333333499</c:v>
                </c:pt>
                <c:pt idx="575">
                  <c:v>75.500000000000313</c:v>
                </c:pt>
                <c:pt idx="576">
                  <c:v>79.000000000000171</c:v>
                </c:pt>
                <c:pt idx="577">
                  <c:v>76.166666666666799</c:v>
                </c:pt>
                <c:pt idx="578">
                  <c:v>77.166666666666757</c:v>
                </c:pt>
                <c:pt idx="579">
                  <c:v>76.583333333333528</c:v>
                </c:pt>
                <c:pt idx="580">
                  <c:v>76.583333333333528</c:v>
                </c:pt>
                <c:pt idx="581">
                  <c:v>78.166666666666714</c:v>
                </c:pt>
                <c:pt idx="582">
                  <c:v>80.583333333333357</c:v>
                </c:pt>
                <c:pt idx="583">
                  <c:v>77.000000000000256</c:v>
                </c:pt>
                <c:pt idx="584">
                  <c:v>76.666666666666771</c:v>
                </c:pt>
                <c:pt idx="585">
                  <c:v>80.000000000000128</c:v>
                </c:pt>
                <c:pt idx="586">
                  <c:v>76.083333333333542</c:v>
                </c:pt>
                <c:pt idx="587">
                  <c:v>78.500000000000185</c:v>
                </c:pt>
                <c:pt idx="588">
                  <c:v>76.416666666666785</c:v>
                </c:pt>
                <c:pt idx="589">
                  <c:v>80.166666666666629</c:v>
                </c:pt>
                <c:pt idx="590">
                  <c:v>77.500000000000227</c:v>
                </c:pt>
                <c:pt idx="591">
                  <c:v>80.166666666666629</c:v>
                </c:pt>
                <c:pt idx="592">
                  <c:v>77.000000000000256</c:v>
                </c:pt>
                <c:pt idx="593">
                  <c:v>79.000000000000171</c:v>
                </c:pt>
                <c:pt idx="594">
                  <c:v>76.166666666666799</c:v>
                </c:pt>
                <c:pt idx="595">
                  <c:v>76.333333333333528</c:v>
                </c:pt>
                <c:pt idx="596">
                  <c:v>75.500000000000313</c:v>
                </c:pt>
                <c:pt idx="597">
                  <c:v>76.333333333333528</c:v>
                </c:pt>
                <c:pt idx="598">
                  <c:v>77.250000000000242</c:v>
                </c:pt>
                <c:pt idx="599">
                  <c:v>78.333333333333456</c:v>
                </c:pt>
                <c:pt idx="600">
                  <c:v>77.083333333333499</c:v>
                </c:pt>
                <c:pt idx="601">
                  <c:v>76.166666666666799</c:v>
                </c:pt>
                <c:pt idx="602">
                  <c:v>76.50000000000027</c:v>
                </c:pt>
                <c:pt idx="603">
                  <c:v>76.333333333333528</c:v>
                </c:pt>
                <c:pt idx="604">
                  <c:v>77.666666666666728</c:v>
                </c:pt>
                <c:pt idx="605">
                  <c:v>78.500000000000185</c:v>
                </c:pt>
                <c:pt idx="606">
                  <c:v>75.33333333333357</c:v>
                </c:pt>
                <c:pt idx="607">
                  <c:v>75.166666666666842</c:v>
                </c:pt>
                <c:pt idx="608">
                  <c:v>75.000000000000341</c:v>
                </c:pt>
                <c:pt idx="609">
                  <c:v>79.166666666666671</c:v>
                </c:pt>
                <c:pt idx="610">
                  <c:v>78.000000000000213</c:v>
                </c:pt>
                <c:pt idx="611">
                  <c:v>78.000000000000213</c:v>
                </c:pt>
                <c:pt idx="612">
                  <c:v>78.083333333333456</c:v>
                </c:pt>
                <c:pt idx="613">
                  <c:v>76.416666666666785</c:v>
                </c:pt>
                <c:pt idx="614">
                  <c:v>77.916666666666728</c:v>
                </c:pt>
                <c:pt idx="615">
                  <c:v>77.000000000000256</c:v>
                </c:pt>
                <c:pt idx="616">
                  <c:v>76.50000000000027</c:v>
                </c:pt>
                <c:pt idx="617">
                  <c:v>76.000000000000298</c:v>
                </c:pt>
                <c:pt idx="618">
                  <c:v>77.666666666666728</c:v>
                </c:pt>
                <c:pt idx="619">
                  <c:v>77.583333333333485</c:v>
                </c:pt>
                <c:pt idx="620">
                  <c:v>76.083333333333542</c:v>
                </c:pt>
                <c:pt idx="621">
                  <c:v>75.58333333333357</c:v>
                </c:pt>
                <c:pt idx="622">
                  <c:v>77.250000000000242</c:v>
                </c:pt>
                <c:pt idx="623">
                  <c:v>77.250000000000242</c:v>
                </c:pt>
                <c:pt idx="624">
                  <c:v>76.50000000000027</c:v>
                </c:pt>
                <c:pt idx="625">
                  <c:v>79.416666666666657</c:v>
                </c:pt>
                <c:pt idx="626">
                  <c:v>77.416666666666742</c:v>
                </c:pt>
                <c:pt idx="627">
                  <c:v>75.416666666666828</c:v>
                </c:pt>
                <c:pt idx="628">
                  <c:v>77.666666666666728</c:v>
                </c:pt>
                <c:pt idx="629">
                  <c:v>78.000000000000213</c:v>
                </c:pt>
                <c:pt idx="630">
                  <c:v>76.250000000000284</c:v>
                </c:pt>
                <c:pt idx="631">
                  <c:v>78.500000000000185</c:v>
                </c:pt>
                <c:pt idx="632">
                  <c:v>77.000000000000256</c:v>
                </c:pt>
                <c:pt idx="633">
                  <c:v>72.500000000000441</c:v>
                </c:pt>
                <c:pt idx="634">
                  <c:v>75.500000000000313</c:v>
                </c:pt>
                <c:pt idx="635">
                  <c:v>77.583333333333485</c:v>
                </c:pt>
                <c:pt idx="636">
                  <c:v>81.000000000000085</c:v>
                </c:pt>
                <c:pt idx="637">
                  <c:v>80.250000000000114</c:v>
                </c:pt>
                <c:pt idx="638">
                  <c:v>77.000000000000256</c:v>
                </c:pt>
                <c:pt idx="639">
                  <c:v>78.583333333333442</c:v>
                </c:pt>
                <c:pt idx="640">
                  <c:v>77.916666666666728</c:v>
                </c:pt>
                <c:pt idx="641">
                  <c:v>80.250000000000114</c:v>
                </c:pt>
                <c:pt idx="642">
                  <c:v>76.583333333333528</c:v>
                </c:pt>
                <c:pt idx="643">
                  <c:v>76.583333333333528</c:v>
                </c:pt>
                <c:pt idx="644">
                  <c:v>80.250000000000114</c:v>
                </c:pt>
                <c:pt idx="645">
                  <c:v>78.083333333333456</c:v>
                </c:pt>
                <c:pt idx="646">
                  <c:v>78.666666666666686</c:v>
                </c:pt>
                <c:pt idx="647">
                  <c:v>75.416666666666828</c:v>
                </c:pt>
                <c:pt idx="648">
                  <c:v>76.250000000000284</c:v>
                </c:pt>
                <c:pt idx="649">
                  <c:v>77.000000000000256</c:v>
                </c:pt>
                <c:pt idx="650">
                  <c:v>76.250000000000284</c:v>
                </c:pt>
                <c:pt idx="651">
                  <c:v>76.333333333333528</c:v>
                </c:pt>
                <c:pt idx="652">
                  <c:v>77.916666666666728</c:v>
                </c:pt>
                <c:pt idx="653">
                  <c:v>77.416666666666742</c:v>
                </c:pt>
                <c:pt idx="654">
                  <c:v>77.916666666666728</c:v>
                </c:pt>
                <c:pt idx="655">
                  <c:v>78.333333333333456</c:v>
                </c:pt>
                <c:pt idx="656">
                  <c:v>77.583333333333485</c:v>
                </c:pt>
                <c:pt idx="657">
                  <c:v>77.916666666666728</c:v>
                </c:pt>
                <c:pt idx="658">
                  <c:v>78.666666666666686</c:v>
                </c:pt>
                <c:pt idx="659">
                  <c:v>77.583333333333485</c:v>
                </c:pt>
                <c:pt idx="660">
                  <c:v>80.083333333333371</c:v>
                </c:pt>
                <c:pt idx="661">
                  <c:v>77.416666666666742</c:v>
                </c:pt>
                <c:pt idx="662">
                  <c:v>78.166666666666714</c:v>
                </c:pt>
                <c:pt idx="663">
                  <c:v>80.000000000000128</c:v>
                </c:pt>
                <c:pt idx="664">
                  <c:v>78.666666666666686</c:v>
                </c:pt>
                <c:pt idx="665">
                  <c:v>79.083333333333414</c:v>
                </c:pt>
                <c:pt idx="666">
                  <c:v>78.583333333333442</c:v>
                </c:pt>
                <c:pt idx="667">
                  <c:v>74.166666666666885</c:v>
                </c:pt>
                <c:pt idx="668">
                  <c:v>77.000000000000256</c:v>
                </c:pt>
                <c:pt idx="669">
                  <c:v>78.500000000000185</c:v>
                </c:pt>
                <c:pt idx="670">
                  <c:v>78.083333333333456</c:v>
                </c:pt>
                <c:pt idx="671">
                  <c:v>79.333333333333414</c:v>
                </c:pt>
                <c:pt idx="672">
                  <c:v>76.083333333333542</c:v>
                </c:pt>
                <c:pt idx="673">
                  <c:v>78.250000000000199</c:v>
                </c:pt>
                <c:pt idx="674">
                  <c:v>76.250000000000284</c:v>
                </c:pt>
                <c:pt idx="675">
                  <c:v>78.666666666666686</c:v>
                </c:pt>
                <c:pt idx="676">
                  <c:v>78.500000000000185</c:v>
                </c:pt>
                <c:pt idx="677">
                  <c:v>77.000000000000256</c:v>
                </c:pt>
                <c:pt idx="678">
                  <c:v>77.916666666666728</c:v>
                </c:pt>
                <c:pt idx="679">
                  <c:v>79.000000000000171</c:v>
                </c:pt>
                <c:pt idx="680">
                  <c:v>80.250000000000114</c:v>
                </c:pt>
                <c:pt idx="681">
                  <c:v>75.250000000000327</c:v>
                </c:pt>
                <c:pt idx="682">
                  <c:v>77.333333333333499</c:v>
                </c:pt>
                <c:pt idx="683">
                  <c:v>78.000000000000213</c:v>
                </c:pt>
                <c:pt idx="684">
                  <c:v>76.416666666666785</c:v>
                </c:pt>
                <c:pt idx="685">
                  <c:v>79.5833333333334</c:v>
                </c:pt>
                <c:pt idx="686">
                  <c:v>75.500000000000313</c:v>
                </c:pt>
                <c:pt idx="687">
                  <c:v>78.666666666666686</c:v>
                </c:pt>
                <c:pt idx="688">
                  <c:v>78.333333333333456</c:v>
                </c:pt>
                <c:pt idx="689">
                  <c:v>76.333333333333528</c:v>
                </c:pt>
                <c:pt idx="690">
                  <c:v>77.583333333333485</c:v>
                </c:pt>
                <c:pt idx="691">
                  <c:v>76.666666666666771</c:v>
                </c:pt>
                <c:pt idx="692">
                  <c:v>78.583333333333442</c:v>
                </c:pt>
                <c:pt idx="693">
                  <c:v>78.250000000000199</c:v>
                </c:pt>
                <c:pt idx="694">
                  <c:v>75.33333333333357</c:v>
                </c:pt>
                <c:pt idx="695">
                  <c:v>76.583333333333528</c:v>
                </c:pt>
                <c:pt idx="696">
                  <c:v>77.583333333333485</c:v>
                </c:pt>
                <c:pt idx="697">
                  <c:v>78.083333333333456</c:v>
                </c:pt>
                <c:pt idx="698">
                  <c:v>78.916666666666686</c:v>
                </c:pt>
                <c:pt idx="699">
                  <c:v>78.000000000000213</c:v>
                </c:pt>
                <c:pt idx="700">
                  <c:v>76.583333333333528</c:v>
                </c:pt>
                <c:pt idx="701">
                  <c:v>80.333333333333371</c:v>
                </c:pt>
                <c:pt idx="702">
                  <c:v>77.583333333333485</c:v>
                </c:pt>
                <c:pt idx="703">
                  <c:v>76.916666666666771</c:v>
                </c:pt>
                <c:pt idx="704">
                  <c:v>78.166666666666714</c:v>
                </c:pt>
                <c:pt idx="705">
                  <c:v>77.000000000000256</c:v>
                </c:pt>
                <c:pt idx="706">
                  <c:v>77.666666666666728</c:v>
                </c:pt>
                <c:pt idx="707">
                  <c:v>77.666666666666728</c:v>
                </c:pt>
                <c:pt idx="708">
                  <c:v>78.250000000000199</c:v>
                </c:pt>
                <c:pt idx="709">
                  <c:v>79.5833333333334</c:v>
                </c:pt>
                <c:pt idx="710">
                  <c:v>76.666666666666771</c:v>
                </c:pt>
                <c:pt idx="711">
                  <c:v>76.666666666666771</c:v>
                </c:pt>
                <c:pt idx="712">
                  <c:v>77.250000000000242</c:v>
                </c:pt>
                <c:pt idx="713">
                  <c:v>79.000000000000171</c:v>
                </c:pt>
                <c:pt idx="714">
                  <c:v>75.916666666666814</c:v>
                </c:pt>
                <c:pt idx="715">
                  <c:v>74.083333333333627</c:v>
                </c:pt>
                <c:pt idx="716">
                  <c:v>76.666666666666771</c:v>
                </c:pt>
                <c:pt idx="717">
                  <c:v>75.416666666666828</c:v>
                </c:pt>
                <c:pt idx="718">
                  <c:v>76.166666666666799</c:v>
                </c:pt>
                <c:pt idx="719">
                  <c:v>79.666666666666643</c:v>
                </c:pt>
                <c:pt idx="720">
                  <c:v>76.250000000000284</c:v>
                </c:pt>
                <c:pt idx="721">
                  <c:v>78.000000000000213</c:v>
                </c:pt>
                <c:pt idx="722">
                  <c:v>77.000000000000256</c:v>
                </c:pt>
                <c:pt idx="723">
                  <c:v>77.916666666666728</c:v>
                </c:pt>
                <c:pt idx="724">
                  <c:v>78.666666666666686</c:v>
                </c:pt>
                <c:pt idx="725">
                  <c:v>78.4166666666667</c:v>
                </c:pt>
                <c:pt idx="726">
                  <c:v>78.333333333333456</c:v>
                </c:pt>
                <c:pt idx="727">
                  <c:v>77.000000000000256</c:v>
                </c:pt>
                <c:pt idx="728">
                  <c:v>76.250000000000284</c:v>
                </c:pt>
                <c:pt idx="729">
                  <c:v>77.333333333333499</c:v>
                </c:pt>
                <c:pt idx="730">
                  <c:v>76.416666666666785</c:v>
                </c:pt>
                <c:pt idx="731">
                  <c:v>77.083333333333499</c:v>
                </c:pt>
                <c:pt idx="732">
                  <c:v>78.000000000000213</c:v>
                </c:pt>
                <c:pt idx="733">
                  <c:v>76.583333333333528</c:v>
                </c:pt>
                <c:pt idx="734">
                  <c:v>78.000000000000213</c:v>
                </c:pt>
                <c:pt idx="735">
                  <c:v>78.333333333333456</c:v>
                </c:pt>
                <c:pt idx="736">
                  <c:v>76.416666666666785</c:v>
                </c:pt>
                <c:pt idx="737">
                  <c:v>79.000000000000171</c:v>
                </c:pt>
                <c:pt idx="738">
                  <c:v>74.666666666666856</c:v>
                </c:pt>
                <c:pt idx="739">
                  <c:v>77.666666666666728</c:v>
                </c:pt>
                <c:pt idx="740">
                  <c:v>78.250000000000199</c:v>
                </c:pt>
                <c:pt idx="741">
                  <c:v>78.166666666666714</c:v>
                </c:pt>
                <c:pt idx="742">
                  <c:v>75.916666666666814</c:v>
                </c:pt>
                <c:pt idx="743">
                  <c:v>76.000000000000298</c:v>
                </c:pt>
                <c:pt idx="744">
                  <c:v>76.50000000000027</c:v>
                </c:pt>
                <c:pt idx="745">
                  <c:v>77.666666666666728</c:v>
                </c:pt>
                <c:pt idx="746">
                  <c:v>75.416666666666828</c:v>
                </c:pt>
                <c:pt idx="747">
                  <c:v>80.000000000000128</c:v>
                </c:pt>
                <c:pt idx="748">
                  <c:v>77.416666666666742</c:v>
                </c:pt>
                <c:pt idx="749">
                  <c:v>77.666666666666728</c:v>
                </c:pt>
                <c:pt idx="750">
                  <c:v>78.250000000000199</c:v>
                </c:pt>
                <c:pt idx="751">
                  <c:v>79.5833333333334</c:v>
                </c:pt>
                <c:pt idx="752">
                  <c:v>79.5833333333334</c:v>
                </c:pt>
                <c:pt idx="753">
                  <c:v>78.000000000000213</c:v>
                </c:pt>
                <c:pt idx="754">
                  <c:v>76.083333333333542</c:v>
                </c:pt>
                <c:pt idx="755">
                  <c:v>76.583333333333528</c:v>
                </c:pt>
                <c:pt idx="756">
                  <c:v>75.416666666666828</c:v>
                </c:pt>
                <c:pt idx="757">
                  <c:v>76.250000000000284</c:v>
                </c:pt>
                <c:pt idx="758">
                  <c:v>78.4166666666667</c:v>
                </c:pt>
                <c:pt idx="759">
                  <c:v>74.500000000000355</c:v>
                </c:pt>
                <c:pt idx="760">
                  <c:v>77.500000000000227</c:v>
                </c:pt>
                <c:pt idx="761">
                  <c:v>75.083333333333584</c:v>
                </c:pt>
                <c:pt idx="762">
                  <c:v>76.916666666666771</c:v>
                </c:pt>
                <c:pt idx="763">
                  <c:v>77.000000000000256</c:v>
                </c:pt>
                <c:pt idx="764">
                  <c:v>76.666666666666771</c:v>
                </c:pt>
                <c:pt idx="765">
                  <c:v>78.166666666666714</c:v>
                </c:pt>
                <c:pt idx="766">
                  <c:v>77.583333333333485</c:v>
                </c:pt>
                <c:pt idx="767">
                  <c:v>77.333333333333499</c:v>
                </c:pt>
                <c:pt idx="768">
                  <c:v>80.9166666666666</c:v>
                </c:pt>
                <c:pt idx="769">
                  <c:v>79.250000000000156</c:v>
                </c:pt>
                <c:pt idx="770">
                  <c:v>77.583333333333485</c:v>
                </c:pt>
                <c:pt idx="771">
                  <c:v>76.416666666666785</c:v>
                </c:pt>
                <c:pt idx="772">
                  <c:v>74.083333333333627</c:v>
                </c:pt>
                <c:pt idx="773">
                  <c:v>77.083333333333499</c:v>
                </c:pt>
                <c:pt idx="774">
                  <c:v>77.166666666666757</c:v>
                </c:pt>
                <c:pt idx="775">
                  <c:v>77.000000000000256</c:v>
                </c:pt>
                <c:pt idx="776">
                  <c:v>78.083333333333456</c:v>
                </c:pt>
                <c:pt idx="777">
                  <c:v>74.41666666666687</c:v>
                </c:pt>
                <c:pt idx="778">
                  <c:v>75.33333333333357</c:v>
                </c:pt>
                <c:pt idx="779">
                  <c:v>76.000000000000298</c:v>
                </c:pt>
                <c:pt idx="780">
                  <c:v>76.083333333333542</c:v>
                </c:pt>
                <c:pt idx="781">
                  <c:v>77.250000000000242</c:v>
                </c:pt>
                <c:pt idx="782">
                  <c:v>76.166666666666799</c:v>
                </c:pt>
                <c:pt idx="783">
                  <c:v>78.083333333333456</c:v>
                </c:pt>
                <c:pt idx="784">
                  <c:v>74.250000000000369</c:v>
                </c:pt>
                <c:pt idx="785">
                  <c:v>75.916666666666814</c:v>
                </c:pt>
                <c:pt idx="786">
                  <c:v>76.583333333333528</c:v>
                </c:pt>
                <c:pt idx="787">
                  <c:v>77.083333333333499</c:v>
                </c:pt>
                <c:pt idx="788">
                  <c:v>74.500000000000355</c:v>
                </c:pt>
                <c:pt idx="789">
                  <c:v>74.583333333333613</c:v>
                </c:pt>
                <c:pt idx="790">
                  <c:v>80.166666666666629</c:v>
                </c:pt>
                <c:pt idx="791">
                  <c:v>75.416666666666828</c:v>
                </c:pt>
                <c:pt idx="792">
                  <c:v>75.916666666666814</c:v>
                </c:pt>
                <c:pt idx="793">
                  <c:v>79.083333333333414</c:v>
                </c:pt>
                <c:pt idx="794">
                  <c:v>78.250000000000199</c:v>
                </c:pt>
                <c:pt idx="795">
                  <c:v>78.4166666666667</c:v>
                </c:pt>
                <c:pt idx="796">
                  <c:v>78.166666666666714</c:v>
                </c:pt>
                <c:pt idx="797">
                  <c:v>75.58333333333357</c:v>
                </c:pt>
                <c:pt idx="798">
                  <c:v>77.083333333333499</c:v>
                </c:pt>
                <c:pt idx="799">
                  <c:v>76.083333333333542</c:v>
                </c:pt>
                <c:pt idx="800">
                  <c:v>78.4166666666667</c:v>
                </c:pt>
                <c:pt idx="801">
                  <c:v>77.583333333333485</c:v>
                </c:pt>
                <c:pt idx="802">
                  <c:v>76.416666666666785</c:v>
                </c:pt>
                <c:pt idx="803">
                  <c:v>76.333333333333528</c:v>
                </c:pt>
                <c:pt idx="804">
                  <c:v>77.916666666666728</c:v>
                </c:pt>
                <c:pt idx="805">
                  <c:v>76.000000000000298</c:v>
                </c:pt>
                <c:pt idx="806">
                  <c:v>77.416666666666742</c:v>
                </c:pt>
                <c:pt idx="807">
                  <c:v>76.583333333333528</c:v>
                </c:pt>
                <c:pt idx="808">
                  <c:v>78.166666666666714</c:v>
                </c:pt>
                <c:pt idx="809">
                  <c:v>77.000000000000256</c:v>
                </c:pt>
                <c:pt idx="810">
                  <c:v>76.416666666666785</c:v>
                </c:pt>
                <c:pt idx="811">
                  <c:v>79.250000000000156</c:v>
                </c:pt>
                <c:pt idx="812">
                  <c:v>79.166666666666671</c:v>
                </c:pt>
                <c:pt idx="813">
                  <c:v>76.250000000000284</c:v>
                </c:pt>
                <c:pt idx="814">
                  <c:v>77.250000000000242</c:v>
                </c:pt>
                <c:pt idx="815">
                  <c:v>77.916666666666728</c:v>
                </c:pt>
                <c:pt idx="816">
                  <c:v>77.083333333333499</c:v>
                </c:pt>
                <c:pt idx="817">
                  <c:v>76.416666666666785</c:v>
                </c:pt>
                <c:pt idx="818">
                  <c:v>77.500000000000227</c:v>
                </c:pt>
                <c:pt idx="819">
                  <c:v>78.166666666666714</c:v>
                </c:pt>
                <c:pt idx="820">
                  <c:v>76.50000000000027</c:v>
                </c:pt>
                <c:pt idx="821">
                  <c:v>75.083333333333584</c:v>
                </c:pt>
                <c:pt idx="822">
                  <c:v>78.500000000000185</c:v>
                </c:pt>
                <c:pt idx="823">
                  <c:v>79.5833333333334</c:v>
                </c:pt>
                <c:pt idx="824">
                  <c:v>77.250000000000242</c:v>
                </c:pt>
                <c:pt idx="825">
                  <c:v>76.916666666666771</c:v>
                </c:pt>
                <c:pt idx="826">
                  <c:v>78.583333333333442</c:v>
                </c:pt>
                <c:pt idx="827">
                  <c:v>80.500000000000099</c:v>
                </c:pt>
                <c:pt idx="828">
                  <c:v>75.250000000000327</c:v>
                </c:pt>
                <c:pt idx="829">
                  <c:v>78.250000000000199</c:v>
                </c:pt>
                <c:pt idx="830">
                  <c:v>77.083333333333499</c:v>
                </c:pt>
                <c:pt idx="831">
                  <c:v>79.250000000000156</c:v>
                </c:pt>
                <c:pt idx="832">
                  <c:v>75.33333333333357</c:v>
                </c:pt>
                <c:pt idx="833">
                  <c:v>79.916666666666643</c:v>
                </c:pt>
                <c:pt idx="834">
                  <c:v>78.166666666666714</c:v>
                </c:pt>
                <c:pt idx="835">
                  <c:v>78.583333333333442</c:v>
                </c:pt>
                <c:pt idx="836">
                  <c:v>78.916666666666686</c:v>
                </c:pt>
                <c:pt idx="837">
                  <c:v>78.4166666666667</c:v>
                </c:pt>
                <c:pt idx="838">
                  <c:v>78.333333333333456</c:v>
                </c:pt>
                <c:pt idx="839">
                  <c:v>77.166666666666757</c:v>
                </c:pt>
                <c:pt idx="840">
                  <c:v>77.083333333333499</c:v>
                </c:pt>
                <c:pt idx="841">
                  <c:v>77.083333333333499</c:v>
                </c:pt>
                <c:pt idx="842">
                  <c:v>78.250000000000199</c:v>
                </c:pt>
                <c:pt idx="843">
                  <c:v>78.250000000000199</c:v>
                </c:pt>
                <c:pt idx="844">
                  <c:v>73.250000000000412</c:v>
                </c:pt>
                <c:pt idx="845">
                  <c:v>77.083333333333499</c:v>
                </c:pt>
                <c:pt idx="846">
                  <c:v>77.666666666666728</c:v>
                </c:pt>
                <c:pt idx="847">
                  <c:v>75.58333333333357</c:v>
                </c:pt>
                <c:pt idx="848">
                  <c:v>78.083333333333456</c:v>
                </c:pt>
                <c:pt idx="849">
                  <c:v>77.916666666666728</c:v>
                </c:pt>
                <c:pt idx="850">
                  <c:v>77.500000000000227</c:v>
                </c:pt>
                <c:pt idx="851">
                  <c:v>75.916666666666814</c:v>
                </c:pt>
                <c:pt idx="852">
                  <c:v>76.583333333333528</c:v>
                </c:pt>
                <c:pt idx="853">
                  <c:v>79.666666666666643</c:v>
                </c:pt>
                <c:pt idx="854">
                  <c:v>74.250000000000369</c:v>
                </c:pt>
                <c:pt idx="855">
                  <c:v>75.000000000000341</c:v>
                </c:pt>
                <c:pt idx="856">
                  <c:v>79.250000000000156</c:v>
                </c:pt>
                <c:pt idx="857">
                  <c:v>74.666666666666856</c:v>
                </c:pt>
                <c:pt idx="858">
                  <c:v>79.666666666666643</c:v>
                </c:pt>
                <c:pt idx="859">
                  <c:v>77.250000000000242</c:v>
                </c:pt>
                <c:pt idx="860">
                  <c:v>78.500000000000185</c:v>
                </c:pt>
                <c:pt idx="861">
                  <c:v>78.250000000000199</c:v>
                </c:pt>
                <c:pt idx="862">
                  <c:v>76.083333333333542</c:v>
                </c:pt>
                <c:pt idx="863">
                  <c:v>76.083333333333542</c:v>
                </c:pt>
                <c:pt idx="864">
                  <c:v>77.083333333333499</c:v>
                </c:pt>
                <c:pt idx="865">
                  <c:v>79.5833333333334</c:v>
                </c:pt>
                <c:pt idx="866">
                  <c:v>77.083333333333499</c:v>
                </c:pt>
                <c:pt idx="867">
                  <c:v>76.000000000000298</c:v>
                </c:pt>
                <c:pt idx="868">
                  <c:v>77.666666666666728</c:v>
                </c:pt>
                <c:pt idx="869">
                  <c:v>78.4166666666667</c:v>
                </c:pt>
                <c:pt idx="870">
                  <c:v>77.916666666666728</c:v>
                </c:pt>
                <c:pt idx="871">
                  <c:v>79.666666666666643</c:v>
                </c:pt>
                <c:pt idx="872">
                  <c:v>77.916666666666728</c:v>
                </c:pt>
                <c:pt idx="873">
                  <c:v>76.166666666666799</c:v>
                </c:pt>
                <c:pt idx="874">
                  <c:v>82.083333333333286</c:v>
                </c:pt>
                <c:pt idx="875">
                  <c:v>74.916666666666856</c:v>
                </c:pt>
                <c:pt idx="876">
                  <c:v>78.000000000000213</c:v>
                </c:pt>
                <c:pt idx="877">
                  <c:v>79.416666666666657</c:v>
                </c:pt>
                <c:pt idx="878">
                  <c:v>77.083333333333499</c:v>
                </c:pt>
                <c:pt idx="879">
                  <c:v>76.50000000000027</c:v>
                </c:pt>
                <c:pt idx="880">
                  <c:v>79.500000000000142</c:v>
                </c:pt>
                <c:pt idx="881">
                  <c:v>76.416666666666785</c:v>
                </c:pt>
                <c:pt idx="882">
                  <c:v>77.250000000000242</c:v>
                </c:pt>
                <c:pt idx="883">
                  <c:v>79.166666666666671</c:v>
                </c:pt>
                <c:pt idx="884">
                  <c:v>76.583333333333528</c:v>
                </c:pt>
                <c:pt idx="885">
                  <c:v>77.583333333333485</c:v>
                </c:pt>
                <c:pt idx="886">
                  <c:v>76.583333333333528</c:v>
                </c:pt>
                <c:pt idx="887">
                  <c:v>77.666666666666728</c:v>
                </c:pt>
                <c:pt idx="888">
                  <c:v>77.583333333333485</c:v>
                </c:pt>
                <c:pt idx="889">
                  <c:v>78.166666666666714</c:v>
                </c:pt>
                <c:pt idx="890">
                  <c:v>80.250000000000114</c:v>
                </c:pt>
                <c:pt idx="891">
                  <c:v>75.083333333333584</c:v>
                </c:pt>
                <c:pt idx="892">
                  <c:v>77.583333333333485</c:v>
                </c:pt>
                <c:pt idx="893">
                  <c:v>77.000000000000256</c:v>
                </c:pt>
                <c:pt idx="894">
                  <c:v>78.333333333333456</c:v>
                </c:pt>
                <c:pt idx="895">
                  <c:v>75.500000000000313</c:v>
                </c:pt>
                <c:pt idx="896">
                  <c:v>78.250000000000199</c:v>
                </c:pt>
                <c:pt idx="897">
                  <c:v>77.500000000000227</c:v>
                </c:pt>
                <c:pt idx="898">
                  <c:v>78.083333333333456</c:v>
                </c:pt>
                <c:pt idx="899">
                  <c:v>77.916666666666728</c:v>
                </c:pt>
                <c:pt idx="900">
                  <c:v>75.250000000000327</c:v>
                </c:pt>
                <c:pt idx="901">
                  <c:v>77.666666666666728</c:v>
                </c:pt>
                <c:pt idx="902">
                  <c:v>78.583333333333442</c:v>
                </c:pt>
                <c:pt idx="903">
                  <c:v>79.000000000000171</c:v>
                </c:pt>
                <c:pt idx="904">
                  <c:v>78.083333333333456</c:v>
                </c:pt>
                <c:pt idx="905">
                  <c:v>76.916666666666771</c:v>
                </c:pt>
                <c:pt idx="906">
                  <c:v>76.000000000000298</c:v>
                </c:pt>
                <c:pt idx="907">
                  <c:v>79.166666666666671</c:v>
                </c:pt>
                <c:pt idx="908">
                  <c:v>76.333333333333528</c:v>
                </c:pt>
                <c:pt idx="909">
                  <c:v>77.666666666666728</c:v>
                </c:pt>
                <c:pt idx="910">
                  <c:v>76.166666666666799</c:v>
                </c:pt>
                <c:pt idx="911">
                  <c:v>77.083333333333499</c:v>
                </c:pt>
                <c:pt idx="912">
                  <c:v>77.916666666666728</c:v>
                </c:pt>
                <c:pt idx="913">
                  <c:v>79.666666666666643</c:v>
                </c:pt>
                <c:pt idx="914">
                  <c:v>77.333333333333499</c:v>
                </c:pt>
                <c:pt idx="915">
                  <c:v>75.166666666666842</c:v>
                </c:pt>
                <c:pt idx="916">
                  <c:v>77.500000000000227</c:v>
                </c:pt>
                <c:pt idx="917">
                  <c:v>75.58333333333357</c:v>
                </c:pt>
                <c:pt idx="918">
                  <c:v>77.000000000000256</c:v>
                </c:pt>
                <c:pt idx="919">
                  <c:v>78.916666666666686</c:v>
                </c:pt>
                <c:pt idx="920">
                  <c:v>77.083333333333499</c:v>
                </c:pt>
                <c:pt idx="921">
                  <c:v>76.666666666666771</c:v>
                </c:pt>
                <c:pt idx="922">
                  <c:v>77.500000000000227</c:v>
                </c:pt>
                <c:pt idx="923">
                  <c:v>75.500000000000313</c:v>
                </c:pt>
                <c:pt idx="924">
                  <c:v>78.000000000000213</c:v>
                </c:pt>
                <c:pt idx="925">
                  <c:v>78.583333333333442</c:v>
                </c:pt>
                <c:pt idx="926">
                  <c:v>77.333333333333499</c:v>
                </c:pt>
                <c:pt idx="927">
                  <c:v>76.50000000000027</c:v>
                </c:pt>
                <c:pt idx="928">
                  <c:v>76.250000000000284</c:v>
                </c:pt>
                <c:pt idx="929">
                  <c:v>76.916666666666771</c:v>
                </c:pt>
                <c:pt idx="930">
                  <c:v>78.250000000000199</c:v>
                </c:pt>
                <c:pt idx="931">
                  <c:v>84.249999999999844</c:v>
                </c:pt>
                <c:pt idx="932">
                  <c:v>81.333333333333329</c:v>
                </c:pt>
                <c:pt idx="933">
                  <c:v>78.583333333333442</c:v>
                </c:pt>
                <c:pt idx="934">
                  <c:v>79.250000000000156</c:v>
                </c:pt>
                <c:pt idx="935">
                  <c:v>76.333333333333528</c:v>
                </c:pt>
                <c:pt idx="936">
                  <c:v>76.083333333333542</c:v>
                </c:pt>
                <c:pt idx="937">
                  <c:v>79.166666666666671</c:v>
                </c:pt>
                <c:pt idx="938">
                  <c:v>76.250000000000284</c:v>
                </c:pt>
                <c:pt idx="939">
                  <c:v>77.916666666666728</c:v>
                </c:pt>
                <c:pt idx="940">
                  <c:v>75.58333333333357</c:v>
                </c:pt>
                <c:pt idx="941">
                  <c:v>76.166666666666799</c:v>
                </c:pt>
                <c:pt idx="942">
                  <c:v>76.000000000000298</c:v>
                </c:pt>
                <c:pt idx="943">
                  <c:v>75.916666666666814</c:v>
                </c:pt>
                <c:pt idx="944">
                  <c:v>76.416666666666785</c:v>
                </c:pt>
                <c:pt idx="945">
                  <c:v>79.000000000000171</c:v>
                </c:pt>
                <c:pt idx="946">
                  <c:v>76.666666666666771</c:v>
                </c:pt>
                <c:pt idx="947">
                  <c:v>77.416666666666742</c:v>
                </c:pt>
                <c:pt idx="948">
                  <c:v>75.666666666666814</c:v>
                </c:pt>
                <c:pt idx="949">
                  <c:v>79.416666666666657</c:v>
                </c:pt>
                <c:pt idx="950">
                  <c:v>78.333333333333456</c:v>
                </c:pt>
                <c:pt idx="951">
                  <c:v>78.000000000000213</c:v>
                </c:pt>
                <c:pt idx="952">
                  <c:v>78.333333333333456</c:v>
                </c:pt>
                <c:pt idx="953">
                  <c:v>76.916666666666771</c:v>
                </c:pt>
                <c:pt idx="954">
                  <c:v>75.166666666666842</c:v>
                </c:pt>
                <c:pt idx="955">
                  <c:v>80.083333333333371</c:v>
                </c:pt>
                <c:pt idx="956">
                  <c:v>76.583333333333528</c:v>
                </c:pt>
                <c:pt idx="957">
                  <c:v>76.583333333333528</c:v>
                </c:pt>
                <c:pt idx="958">
                  <c:v>76.583333333333528</c:v>
                </c:pt>
                <c:pt idx="959">
                  <c:v>75.250000000000327</c:v>
                </c:pt>
                <c:pt idx="960">
                  <c:v>76.083333333333542</c:v>
                </c:pt>
                <c:pt idx="961">
                  <c:v>74.916666666666856</c:v>
                </c:pt>
                <c:pt idx="962">
                  <c:v>77.583333333333485</c:v>
                </c:pt>
                <c:pt idx="963">
                  <c:v>76.083333333333542</c:v>
                </c:pt>
                <c:pt idx="964">
                  <c:v>77.000000000000256</c:v>
                </c:pt>
                <c:pt idx="965">
                  <c:v>77.083333333333499</c:v>
                </c:pt>
                <c:pt idx="966">
                  <c:v>79.250000000000156</c:v>
                </c:pt>
                <c:pt idx="967">
                  <c:v>78.083333333333456</c:v>
                </c:pt>
                <c:pt idx="968">
                  <c:v>77.333333333333499</c:v>
                </c:pt>
                <c:pt idx="969">
                  <c:v>80.250000000000114</c:v>
                </c:pt>
                <c:pt idx="970">
                  <c:v>78.000000000000213</c:v>
                </c:pt>
                <c:pt idx="971">
                  <c:v>76.083333333333542</c:v>
                </c:pt>
                <c:pt idx="972">
                  <c:v>79.083333333333414</c:v>
                </c:pt>
                <c:pt idx="973">
                  <c:v>78.583333333333442</c:v>
                </c:pt>
                <c:pt idx="974">
                  <c:v>76.416666666666785</c:v>
                </c:pt>
                <c:pt idx="975">
                  <c:v>78.166666666666714</c:v>
                </c:pt>
                <c:pt idx="976">
                  <c:v>75.416666666666828</c:v>
                </c:pt>
                <c:pt idx="977">
                  <c:v>76.416666666666785</c:v>
                </c:pt>
                <c:pt idx="978">
                  <c:v>75.666666666666814</c:v>
                </c:pt>
                <c:pt idx="979">
                  <c:v>74.583333333333613</c:v>
                </c:pt>
                <c:pt idx="980">
                  <c:v>78.583333333333442</c:v>
                </c:pt>
                <c:pt idx="981">
                  <c:v>74.250000000000369</c:v>
                </c:pt>
                <c:pt idx="982">
                  <c:v>79.083333333333414</c:v>
                </c:pt>
                <c:pt idx="983">
                  <c:v>76.50000000000027</c:v>
                </c:pt>
                <c:pt idx="984">
                  <c:v>80.166666666666629</c:v>
                </c:pt>
                <c:pt idx="985">
                  <c:v>76.50000000000027</c:v>
                </c:pt>
                <c:pt idx="986">
                  <c:v>76.416666666666785</c:v>
                </c:pt>
                <c:pt idx="987">
                  <c:v>75.58333333333357</c:v>
                </c:pt>
                <c:pt idx="988">
                  <c:v>78.500000000000185</c:v>
                </c:pt>
                <c:pt idx="989">
                  <c:v>79.666666666666643</c:v>
                </c:pt>
                <c:pt idx="990">
                  <c:v>76.916666666666771</c:v>
                </c:pt>
                <c:pt idx="991">
                  <c:v>79.250000000000156</c:v>
                </c:pt>
                <c:pt idx="992">
                  <c:v>74.583333333333613</c:v>
                </c:pt>
                <c:pt idx="993">
                  <c:v>76.583333333333528</c:v>
                </c:pt>
                <c:pt idx="994">
                  <c:v>78.333333333333456</c:v>
                </c:pt>
                <c:pt idx="995">
                  <c:v>77.500000000000227</c:v>
                </c:pt>
                <c:pt idx="996">
                  <c:v>76.916666666666771</c:v>
                </c:pt>
                <c:pt idx="997">
                  <c:v>75.916666666666814</c:v>
                </c:pt>
                <c:pt idx="998">
                  <c:v>78.583333333333442</c:v>
                </c:pt>
                <c:pt idx="999">
                  <c:v>76.916666666666771</c:v>
                </c:pt>
                <c:pt idx="1000">
                  <c:v>76.916666666666771</c:v>
                </c:pt>
                <c:pt idx="1001">
                  <c:v>78.4166666666667</c:v>
                </c:pt>
                <c:pt idx="1002">
                  <c:v>78.4166666666667</c:v>
                </c:pt>
                <c:pt idx="1003">
                  <c:v>77.416666666666742</c:v>
                </c:pt>
                <c:pt idx="1004">
                  <c:v>76.250000000000284</c:v>
                </c:pt>
                <c:pt idx="1005">
                  <c:v>78.500000000000185</c:v>
                </c:pt>
                <c:pt idx="1006">
                  <c:v>80.000000000000128</c:v>
                </c:pt>
                <c:pt idx="1007">
                  <c:v>98.333333333331893</c:v>
                </c:pt>
                <c:pt idx="1008">
                  <c:v>81.250000000000071</c:v>
                </c:pt>
                <c:pt idx="1009">
                  <c:v>74.333333333333613</c:v>
                </c:pt>
                <c:pt idx="1010">
                  <c:v>78.333333333333456</c:v>
                </c:pt>
                <c:pt idx="1011">
                  <c:v>75.250000000000327</c:v>
                </c:pt>
                <c:pt idx="1012">
                  <c:v>74.666666666666856</c:v>
                </c:pt>
                <c:pt idx="1013">
                  <c:v>77.916666666666728</c:v>
                </c:pt>
                <c:pt idx="1014">
                  <c:v>78.500000000000185</c:v>
                </c:pt>
                <c:pt idx="1015">
                  <c:v>75.500000000000313</c:v>
                </c:pt>
                <c:pt idx="1016">
                  <c:v>77.666666666666728</c:v>
                </c:pt>
                <c:pt idx="1017">
                  <c:v>77.166666666666757</c:v>
                </c:pt>
                <c:pt idx="1018">
                  <c:v>78.333333333333456</c:v>
                </c:pt>
                <c:pt idx="1019">
                  <c:v>75.416666666666828</c:v>
                </c:pt>
                <c:pt idx="1020">
                  <c:v>75.500000000000313</c:v>
                </c:pt>
                <c:pt idx="1021">
                  <c:v>79.166666666666671</c:v>
                </c:pt>
                <c:pt idx="1022">
                  <c:v>73.500000000000398</c:v>
                </c:pt>
                <c:pt idx="1023">
                  <c:v>76.666666666666771</c:v>
                </c:pt>
                <c:pt idx="1024">
                  <c:v>77.083333333333499</c:v>
                </c:pt>
                <c:pt idx="1025">
                  <c:v>77.166666666666757</c:v>
                </c:pt>
                <c:pt idx="1026">
                  <c:v>77.583333333333485</c:v>
                </c:pt>
                <c:pt idx="1027">
                  <c:v>79.166666666666671</c:v>
                </c:pt>
                <c:pt idx="1028">
                  <c:v>78.166666666666714</c:v>
                </c:pt>
                <c:pt idx="1029">
                  <c:v>74.916666666666856</c:v>
                </c:pt>
                <c:pt idx="1030">
                  <c:v>77.333333333333499</c:v>
                </c:pt>
                <c:pt idx="1031">
                  <c:v>76.916666666666771</c:v>
                </c:pt>
                <c:pt idx="1032">
                  <c:v>77.083333333333499</c:v>
                </c:pt>
                <c:pt idx="1033">
                  <c:v>76.583333333333528</c:v>
                </c:pt>
                <c:pt idx="1034">
                  <c:v>75.916666666666814</c:v>
                </c:pt>
                <c:pt idx="1035">
                  <c:v>78.250000000000199</c:v>
                </c:pt>
                <c:pt idx="1036">
                  <c:v>78.583333333333442</c:v>
                </c:pt>
                <c:pt idx="1037">
                  <c:v>79.333333333333414</c:v>
                </c:pt>
                <c:pt idx="1038">
                  <c:v>75.500000000000313</c:v>
                </c:pt>
                <c:pt idx="1039">
                  <c:v>78.166666666666714</c:v>
                </c:pt>
                <c:pt idx="1040">
                  <c:v>75.916666666666814</c:v>
                </c:pt>
                <c:pt idx="1041">
                  <c:v>74.166666666666885</c:v>
                </c:pt>
                <c:pt idx="1042">
                  <c:v>79.000000000000171</c:v>
                </c:pt>
                <c:pt idx="1043">
                  <c:v>78.666666666666686</c:v>
                </c:pt>
                <c:pt idx="1044">
                  <c:v>76.250000000000284</c:v>
                </c:pt>
                <c:pt idx="1045">
                  <c:v>76.916666666666771</c:v>
                </c:pt>
                <c:pt idx="1046">
                  <c:v>78.4166666666667</c:v>
                </c:pt>
                <c:pt idx="1047">
                  <c:v>79.916666666666643</c:v>
                </c:pt>
                <c:pt idx="1048">
                  <c:v>75.000000000000341</c:v>
                </c:pt>
                <c:pt idx="1049">
                  <c:v>72.16666666666697</c:v>
                </c:pt>
                <c:pt idx="1050">
                  <c:v>79.5833333333334</c:v>
                </c:pt>
                <c:pt idx="1051">
                  <c:v>78.000000000000213</c:v>
                </c:pt>
                <c:pt idx="1052">
                  <c:v>77.250000000000242</c:v>
                </c:pt>
                <c:pt idx="1053">
                  <c:v>77.166666666666757</c:v>
                </c:pt>
                <c:pt idx="1054">
                  <c:v>76.666666666666771</c:v>
                </c:pt>
                <c:pt idx="1055">
                  <c:v>75.916666666666814</c:v>
                </c:pt>
                <c:pt idx="1056">
                  <c:v>76.583333333333528</c:v>
                </c:pt>
                <c:pt idx="1057">
                  <c:v>74.666666666666856</c:v>
                </c:pt>
                <c:pt idx="1058">
                  <c:v>79.333333333333414</c:v>
                </c:pt>
                <c:pt idx="1059">
                  <c:v>74.41666666666687</c:v>
                </c:pt>
                <c:pt idx="1060">
                  <c:v>75.250000000000327</c:v>
                </c:pt>
                <c:pt idx="1061">
                  <c:v>77.000000000000256</c:v>
                </c:pt>
                <c:pt idx="1062">
                  <c:v>76.50000000000027</c:v>
                </c:pt>
                <c:pt idx="1063">
                  <c:v>75.58333333333357</c:v>
                </c:pt>
                <c:pt idx="1064">
                  <c:v>76.583333333333528</c:v>
                </c:pt>
                <c:pt idx="1065">
                  <c:v>78.166666666666714</c:v>
                </c:pt>
                <c:pt idx="1066">
                  <c:v>77.666666666666728</c:v>
                </c:pt>
                <c:pt idx="1067">
                  <c:v>77.916666666666728</c:v>
                </c:pt>
                <c:pt idx="1068">
                  <c:v>79.416666666666657</c:v>
                </c:pt>
                <c:pt idx="1069">
                  <c:v>77.333333333333499</c:v>
                </c:pt>
                <c:pt idx="1070">
                  <c:v>77.916666666666728</c:v>
                </c:pt>
                <c:pt idx="1071">
                  <c:v>79.333333333333414</c:v>
                </c:pt>
                <c:pt idx="1072">
                  <c:v>77.583333333333485</c:v>
                </c:pt>
                <c:pt idx="1073">
                  <c:v>79.250000000000156</c:v>
                </c:pt>
                <c:pt idx="1074">
                  <c:v>78.250000000000199</c:v>
                </c:pt>
                <c:pt idx="1075">
                  <c:v>77.916666666666728</c:v>
                </c:pt>
                <c:pt idx="1076">
                  <c:v>76.583333333333528</c:v>
                </c:pt>
                <c:pt idx="1077">
                  <c:v>77.666666666666728</c:v>
                </c:pt>
                <c:pt idx="1078">
                  <c:v>77.916666666666728</c:v>
                </c:pt>
                <c:pt idx="1079">
                  <c:v>77.500000000000227</c:v>
                </c:pt>
                <c:pt idx="1080">
                  <c:v>77.666666666666728</c:v>
                </c:pt>
                <c:pt idx="1081">
                  <c:v>77.000000000000256</c:v>
                </c:pt>
                <c:pt idx="1082">
                  <c:v>78.000000000000213</c:v>
                </c:pt>
                <c:pt idx="1083">
                  <c:v>77.916666666666728</c:v>
                </c:pt>
                <c:pt idx="1084">
                  <c:v>76.250000000000284</c:v>
                </c:pt>
                <c:pt idx="1085">
                  <c:v>77.416666666666742</c:v>
                </c:pt>
                <c:pt idx="1086">
                  <c:v>77.000000000000256</c:v>
                </c:pt>
                <c:pt idx="1087">
                  <c:v>74.583333333333613</c:v>
                </c:pt>
                <c:pt idx="1088">
                  <c:v>77.166666666666757</c:v>
                </c:pt>
                <c:pt idx="1089">
                  <c:v>74.333333333333613</c:v>
                </c:pt>
                <c:pt idx="1090">
                  <c:v>76.000000000000298</c:v>
                </c:pt>
                <c:pt idx="1091">
                  <c:v>79.250000000000156</c:v>
                </c:pt>
                <c:pt idx="1092">
                  <c:v>76.416666666666785</c:v>
                </c:pt>
                <c:pt idx="1093">
                  <c:v>76.166666666666799</c:v>
                </c:pt>
                <c:pt idx="1094">
                  <c:v>80.333333333333371</c:v>
                </c:pt>
                <c:pt idx="1095">
                  <c:v>75.58333333333357</c:v>
                </c:pt>
                <c:pt idx="1096">
                  <c:v>74.500000000000355</c:v>
                </c:pt>
                <c:pt idx="1097">
                  <c:v>77.250000000000242</c:v>
                </c:pt>
                <c:pt idx="1098">
                  <c:v>77.250000000000242</c:v>
                </c:pt>
                <c:pt idx="1099">
                  <c:v>77.083333333333499</c:v>
                </c:pt>
                <c:pt idx="1100">
                  <c:v>75.166666666666842</c:v>
                </c:pt>
                <c:pt idx="1101">
                  <c:v>76.50000000000027</c:v>
                </c:pt>
                <c:pt idx="1102">
                  <c:v>75.083333333333584</c:v>
                </c:pt>
                <c:pt idx="1103">
                  <c:v>78.583333333333442</c:v>
                </c:pt>
                <c:pt idx="1104">
                  <c:v>82.083333333333286</c:v>
                </c:pt>
                <c:pt idx="1105">
                  <c:v>75.33333333333357</c:v>
                </c:pt>
                <c:pt idx="1106">
                  <c:v>80.333333333333371</c:v>
                </c:pt>
                <c:pt idx="1107">
                  <c:v>77.000000000000256</c:v>
                </c:pt>
                <c:pt idx="1108">
                  <c:v>79.333333333333414</c:v>
                </c:pt>
                <c:pt idx="1109">
                  <c:v>75.58333333333357</c:v>
                </c:pt>
                <c:pt idx="1110">
                  <c:v>77.916666666666728</c:v>
                </c:pt>
                <c:pt idx="1111">
                  <c:v>73.583333333333655</c:v>
                </c:pt>
                <c:pt idx="1112">
                  <c:v>79.000000000000171</c:v>
                </c:pt>
                <c:pt idx="1113">
                  <c:v>75.33333333333357</c:v>
                </c:pt>
                <c:pt idx="1114">
                  <c:v>77.500000000000227</c:v>
                </c:pt>
                <c:pt idx="1115">
                  <c:v>78.000000000000213</c:v>
                </c:pt>
                <c:pt idx="1116">
                  <c:v>78.083333333333456</c:v>
                </c:pt>
                <c:pt idx="1117">
                  <c:v>76.583333333333528</c:v>
                </c:pt>
                <c:pt idx="1118">
                  <c:v>76.583333333333528</c:v>
                </c:pt>
                <c:pt idx="1119">
                  <c:v>75.166666666666842</c:v>
                </c:pt>
                <c:pt idx="1120">
                  <c:v>81.083333333333329</c:v>
                </c:pt>
                <c:pt idx="1121">
                  <c:v>73.250000000000412</c:v>
                </c:pt>
                <c:pt idx="1122">
                  <c:v>77.916666666666728</c:v>
                </c:pt>
                <c:pt idx="1123">
                  <c:v>77.583333333333485</c:v>
                </c:pt>
                <c:pt idx="1124">
                  <c:v>77.416666666666742</c:v>
                </c:pt>
                <c:pt idx="1125">
                  <c:v>77.166666666666757</c:v>
                </c:pt>
                <c:pt idx="1126">
                  <c:v>78.166666666666714</c:v>
                </c:pt>
                <c:pt idx="1127">
                  <c:v>79.250000000000156</c:v>
                </c:pt>
                <c:pt idx="1128">
                  <c:v>78.333333333333456</c:v>
                </c:pt>
                <c:pt idx="1129">
                  <c:v>77.583333333333485</c:v>
                </c:pt>
                <c:pt idx="1130">
                  <c:v>75.58333333333357</c:v>
                </c:pt>
                <c:pt idx="1131">
                  <c:v>79.5833333333334</c:v>
                </c:pt>
                <c:pt idx="1132">
                  <c:v>78.000000000000213</c:v>
                </c:pt>
                <c:pt idx="1133">
                  <c:v>77.000000000000256</c:v>
                </c:pt>
                <c:pt idx="1134">
                  <c:v>76.166666666666799</c:v>
                </c:pt>
                <c:pt idx="1135">
                  <c:v>79.333333333333414</c:v>
                </c:pt>
                <c:pt idx="1136">
                  <c:v>76.416666666666785</c:v>
                </c:pt>
                <c:pt idx="1137">
                  <c:v>77.166666666666757</c:v>
                </c:pt>
                <c:pt idx="1138">
                  <c:v>76.50000000000027</c:v>
                </c:pt>
                <c:pt idx="1139">
                  <c:v>78.500000000000185</c:v>
                </c:pt>
                <c:pt idx="1140">
                  <c:v>76.083333333333542</c:v>
                </c:pt>
                <c:pt idx="1141">
                  <c:v>72.500000000000441</c:v>
                </c:pt>
                <c:pt idx="1142">
                  <c:v>77.583333333333485</c:v>
                </c:pt>
                <c:pt idx="1143">
                  <c:v>76.333333333333528</c:v>
                </c:pt>
                <c:pt idx="1144">
                  <c:v>78.083333333333456</c:v>
                </c:pt>
                <c:pt idx="1145">
                  <c:v>78.083333333333456</c:v>
                </c:pt>
                <c:pt idx="1146">
                  <c:v>76.333333333333528</c:v>
                </c:pt>
                <c:pt idx="1147">
                  <c:v>75.083333333333584</c:v>
                </c:pt>
                <c:pt idx="1148">
                  <c:v>78.583333333333442</c:v>
                </c:pt>
                <c:pt idx="1149">
                  <c:v>78.083333333333456</c:v>
                </c:pt>
                <c:pt idx="1150">
                  <c:v>78.333333333333456</c:v>
                </c:pt>
                <c:pt idx="1151">
                  <c:v>77.250000000000242</c:v>
                </c:pt>
                <c:pt idx="1152">
                  <c:v>78.166666666666714</c:v>
                </c:pt>
                <c:pt idx="1153">
                  <c:v>77.583333333333485</c:v>
                </c:pt>
                <c:pt idx="1154">
                  <c:v>79.166666666666671</c:v>
                </c:pt>
                <c:pt idx="1155">
                  <c:v>76.166666666666799</c:v>
                </c:pt>
                <c:pt idx="1156">
                  <c:v>79.333333333333414</c:v>
                </c:pt>
                <c:pt idx="1157">
                  <c:v>79.083333333333414</c:v>
                </c:pt>
                <c:pt idx="1158">
                  <c:v>75.33333333333357</c:v>
                </c:pt>
                <c:pt idx="1159">
                  <c:v>77.250000000000242</c:v>
                </c:pt>
                <c:pt idx="1160">
                  <c:v>76.333333333333528</c:v>
                </c:pt>
                <c:pt idx="1161">
                  <c:v>77.500000000000227</c:v>
                </c:pt>
                <c:pt idx="1162">
                  <c:v>79.500000000000142</c:v>
                </c:pt>
                <c:pt idx="1163">
                  <c:v>78.083333333333456</c:v>
                </c:pt>
                <c:pt idx="1164">
                  <c:v>76.50000000000027</c:v>
                </c:pt>
                <c:pt idx="1165">
                  <c:v>76.666666666666771</c:v>
                </c:pt>
                <c:pt idx="1166">
                  <c:v>77.916666666666728</c:v>
                </c:pt>
                <c:pt idx="1167">
                  <c:v>75.250000000000327</c:v>
                </c:pt>
                <c:pt idx="1168">
                  <c:v>77.083333333333499</c:v>
                </c:pt>
                <c:pt idx="1169">
                  <c:v>79.166666666666671</c:v>
                </c:pt>
                <c:pt idx="1170">
                  <c:v>78.666666666666686</c:v>
                </c:pt>
                <c:pt idx="1171">
                  <c:v>77.250000000000242</c:v>
                </c:pt>
                <c:pt idx="1172">
                  <c:v>77.083333333333499</c:v>
                </c:pt>
                <c:pt idx="1173">
                  <c:v>79.416666666666657</c:v>
                </c:pt>
                <c:pt idx="1174">
                  <c:v>79.250000000000156</c:v>
                </c:pt>
                <c:pt idx="1175">
                  <c:v>76.000000000000298</c:v>
                </c:pt>
                <c:pt idx="1176">
                  <c:v>75.250000000000327</c:v>
                </c:pt>
                <c:pt idx="1177">
                  <c:v>74.500000000000355</c:v>
                </c:pt>
                <c:pt idx="1178">
                  <c:v>82.000000000000028</c:v>
                </c:pt>
                <c:pt idx="1179">
                  <c:v>76.583333333333528</c:v>
                </c:pt>
                <c:pt idx="1180">
                  <c:v>76.000000000000298</c:v>
                </c:pt>
                <c:pt idx="1181">
                  <c:v>77.250000000000242</c:v>
                </c:pt>
                <c:pt idx="1182">
                  <c:v>80.583333333333357</c:v>
                </c:pt>
                <c:pt idx="1183">
                  <c:v>77.250000000000242</c:v>
                </c:pt>
                <c:pt idx="1184">
                  <c:v>79.5833333333334</c:v>
                </c:pt>
                <c:pt idx="1185">
                  <c:v>77.000000000000256</c:v>
                </c:pt>
                <c:pt idx="1186">
                  <c:v>77.166666666666757</c:v>
                </c:pt>
                <c:pt idx="1187">
                  <c:v>78.333333333333456</c:v>
                </c:pt>
                <c:pt idx="1188">
                  <c:v>78.083333333333456</c:v>
                </c:pt>
                <c:pt idx="1189">
                  <c:v>76.583333333333528</c:v>
                </c:pt>
                <c:pt idx="1190">
                  <c:v>81.083333333333329</c:v>
                </c:pt>
                <c:pt idx="1191">
                  <c:v>75.58333333333357</c:v>
                </c:pt>
                <c:pt idx="1192">
                  <c:v>78.250000000000199</c:v>
                </c:pt>
                <c:pt idx="1193">
                  <c:v>76.333333333333528</c:v>
                </c:pt>
                <c:pt idx="1194">
                  <c:v>84.166666666666359</c:v>
                </c:pt>
                <c:pt idx="1195">
                  <c:v>75.58333333333357</c:v>
                </c:pt>
                <c:pt idx="1196">
                  <c:v>77.000000000000256</c:v>
                </c:pt>
                <c:pt idx="1197">
                  <c:v>78.250000000000199</c:v>
                </c:pt>
                <c:pt idx="1198">
                  <c:v>78.916666666666686</c:v>
                </c:pt>
                <c:pt idx="1199">
                  <c:v>77.083333333333499</c:v>
                </c:pt>
                <c:pt idx="1200">
                  <c:v>76.666666666666771</c:v>
                </c:pt>
                <c:pt idx="1201">
                  <c:v>76.50000000000027</c:v>
                </c:pt>
                <c:pt idx="1202">
                  <c:v>77.416666666666742</c:v>
                </c:pt>
                <c:pt idx="1203">
                  <c:v>75.33333333333357</c:v>
                </c:pt>
                <c:pt idx="1204">
                  <c:v>76.416666666666785</c:v>
                </c:pt>
                <c:pt idx="1205">
                  <c:v>79.083333333333414</c:v>
                </c:pt>
                <c:pt idx="1206">
                  <c:v>76.333333333333528</c:v>
                </c:pt>
                <c:pt idx="1207">
                  <c:v>75.000000000000341</c:v>
                </c:pt>
                <c:pt idx="1208">
                  <c:v>75.166666666666842</c:v>
                </c:pt>
                <c:pt idx="1209">
                  <c:v>81.416666666666572</c:v>
                </c:pt>
                <c:pt idx="1210">
                  <c:v>76.416666666666785</c:v>
                </c:pt>
                <c:pt idx="1211">
                  <c:v>78.083333333333456</c:v>
                </c:pt>
                <c:pt idx="1212">
                  <c:v>77.083333333333499</c:v>
                </c:pt>
                <c:pt idx="1213">
                  <c:v>78.583333333333442</c:v>
                </c:pt>
                <c:pt idx="1214">
                  <c:v>77.333333333333499</c:v>
                </c:pt>
                <c:pt idx="1215">
                  <c:v>76.666666666666771</c:v>
                </c:pt>
                <c:pt idx="1216">
                  <c:v>75.916666666666814</c:v>
                </c:pt>
                <c:pt idx="1217">
                  <c:v>75.33333333333357</c:v>
                </c:pt>
                <c:pt idx="1218">
                  <c:v>77.000000000000256</c:v>
                </c:pt>
                <c:pt idx="1219">
                  <c:v>76.916666666666771</c:v>
                </c:pt>
                <c:pt idx="1220">
                  <c:v>75.416666666666828</c:v>
                </c:pt>
                <c:pt idx="1221">
                  <c:v>76.000000000000298</c:v>
                </c:pt>
                <c:pt idx="1222">
                  <c:v>77.583333333333485</c:v>
                </c:pt>
                <c:pt idx="1223">
                  <c:v>78.166666666666714</c:v>
                </c:pt>
                <c:pt idx="1224">
                  <c:v>76.333333333333528</c:v>
                </c:pt>
                <c:pt idx="1225">
                  <c:v>77.916666666666728</c:v>
                </c:pt>
                <c:pt idx="1226">
                  <c:v>76.50000000000027</c:v>
                </c:pt>
                <c:pt idx="1227">
                  <c:v>77.000000000000256</c:v>
                </c:pt>
                <c:pt idx="1228">
                  <c:v>74.41666666666687</c:v>
                </c:pt>
                <c:pt idx="1229">
                  <c:v>78.666666666666686</c:v>
                </c:pt>
                <c:pt idx="1230">
                  <c:v>75.916666666666814</c:v>
                </c:pt>
                <c:pt idx="1231">
                  <c:v>77.583333333333485</c:v>
                </c:pt>
                <c:pt idx="1232">
                  <c:v>81.166666666666586</c:v>
                </c:pt>
                <c:pt idx="1233">
                  <c:v>75.58333333333357</c:v>
                </c:pt>
                <c:pt idx="1234">
                  <c:v>75.250000000000327</c:v>
                </c:pt>
                <c:pt idx="1235">
                  <c:v>73.666666666666899</c:v>
                </c:pt>
                <c:pt idx="1236">
                  <c:v>82.166666666666529</c:v>
                </c:pt>
                <c:pt idx="1237">
                  <c:v>80.250000000000114</c:v>
                </c:pt>
                <c:pt idx="1238">
                  <c:v>77.166666666666757</c:v>
                </c:pt>
                <c:pt idx="1239">
                  <c:v>76.666666666666771</c:v>
                </c:pt>
                <c:pt idx="1240">
                  <c:v>78.583333333333442</c:v>
                </c:pt>
                <c:pt idx="1241">
                  <c:v>75.416666666666828</c:v>
                </c:pt>
                <c:pt idx="1242">
                  <c:v>78.4166666666667</c:v>
                </c:pt>
                <c:pt idx="1243">
                  <c:v>76.50000000000027</c:v>
                </c:pt>
                <c:pt idx="1244">
                  <c:v>75.916666666666814</c:v>
                </c:pt>
                <c:pt idx="1245">
                  <c:v>76.666666666666771</c:v>
                </c:pt>
                <c:pt idx="1246">
                  <c:v>79.083333333333414</c:v>
                </c:pt>
                <c:pt idx="1247">
                  <c:v>77.000000000000256</c:v>
                </c:pt>
                <c:pt idx="1248">
                  <c:v>78.4166666666667</c:v>
                </c:pt>
                <c:pt idx="1249">
                  <c:v>76.50000000000027</c:v>
                </c:pt>
                <c:pt idx="1250">
                  <c:v>78.000000000000213</c:v>
                </c:pt>
                <c:pt idx="1251">
                  <c:v>77.583333333333485</c:v>
                </c:pt>
                <c:pt idx="1252">
                  <c:v>76.083333333333542</c:v>
                </c:pt>
                <c:pt idx="1253">
                  <c:v>78.4166666666667</c:v>
                </c:pt>
                <c:pt idx="1254">
                  <c:v>76.416666666666785</c:v>
                </c:pt>
                <c:pt idx="1255">
                  <c:v>75.250000000000327</c:v>
                </c:pt>
                <c:pt idx="1256">
                  <c:v>77.333333333333499</c:v>
                </c:pt>
                <c:pt idx="1257">
                  <c:v>78.166666666666714</c:v>
                </c:pt>
                <c:pt idx="1258">
                  <c:v>76.333333333333528</c:v>
                </c:pt>
                <c:pt idx="1259">
                  <c:v>75.000000000000341</c:v>
                </c:pt>
                <c:pt idx="1260">
                  <c:v>78.583333333333442</c:v>
                </c:pt>
                <c:pt idx="1261">
                  <c:v>88.249999999999503</c:v>
                </c:pt>
                <c:pt idx="1262">
                  <c:v>75.916666666666814</c:v>
                </c:pt>
                <c:pt idx="1263">
                  <c:v>77.500000000000227</c:v>
                </c:pt>
                <c:pt idx="1264">
                  <c:v>77.333333333333499</c:v>
                </c:pt>
                <c:pt idx="1265">
                  <c:v>76.583333333333528</c:v>
                </c:pt>
                <c:pt idx="1266">
                  <c:v>77.333333333333499</c:v>
                </c:pt>
                <c:pt idx="1267">
                  <c:v>74.41666666666687</c:v>
                </c:pt>
                <c:pt idx="1268">
                  <c:v>76.250000000000284</c:v>
                </c:pt>
                <c:pt idx="1269">
                  <c:v>79.166666666666671</c:v>
                </c:pt>
                <c:pt idx="1270">
                  <c:v>77.916666666666728</c:v>
                </c:pt>
                <c:pt idx="1271">
                  <c:v>76.083333333333542</c:v>
                </c:pt>
                <c:pt idx="1272">
                  <c:v>78.500000000000185</c:v>
                </c:pt>
                <c:pt idx="1273">
                  <c:v>78.916666666666686</c:v>
                </c:pt>
                <c:pt idx="1274">
                  <c:v>79.666666666666643</c:v>
                </c:pt>
                <c:pt idx="1275">
                  <c:v>77.666666666666728</c:v>
                </c:pt>
                <c:pt idx="1276">
                  <c:v>77.250000000000242</c:v>
                </c:pt>
                <c:pt idx="1277">
                  <c:v>75.500000000000313</c:v>
                </c:pt>
                <c:pt idx="1278">
                  <c:v>76.50000000000027</c:v>
                </c:pt>
                <c:pt idx="1279">
                  <c:v>76.000000000000298</c:v>
                </c:pt>
                <c:pt idx="1280">
                  <c:v>75.33333333333357</c:v>
                </c:pt>
                <c:pt idx="1281">
                  <c:v>77.083333333333499</c:v>
                </c:pt>
                <c:pt idx="1282">
                  <c:v>76.50000000000027</c:v>
                </c:pt>
                <c:pt idx="1283">
                  <c:v>76.416666666666785</c:v>
                </c:pt>
                <c:pt idx="1284">
                  <c:v>76.083333333333542</c:v>
                </c:pt>
                <c:pt idx="1285">
                  <c:v>77.333333333333499</c:v>
                </c:pt>
                <c:pt idx="1286">
                  <c:v>76.666666666666771</c:v>
                </c:pt>
                <c:pt idx="1287">
                  <c:v>79.083333333333414</c:v>
                </c:pt>
                <c:pt idx="1288">
                  <c:v>77.583333333333485</c:v>
                </c:pt>
                <c:pt idx="1289">
                  <c:v>77.583333333333485</c:v>
                </c:pt>
                <c:pt idx="1290">
                  <c:v>77.916666666666728</c:v>
                </c:pt>
                <c:pt idx="1291">
                  <c:v>76.416666666666785</c:v>
                </c:pt>
                <c:pt idx="1292">
                  <c:v>78.250000000000199</c:v>
                </c:pt>
                <c:pt idx="1293">
                  <c:v>78.000000000000213</c:v>
                </c:pt>
                <c:pt idx="1294">
                  <c:v>80.583333333333357</c:v>
                </c:pt>
                <c:pt idx="1295">
                  <c:v>77.916666666666728</c:v>
                </c:pt>
                <c:pt idx="1296">
                  <c:v>78.250000000000199</c:v>
                </c:pt>
                <c:pt idx="1297">
                  <c:v>77.583333333333485</c:v>
                </c:pt>
                <c:pt idx="1298">
                  <c:v>80.416666666666615</c:v>
                </c:pt>
                <c:pt idx="1299">
                  <c:v>74.666666666666856</c:v>
                </c:pt>
                <c:pt idx="1300">
                  <c:v>80.500000000000099</c:v>
                </c:pt>
                <c:pt idx="1301">
                  <c:v>79.916666666666643</c:v>
                </c:pt>
                <c:pt idx="1302">
                  <c:v>78.166666666666714</c:v>
                </c:pt>
                <c:pt idx="1303">
                  <c:v>79.500000000000142</c:v>
                </c:pt>
                <c:pt idx="1304">
                  <c:v>75.416666666666828</c:v>
                </c:pt>
                <c:pt idx="1305">
                  <c:v>77.583333333333485</c:v>
                </c:pt>
                <c:pt idx="1306">
                  <c:v>78.250000000000199</c:v>
                </c:pt>
                <c:pt idx="1307">
                  <c:v>77.333333333333499</c:v>
                </c:pt>
                <c:pt idx="1308">
                  <c:v>77.666666666666728</c:v>
                </c:pt>
                <c:pt idx="1309">
                  <c:v>78.4166666666667</c:v>
                </c:pt>
                <c:pt idx="1310">
                  <c:v>78.083333333333456</c:v>
                </c:pt>
                <c:pt idx="1311">
                  <c:v>76.916666666666771</c:v>
                </c:pt>
                <c:pt idx="1312">
                  <c:v>76.666666666666771</c:v>
                </c:pt>
                <c:pt idx="1313">
                  <c:v>84.666666666666316</c:v>
                </c:pt>
                <c:pt idx="1314">
                  <c:v>79.083333333333414</c:v>
                </c:pt>
                <c:pt idx="1315">
                  <c:v>77.916666666666728</c:v>
                </c:pt>
                <c:pt idx="1316">
                  <c:v>75.916666666666814</c:v>
                </c:pt>
                <c:pt idx="1317">
                  <c:v>75.500000000000313</c:v>
                </c:pt>
                <c:pt idx="1318">
                  <c:v>77.166666666666757</c:v>
                </c:pt>
                <c:pt idx="1319">
                  <c:v>77.333333333333499</c:v>
                </c:pt>
                <c:pt idx="1320">
                  <c:v>74.166666666666885</c:v>
                </c:pt>
                <c:pt idx="1321">
                  <c:v>77.166666666666757</c:v>
                </c:pt>
                <c:pt idx="1322">
                  <c:v>76.50000000000027</c:v>
                </c:pt>
                <c:pt idx="1323">
                  <c:v>76.250000000000284</c:v>
                </c:pt>
                <c:pt idx="1324">
                  <c:v>75.416666666666828</c:v>
                </c:pt>
                <c:pt idx="1325">
                  <c:v>77.916666666666728</c:v>
                </c:pt>
                <c:pt idx="1326">
                  <c:v>76.583333333333528</c:v>
                </c:pt>
                <c:pt idx="1327">
                  <c:v>75.000000000000341</c:v>
                </c:pt>
                <c:pt idx="1328">
                  <c:v>75.58333333333357</c:v>
                </c:pt>
                <c:pt idx="1329">
                  <c:v>79.500000000000142</c:v>
                </c:pt>
                <c:pt idx="1330">
                  <c:v>75.58333333333357</c:v>
                </c:pt>
                <c:pt idx="1331">
                  <c:v>75.416666666666828</c:v>
                </c:pt>
                <c:pt idx="1332">
                  <c:v>79.416666666666657</c:v>
                </c:pt>
                <c:pt idx="1333">
                  <c:v>76.50000000000027</c:v>
                </c:pt>
                <c:pt idx="1334">
                  <c:v>76.50000000000027</c:v>
                </c:pt>
                <c:pt idx="1335">
                  <c:v>77.666666666666728</c:v>
                </c:pt>
                <c:pt idx="1336">
                  <c:v>76.916666666666771</c:v>
                </c:pt>
                <c:pt idx="1337">
                  <c:v>77.583333333333485</c:v>
                </c:pt>
                <c:pt idx="1338">
                  <c:v>80.583333333333357</c:v>
                </c:pt>
                <c:pt idx="1339">
                  <c:v>77.416666666666742</c:v>
                </c:pt>
                <c:pt idx="1340">
                  <c:v>76.250000000000284</c:v>
                </c:pt>
                <c:pt idx="1341">
                  <c:v>75.416666666666828</c:v>
                </c:pt>
                <c:pt idx="1342">
                  <c:v>74.000000000000384</c:v>
                </c:pt>
                <c:pt idx="1343">
                  <c:v>75.083333333333584</c:v>
                </c:pt>
                <c:pt idx="1344">
                  <c:v>76.583333333333528</c:v>
                </c:pt>
                <c:pt idx="1345">
                  <c:v>76.916666666666771</c:v>
                </c:pt>
                <c:pt idx="1346">
                  <c:v>75.58333333333357</c:v>
                </c:pt>
                <c:pt idx="1347">
                  <c:v>79.166666666666671</c:v>
                </c:pt>
                <c:pt idx="1348">
                  <c:v>76.166666666666799</c:v>
                </c:pt>
                <c:pt idx="1349">
                  <c:v>78.083333333333456</c:v>
                </c:pt>
                <c:pt idx="1350">
                  <c:v>76.333333333333528</c:v>
                </c:pt>
                <c:pt idx="1351">
                  <c:v>76.166666666666799</c:v>
                </c:pt>
                <c:pt idx="1352">
                  <c:v>76.000000000000298</c:v>
                </c:pt>
                <c:pt idx="1353">
                  <c:v>82.166666666666529</c:v>
                </c:pt>
                <c:pt idx="1354">
                  <c:v>78.000000000000213</c:v>
                </c:pt>
                <c:pt idx="1355">
                  <c:v>76.416666666666785</c:v>
                </c:pt>
                <c:pt idx="1356">
                  <c:v>75.083333333333584</c:v>
                </c:pt>
                <c:pt idx="1357">
                  <c:v>76.083333333333542</c:v>
                </c:pt>
                <c:pt idx="1358">
                  <c:v>84.583333333333073</c:v>
                </c:pt>
                <c:pt idx="1359">
                  <c:v>77.333333333333499</c:v>
                </c:pt>
                <c:pt idx="1360">
                  <c:v>77.916666666666728</c:v>
                </c:pt>
                <c:pt idx="1361">
                  <c:v>77.166666666666757</c:v>
                </c:pt>
                <c:pt idx="1362">
                  <c:v>79.166666666666671</c:v>
                </c:pt>
                <c:pt idx="1363">
                  <c:v>79.500000000000142</c:v>
                </c:pt>
                <c:pt idx="1364">
                  <c:v>77.500000000000227</c:v>
                </c:pt>
                <c:pt idx="1365">
                  <c:v>84.416666666666345</c:v>
                </c:pt>
                <c:pt idx="1366">
                  <c:v>80.9166666666666</c:v>
                </c:pt>
                <c:pt idx="1367">
                  <c:v>75.500000000000313</c:v>
                </c:pt>
                <c:pt idx="1368">
                  <c:v>87.08333333333286</c:v>
                </c:pt>
              </c:numCache>
            </c:numRef>
          </c:xVal>
          <c:yVal>
            <c:numRef>
              <c:f>'1_Py3PG2Output'!$E$2:$E$1370</c:f>
              <c:numCache>
                <c:formatCode>General</c:formatCode>
                <c:ptCount val="1369"/>
                <c:pt idx="0">
                  <c:v>84.079645824716735</c:v>
                </c:pt>
                <c:pt idx="1">
                  <c:v>83.725803345510897</c:v>
                </c:pt>
                <c:pt idx="2">
                  <c:v>165.45445808898111</c:v>
                </c:pt>
                <c:pt idx="3">
                  <c:v>82.078638625335131</c:v>
                </c:pt>
                <c:pt idx="4">
                  <c:v>71.074862301755601</c:v>
                </c:pt>
                <c:pt idx="5">
                  <c:v>74.063439357423775</c:v>
                </c:pt>
                <c:pt idx="6">
                  <c:v>128.17108953641207</c:v>
                </c:pt>
                <c:pt idx="7">
                  <c:v>93.4882202654548</c:v>
                </c:pt>
                <c:pt idx="8">
                  <c:v>77.216155559209597</c:v>
                </c:pt>
                <c:pt idx="9">
                  <c:v>75.357578438048236</c:v>
                </c:pt>
                <c:pt idx="10">
                  <c:v>81.306442731418457</c:v>
                </c:pt>
                <c:pt idx="11">
                  <c:v>83.437632148520322</c:v>
                </c:pt>
                <c:pt idx="12">
                  <c:v>163.04218312743984</c:v>
                </c:pt>
                <c:pt idx="13">
                  <c:v>81.831570653227416</c:v>
                </c:pt>
                <c:pt idx="14">
                  <c:v>73.350582413500177</c:v>
                </c:pt>
                <c:pt idx="15">
                  <c:v>78.081050927749601</c:v>
                </c:pt>
                <c:pt idx="16">
                  <c:v>75.440634083749103</c:v>
                </c:pt>
                <c:pt idx="17">
                  <c:v>75.950323242413006</c:v>
                </c:pt>
                <c:pt idx="18">
                  <c:v>73.764091698372795</c:v>
                </c:pt>
                <c:pt idx="19">
                  <c:v>75.437217921960894</c:v>
                </c:pt>
                <c:pt idx="20">
                  <c:v>76.501365114809047</c:v>
                </c:pt>
                <c:pt idx="21">
                  <c:v>142.90219684788067</c:v>
                </c:pt>
                <c:pt idx="22">
                  <c:v>80.442059687948387</c:v>
                </c:pt>
                <c:pt idx="23">
                  <c:v>79.357277660156214</c:v>
                </c:pt>
                <c:pt idx="24">
                  <c:v>74.722420083394496</c:v>
                </c:pt>
                <c:pt idx="25">
                  <c:v>76.038052292199154</c:v>
                </c:pt>
                <c:pt idx="26">
                  <c:v>75.140951933143583</c:v>
                </c:pt>
                <c:pt idx="27">
                  <c:v>80.511237434841945</c:v>
                </c:pt>
                <c:pt idx="28">
                  <c:v>75.475947335596317</c:v>
                </c:pt>
                <c:pt idx="29">
                  <c:v>75.716183932900904</c:v>
                </c:pt>
                <c:pt idx="30">
                  <c:v>74.583681032408023</c:v>
                </c:pt>
                <c:pt idx="31">
                  <c:v>71.992103602123194</c:v>
                </c:pt>
                <c:pt idx="32">
                  <c:v>86.892393666607688</c:v>
                </c:pt>
                <c:pt idx="33">
                  <c:v>73.65997413149465</c:v>
                </c:pt>
                <c:pt idx="34">
                  <c:v>78.803583913522189</c:v>
                </c:pt>
                <c:pt idx="35">
                  <c:v>110.47620123730002</c:v>
                </c:pt>
                <c:pt idx="36">
                  <c:v>83.025355076886129</c:v>
                </c:pt>
                <c:pt idx="37">
                  <c:v>81.024808867543371</c:v>
                </c:pt>
                <c:pt idx="38">
                  <c:v>83.164270128808766</c:v>
                </c:pt>
                <c:pt idx="39">
                  <c:v>72.620198275005862</c:v>
                </c:pt>
                <c:pt idx="40">
                  <c:v>80.438081396553216</c:v>
                </c:pt>
                <c:pt idx="41">
                  <c:v>84.577978730775868</c:v>
                </c:pt>
                <c:pt idx="42">
                  <c:v>82.131145676490391</c:v>
                </c:pt>
                <c:pt idx="43">
                  <c:v>74.922982269927715</c:v>
                </c:pt>
                <c:pt idx="44">
                  <c:v>79.713342088520548</c:v>
                </c:pt>
                <c:pt idx="45">
                  <c:v>78.223318295952254</c:v>
                </c:pt>
                <c:pt idx="46">
                  <c:v>84.13580567845068</c:v>
                </c:pt>
                <c:pt idx="47">
                  <c:v>89.136190727260185</c:v>
                </c:pt>
                <c:pt idx="48">
                  <c:v>80.952541188926347</c:v>
                </c:pt>
                <c:pt idx="49">
                  <c:v>74.128786822199473</c:v>
                </c:pt>
                <c:pt idx="50">
                  <c:v>76.599928093318653</c:v>
                </c:pt>
                <c:pt idx="51">
                  <c:v>100.00299749467248</c:v>
                </c:pt>
                <c:pt idx="52">
                  <c:v>82.941793825807451</c:v>
                </c:pt>
                <c:pt idx="53">
                  <c:v>81.719836234055762</c:v>
                </c:pt>
                <c:pt idx="54">
                  <c:v>83.047046153387285</c:v>
                </c:pt>
                <c:pt idx="55">
                  <c:v>81.305079552720116</c:v>
                </c:pt>
                <c:pt idx="56">
                  <c:v>73.706979283753412</c:v>
                </c:pt>
                <c:pt idx="57">
                  <c:v>81.77812277773792</c:v>
                </c:pt>
                <c:pt idx="58">
                  <c:v>74.524217978797566</c:v>
                </c:pt>
                <c:pt idx="59">
                  <c:v>73.838449029158966</c:v>
                </c:pt>
                <c:pt idx="60">
                  <c:v>74.004013089481759</c:v>
                </c:pt>
                <c:pt idx="61">
                  <c:v>70.191661928721317</c:v>
                </c:pt>
                <c:pt idx="62">
                  <c:v>81.215473348688263</c:v>
                </c:pt>
                <c:pt idx="63">
                  <c:v>85.057789983991412</c:v>
                </c:pt>
                <c:pt idx="64">
                  <c:v>79.127706896290277</c:v>
                </c:pt>
                <c:pt idx="65">
                  <c:v>81.726255238777554</c:v>
                </c:pt>
                <c:pt idx="66">
                  <c:v>71.817939354714369</c:v>
                </c:pt>
                <c:pt idx="67">
                  <c:v>78.175524180906237</c:v>
                </c:pt>
                <c:pt idx="68">
                  <c:v>71.980881927368827</c:v>
                </c:pt>
                <c:pt idx="69">
                  <c:v>92.293685839953042</c:v>
                </c:pt>
                <c:pt idx="70">
                  <c:v>85.504857670712866</c:v>
                </c:pt>
                <c:pt idx="71">
                  <c:v>76.906978179120713</c:v>
                </c:pt>
                <c:pt idx="72">
                  <c:v>73.157773990069316</c:v>
                </c:pt>
                <c:pt idx="73">
                  <c:v>77.723369854803707</c:v>
                </c:pt>
                <c:pt idx="74">
                  <c:v>114.9946157716374</c:v>
                </c:pt>
                <c:pt idx="75">
                  <c:v>78.933614001499478</c:v>
                </c:pt>
                <c:pt idx="76">
                  <c:v>79.107405242264491</c:v>
                </c:pt>
                <c:pt idx="77">
                  <c:v>72.043062240865211</c:v>
                </c:pt>
                <c:pt idx="78">
                  <c:v>74.452916833327862</c:v>
                </c:pt>
                <c:pt idx="79">
                  <c:v>84.610654476004072</c:v>
                </c:pt>
                <c:pt idx="80">
                  <c:v>82.998607434781476</c:v>
                </c:pt>
                <c:pt idx="81">
                  <c:v>80.811858970947938</c:v>
                </c:pt>
                <c:pt idx="82">
                  <c:v>86.321907073959551</c:v>
                </c:pt>
                <c:pt idx="83">
                  <c:v>75.771713630902582</c:v>
                </c:pt>
                <c:pt idx="84">
                  <c:v>83.121260945375397</c:v>
                </c:pt>
                <c:pt idx="85">
                  <c:v>70.052367437611153</c:v>
                </c:pt>
                <c:pt idx="86">
                  <c:v>75.554919035319458</c:v>
                </c:pt>
                <c:pt idx="87">
                  <c:v>79.054477843835301</c:v>
                </c:pt>
                <c:pt idx="88">
                  <c:v>79.398501661455143</c:v>
                </c:pt>
                <c:pt idx="89">
                  <c:v>79.981771483789686</c:v>
                </c:pt>
                <c:pt idx="90">
                  <c:v>76.357686435474136</c:v>
                </c:pt>
                <c:pt idx="91">
                  <c:v>96.902718826673905</c:v>
                </c:pt>
                <c:pt idx="92">
                  <c:v>92.623932151373594</c:v>
                </c:pt>
                <c:pt idx="93">
                  <c:v>81.542906592912487</c:v>
                </c:pt>
                <c:pt idx="94">
                  <c:v>82.058065496049949</c:v>
                </c:pt>
                <c:pt idx="95">
                  <c:v>75.417654526000703</c:v>
                </c:pt>
                <c:pt idx="96">
                  <c:v>76.16508794231207</c:v>
                </c:pt>
                <c:pt idx="97">
                  <c:v>78.307030905883707</c:v>
                </c:pt>
                <c:pt idx="98">
                  <c:v>79.33433392122798</c:v>
                </c:pt>
                <c:pt idx="99">
                  <c:v>76.910334328412816</c:v>
                </c:pt>
                <c:pt idx="100">
                  <c:v>103.39357053455031</c:v>
                </c:pt>
                <c:pt idx="101">
                  <c:v>85.979568857829605</c:v>
                </c:pt>
                <c:pt idx="102">
                  <c:v>72.252878221587139</c:v>
                </c:pt>
                <c:pt idx="103">
                  <c:v>72.856021351761257</c:v>
                </c:pt>
                <c:pt idx="104">
                  <c:v>73.492085137414008</c:v>
                </c:pt>
                <c:pt idx="105">
                  <c:v>81.810176784549739</c:v>
                </c:pt>
                <c:pt idx="106">
                  <c:v>79.629930757195723</c:v>
                </c:pt>
                <c:pt idx="107">
                  <c:v>75.262799026007116</c:v>
                </c:pt>
                <c:pt idx="108">
                  <c:v>79.473726032647647</c:v>
                </c:pt>
                <c:pt idx="109">
                  <c:v>75.406864025439319</c:v>
                </c:pt>
                <c:pt idx="110">
                  <c:v>70.22989236115481</c:v>
                </c:pt>
                <c:pt idx="111">
                  <c:v>67.378836924901179</c:v>
                </c:pt>
                <c:pt idx="112">
                  <c:v>78.336422231305903</c:v>
                </c:pt>
                <c:pt idx="113">
                  <c:v>75.183666039216391</c:v>
                </c:pt>
                <c:pt idx="114">
                  <c:v>100.55107208981904</c:v>
                </c:pt>
                <c:pt idx="115">
                  <c:v>81.453451189131442</c:v>
                </c:pt>
                <c:pt idx="116">
                  <c:v>73.675509017415322</c:v>
                </c:pt>
                <c:pt idx="117">
                  <c:v>77.464881812589283</c:v>
                </c:pt>
                <c:pt idx="118">
                  <c:v>85.536433521499717</c:v>
                </c:pt>
                <c:pt idx="119">
                  <c:v>75.063111739536282</c:v>
                </c:pt>
                <c:pt idx="120">
                  <c:v>71.646784371931872</c:v>
                </c:pt>
                <c:pt idx="121">
                  <c:v>86.114340016756557</c:v>
                </c:pt>
                <c:pt idx="122">
                  <c:v>80.037008761154524</c:v>
                </c:pt>
                <c:pt idx="123">
                  <c:v>90.264000060432394</c:v>
                </c:pt>
                <c:pt idx="124">
                  <c:v>108.92551704158774</c:v>
                </c:pt>
                <c:pt idx="125">
                  <c:v>72.55283065500204</c:v>
                </c:pt>
                <c:pt idx="126">
                  <c:v>80.579076880168756</c:v>
                </c:pt>
                <c:pt idx="127">
                  <c:v>82.564631159037404</c:v>
                </c:pt>
                <c:pt idx="128">
                  <c:v>74.496082288205329</c:v>
                </c:pt>
                <c:pt idx="129">
                  <c:v>75.108197459744432</c:v>
                </c:pt>
                <c:pt idx="130">
                  <c:v>82.341760130162896</c:v>
                </c:pt>
                <c:pt idx="131">
                  <c:v>75.05986355619217</c:v>
                </c:pt>
                <c:pt idx="132">
                  <c:v>72.559068313920406</c:v>
                </c:pt>
                <c:pt idx="133">
                  <c:v>69.823447987371424</c:v>
                </c:pt>
                <c:pt idx="134">
                  <c:v>77.689882217144245</c:v>
                </c:pt>
                <c:pt idx="135">
                  <c:v>74.52347766365186</c:v>
                </c:pt>
                <c:pt idx="136">
                  <c:v>81.391340420074187</c:v>
                </c:pt>
                <c:pt idx="137">
                  <c:v>78.388050210959335</c:v>
                </c:pt>
                <c:pt idx="138">
                  <c:v>71.386315812555935</c:v>
                </c:pt>
                <c:pt idx="139">
                  <c:v>76.010077732961449</c:v>
                </c:pt>
                <c:pt idx="140">
                  <c:v>90.163923183404236</c:v>
                </c:pt>
                <c:pt idx="141">
                  <c:v>78.905831477070919</c:v>
                </c:pt>
                <c:pt idx="142">
                  <c:v>74.731402567823494</c:v>
                </c:pt>
                <c:pt idx="143">
                  <c:v>69.479747512705643</c:v>
                </c:pt>
                <c:pt idx="144">
                  <c:v>89.283964937333721</c:v>
                </c:pt>
                <c:pt idx="145">
                  <c:v>83.345486236668549</c:v>
                </c:pt>
                <c:pt idx="146">
                  <c:v>72.953057856300958</c:v>
                </c:pt>
                <c:pt idx="147">
                  <c:v>75.845396585067974</c:v>
                </c:pt>
                <c:pt idx="148">
                  <c:v>75.718776660677165</c:v>
                </c:pt>
                <c:pt idx="149">
                  <c:v>85.83270215959574</c:v>
                </c:pt>
                <c:pt idx="150">
                  <c:v>76.123505190100033</c:v>
                </c:pt>
                <c:pt idx="151">
                  <c:v>78.789381138464279</c:v>
                </c:pt>
                <c:pt idx="152">
                  <c:v>83.267721155741299</c:v>
                </c:pt>
                <c:pt idx="153">
                  <c:v>81.588872498742461</c:v>
                </c:pt>
                <c:pt idx="154">
                  <c:v>83.698685223345677</c:v>
                </c:pt>
                <c:pt idx="155">
                  <c:v>80.623721776524334</c:v>
                </c:pt>
                <c:pt idx="156">
                  <c:v>75.162805278547836</c:v>
                </c:pt>
                <c:pt idx="157">
                  <c:v>76.011667553264829</c:v>
                </c:pt>
                <c:pt idx="158">
                  <c:v>74.068408895728282</c:v>
                </c:pt>
                <c:pt idx="159">
                  <c:v>82.447545803360327</c:v>
                </c:pt>
                <c:pt idx="160">
                  <c:v>68.028367197069073</c:v>
                </c:pt>
                <c:pt idx="161">
                  <c:v>81.534885198987539</c:v>
                </c:pt>
                <c:pt idx="162">
                  <c:v>84.302170723856278</c:v>
                </c:pt>
                <c:pt idx="163">
                  <c:v>77.677091046430803</c:v>
                </c:pt>
                <c:pt idx="164">
                  <c:v>76.456063399258156</c:v>
                </c:pt>
                <c:pt idx="165">
                  <c:v>83.162928191021919</c:v>
                </c:pt>
                <c:pt idx="166">
                  <c:v>80.368968511681473</c:v>
                </c:pt>
                <c:pt idx="167">
                  <c:v>83.315437710974024</c:v>
                </c:pt>
                <c:pt idx="168">
                  <c:v>84.868449673493856</c:v>
                </c:pt>
                <c:pt idx="169">
                  <c:v>75.653099982707133</c:v>
                </c:pt>
                <c:pt idx="170">
                  <c:v>77.670883202803807</c:v>
                </c:pt>
                <c:pt idx="171">
                  <c:v>72.953379702728824</c:v>
                </c:pt>
                <c:pt idx="172">
                  <c:v>76.202721764670997</c:v>
                </c:pt>
                <c:pt idx="173">
                  <c:v>76.8084387746906</c:v>
                </c:pt>
                <c:pt idx="174">
                  <c:v>90.403388919236619</c:v>
                </c:pt>
                <c:pt idx="175">
                  <c:v>73.41766393234181</c:v>
                </c:pt>
                <c:pt idx="176">
                  <c:v>75.192743805659134</c:v>
                </c:pt>
                <c:pt idx="177">
                  <c:v>76.759468371268412</c:v>
                </c:pt>
                <c:pt idx="178">
                  <c:v>81.061796502607351</c:v>
                </c:pt>
                <c:pt idx="179">
                  <c:v>78.280802901492009</c:v>
                </c:pt>
                <c:pt idx="180">
                  <c:v>76.224414681720987</c:v>
                </c:pt>
                <c:pt idx="181">
                  <c:v>74.393166080842235</c:v>
                </c:pt>
                <c:pt idx="182">
                  <c:v>73.37429014833647</c:v>
                </c:pt>
                <c:pt idx="183">
                  <c:v>104.6355904572989</c:v>
                </c:pt>
                <c:pt idx="184">
                  <c:v>76.511842011746765</c:v>
                </c:pt>
                <c:pt idx="185">
                  <c:v>76.79990371945172</c:v>
                </c:pt>
                <c:pt idx="186">
                  <c:v>74.459560629356005</c:v>
                </c:pt>
                <c:pt idx="187">
                  <c:v>70.442556372559608</c:v>
                </c:pt>
                <c:pt idx="188">
                  <c:v>86.307808889687536</c:v>
                </c:pt>
                <c:pt idx="189">
                  <c:v>79.942973373343676</c:v>
                </c:pt>
                <c:pt idx="190">
                  <c:v>79.826998018743382</c:v>
                </c:pt>
                <c:pt idx="191">
                  <c:v>75.773958706082368</c:v>
                </c:pt>
                <c:pt idx="192">
                  <c:v>83.796114052906077</c:v>
                </c:pt>
                <c:pt idx="193">
                  <c:v>80.118041736505631</c:v>
                </c:pt>
                <c:pt idx="194">
                  <c:v>85.055670511337198</c:v>
                </c:pt>
                <c:pt idx="195">
                  <c:v>78.708353540126851</c:v>
                </c:pt>
                <c:pt idx="196">
                  <c:v>76.489157115859697</c:v>
                </c:pt>
                <c:pt idx="197">
                  <c:v>76.239323801615242</c:v>
                </c:pt>
                <c:pt idx="198">
                  <c:v>73.82635652921239</c:v>
                </c:pt>
                <c:pt idx="199">
                  <c:v>78.848980265597888</c:v>
                </c:pt>
                <c:pt idx="200">
                  <c:v>79.212537040393457</c:v>
                </c:pt>
                <c:pt idx="201">
                  <c:v>93.317071938824824</c:v>
                </c:pt>
                <c:pt idx="202">
                  <c:v>83.928405112401705</c:v>
                </c:pt>
                <c:pt idx="203">
                  <c:v>80.264916198720002</c:v>
                </c:pt>
                <c:pt idx="204">
                  <c:v>71.749272223049985</c:v>
                </c:pt>
                <c:pt idx="205">
                  <c:v>90.933729701242484</c:v>
                </c:pt>
                <c:pt idx="206">
                  <c:v>77.010642891167606</c:v>
                </c:pt>
                <c:pt idx="207">
                  <c:v>69.788439016631145</c:v>
                </c:pt>
                <c:pt idx="208">
                  <c:v>74.133351241896264</c:v>
                </c:pt>
                <c:pt idx="209">
                  <c:v>78.819102523302604</c:v>
                </c:pt>
                <c:pt idx="210">
                  <c:v>74.171652003228033</c:v>
                </c:pt>
                <c:pt idx="211">
                  <c:v>75.301562492430605</c:v>
                </c:pt>
                <c:pt idx="212">
                  <c:v>77.663065898431555</c:v>
                </c:pt>
                <c:pt idx="213">
                  <c:v>77.730941536848349</c:v>
                </c:pt>
                <c:pt idx="214">
                  <c:v>76.234807047827886</c:v>
                </c:pt>
                <c:pt idx="215">
                  <c:v>85.368248814973256</c:v>
                </c:pt>
                <c:pt idx="216">
                  <c:v>103.26459648891893</c:v>
                </c:pt>
                <c:pt idx="217">
                  <c:v>73.43645953475027</c:v>
                </c:pt>
                <c:pt idx="218">
                  <c:v>72.695893917604764</c:v>
                </c:pt>
                <c:pt idx="219">
                  <c:v>84.163683026708597</c:v>
                </c:pt>
                <c:pt idx="220">
                  <c:v>98.18333352712574</c:v>
                </c:pt>
                <c:pt idx="221">
                  <c:v>75.498195439837161</c:v>
                </c:pt>
                <c:pt idx="222">
                  <c:v>80.400309300575941</c:v>
                </c:pt>
                <c:pt idx="223">
                  <c:v>80.382820627735725</c:v>
                </c:pt>
                <c:pt idx="224">
                  <c:v>76.14713871321085</c:v>
                </c:pt>
                <c:pt idx="225">
                  <c:v>83.672598823339882</c:v>
                </c:pt>
                <c:pt idx="226">
                  <c:v>98.827674837360675</c:v>
                </c:pt>
                <c:pt idx="227">
                  <c:v>85.722178943067746</c:v>
                </c:pt>
                <c:pt idx="228">
                  <c:v>69.647663978293437</c:v>
                </c:pt>
                <c:pt idx="229">
                  <c:v>78.831873702578449</c:v>
                </c:pt>
                <c:pt idx="230">
                  <c:v>70.487043496311813</c:v>
                </c:pt>
                <c:pt idx="231">
                  <c:v>83.185181820106067</c:v>
                </c:pt>
                <c:pt idx="232">
                  <c:v>80.757156290093519</c:v>
                </c:pt>
                <c:pt idx="233">
                  <c:v>82.956375491551384</c:v>
                </c:pt>
                <c:pt idx="234">
                  <c:v>84.662796097738379</c:v>
                </c:pt>
                <c:pt idx="235">
                  <c:v>88.486940769690946</c:v>
                </c:pt>
                <c:pt idx="236">
                  <c:v>74.095127685750995</c:v>
                </c:pt>
                <c:pt idx="237">
                  <c:v>77.848652999522571</c:v>
                </c:pt>
                <c:pt idx="238">
                  <c:v>84.878796199335966</c:v>
                </c:pt>
                <c:pt idx="239">
                  <c:v>83.293828553687462</c:v>
                </c:pt>
                <c:pt idx="240">
                  <c:v>72.164582788784998</c:v>
                </c:pt>
                <c:pt idx="241">
                  <c:v>87.077726619705004</c:v>
                </c:pt>
                <c:pt idx="242">
                  <c:v>73.275157839911785</c:v>
                </c:pt>
                <c:pt idx="243">
                  <c:v>75.50242520472753</c:v>
                </c:pt>
                <c:pt idx="244">
                  <c:v>77.47674443313899</c:v>
                </c:pt>
                <c:pt idx="245">
                  <c:v>73.628885748997504</c:v>
                </c:pt>
                <c:pt idx="246">
                  <c:v>73.52355440115835</c:v>
                </c:pt>
                <c:pt idx="247">
                  <c:v>77.458183631203198</c:v>
                </c:pt>
                <c:pt idx="248">
                  <c:v>75.255030447197655</c:v>
                </c:pt>
                <c:pt idx="249">
                  <c:v>88.083561964827112</c:v>
                </c:pt>
                <c:pt idx="250">
                  <c:v>104.45095303769608</c:v>
                </c:pt>
                <c:pt idx="251">
                  <c:v>76.570357030466695</c:v>
                </c:pt>
                <c:pt idx="252">
                  <c:v>83.646808942291599</c:v>
                </c:pt>
                <c:pt idx="253">
                  <c:v>78.854771585923643</c:v>
                </c:pt>
                <c:pt idx="254">
                  <c:v>84.84998463600364</c:v>
                </c:pt>
                <c:pt idx="255">
                  <c:v>82.21355505487972</c:v>
                </c:pt>
                <c:pt idx="256">
                  <c:v>87.528295673995842</c:v>
                </c:pt>
                <c:pt idx="257">
                  <c:v>85.405329346804734</c:v>
                </c:pt>
                <c:pt idx="258">
                  <c:v>74.308058321808502</c:v>
                </c:pt>
                <c:pt idx="259">
                  <c:v>73.014926764235796</c:v>
                </c:pt>
                <c:pt idx="260">
                  <c:v>104.24667493902965</c:v>
                </c:pt>
                <c:pt idx="261">
                  <c:v>80.040419183676846</c:v>
                </c:pt>
                <c:pt idx="262">
                  <c:v>93.501283820222923</c:v>
                </c:pt>
                <c:pt idx="263">
                  <c:v>86.035927616921356</c:v>
                </c:pt>
                <c:pt idx="264">
                  <c:v>76.568022062650954</c:v>
                </c:pt>
                <c:pt idx="265">
                  <c:v>82.717529673050535</c:v>
                </c:pt>
                <c:pt idx="266">
                  <c:v>79.198641818438077</c:v>
                </c:pt>
                <c:pt idx="267">
                  <c:v>104.47068864441744</c:v>
                </c:pt>
                <c:pt idx="268">
                  <c:v>89.257387266238851</c:v>
                </c:pt>
                <c:pt idx="269">
                  <c:v>77.624124932456098</c:v>
                </c:pt>
                <c:pt idx="270">
                  <c:v>80.510765333851083</c:v>
                </c:pt>
                <c:pt idx="271">
                  <c:v>80.850387651972511</c:v>
                </c:pt>
                <c:pt idx="272">
                  <c:v>78.46536526570975</c:v>
                </c:pt>
                <c:pt idx="273">
                  <c:v>85.177983376336897</c:v>
                </c:pt>
                <c:pt idx="274">
                  <c:v>68.900527715854025</c:v>
                </c:pt>
                <c:pt idx="275">
                  <c:v>83.203906198334096</c:v>
                </c:pt>
                <c:pt idx="276">
                  <c:v>81.451062012009729</c:v>
                </c:pt>
                <c:pt idx="277">
                  <c:v>71.96271982865953</c:v>
                </c:pt>
                <c:pt idx="278">
                  <c:v>79.033610981130153</c:v>
                </c:pt>
                <c:pt idx="279">
                  <c:v>83.419104641104937</c:v>
                </c:pt>
                <c:pt idx="280">
                  <c:v>70.383807881689663</c:v>
                </c:pt>
                <c:pt idx="281">
                  <c:v>77.591405006058835</c:v>
                </c:pt>
                <c:pt idx="282">
                  <c:v>80.342668396753183</c:v>
                </c:pt>
                <c:pt idx="283">
                  <c:v>116.05524778083078</c:v>
                </c:pt>
                <c:pt idx="284">
                  <c:v>248.80769672034711</c:v>
                </c:pt>
                <c:pt idx="285">
                  <c:v>144.94153268816828</c:v>
                </c:pt>
                <c:pt idx="286">
                  <c:v>251.74664467795699</c:v>
                </c:pt>
                <c:pt idx="287">
                  <c:v>68.42260768331451</c:v>
                </c:pt>
                <c:pt idx="288">
                  <c:v>79.356167747045617</c:v>
                </c:pt>
                <c:pt idx="289">
                  <c:v>74.060598917282121</c:v>
                </c:pt>
                <c:pt idx="290">
                  <c:v>86.131161380732379</c:v>
                </c:pt>
                <c:pt idx="291">
                  <c:v>75.675760220035912</c:v>
                </c:pt>
                <c:pt idx="292">
                  <c:v>80.152379275539403</c:v>
                </c:pt>
                <c:pt idx="293">
                  <c:v>99.150957702522405</c:v>
                </c:pt>
                <c:pt idx="294">
                  <c:v>96.761431791884377</c:v>
                </c:pt>
                <c:pt idx="295">
                  <c:v>79.056832693578883</c:v>
                </c:pt>
                <c:pt idx="296">
                  <c:v>71.631792694537054</c:v>
                </c:pt>
                <c:pt idx="297">
                  <c:v>80.372868745977286</c:v>
                </c:pt>
                <c:pt idx="298">
                  <c:v>96.476883951075877</c:v>
                </c:pt>
                <c:pt idx="299">
                  <c:v>97.108253617897205</c:v>
                </c:pt>
                <c:pt idx="300">
                  <c:v>90.680708135480799</c:v>
                </c:pt>
                <c:pt idx="301">
                  <c:v>80.660857176523791</c:v>
                </c:pt>
                <c:pt idx="302">
                  <c:v>84.145472209515958</c:v>
                </c:pt>
                <c:pt idx="303">
                  <c:v>87.320832138985722</c:v>
                </c:pt>
                <c:pt idx="304">
                  <c:v>85.244604751190877</c:v>
                </c:pt>
                <c:pt idx="305">
                  <c:v>82.894932541728892</c:v>
                </c:pt>
                <c:pt idx="306">
                  <c:v>75.560204177366728</c:v>
                </c:pt>
                <c:pt idx="307">
                  <c:v>71.384883929179765</c:v>
                </c:pt>
                <c:pt idx="308">
                  <c:v>74.503456014263961</c:v>
                </c:pt>
                <c:pt idx="309">
                  <c:v>70.385201981372376</c:v>
                </c:pt>
                <c:pt idx="310">
                  <c:v>78.825057041683479</c:v>
                </c:pt>
                <c:pt idx="311">
                  <c:v>74.4889424577471</c:v>
                </c:pt>
                <c:pt idx="312">
                  <c:v>79.071915177238836</c:v>
                </c:pt>
                <c:pt idx="313">
                  <c:v>72.373391441185746</c:v>
                </c:pt>
                <c:pt idx="314">
                  <c:v>74.818646706942602</c:v>
                </c:pt>
                <c:pt idx="315">
                  <c:v>84.642727481249295</c:v>
                </c:pt>
                <c:pt idx="316">
                  <c:v>76.172030570539903</c:v>
                </c:pt>
                <c:pt idx="317">
                  <c:v>95.491232617992281</c:v>
                </c:pt>
                <c:pt idx="318">
                  <c:v>245.13561566712963</c:v>
                </c:pt>
                <c:pt idx="319">
                  <c:v>205.87488313442401</c:v>
                </c:pt>
                <c:pt idx="320">
                  <c:v>81.886366111177367</c:v>
                </c:pt>
                <c:pt idx="321">
                  <c:v>77.377751470750709</c:v>
                </c:pt>
                <c:pt idx="322">
                  <c:v>90.868674658460861</c:v>
                </c:pt>
                <c:pt idx="323">
                  <c:v>99.430820005974965</c:v>
                </c:pt>
                <c:pt idx="324">
                  <c:v>63.750983183652451</c:v>
                </c:pt>
                <c:pt idx="325">
                  <c:v>69.921707156350493</c:v>
                </c:pt>
                <c:pt idx="326">
                  <c:v>76.012652946007506</c:v>
                </c:pt>
                <c:pt idx="327">
                  <c:v>73.781589201960912</c:v>
                </c:pt>
                <c:pt idx="328">
                  <c:v>75.084985285249445</c:v>
                </c:pt>
                <c:pt idx="329">
                  <c:v>89.950350608161642</c:v>
                </c:pt>
                <c:pt idx="330">
                  <c:v>69.158235009710012</c:v>
                </c:pt>
                <c:pt idx="331">
                  <c:v>72.494023458709037</c:v>
                </c:pt>
                <c:pt idx="332">
                  <c:v>80.179791033278704</c:v>
                </c:pt>
                <c:pt idx="333">
                  <c:v>74.667540838647668</c:v>
                </c:pt>
                <c:pt idx="334">
                  <c:v>83.819541812764243</c:v>
                </c:pt>
                <c:pt idx="335">
                  <c:v>95.323038220235745</c:v>
                </c:pt>
                <c:pt idx="336">
                  <c:v>98.252732679853082</c:v>
                </c:pt>
                <c:pt idx="337">
                  <c:v>72.266576901299956</c:v>
                </c:pt>
                <c:pt idx="338">
                  <c:v>66.909923744325383</c:v>
                </c:pt>
                <c:pt idx="339">
                  <c:v>70.323825715440435</c:v>
                </c:pt>
                <c:pt idx="340">
                  <c:v>69.391548365703628</c:v>
                </c:pt>
                <c:pt idx="341">
                  <c:v>76.603102120670499</c:v>
                </c:pt>
                <c:pt idx="342">
                  <c:v>82.534449027790245</c:v>
                </c:pt>
                <c:pt idx="343">
                  <c:v>76.569218094285972</c:v>
                </c:pt>
                <c:pt idx="344">
                  <c:v>80.46401357667348</c:v>
                </c:pt>
                <c:pt idx="345">
                  <c:v>77.653200678438253</c:v>
                </c:pt>
                <c:pt idx="346">
                  <c:v>81.449449624004686</c:v>
                </c:pt>
                <c:pt idx="347">
                  <c:v>80.511222932169218</c:v>
                </c:pt>
                <c:pt idx="348">
                  <c:v>71.994674844694998</c:v>
                </c:pt>
                <c:pt idx="349">
                  <c:v>78.904217993227476</c:v>
                </c:pt>
                <c:pt idx="350">
                  <c:v>119.40232067644619</c:v>
                </c:pt>
                <c:pt idx="351">
                  <c:v>83.188352942252934</c:v>
                </c:pt>
                <c:pt idx="352">
                  <c:v>79.445368559029504</c:v>
                </c:pt>
                <c:pt idx="353">
                  <c:v>352.22896358137524</c:v>
                </c:pt>
                <c:pt idx="354">
                  <c:v>84.048221091385756</c:v>
                </c:pt>
                <c:pt idx="355">
                  <c:v>84.76677053029681</c:v>
                </c:pt>
                <c:pt idx="356">
                  <c:v>89.705631183072967</c:v>
                </c:pt>
                <c:pt idx="357">
                  <c:v>81.138918482125789</c:v>
                </c:pt>
                <c:pt idx="358">
                  <c:v>79.776329414770785</c:v>
                </c:pt>
                <c:pt idx="359">
                  <c:v>77.811992357707567</c:v>
                </c:pt>
                <c:pt idx="360">
                  <c:v>72.758913664350672</c:v>
                </c:pt>
                <c:pt idx="361">
                  <c:v>77.096950133795175</c:v>
                </c:pt>
                <c:pt idx="362">
                  <c:v>77.195003802631007</c:v>
                </c:pt>
                <c:pt idx="363">
                  <c:v>73.146740059861401</c:v>
                </c:pt>
                <c:pt idx="364">
                  <c:v>80.55356522269463</c:v>
                </c:pt>
                <c:pt idx="365">
                  <c:v>74.917543454677215</c:v>
                </c:pt>
                <c:pt idx="366">
                  <c:v>79.100375400459981</c:v>
                </c:pt>
                <c:pt idx="367">
                  <c:v>72.418635794882107</c:v>
                </c:pt>
                <c:pt idx="368">
                  <c:v>71.765365219818591</c:v>
                </c:pt>
                <c:pt idx="369">
                  <c:v>73.19657225774904</c:v>
                </c:pt>
                <c:pt idx="370">
                  <c:v>93.994705799484194</c:v>
                </c:pt>
                <c:pt idx="371">
                  <c:v>74.359654242538838</c:v>
                </c:pt>
                <c:pt idx="372">
                  <c:v>66.79697148762115</c:v>
                </c:pt>
                <c:pt idx="373">
                  <c:v>75.657905404766794</c:v>
                </c:pt>
                <c:pt idx="374">
                  <c:v>75.016271951942656</c:v>
                </c:pt>
                <c:pt idx="375">
                  <c:v>75.780475782274252</c:v>
                </c:pt>
                <c:pt idx="376">
                  <c:v>64.321125166969679</c:v>
                </c:pt>
                <c:pt idx="377">
                  <c:v>85.141949181491782</c:v>
                </c:pt>
                <c:pt idx="378">
                  <c:v>78.194928056883739</c:v>
                </c:pt>
                <c:pt idx="379">
                  <c:v>81.911251028455396</c:v>
                </c:pt>
                <c:pt idx="380">
                  <c:v>76.449637162585503</c:v>
                </c:pt>
                <c:pt idx="381">
                  <c:v>71.977425103793976</c:v>
                </c:pt>
                <c:pt idx="382">
                  <c:v>73.188914393547023</c:v>
                </c:pt>
                <c:pt idx="383">
                  <c:v>83.853974226155941</c:v>
                </c:pt>
                <c:pt idx="384">
                  <c:v>118.72314382249796</c:v>
                </c:pt>
                <c:pt idx="385">
                  <c:v>80.296194777776932</c:v>
                </c:pt>
                <c:pt idx="386">
                  <c:v>83.419072599131184</c:v>
                </c:pt>
                <c:pt idx="387">
                  <c:v>75.178263120965056</c:v>
                </c:pt>
                <c:pt idx="388">
                  <c:v>78.187580983612193</c:v>
                </c:pt>
                <c:pt idx="389">
                  <c:v>93.276710525131776</c:v>
                </c:pt>
                <c:pt idx="390">
                  <c:v>78.62643920217684</c:v>
                </c:pt>
                <c:pt idx="391">
                  <c:v>84.873553963220047</c:v>
                </c:pt>
                <c:pt idx="392">
                  <c:v>73.862129299488913</c:v>
                </c:pt>
                <c:pt idx="393">
                  <c:v>77.887847262926101</c:v>
                </c:pt>
                <c:pt idx="394">
                  <c:v>77.528153246896551</c:v>
                </c:pt>
                <c:pt idx="395">
                  <c:v>79.512999836597629</c:v>
                </c:pt>
                <c:pt idx="396">
                  <c:v>83.384176215958917</c:v>
                </c:pt>
                <c:pt idx="397">
                  <c:v>81.257586575544025</c:v>
                </c:pt>
                <c:pt idx="398">
                  <c:v>69.936831146404344</c:v>
                </c:pt>
                <c:pt idx="399">
                  <c:v>87.729709816698232</c:v>
                </c:pt>
                <c:pt idx="400">
                  <c:v>78.003041198214348</c:v>
                </c:pt>
                <c:pt idx="401">
                  <c:v>86.936756927184916</c:v>
                </c:pt>
                <c:pt idx="402">
                  <c:v>67.77136108286642</c:v>
                </c:pt>
                <c:pt idx="403">
                  <c:v>94.97705816521632</c:v>
                </c:pt>
                <c:pt idx="404">
                  <c:v>89.462289193873787</c:v>
                </c:pt>
                <c:pt idx="405">
                  <c:v>79.46814275595743</c:v>
                </c:pt>
                <c:pt idx="406">
                  <c:v>78.423671806463574</c:v>
                </c:pt>
                <c:pt idx="407">
                  <c:v>72.027494095984594</c:v>
                </c:pt>
                <c:pt idx="408">
                  <c:v>77.664628848169258</c:v>
                </c:pt>
                <c:pt idx="409">
                  <c:v>76.952238603157795</c:v>
                </c:pt>
                <c:pt idx="410">
                  <c:v>82.156389469683106</c:v>
                </c:pt>
                <c:pt idx="411">
                  <c:v>85.253848131745286</c:v>
                </c:pt>
                <c:pt idx="412">
                  <c:v>78.138422635193763</c:v>
                </c:pt>
                <c:pt idx="413">
                  <c:v>82.671863259488489</c:v>
                </c:pt>
                <c:pt idx="414">
                  <c:v>72.561584177920039</c:v>
                </c:pt>
                <c:pt idx="415">
                  <c:v>80.453593204170687</c:v>
                </c:pt>
                <c:pt idx="416">
                  <c:v>98.6356953469042</c:v>
                </c:pt>
                <c:pt idx="417">
                  <c:v>331.24669170989938</c:v>
                </c:pt>
                <c:pt idx="418">
                  <c:v>76.996147711955572</c:v>
                </c:pt>
                <c:pt idx="419">
                  <c:v>75.702002181767313</c:v>
                </c:pt>
                <c:pt idx="420">
                  <c:v>72.847877016136053</c:v>
                </c:pt>
                <c:pt idx="421">
                  <c:v>69.819568805936058</c:v>
                </c:pt>
                <c:pt idx="422">
                  <c:v>81.383993413138143</c:v>
                </c:pt>
                <c:pt idx="423">
                  <c:v>82.906246286416547</c:v>
                </c:pt>
                <c:pt idx="424">
                  <c:v>84.472564993467245</c:v>
                </c:pt>
                <c:pt idx="425">
                  <c:v>77.778245465843625</c:v>
                </c:pt>
                <c:pt idx="426">
                  <c:v>77.144172709884216</c:v>
                </c:pt>
                <c:pt idx="427">
                  <c:v>86.381355795281138</c:v>
                </c:pt>
                <c:pt idx="428">
                  <c:v>75.992773541102721</c:v>
                </c:pt>
                <c:pt idx="429">
                  <c:v>85.537888612440099</c:v>
                </c:pt>
                <c:pt idx="430">
                  <c:v>72.332049923573976</c:v>
                </c:pt>
                <c:pt idx="431">
                  <c:v>81.002894524674488</c:v>
                </c:pt>
                <c:pt idx="432">
                  <c:v>66.472728858931887</c:v>
                </c:pt>
                <c:pt idx="433">
                  <c:v>76.873440777727353</c:v>
                </c:pt>
                <c:pt idx="434">
                  <c:v>69.315231689086971</c:v>
                </c:pt>
                <c:pt idx="435">
                  <c:v>71.357141084315401</c:v>
                </c:pt>
                <c:pt idx="436">
                  <c:v>73.011892618651657</c:v>
                </c:pt>
                <c:pt idx="437">
                  <c:v>98.047982752176694</c:v>
                </c:pt>
                <c:pt idx="438">
                  <c:v>73.217184311363425</c:v>
                </c:pt>
                <c:pt idx="439">
                  <c:v>81.015273377089699</c:v>
                </c:pt>
                <c:pt idx="440">
                  <c:v>79.136432763741993</c:v>
                </c:pt>
                <c:pt idx="441">
                  <c:v>78.1309548727464</c:v>
                </c:pt>
                <c:pt idx="442">
                  <c:v>76.673605966033094</c:v>
                </c:pt>
                <c:pt idx="443">
                  <c:v>83.703973387981918</c:v>
                </c:pt>
                <c:pt idx="444">
                  <c:v>80.531576935077737</c:v>
                </c:pt>
                <c:pt idx="445">
                  <c:v>77.827034909716801</c:v>
                </c:pt>
                <c:pt idx="446">
                  <c:v>76.492015831600639</c:v>
                </c:pt>
                <c:pt idx="447">
                  <c:v>83.875912117287953</c:v>
                </c:pt>
                <c:pt idx="448">
                  <c:v>75.018928056118966</c:v>
                </c:pt>
                <c:pt idx="449">
                  <c:v>121.2868558714332</c:v>
                </c:pt>
                <c:pt idx="450">
                  <c:v>134.22848427512781</c:v>
                </c:pt>
                <c:pt idx="451">
                  <c:v>265.17224179577119</c:v>
                </c:pt>
                <c:pt idx="452">
                  <c:v>75.515235585864147</c:v>
                </c:pt>
                <c:pt idx="453">
                  <c:v>78.29514230260483</c:v>
                </c:pt>
                <c:pt idx="454">
                  <c:v>81.284270929789457</c:v>
                </c:pt>
                <c:pt idx="455">
                  <c:v>85.436571657829504</c:v>
                </c:pt>
                <c:pt idx="456">
                  <c:v>70.810630298057021</c:v>
                </c:pt>
                <c:pt idx="457">
                  <c:v>72.018333242683084</c:v>
                </c:pt>
                <c:pt idx="458">
                  <c:v>85.080516587133488</c:v>
                </c:pt>
                <c:pt idx="459">
                  <c:v>74.96742336339554</c:v>
                </c:pt>
                <c:pt idx="460">
                  <c:v>86.575125145419889</c:v>
                </c:pt>
                <c:pt idx="461">
                  <c:v>79.729659275511551</c:v>
                </c:pt>
                <c:pt idx="462">
                  <c:v>85.691753099060392</c:v>
                </c:pt>
                <c:pt idx="463">
                  <c:v>78.947175631562033</c:v>
                </c:pt>
                <c:pt idx="464">
                  <c:v>75.91342312844948</c:v>
                </c:pt>
                <c:pt idx="465">
                  <c:v>86.845850476795803</c:v>
                </c:pt>
                <c:pt idx="466">
                  <c:v>79.145998099416104</c:v>
                </c:pt>
                <c:pt idx="467">
                  <c:v>77.989232944380902</c:v>
                </c:pt>
                <c:pt idx="468">
                  <c:v>81.385643911300988</c:v>
                </c:pt>
                <c:pt idx="469">
                  <c:v>93.184700117672477</c:v>
                </c:pt>
                <c:pt idx="470">
                  <c:v>76.539400080465413</c:v>
                </c:pt>
                <c:pt idx="471">
                  <c:v>82.13434978759625</c:v>
                </c:pt>
                <c:pt idx="472">
                  <c:v>74.322641920802184</c:v>
                </c:pt>
                <c:pt idx="473">
                  <c:v>72.369782403207438</c:v>
                </c:pt>
                <c:pt idx="474">
                  <c:v>75.118296525786661</c:v>
                </c:pt>
                <c:pt idx="475">
                  <c:v>75.075233020704374</c:v>
                </c:pt>
                <c:pt idx="476">
                  <c:v>73.970411730614316</c:v>
                </c:pt>
                <c:pt idx="477">
                  <c:v>78.256318541317981</c:v>
                </c:pt>
                <c:pt idx="478">
                  <c:v>79.937541080801864</c:v>
                </c:pt>
                <c:pt idx="479">
                  <c:v>76.815389967295658</c:v>
                </c:pt>
                <c:pt idx="480">
                  <c:v>83.535541059613209</c:v>
                </c:pt>
                <c:pt idx="481">
                  <c:v>65.964407840256783</c:v>
                </c:pt>
                <c:pt idx="482">
                  <c:v>118.18295345779686</c:v>
                </c:pt>
                <c:pt idx="483">
                  <c:v>72.80541442291549</c:v>
                </c:pt>
                <c:pt idx="484">
                  <c:v>79.482807358022015</c:v>
                </c:pt>
                <c:pt idx="485">
                  <c:v>76.566715127331335</c:v>
                </c:pt>
                <c:pt idx="486">
                  <c:v>85.574440696764299</c:v>
                </c:pt>
                <c:pt idx="487">
                  <c:v>74.856165954555252</c:v>
                </c:pt>
                <c:pt idx="488">
                  <c:v>82.196485738589175</c:v>
                </c:pt>
                <c:pt idx="489">
                  <c:v>73.15484092394189</c:v>
                </c:pt>
                <c:pt idx="490">
                  <c:v>74.199665341005471</c:v>
                </c:pt>
                <c:pt idx="491">
                  <c:v>81.47693876256227</c:v>
                </c:pt>
                <c:pt idx="492">
                  <c:v>85.406958056093359</c:v>
                </c:pt>
                <c:pt idx="493">
                  <c:v>77.91088185313869</c:v>
                </c:pt>
                <c:pt idx="494">
                  <c:v>82.659007569199801</c:v>
                </c:pt>
                <c:pt idx="495">
                  <c:v>72.561368769269293</c:v>
                </c:pt>
                <c:pt idx="496">
                  <c:v>83.188147953902799</c:v>
                </c:pt>
                <c:pt idx="497">
                  <c:v>79.466403921193105</c:v>
                </c:pt>
                <c:pt idx="498">
                  <c:v>74.127640738762764</c:v>
                </c:pt>
                <c:pt idx="499">
                  <c:v>88.766677075997691</c:v>
                </c:pt>
                <c:pt idx="500">
                  <c:v>77.868798162188099</c:v>
                </c:pt>
                <c:pt idx="501">
                  <c:v>79.22184897692388</c:v>
                </c:pt>
                <c:pt idx="502">
                  <c:v>73.425973096280899</c:v>
                </c:pt>
                <c:pt idx="503">
                  <c:v>79.897887951041255</c:v>
                </c:pt>
                <c:pt idx="504">
                  <c:v>71.750673084038169</c:v>
                </c:pt>
                <c:pt idx="505">
                  <c:v>80.448848820590584</c:v>
                </c:pt>
                <c:pt idx="506">
                  <c:v>74.055931704306772</c:v>
                </c:pt>
                <c:pt idx="507">
                  <c:v>85.214451232780746</c:v>
                </c:pt>
                <c:pt idx="508">
                  <c:v>73.552103836789982</c:v>
                </c:pt>
                <c:pt idx="509">
                  <c:v>83.287786269754889</c:v>
                </c:pt>
                <c:pt idx="510">
                  <c:v>79.642639217242987</c:v>
                </c:pt>
                <c:pt idx="511">
                  <c:v>75.380908041032399</c:v>
                </c:pt>
                <c:pt idx="512">
                  <c:v>92.767320510889675</c:v>
                </c:pt>
                <c:pt idx="513">
                  <c:v>310.67557803840788</c:v>
                </c:pt>
                <c:pt idx="514">
                  <c:v>83.509034375411971</c:v>
                </c:pt>
                <c:pt idx="515">
                  <c:v>78.354506409810568</c:v>
                </c:pt>
                <c:pt idx="516">
                  <c:v>71.880850574797648</c:v>
                </c:pt>
                <c:pt idx="517">
                  <c:v>80.131563062259048</c:v>
                </c:pt>
                <c:pt idx="518">
                  <c:v>77.181381955896896</c:v>
                </c:pt>
                <c:pt idx="519">
                  <c:v>77.51043536535829</c:v>
                </c:pt>
                <c:pt idx="520">
                  <c:v>75.654879199173692</c:v>
                </c:pt>
                <c:pt idx="521">
                  <c:v>77.381826783459999</c:v>
                </c:pt>
                <c:pt idx="522">
                  <c:v>84.351131883353546</c:v>
                </c:pt>
                <c:pt idx="523">
                  <c:v>83.255409607691902</c:v>
                </c:pt>
                <c:pt idx="524">
                  <c:v>79.704946378252671</c:v>
                </c:pt>
                <c:pt idx="525">
                  <c:v>70.765228436602726</c:v>
                </c:pt>
                <c:pt idx="526">
                  <c:v>68.600840547886051</c:v>
                </c:pt>
                <c:pt idx="527">
                  <c:v>85.531191246236673</c:v>
                </c:pt>
                <c:pt idx="528">
                  <c:v>73.083192571572312</c:v>
                </c:pt>
                <c:pt idx="529">
                  <c:v>70.637565239193847</c:v>
                </c:pt>
                <c:pt idx="530">
                  <c:v>82.767249752132585</c:v>
                </c:pt>
                <c:pt idx="531">
                  <c:v>72.714058162389534</c:v>
                </c:pt>
                <c:pt idx="532">
                  <c:v>90.702531193862484</c:v>
                </c:pt>
                <c:pt idx="533">
                  <c:v>73.572511542816386</c:v>
                </c:pt>
                <c:pt idx="534">
                  <c:v>79.226592675332967</c:v>
                </c:pt>
                <c:pt idx="535">
                  <c:v>78.055647072950194</c:v>
                </c:pt>
                <c:pt idx="536">
                  <c:v>83.605211597342219</c:v>
                </c:pt>
                <c:pt idx="537">
                  <c:v>76.087740430621281</c:v>
                </c:pt>
                <c:pt idx="538">
                  <c:v>81.348895103488488</c:v>
                </c:pt>
                <c:pt idx="539">
                  <c:v>81.594339886212893</c:v>
                </c:pt>
                <c:pt idx="540">
                  <c:v>87.237681369080036</c:v>
                </c:pt>
                <c:pt idx="541">
                  <c:v>81.206117204187152</c:v>
                </c:pt>
                <c:pt idx="542">
                  <c:v>79.649182024073866</c:v>
                </c:pt>
                <c:pt idx="543">
                  <c:v>76.554085910124243</c:v>
                </c:pt>
                <c:pt idx="544">
                  <c:v>124.49415610661949</c:v>
                </c:pt>
                <c:pt idx="545">
                  <c:v>84.721099772062786</c:v>
                </c:pt>
                <c:pt idx="546">
                  <c:v>70.426658355684239</c:v>
                </c:pt>
                <c:pt idx="547">
                  <c:v>70.485475051067482</c:v>
                </c:pt>
                <c:pt idx="548">
                  <c:v>71.42690483860116</c:v>
                </c:pt>
                <c:pt idx="549">
                  <c:v>76.378830331997776</c:v>
                </c:pt>
                <c:pt idx="550">
                  <c:v>80.51563297344677</c:v>
                </c:pt>
                <c:pt idx="551">
                  <c:v>74.54017478621364</c:v>
                </c:pt>
                <c:pt idx="552">
                  <c:v>79.841243855173175</c:v>
                </c:pt>
                <c:pt idx="553">
                  <c:v>81.336956676462279</c:v>
                </c:pt>
                <c:pt idx="554">
                  <c:v>67.944253625632086</c:v>
                </c:pt>
                <c:pt idx="555">
                  <c:v>76.349135895454197</c:v>
                </c:pt>
                <c:pt idx="556">
                  <c:v>79.268840861980919</c:v>
                </c:pt>
                <c:pt idx="557">
                  <c:v>74.441118372943535</c:v>
                </c:pt>
                <c:pt idx="558">
                  <c:v>74.165897674908607</c:v>
                </c:pt>
                <c:pt idx="559">
                  <c:v>80.154351441297962</c:v>
                </c:pt>
                <c:pt idx="560">
                  <c:v>79.699852214228343</c:v>
                </c:pt>
                <c:pt idx="561">
                  <c:v>76.614326701304392</c:v>
                </c:pt>
                <c:pt idx="562">
                  <c:v>79.751440345955089</c:v>
                </c:pt>
                <c:pt idx="563">
                  <c:v>85.077000576917229</c:v>
                </c:pt>
                <c:pt idx="564">
                  <c:v>88.635975640341158</c:v>
                </c:pt>
                <c:pt idx="565">
                  <c:v>76.958499713477295</c:v>
                </c:pt>
                <c:pt idx="566">
                  <c:v>75.771597561808392</c:v>
                </c:pt>
                <c:pt idx="567">
                  <c:v>79.371532216615179</c:v>
                </c:pt>
                <c:pt idx="568">
                  <c:v>80.425185631513344</c:v>
                </c:pt>
                <c:pt idx="569">
                  <c:v>74.306789335612066</c:v>
                </c:pt>
                <c:pt idx="570">
                  <c:v>88.500929877754956</c:v>
                </c:pt>
                <c:pt idx="571">
                  <c:v>72.526757930838428</c:v>
                </c:pt>
                <c:pt idx="572">
                  <c:v>75.386012303533903</c:v>
                </c:pt>
                <c:pt idx="573">
                  <c:v>76.730549261602619</c:v>
                </c:pt>
                <c:pt idx="574">
                  <c:v>81.885252394511625</c:v>
                </c:pt>
                <c:pt idx="575">
                  <c:v>97.964082356842553</c:v>
                </c:pt>
                <c:pt idx="576">
                  <c:v>259.27806708410623</c:v>
                </c:pt>
                <c:pt idx="577">
                  <c:v>79.599507769631344</c:v>
                </c:pt>
                <c:pt idx="578">
                  <c:v>74.842497968384492</c:v>
                </c:pt>
                <c:pt idx="579">
                  <c:v>78.588612088035006</c:v>
                </c:pt>
                <c:pt idx="580">
                  <c:v>77.325473779948609</c:v>
                </c:pt>
                <c:pt idx="581">
                  <c:v>76.071151470088012</c:v>
                </c:pt>
                <c:pt idx="582">
                  <c:v>89.172239630660343</c:v>
                </c:pt>
                <c:pt idx="583">
                  <c:v>78.933998021837269</c:v>
                </c:pt>
                <c:pt idx="584">
                  <c:v>78.911947613780654</c:v>
                </c:pt>
                <c:pt idx="585">
                  <c:v>82.385815657071845</c:v>
                </c:pt>
                <c:pt idx="586">
                  <c:v>74.017587938064622</c:v>
                </c:pt>
                <c:pt idx="587">
                  <c:v>76.665597699915182</c:v>
                </c:pt>
                <c:pt idx="588">
                  <c:v>74.390493821031413</c:v>
                </c:pt>
                <c:pt idx="589">
                  <c:v>85.724926481385467</c:v>
                </c:pt>
                <c:pt idx="590">
                  <c:v>77.71299959426392</c:v>
                </c:pt>
                <c:pt idx="591">
                  <c:v>90.762482613239982</c:v>
                </c:pt>
                <c:pt idx="592">
                  <c:v>91.206276023926776</c:v>
                </c:pt>
                <c:pt idx="593">
                  <c:v>81.138180873857834</c:v>
                </c:pt>
                <c:pt idx="594">
                  <c:v>76.686885477159649</c:v>
                </c:pt>
                <c:pt idx="595">
                  <c:v>73.581442955898751</c:v>
                </c:pt>
                <c:pt idx="596">
                  <c:v>77.31598360847417</c:v>
                </c:pt>
                <c:pt idx="597">
                  <c:v>75.541597564003965</c:v>
                </c:pt>
                <c:pt idx="598">
                  <c:v>77.135044382548543</c:v>
                </c:pt>
                <c:pt idx="599">
                  <c:v>82.016284419477742</c:v>
                </c:pt>
                <c:pt idx="600">
                  <c:v>77.73444657787735</c:v>
                </c:pt>
                <c:pt idx="601">
                  <c:v>75.720892799318364</c:v>
                </c:pt>
                <c:pt idx="602">
                  <c:v>76.758778584288734</c:v>
                </c:pt>
                <c:pt idx="603">
                  <c:v>76.223799583404883</c:v>
                </c:pt>
                <c:pt idx="604">
                  <c:v>119.99318830243855</c:v>
                </c:pt>
                <c:pt idx="605">
                  <c:v>83.826605777753258</c:v>
                </c:pt>
                <c:pt idx="606">
                  <c:v>71.254019467033373</c:v>
                </c:pt>
                <c:pt idx="607">
                  <c:v>74.861927246000533</c:v>
                </c:pt>
                <c:pt idx="608">
                  <c:v>72.675927353723992</c:v>
                </c:pt>
                <c:pt idx="609">
                  <c:v>82.59260133579329</c:v>
                </c:pt>
                <c:pt idx="610">
                  <c:v>85.885604772723852</c:v>
                </c:pt>
                <c:pt idx="611">
                  <c:v>74.303526117501818</c:v>
                </c:pt>
                <c:pt idx="612">
                  <c:v>80.077411868027866</c:v>
                </c:pt>
                <c:pt idx="613">
                  <c:v>71.395282961638571</c:v>
                </c:pt>
                <c:pt idx="614">
                  <c:v>80.24139465163573</c:v>
                </c:pt>
                <c:pt idx="615">
                  <c:v>78.428001094274819</c:v>
                </c:pt>
                <c:pt idx="616">
                  <c:v>71.559450338556474</c:v>
                </c:pt>
                <c:pt idx="617">
                  <c:v>73.498174521730732</c:v>
                </c:pt>
                <c:pt idx="618">
                  <c:v>81.933345870838295</c:v>
                </c:pt>
                <c:pt idx="619">
                  <c:v>83.642109982665815</c:v>
                </c:pt>
                <c:pt idx="620">
                  <c:v>71.335012789378865</c:v>
                </c:pt>
                <c:pt idx="621">
                  <c:v>87.546387162581937</c:v>
                </c:pt>
                <c:pt idx="622">
                  <c:v>77.358991554505209</c:v>
                </c:pt>
                <c:pt idx="623">
                  <c:v>76.989264865270286</c:v>
                </c:pt>
                <c:pt idx="624">
                  <c:v>72.715080543206525</c:v>
                </c:pt>
                <c:pt idx="625">
                  <c:v>83.807138714310923</c:v>
                </c:pt>
                <c:pt idx="626">
                  <c:v>78.546211413034186</c:v>
                </c:pt>
                <c:pt idx="627">
                  <c:v>73.849676617549392</c:v>
                </c:pt>
                <c:pt idx="628">
                  <c:v>73.317918537800821</c:v>
                </c:pt>
                <c:pt idx="629">
                  <c:v>81.775572648740365</c:v>
                </c:pt>
                <c:pt idx="630">
                  <c:v>73.620512517960265</c:v>
                </c:pt>
                <c:pt idx="631">
                  <c:v>80.565226553984729</c:v>
                </c:pt>
                <c:pt idx="632">
                  <c:v>95.781134076716938</c:v>
                </c:pt>
                <c:pt idx="633">
                  <c:v>195.52353623210891</c:v>
                </c:pt>
                <c:pt idx="634">
                  <c:v>72.175184622666166</c:v>
                </c:pt>
                <c:pt idx="635">
                  <c:v>80.331375497208953</c:v>
                </c:pt>
                <c:pt idx="636">
                  <c:v>86.984222573438032</c:v>
                </c:pt>
                <c:pt idx="637">
                  <c:v>87.126642050164179</c:v>
                </c:pt>
                <c:pt idx="638">
                  <c:v>77.095368647961863</c:v>
                </c:pt>
                <c:pt idx="639">
                  <c:v>82.225973996976123</c:v>
                </c:pt>
                <c:pt idx="640">
                  <c:v>79.412635433693481</c:v>
                </c:pt>
                <c:pt idx="641">
                  <c:v>91.872221641629636</c:v>
                </c:pt>
                <c:pt idx="642">
                  <c:v>71.094410348006363</c:v>
                </c:pt>
                <c:pt idx="643">
                  <c:v>80.47320692916928</c:v>
                </c:pt>
                <c:pt idx="644">
                  <c:v>79.528731452904736</c:v>
                </c:pt>
                <c:pt idx="645">
                  <c:v>77.35780397452092</c:v>
                </c:pt>
                <c:pt idx="646">
                  <c:v>74.547218562403003</c:v>
                </c:pt>
                <c:pt idx="647">
                  <c:v>73.325516973553974</c:v>
                </c:pt>
                <c:pt idx="648">
                  <c:v>76.942110130994152</c:v>
                </c:pt>
                <c:pt idx="649">
                  <c:v>77.392026009730913</c:v>
                </c:pt>
                <c:pt idx="650">
                  <c:v>89.482025839247271</c:v>
                </c:pt>
                <c:pt idx="651">
                  <c:v>77.830323575607238</c:v>
                </c:pt>
                <c:pt idx="652">
                  <c:v>75.374286005153479</c:v>
                </c:pt>
                <c:pt idx="653">
                  <c:v>81.241192592183026</c:v>
                </c:pt>
                <c:pt idx="654">
                  <c:v>79.990765638895937</c:v>
                </c:pt>
                <c:pt idx="655">
                  <c:v>81.355803101107853</c:v>
                </c:pt>
                <c:pt idx="656">
                  <c:v>79.956456550732014</c:v>
                </c:pt>
                <c:pt idx="657">
                  <c:v>87.909296481439199</c:v>
                </c:pt>
                <c:pt idx="658">
                  <c:v>87.009946110470466</c:v>
                </c:pt>
                <c:pt idx="659">
                  <c:v>80.110337191023262</c:v>
                </c:pt>
                <c:pt idx="660">
                  <c:v>89.547424228237716</c:v>
                </c:pt>
                <c:pt idx="661">
                  <c:v>73.75059723936937</c:v>
                </c:pt>
                <c:pt idx="662">
                  <c:v>76.740064404410646</c:v>
                </c:pt>
                <c:pt idx="663">
                  <c:v>131.42342065499713</c:v>
                </c:pt>
                <c:pt idx="664">
                  <c:v>95.760719653299844</c:v>
                </c:pt>
                <c:pt idx="665">
                  <c:v>84.74386468655247</c:v>
                </c:pt>
                <c:pt idx="666">
                  <c:v>84.091703386042823</c:v>
                </c:pt>
                <c:pt idx="667">
                  <c:v>71.028239777758515</c:v>
                </c:pt>
                <c:pt idx="668">
                  <c:v>76.549250375518753</c:v>
                </c:pt>
                <c:pt idx="669">
                  <c:v>81.465339978002945</c:v>
                </c:pt>
                <c:pt idx="670">
                  <c:v>80.372240260766262</c:v>
                </c:pt>
                <c:pt idx="671">
                  <c:v>86.736167385605512</c:v>
                </c:pt>
                <c:pt idx="672">
                  <c:v>74.498797344277051</c:v>
                </c:pt>
                <c:pt idx="673">
                  <c:v>77.612813063842623</c:v>
                </c:pt>
                <c:pt idx="674">
                  <c:v>68.594972711385054</c:v>
                </c:pt>
                <c:pt idx="675">
                  <c:v>79.90997727619019</c:v>
                </c:pt>
                <c:pt idx="676">
                  <c:v>79.740952607290538</c:v>
                </c:pt>
                <c:pt idx="677">
                  <c:v>74.501505177902459</c:v>
                </c:pt>
                <c:pt idx="678">
                  <c:v>75.467558627793764</c:v>
                </c:pt>
                <c:pt idx="679">
                  <c:v>79.929705892095996</c:v>
                </c:pt>
                <c:pt idx="680">
                  <c:v>88.398531188048139</c:v>
                </c:pt>
                <c:pt idx="681">
                  <c:v>70.457997665249522</c:v>
                </c:pt>
                <c:pt idx="682">
                  <c:v>96.635152681531636</c:v>
                </c:pt>
                <c:pt idx="683">
                  <c:v>80.422875560538344</c:v>
                </c:pt>
                <c:pt idx="684">
                  <c:v>75.680230703713491</c:v>
                </c:pt>
                <c:pt idx="685">
                  <c:v>79.248140636769349</c:v>
                </c:pt>
                <c:pt idx="686">
                  <c:v>73.8709539429572</c:v>
                </c:pt>
                <c:pt idx="687">
                  <c:v>82.74505064369454</c:v>
                </c:pt>
                <c:pt idx="688">
                  <c:v>81.799145834177125</c:v>
                </c:pt>
                <c:pt idx="689">
                  <c:v>75.125277783055111</c:v>
                </c:pt>
                <c:pt idx="690">
                  <c:v>80.891775475833583</c:v>
                </c:pt>
                <c:pt idx="691">
                  <c:v>82.736562720491818</c:v>
                </c:pt>
                <c:pt idx="692">
                  <c:v>79.823680807979514</c:v>
                </c:pt>
                <c:pt idx="693">
                  <c:v>80.00069062305964</c:v>
                </c:pt>
                <c:pt idx="694">
                  <c:v>79.510596578495225</c:v>
                </c:pt>
                <c:pt idx="695">
                  <c:v>111.16531715514895</c:v>
                </c:pt>
                <c:pt idx="696">
                  <c:v>79.151225829760506</c:v>
                </c:pt>
                <c:pt idx="697">
                  <c:v>75.61419140871044</c:v>
                </c:pt>
                <c:pt idx="698">
                  <c:v>79.577642649257328</c:v>
                </c:pt>
                <c:pt idx="699">
                  <c:v>82.096555200313389</c:v>
                </c:pt>
                <c:pt idx="700">
                  <c:v>70.940889460492571</c:v>
                </c:pt>
                <c:pt idx="701">
                  <c:v>89.088192469187689</c:v>
                </c:pt>
                <c:pt idx="702">
                  <c:v>82.879524673304246</c:v>
                </c:pt>
                <c:pt idx="703">
                  <c:v>76.366565700522813</c:v>
                </c:pt>
                <c:pt idx="704">
                  <c:v>83.721939294942473</c:v>
                </c:pt>
                <c:pt idx="705">
                  <c:v>74.146418820004371</c:v>
                </c:pt>
                <c:pt idx="706">
                  <c:v>76.468700456164015</c:v>
                </c:pt>
                <c:pt idx="707">
                  <c:v>81.853213290799374</c:v>
                </c:pt>
                <c:pt idx="708">
                  <c:v>80.561153550703878</c:v>
                </c:pt>
                <c:pt idx="709">
                  <c:v>81.416681792351497</c:v>
                </c:pt>
                <c:pt idx="710">
                  <c:v>74.055782420796035</c:v>
                </c:pt>
                <c:pt idx="711">
                  <c:v>76.026534125056628</c:v>
                </c:pt>
                <c:pt idx="712">
                  <c:v>79.656426299237367</c:v>
                </c:pt>
                <c:pt idx="713">
                  <c:v>87.724480287339176</c:v>
                </c:pt>
                <c:pt idx="714">
                  <c:v>90.409958453881799</c:v>
                </c:pt>
                <c:pt idx="715">
                  <c:v>70.055282156380102</c:v>
                </c:pt>
                <c:pt idx="716">
                  <c:v>74.598709918110515</c:v>
                </c:pt>
                <c:pt idx="717">
                  <c:v>75.597517572611636</c:v>
                </c:pt>
                <c:pt idx="718">
                  <c:v>70.281094239958179</c:v>
                </c:pt>
                <c:pt idx="719">
                  <c:v>93.939094838118095</c:v>
                </c:pt>
                <c:pt idx="720">
                  <c:v>86.386037011692082</c:v>
                </c:pt>
                <c:pt idx="721">
                  <c:v>85.18723088093482</c:v>
                </c:pt>
                <c:pt idx="722">
                  <c:v>78.342281086809734</c:v>
                </c:pt>
                <c:pt idx="723">
                  <c:v>85.204973614109235</c:v>
                </c:pt>
                <c:pt idx="724">
                  <c:v>80.908090434049939</c:v>
                </c:pt>
                <c:pt idx="725">
                  <c:v>80.266924239614255</c:v>
                </c:pt>
                <c:pt idx="726">
                  <c:v>81.629546712434902</c:v>
                </c:pt>
                <c:pt idx="727">
                  <c:v>132.96545583094652</c:v>
                </c:pt>
                <c:pt idx="728">
                  <c:v>77.956856660599357</c:v>
                </c:pt>
                <c:pt idx="729">
                  <c:v>77.155346350932476</c:v>
                </c:pt>
                <c:pt idx="730">
                  <c:v>70.826233879870088</c:v>
                </c:pt>
                <c:pt idx="731">
                  <c:v>79.444538212166265</c:v>
                </c:pt>
                <c:pt idx="732">
                  <c:v>82.110165194331984</c:v>
                </c:pt>
                <c:pt idx="733">
                  <c:v>82.856228240987448</c:v>
                </c:pt>
                <c:pt idx="734">
                  <c:v>77.873523075717458</c:v>
                </c:pt>
                <c:pt idx="735">
                  <c:v>72.24015210657511</c:v>
                </c:pt>
                <c:pt idx="736">
                  <c:v>72.854048415291444</c:v>
                </c:pt>
                <c:pt idx="737">
                  <c:v>82.167709491209777</c:v>
                </c:pt>
                <c:pt idx="738">
                  <c:v>71.078135305762217</c:v>
                </c:pt>
                <c:pt idx="739">
                  <c:v>81.353134638814836</c:v>
                </c:pt>
                <c:pt idx="740">
                  <c:v>82.606210778963316</c:v>
                </c:pt>
                <c:pt idx="741">
                  <c:v>87.249328666263878</c:v>
                </c:pt>
                <c:pt idx="742">
                  <c:v>78.352327657541025</c:v>
                </c:pt>
                <c:pt idx="743">
                  <c:v>80.402967746112481</c:v>
                </c:pt>
                <c:pt idx="744">
                  <c:v>88.60936203052168</c:v>
                </c:pt>
                <c:pt idx="745">
                  <c:v>86.814118636079527</c:v>
                </c:pt>
                <c:pt idx="746">
                  <c:v>81.363699895642895</c:v>
                </c:pt>
                <c:pt idx="747">
                  <c:v>90.332669481522601</c:v>
                </c:pt>
                <c:pt idx="748">
                  <c:v>80.320731143384336</c:v>
                </c:pt>
                <c:pt idx="749">
                  <c:v>80.02618768913652</c:v>
                </c:pt>
                <c:pt idx="750">
                  <c:v>101.03850525039394</c:v>
                </c:pt>
                <c:pt idx="751">
                  <c:v>84.982983504704052</c:v>
                </c:pt>
                <c:pt idx="752">
                  <c:v>81.465270961515856</c:v>
                </c:pt>
                <c:pt idx="753">
                  <c:v>87.318163642345993</c:v>
                </c:pt>
                <c:pt idx="754">
                  <c:v>78.91182420278345</c:v>
                </c:pt>
                <c:pt idx="755">
                  <c:v>79.752586519578287</c:v>
                </c:pt>
                <c:pt idx="756">
                  <c:v>72.116508474840188</c:v>
                </c:pt>
                <c:pt idx="757">
                  <c:v>72.039739303923511</c:v>
                </c:pt>
                <c:pt idx="758">
                  <c:v>82.752421964478188</c:v>
                </c:pt>
                <c:pt idx="759">
                  <c:v>92.321432246991776</c:v>
                </c:pt>
                <c:pt idx="760">
                  <c:v>79.280737688590861</c:v>
                </c:pt>
                <c:pt idx="761">
                  <c:v>71.805375958455812</c:v>
                </c:pt>
                <c:pt idx="762">
                  <c:v>78.375170388731362</c:v>
                </c:pt>
                <c:pt idx="763">
                  <c:v>73.551437840007807</c:v>
                </c:pt>
                <c:pt idx="764">
                  <c:v>78.354487579517382</c:v>
                </c:pt>
                <c:pt idx="765">
                  <c:v>80.748622742280006</c:v>
                </c:pt>
                <c:pt idx="766">
                  <c:v>78.079678563237763</c:v>
                </c:pt>
                <c:pt idx="767">
                  <c:v>81.532839172668218</c:v>
                </c:pt>
                <c:pt idx="768">
                  <c:v>95.023915279289113</c:v>
                </c:pt>
                <c:pt idx="769">
                  <c:v>86.653703794100949</c:v>
                </c:pt>
                <c:pt idx="770">
                  <c:v>79.3707584541757</c:v>
                </c:pt>
                <c:pt idx="771">
                  <c:v>75.673512605327602</c:v>
                </c:pt>
                <c:pt idx="772">
                  <c:v>71.552833713868822</c:v>
                </c:pt>
                <c:pt idx="773">
                  <c:v>96.260737775202145</c:v>
                </c:pt>
                <c:pt idx="774">
                  <c:v>81.283470913468364</c:v>
                </c:pt>
                <c:pt idx="775">
                  <c:v>77.497696849498382</c:v>
                </c:pt>
                <c:pt idx="776">
                  <c:v>76.985430734499332</c:v>
                </c:pt>
                <c:pt idx="777">
                  <c:v>91.246602303575074</c:v>
                </c:pt>
                <c:pt idx="778">
                  <c:v>80.925705712570931</c:v>
                </c:pt>
                <c:pt idx="779">
                  <c:v>93.084545154961674</c:v>
                </c:pt>
                <c:pt idx="780">
                  <c:v>75.982421459240285</c:v>
                </c:pt>
                <c:pt idx="781">
                  <c:v>79.547454445909494</c:v>
                </c:pt>
                <c:pt idx="782">
                  <c:v>78.439806285703384</c:v>
                </c:pt>
                <c:pt idx="783">
                  <c:v>79.575146359417914</c:v>
                </c:pt>
                <c:pt idx="784">
                  <c:v>81.168049762595402</c:v>
                </c:pt>
                <c:pt idx="785">
                  <c:v>91.581369464780195</c:v>
                </c:pt>
                <c:pt idx="786">
                  <c:v>90.586729561309696</c:v>
                </c:pt>
                <c:pt idx="787">
                  <c:v>77.257356165114444</c:v>
                </c:pt>
                <c:pt idx="788">
                  <c:v>91.032333849566953</c:v>
                </c:pt>
                <c:pt idx="789">
                  <c:v>188.04507400022169</c:v>
                </c:pt>
                <c:pt idx="790">
                  <c:v>196.4247082938607</c:v>
                </c:pt>
                <c:pt idx="791">
                  <c:v>75.281276959187011</c:v>
                </c:pt>
                <c:pt idx="792">
                  <c:v>76.556802974445546</c:v>
                </c:pt>
                <c:pt idx="793">
                  <c:v>82.982259825385682</c:v>
                </c:pt>
                <c:pt idx="794">
                  <c:v>81.470057858115098</c:v>
                </c:pt>
                <c:pt idx="795">
                  <c:v>81.514416667339518</c:v>
                </c:pt>
                <c:pt idx="796">
                  <c:v>78.370539572003409</c:v>
                </c:pt>
                <c:pt idx="797">
                  <c:v>70.202599599278926</c:v>
                </c:pt>
                <c:pt idx="798">
                  <c:v>79.859142196336393</c:v>
                </c:pt>
                <c:pt idx="799">
                  <c:v>73.729736542189073</c:v>
                </c:pt>
                <c:pt idx="800">
                  <c:v>93.498943270179581</c:v>
                </c:pt>
                <c:pt idx="801">
                  <c:v>84.657334184896072</c:v>
                </c:pt>
                <c:pt idx="802">
                  <c:v>78.098175354983979</c:v>
                </c:pt>
                <c:pt idx="803">
                  <c:v>74.475846912203707</c:v>
                </c:pt>
                <c:pt idx="804">
                  <c:v>79.661770923314592</c:v>
                </c:pt>
                <c:pt idx="805">
                  <c:v>72.117050713997216</c:v>
                </c:pt>
                <c:pt idx="806">
                  <c:v>76.11020712702215</c:v>
                </c:pt>
                <c:pt idx="807">
                  <c:v>78.638646224317</c:v>
                </c:pt>
                <c:pt idx="808">
                  <c:v>81.293347863802154</c:v>
                </c:pt>
                <c:pt idx="809">
                  <c:v>80.0484152475304</c:v>
                </c:pt>
                <c:pt idx="810">
                  <c:v>78.714608293631727</c:v>
                </c:pt>
                <c:pt idx="811">
                  <c:v>81.924180711590267</c:v>
                </c:pt>
                <c:pt idx="812">
                  <c:v>80.090989911300483</c:v>
                </c:pt>
                <c:pt idx="813">
                  <c:v>70.236219337913667</c:v>
                </c:pt>
                <c:pt idx="814">
                  <c:v>81.485566620607798</c:v>
                </c:pt>
                <c:pt idx="815">
                  <c:v>112.48360380662294</c:v>
                </c:pt>
                <c:pt idx="816">
                  <c:v>78.776113303536363</c:v>
                </c:pt>
                <c:pt idx="817">
                  <c:v>78.370554557434986</c:v>
                </c:pt>
                <c:pt idx="818">
                  <c:v>79.241374493659293</c:v>
                </c:pt>
                <c:pt idx="819">
                  <c:v>79.955295859278564</c:v>
                </c:pt>
                <c:pt idx="820">
                  <c:v>75.921440032919662</c:v>
                </c:pt>
                <c:pt idx="821">
                  <c:v>70.285440229043132</c:v>
                </c:pt>
                <c:pt idx="822">
                  <c:v>78.564925936463339</c:v>
                </c:pt>
                <c:pt idx="823">
                  <c:v>85.01394049061814</c:v>
                </c:pt>
                <c:pt idx="824">
                  <c:v>81.46792141436427</c:v>
                </c:pt>
                <c:pt idx="825">
                  <c:v>75.8321833419065</c:v>
                </c:pt>
                <c:pt idx="826">
                  <c:v>86.498946319999163</c:v>
                </c:pt>
                <c:pt idx="827">
                  <c:v>88.212966553568322</c:v>
                </c:pt>
                <c:pt idx="828">
                  <c:v>71.330734238502728</c:v>
                </c:pt>
                <c:pt idx="829">
                  <c:v>98.437524713424537</c:v>
                </c:pt>
                <c:pt idx="830">
                  <c:v>74.369931559420522</c:v>
                </c:pt>
                <c:pt idx="831">
                  <c:v>82.813930776913423</c:v>
                </c:pt>
                <c:pt idx="832">
                  <c:v>72.801488386053677</c:v>
                </c:pt>
                <c:pt idx="833">
                  <c:v>86.03001319606463</c:v>
                </c:pt>
                <c:pt idx="834">
                  <c:v>78.393689961152205</c:v>
                </c:pt>
                <c:pt idx="835">
                  <c:v>80.461333650573053</c:v>
                </c:pt>
                <c:pt idx="836">
                  <c:v>84.435094814435345</c:v>
                </c:pt>
                <c:pt idx="837">
                  <c:v>79.073674334010533</c:v>
                </c:pt>
                <c:pt idx="838">
                  <c:v>77.794351336399231</c:v>
                </c:pt>
                <c:pt idx="839">
                  <c:v>80.254710772095038</c:v>
                </c:pt>
                <c:pt idx="840">
                  <c:v>78.047399383091673</c:v>
                </c:pt>
                <c:pt idx="841">
                  <c:v>74.592867348560091</c:v>
                </c:pt>
                <c:pt idx="842">
                  <c:v>78.902910949436958</c:v>
                </c:pt>
                <c:pt idx="843">
                  <c:v>106.90949395680862</c:v>
                </c:pt>
                <c:pt idx="844">
                  <c:v>164.52973326306892</c:v>
                </c:pt>
                <c:pt idx="845">
                  <c:v>75.720265937916466</c:v>
                </c:pt>
                <c:pt idx="846">
                  <c:v>71.196348797380253</c:v>
                </c:pt>
                <c:pt idx="847">
                  <c:v>73.442418414927332</c:v>
                </c:pt>
                <c:pt idx="848">
                  <c:v>81.849165301476503</c:v>
                </c:pt>
                <c:pt idx="849">
                  <c:v>72.6059010089932</c:v>
                </c:pt>
                <c:pt idx="850">
                  <c:v>76.845964287647504</c:v>
                </c:pt>
                <c:pt idx="851">
                  <c:v>76.386540443452191</c:v>
                </c:pt>
                <c:pt idx="852">
                  <c:v>94.361407263645319</c:v>
                </c:pt>
                <c:pt idx="853">
                  <c:v>110.39391006910556</c:v>
                </c:pt>
                <c:pt idx="854">
                  <c:v>69.691709164608213</c:v>
                </c:pt>
                <c:pt idx="855">
                  <c:v>71.540477855323047</c:v>
                </c:pt>
                <c:pt idx="856">
                  <c:v>99.450237627905523</c:v>
                </c:pt>
                <c:pt idx="857">
                  <c:v>66.202568037213922</c:v>
                </c:pt>
                <c:pt idx="858">
                  <c:v>102.21117662532755</c:v>
                </c:pt>
                <c:pt idx="859">
                  <c:v>83.077277950681918</c:v>
                </c:pt>
                <c:pt idx="860">
                  <c:v>82.561382302411872</c:v>
                </c:pt>
                <c:pt idx="861">
                  <c:v>77.706464746375175</c:v>
                </c:pt>
                <c:pt idx="862">
                  <c:v>72.295633762435756</c:v>
                </c:pt>
                <c:pt idx="863">
                  <c:v>71.86332312910551</c:v>
                </c:pt>
                <c:pt idx="864">
                  <c:v>80.152671347674001</c:v>
                </c:pt>
                <c:pt idx="865">
                  <c:v>81.032568072189534</c:v>
                </c:pt>
                <c:pt idx="866">
                  <c:v>77.039288489158196</c:v>
                </c:pt>
                <c:pt idx="867">
                  <c:v>72.319653134623991</c:v>
                </c:pt>
                <c:pt idx="868">
                  <c:v>72.130964863532071</c:v>
                </c:pt>
                <c:pt idx="869">
                  <c:v>84.675091102721836</c:v>
                </c:pt>
                <c:pt idx="870">
                  <c:v>76.58223584154554</c:v>
                </c:pt>
                <c:pt idx="871">
                  <c:v>88.33704655568819</c:v>
                </c:pt>
                <c:pt idx="872">
                  <c:v>78.28360758558857</c:v>
                </c:pt>
                <c:pt idx="873">
                  <c:v>72.167223003074625</c:v>
                </c:pt>
                <c:pt idx="874">
                  <c:v>139.1396600744753</c:v>
                </c:pt>
                <c:pt idx="875">
                  <c:v>131.10611432361335</c:v>
                </c:pt>
                <c:pt idx="876">
                  <c:v>78.762684058939556</c:v>
                </c:pt>
                <c:pt idx="877">
                  <c:v>84.512017802524596</c:v>
                </c:pt>
                <c:pt idx="878">
                  <c:v>81.501415954984452</c:v>
                </c:pt>
                <c:pt idx="879">
                  <c:v>72.54795620262891</c:v>
                </c:pt>
                <c:pt idx="880">
                  <c:v>85.241261529296168</c:v>
                </c:pt>
                <c:pt idx="881">
                  <c:v>91.314655435717683</c:v>
                </c:pt>
                <c:pt idx="882">
                  <c:v>78.841468017072728</c:v>
                </c:pt>
                <c:pt idx="883">
                  <c:v>90.175415130440285</c:v>
                </c:pt>
                <c:pt idx="884">
                  <c:v>88.313310094372412</c:v>
                </c:pt>
                <c:pt idx="885">
                  <c:v>89.446849892552635</c:v>
                </c:pt>
                <c:pt idx="886">
                  <c:v>84.062253706461604</c:v>
                </c:pt>
                <c:pt idx="887">
                  <c:v>92.510924596927154</c:v>
                </c:pt>
                <c:pt idx="888">
                  <c:v>84.431066638515858</c:v>
                </c:pt>
                <c:pt idx="889">
                  <c:v>89.090321084252494</c:v>
                </c:pt>
                <c:pt idx="890">
                  <c:v>87.054921969158457</c:v>
                </c:pt>
                <c:pt idx="891">
                  <c:v>74.31867815844636</c:v>
                </c:pt>
                <c:pt idx="892">
                  <c:v>79.300755646028946</c:v>
                </c:pt>
                <c:pt idx="893">
                  <c:v>76.480324518223668</c:v>
                </c:pt>
                <c:pt idx="894">
                  <c:v>84.585645707108654</c:v>
                </c:pt>
                <c:pt idx="895">
                  <c:v>74.12353952905552</c:v>
                </c:pt>
                <c:pt idx="896">
                  <c:v>83.342131901067177</c:v>
                </c:pt>
                <c:pt idx="897">
                  <c:v>76.06799371478435</c:v>
                </c:pt>
                <c:pt idx="898">
                  <c:v>78.959930642028951</c:v>
                </c:pt>
                <c:pt idx="899">
                  <c:v>81.860583115975345</c:v>
                </c:pt>
                <c:pt idx="900">
                  <c:v>73.437516512708385</c:v>
                </c:pt>
                <c:pt idx="901">
                  <c:v>84.116423742862182</c:v>
                </c:pt>
                <c:pt idx="902">
                  <c:v>84.643621791414532</c:v>
                </c:pt>
                <c:pt idx="903">
                  <c:v>80.590445286578316</c:v>
                </c:pt>
                <c:pt idx="904">
                  <c:v>104.17329422809496</c:v>
                </c:pt>
                <c:pt idx="905">
                  <c:v>86.921083092924036</c:v>
                </c:pt>
                <c:pt idx="906">
                  <c:v>89.61096957529908</c:v>
                </c:pt>
                <c:pt idx="907">
                  <c:v>88.022300866380036</c:v>
                </c:pt>
                <c:pt idx="908">
                  <c:v>69.814232858491565</c:v>
                </c:pt>
                <c:pt idx="909">
                  <c:v>96.927091530712914</c:v>
                </c:pt>
                <c:pt idx="910">
                  <c:v>82.782562469734941</c:v>
                </c:pt>
                <c:pt idx="911">
                  <c:v>71.941098652952704</c:v>
                </c:pt>
                <c:pt idx="912">
                  <c:v>77.757573002575157</c:v>
                </c:pt>
                <c:pt idx="913">
                  <c:v>94.723522552129722</c:v>
                </c:pt>
                <c:pt idx="914">
                  <c:v>84.061552252389632</c:v>
                </c:pt>
                <c:pt idx="915">
                  <c:v>75.36943943467773</c:v>
                </c:pt>
                <c:pt idx="916">
                  <c:v>109.80464827949348</c:v>
                </c:pt>
                <c:pt idx="917">
                  <c:v>89.253919939236624</c:v>
                </c:pt>
                <c:pt idx="918">
                  <c:v>73.398378898257931</c:v>
                </c:pt>
                <c:pt idx="919">
                  <c:v>83.431089734112987</c:v>
                </c:pt>
                <c:pt idx="920">
                  <c:v>75.807172176177929</c:v>
                </c:pt>
                <c:pt idx="921">
                  <c:v>80.354994018328384</c:v>
                </c:pt>
                <c:pt idx="922">
                  <c:v>79.189654718179426</c:v>
                </c:pt>
                <c:pt idx="923">
                  <c:v>71.516389634440714</c:v>
                </c:pt>
                <c:pt idx="924">
                  <c:v>79.608850027757398</c:v>
                </c:pt>
                <c:pt idx="925">
                  <c:v>83.865651978392165</c:v>
                </c:pt>
                <c:pt idx="926">
                  <c:v>76.577452476344362</c:v>
                </c:pt>
                <c:pt idx="927">
                  <c:v>75.454303700681592</c:v>
                </c:pt>
                <c:pt idx="928">
                  <c:v>73.652164352389889</c:v>
                </c:pt>
                <c:pt idx="929">
                  <c:v>105.46914681869184</c:v>
                </c:pt>
                <c:pt idx="930">
                  <c:v>133.87207423780447</c:v>
                </c:pt>
                <c:pt idx="931">
                  <c:v>260.57361004517196</c:v>
                </c:pt>
                <c:pt idx="932">
                  <c:v>89.88964629776325</c:v>
                </c:pt>
                <c:pt idx="933">
                  <c:v>83.208197432232225</c:v>
                </c:pt>
                <c:pt idx="934">
                  <c:v>103.37647224489166</c:v>
                </c:pt>
                <c:pt idx="935">
                  <c:v>90.624690000178305</c:v>
                </c:pt>
                <c:pt idx="936">
                  <c:v>78.639788186699946</c:v>
                </c:pt>
                <c:pt idx="937">
                  <c:v>85.056856618521962</c:v>
                </c:pt>
                <c:pt idx="938">
                  <c:v>74.040125105741183</c:v>
                </c:pt>
                <c:pt idx="939">
                  <c:v>78.481628609807245</c:v>
                </c:pt>
                <c:pt idx="940">
                  <c:v>71.544459549338299</c:v>
                </c:pt>
                <c:pt idx="941">
                  <c:v>72.060610725349434</c:v>
                </c:pt>
                <c:pt idx="942">
                  <c:v>76.597218665589637</c:v>
                </c:pt>
                <c:pt idx="943">
                  <c:v>77.13858630307692</c:v>
                </c:pt>
                <c:pt idx="944">
                  <c:v>75.657272689607865</c:v>
                </c:pt>
                <c:pt idx="945">
                  <c:v>83.768315026595786</c:v>
                </c:pt>
                <c:pt idx="946">
                  <c:v>80.559212516714496</c:v>
                </c:pt>
                <c:pt idx="947">
                  <c:v>82.015455825566946</c:v>
                </c:pt>
                <c:pt idx="948">
                  <c:v>70.820470132657235</c:v>
                </c:pt>
                <c:pt idx="949">
                  <c:v>86.738620399063308</c:v>
                </c:pt>
                <c:pt idx="950">
                  <c:v>78.59675613482959</c:v>
                </c:pt>
                <c:pt idx="951">
                  <c:v>83.723656705856882</c:v>
                </c:pt>
                <c:pt idx="952">
                  <c:v>82.367283494273167</c:v>
                </c:pt>
                <c:pt idx="953">
                  <c:v>77.994487060246357</c:v>
                </c:pt>
                <c:pt idx="954">
                  <c:v>68.791602093135893</c:v>
                </c:pt>
                <c:pt idx="955">
                  <c:v>131.05381988678477</c:v>
                </c:pt>
                <c:pt idx="956">
                  <c:v>77.645831951405938</c:v>
                </c:pt>
                <c:pt idx="957">
                  <c:v>68.545182911293409</c:v>
                </c:pt>
                <c:pt idx="958">
                  <c:v>85.135348840823596</c:v>
                </c:pt>
                <c:pt idx="959">
                  <c:v>69.368326760810092</c:v>
                </c:pt>
                <c:pt idx="960">
                  <c:v>81.221344958027004</c:v>
                </c:pt>
                <c:pt idx="961">
                  <c:v>67.764834890341845</c:v>
                </c:pt>
                <c:pt idx="962">
                  <c:v>76.262429081805607</c:v>
                </c:pt>
                <c:pt idx="963">
                  <c:v>74.722818146362172</c:v>
                </c:pt>
                <c:pt idx="964">
                  <c:v>76.571021850037951</c:v>
                </c:pt>
                <c:pt idx="965">
                  <c:v>76.349349167971098</c:v>
                </c:pt>
                <c:pt idx="966">
                  <c:v>84.533200099358908</c:v>
                </c:pt>
                <c:pt idx="967">
                  <c:v>82.764188692661946</c:v>
                </c:pt>
                <c:pt idx="968">
                  <c:v>76.322344617958677</c:v>
                </c:pt>
                <c:pt idx="969">
                  <c:v>87.191178319162148</c:v>
                </c:pt>
                <c:pt idx="970">
                  <c:v>77.467765971135236</c:v>
                </c:pt>
                <c:pt idx="971">
                  <c:v>75.013105229570456</c:v>
                </c:pt>
                <c:pt idx="972">
                  <c:v>83.2207712527387</c:v>
                </c:pt>
                <c:pt idx="973">
                  <c:v>81.168763595692582</c:v>
                </c:pt>
                <c:pt idx="974">
                  <c:v>77.897967612900132</c:v>
                </c:pt>
                <c:pt idx="975">
                  <c:v>81.600265422973607</c:v>
                </c:pt>
                <c:pt idx="976">
                  <c:v>69.398181522658035</c:v>
                </c:pt>
                <c:pt idx="977">
                  <c:v>107.09761942904603</c:v>
                </c:pt>
                <c:pt idx="978">
                  <c:v>79.779041251278471</c:v>
                </c:pt>
                <c:pt idx="979">
                  <c:v>87.382567064915889</c:v>
                </c:pt>
                <c:pt idx="980">
                  <c:v>158.20451107920482</c:v>
                </c:pt>
                <c:pt idx="981">
                  <c:v>205.65122530075143</c:v>
                </c:pt>
                <c:pt idx="982">
                  <c:v>148.20703526264842</c:v>
                </c:pt>
                <c:pt idx="983">
                  <c:v>140.38440475372465</c:v>
                </c:pt>
                <c:pt idx="984">
                  <c:v>154.31444770147368</c:v>
                </c:pt>
                <c:pt idx="985">
                  <c:v>80.605385381842765</c:v>
                </c:pt>
                <c:pt idx="986">
                  <c:v>71.813332980158265</c:v>
                </c:pt>
                <c:pt idx="987">
                  <c:v>71.213520222395402</c:v>
                </c:pt>
                <c:pt idx="988">
                  <c:v>85.278172028302436</c:v>
                </c:pt>
                <c:pt idx="989">
                  <c:v>82.536115866567656</c:v>
                </c:pt>
                <c:pt idx="990">
                  <c:v>75.663797716426885</c:v>
                </c:pt>
                <c:pt idx="991">
                  <c:v>86.761212713190375</c:v>
                </c:pt>
                <c:pt idx="992">
                  <c:v>70.726797473242712</c:v>
                </c:pt>
                <c:pt idx="993">
                  <c:v>80.235922270641893</c:v>
                </c:pt>
                <c:pt idx="994">
                  <c:v>79.950646640370053</c:v>
                </c:pt>
                <c:pt idx="995">
                  <c:v>79.78019020645101</c:v>
                </c:pt>
                <c:pt idx="996">
                  <c:v>69.401920289718404</c:v>
                </c:pt>
                <c:pt idx="997">
                  <c:v>69.256521083414924</c:v>
                </c:pt>
                <c:pt idx="998">
                  <c:v>83.88920601883693</c:v>
                </c:pt>
                <c:pt idx="999">
                  <c:v>78.372570633284369</c:v>
                </c:pt>
                <c:pt idx="1000">
                  <c:v>77.021557329408481</c:v>
                </c:pt>
                <c:pt idx="1001">
                  <c:v>76.59205112474281</c:v>
                </c:pt>
                <c:pt idx="1002">
                  <c:v>81.041424053754497</c:v>
                </c:pt>
                <c:pt idx="1003">
                  <c:v>82.050401699039483</c:v>
                </c:pt>
                <c:pt idx="1004">
                  <c:v>76.124361784751173</c:v>
                </c:pt>
                <c:pt idx="1005">
                  <c:v>117.94321365457718</c:v>
                </c:pt>
                <c:pt idx="1006">
                  <c:v>219.36933655933615</c:v>
                </c:pt>
                <c:pt idx="1007">
                  <c:v>395.30538802021601</c:v>
                </c:pt>
                <c:pt idx="1008">
                  <c:v>159.23347418145315</c:v>
                </c:pt>
                <c:pt idx="1009">
                  <c:v>133.70262500394659</c:v>
                </c:pt>
                <c:pt idx="1010">
                  <c:v>86.417573904652031</c:v>
                </c:pt>
                <c:pt idx="1011">
                  <c:v>71.462884976662693</c:v>
                </c:pt>
                <c:pt idx="1012">
                  <c:v>66.729022899899292</c:v>
                </c:pt>
                <c:pt idx="1013">
                  <c:v>78.907054523812704</c:v>
                </c:pt>
                <c:pt idx="1014">
                  <c:v>77.103469334304293</c:v>
                </c:pt>
                <c:pt idx="1015">
                  <c:v>77.755874449970264</c:v>
                </c:pt>
                <c:pt idx="1016">
                  <c:v>81.309166731111134</c:v>
                </c:pt>
                <c:pt idx="1017">
                  <c:v>72.276892374321932</c:v>
                </c:pt>
                <c:pt idx="1018">
                  <c:v>78.010965231237435</c:v>
                </c:pt>
                <c:pt idx="1019">
                  <c:v>74.774022313887571</c:v>
                </c:pt>
                <c:pt idx="1020">
                  <c:v>71.871703044287486</c:v>
                </c:pt>
                <c:pt idx="1021">
                  <c:v>83.437095948846675</c:v>
                </c:pt>
                <c:pt idx="1022">
                  <c:v>65.118614408645939</c:v>
                </c:pt>
                <c:pt idx="1023">
                  <c:v>77.55351125044858</c:v>
                </c:pt>
                <c:pt idx="1024">
                  <c:v>78.917139540905069</c:v>
                </c:pt>
                <c:pt idx="1025">
                  <c:v>80.619983416297657</c:v>
                </c:pt>
                <c:pt idx="1026">
                  <c:v>74.991724505633783</c:v>
                </c:pt>
                <c:pt idx="1027">
                  <c:v>86.773769040597585</c:v>
                </c:pt>
                <c:pt idx="1028">
                  <c:v>82.963198520366277</c:v>
                </c:pt>
                <c:pt idx="1029">
                  <c:v>126.98985988565968</c:v>
                </c:pt>
                <c:pt idx="1030">
                  <c:v>79.877283098665131</c:v>
                </c:pt>
                <c:pt idx="1031">
                  <c:v>77.041615244276073</c:v>
                </c:pt>
                <c:pt idx="1032">
                  <c:v>77.649075599404654</c:v>
                </c:pt>
                <c:pt idx="1033">
                  <c:v>81.089168552254051</c:v>
                </c:pt>
                <c:pt idx="1034">
                  <c:v>73.034004064895029</c:v>
                </c:pt>
                <c:pt idx="1035">
                  <c:v>84.782533449811865</c:v>
                </c:pt>
                <c:pt idx="1036">
                  <c:v>87.830593629319097</c:v>
                </c:pt>
                <c:pt idx="1037">
                  <c:v>86.352615636296335</c:v>
                </c:pt>
                <c:pt idx="1038">
                  <c:v>70.888285470044664</c:v>
                </c:pt>
                <c:pt idx="1039">
                  <c:v>76.84963346703428</c:v>
                </c:pt>
                <c:pt idx="1040">
                  <c:v>70.08451014845177</c:v>
                </c:pt>
                <c:pt idx="1041">
                  <c:v>69.416544222900768</c:v>
                </c:pt>
                <c:pt idx="1042">
                  <c:v>82.857653120940768</c:v>
                </c:pt>
                <c:pt idx="1043">
                  <c:v>78.031371755780214</c:v>
                </c:pt>
                <c:pt idx="1044">
                  <c:v>67.30270135861592</c:v>
                </c:pt>
                <c:pt idx="1045">
                  <c:v>74.041870871484491</c:v>
                </c:pt>
                <c:pt idx="1046">
                  <c:v>79.294320501156506</c:v>
                </c:pt>
                <c:pt idx="1047">
                  <c:v>79.455925753720933</c:v>
                </c:pt>
                <c:pt idx="1048">
                  <c:v>71.722716584217522</c:v>
                </c:pt>
                <c:pt idx="1049">
                  <c:v>99.581046924160603</c:v>
                </c:pt>
                <c:pt idx="1050">
                  <c:v>87.106806063390138</c:v>
                </c:pt>
                <c:pt idx="1051">
                  <c:v>76.64988734651061</c:v>
                </c:pt>
                <c:pt idx="1052">
                  <c:v>76.82359790776384</c:v>
                </c:pt>
                <c:pt idx="1053">
                  <c:v>79.035735307848256</c:v>
                </c:pt>
                <c:pt idx="1054">
                  <c:v>76.5000157331841</c:v>
                </c:pt>
                <c:pt idx="1055">
                  <c:v>75.995779995366775</c:v>
                </c:pt>
                <c:pt idx="1056">
                  <c:v>75.9633226739397</c:v>
                </c:pt>
                <c:pt idx="1057">
                  <c:v>67.041033579897331</c:v>
                </c:pt>
                <c:pt idx="1058">
                  <c:v>89.958330735639436</c:v>
                </c:pt>
                <c:pt idx="1059">
                  <c:v>69.079243198927074</c:v>
                </c:pt>
                <c:pt idx="1060">
                  <c:v>73.274702803452229</c:v>
                </c:pt>
                <c:pt idx="1061">
                  <c:v>78.633123070553594</c:v>
                </c:pt>
                <c:pt idx="1062">
                  <c:v>72.607557298941103</c:v>
                </c:pt>
                <c:pt idx="1063">
                  <c:v>69.023115437140774</c:v>
                </c:pt>
                <c:pt idx="1064">
                  <c:v>77.17271402560003</c:v>
                </c:pt>
                <c:pt idx="1065">
                  <c:v>82.611438164511824</c:v>
                </c:pt>
                <c:pt idx="1066">
                  <c:v>74.808713428675588</c:v>
                </c:pt>
                <c:pt idx="1067">
                  <c:v>103.86949154770038</c:v>
                </c:pt>
                <c:pt idx="1068">
                  <c:v>219.18700364484417</c:v>
                </c:pt>
                <c:pt idx="1069">
                  <c:v>71.959561313466381</c:v>
                </c:pt>
                <c:pt idx="1070">
                  <c:v>75.488388314505471</c:v>
                </c:pt>
                <c:pt idx="1071">
                  <c:v>85.106589275605373</c:v>
                </c:pt>
                <c:pt idx="1072">
                  <c:v>80.55773486030094</c:v>
                </c:pt>
                <c:pt idx="1073">
                  <c:v>82.026833161459535</c:v>
                </c:pt>
                <c:pt idx="1074">
                  <c:v>83.565105465395831</c:v>
                </c:pt>
                <c:pt idx="1075">
                  <c:v>81.093222675247162</c:v>
                </c:pt>
                <c:pt idx="1076">
                  <c:v>78.463084620534289</c:v>
                </c:pt>
                <c:pt idx="1077">
                  <c:v>83.217651319774575</c:v>
                </c:pt>
                <c:pt idx="1078">
                  <c:v>78.933409280004568</c:v>
                </c:pt>
                <c:pt idx="1079">
                  <c:v>77.742912122710479</c:v>
                </c:pt>
                <c:pt idx="1080">
                  <c:v>82.030249387743595</c:v>
                </c:pt>
                <c:pt idx="1081">
                  <c:v>75.862628336304169</c:v>
                </c:pt>
                <c:pt idx="1082">
                  <c:v>82.144631730626614</c:v>
                </c:pt>
                <c:pt idx="1083">
                  <c:v>79.59020498703147</c:v>
                </c:pt>
                <c:pt idx="1084">
                  <c:v>74.263543525958553</c:v>
                </c:pt>
                <c:pt idx="1085">
                  <c:v>75.355809949695086</c:v>
                </c:pt>
                <c:pt idx="1086">
                  <c:v>75.967155785979315</c:v>
                </c:pt>
                <c:pt idx="1087">
                  <c:v>103.8946243056325</c:v>
                </c:pt>
                <c:pt idx="1088">
                  <c:v>78.597504467427925</c:v>
                </c:pt>
                <c:pt idx="1089">
                  <c:v>70.764872189196282</c:v>
                </c:pt>
                <c:pt idx="1090">
                  <c:v>72.894600791577332</c:v>
                </c:pt>
                <c:pt idx="1091">
                  <c:v>83.038806014532838</c:v>
                </c:pt>
                <c:pt idx="1092">
                  <c:v>78.296116104128572</c:v>
                </c:pt>
                <c:pt idx="1093">
                  <c:v>72.305033716047902</c:v>
                </c:pt>
                <c:pt idx="1094">
                  <c:v>86.461341570162219</c:v>
                </c:pt>
                <c:pt idx="1095">
                  <c:v>68.640195130302629</c:v>
                </c:pt>
                <c:pt idx="1096">
                  <c:v>70.827180147340187</c:v>
                </c:pt>
                <c:pt idx="1097">
                  <c:v>77.571761461988459</c:v>
                </c:pt>
                <c:pt idx="1098">
                  <c:v>78.903946972561585</c:v>
                </c:pt>
                <c:pt idx="1099">
                  <c:v>75.74843043842229</c:v>
                </c:pt>
                <c:pt idx="1100">
                  <c:v>74.075152202130752</c:v>
                </c:pt>
                <c:pt idx="1101">
                  <c:v>79.678440512295381</c:v>
                </c:pt>
                <c:pt idx="1102">
                  <c:v>73.848044579406803</c:v>
                </c:pt>
                <c:pt idx="1103">
                  <c:v>86.240415902010582</c:v>
                </c:pt>
                <c:pt idx="1104">
                  <c:v>98.429568872008119</c:v>
                </c:pt>
                <c:pt idx="1105">
                  <c:v>105.76272507161836</c:v>
                </c:pt>
                <c:pt idx="1106">
                  <c:v>88.458703413270555</c:v>
                </c:pt>
                <c:pt idx="1107">
                  <c:v>76.592572038244199</c:v>
                </c:pt>
                <c:pt idx="1108">
                  <c:v>83.486777808137518</c:v>
                </c:pt>
                <c:pt idx="1109">
                  <c:v>72.972486347466614</c:v>
                </c:pt>
                <c:pt idx="1110">
                  <c:v>78.273219937284594</c:v>
                </c:pt>
                <c:pt idx="1111">
                  <c:v>73.143941681633663</c:v>
                </c:pt>
                <c:pt idx="1112">
                  <c:v>84.726423328331677</c:v>
                </c:pt>
                <c:pt idx="1113">
                  <c:v>71.281138366451557</c:v>
                </c:pt>
                <c:pt idx="1114">
                  <c:v>81.923941572407472</c:v>
                </c:pt>
                <c:pt idx="1115">
                  <c:v>78.28191397272262</c:v>
                </c:pt>
                <c:pt idx="1116">
                  <c:v>76.768727015160934</c:v>
                </c:pt>
                <c:pt idx="1117">
                  <c:v>79.022935591619074</c:v>
                </c:pt>
                <c:pt idx="1118">
                  <c:v>77.445511654921816</c:v>
                </c:pt>
                <c:pt idx="1119">
                  <c:v>68.387932001307817</c:v>
                </c:pt>
                <c:pt idx="1120">
                  <c:v>105.06696858745772</c:v>
                </c:pt>
                <c:pt idx="1121">
                  <c:v>130.63918280018913</c:v>
                </c:pt>
                <c:pt idx="1122">
                  <c:v>135.71026505690651</c:v>
                </c:pt>
                <c:pt idx="1123">
                  <c:v>187.57105599749153</c:v>
                </c:pt>
                <c:pt idx="1124">
                  <c:v>79.251970738346756</c:v>
                </c:pt>
                <c:pt idx="1125">
                  <c:v>79.98391253757076</c:v>
                </c:pt>
                <c:pt idx="1126">
                  <c:v>79.742753765027203</c:v>
                </c:pt>
                <c:pt idx="1127">
                  <c:v>83.53736451907227</c:v>
                </c:pt>
                <c:pt idx="1128">
                  <c:v>74.73610701778621</c:v>
                </c:pt>
                <c:pt idx="1129">
                  <c:v>81.60096174546554</c:v>
                </c:pt>
                <c:pt idx="1130">
                  <c:v>77.259361863844632</c:v>
                </c:pt>
                <c:pt idx="1131">
                  <c:v>87.568779624081785</c:v>
                </c:pt>
                <c:pt idx="1132">
                  <c:v>76.82721653847544</c:v>
                </c:pt>
                <c:pt idx="1133">
                  <c:v>74.636901819587735</c:v>
                </c:pt>
                <c:pt idx="1134">
                  <c:v>81.609350787984866</c:v>
                </c:pt>
                <c:pt idx="1135">
                  <c:v>86.735103345416746</c:v>
                </c:pt>
                <c:pt idx="1136">
                  <c:v>84.098696544172839</c:v>
                </c:pt>
                <c:pt idx="1137">
                  <c:v>80.336965128132221</c:v>
                </c:pt>
                <c:pt idx="1138">
                  <c:v>73.263812753893617</c:v>
                </c:pt>
                <c:pt idx="1139">
                  <c:v>88.771925370841828</c:v>
                </c:pt>
                <c:pt idx="1140">
                  <c:v>86.302640395239365</c:v>
                </c:pt>
                <c:pt idx="1141">
                  <c:v>108.4411801780284</c:v>
                </c:pt>
                <c:pt idx="1142">
                  <c:v>83.90104432000264</c:v>
                </c:pt>
                <c:pt idx="1143">
                  <c:v>73.171967596807548</c:v>
                </c:pt>
                <c:pt idx="1144">
                  <c:v>82.930233143533172</c:v>
                </c:pt>
                <c:pt idx="1145">
                  <c:v>76.933514495388891</c:v>
                </c:pt>
                <c:pt idx="1146">
                  <c:v>73.27531317529612</c:v>
                </c:pt>
                <c:pt idx="1147">
                  <c:v>73.063612013644331</c:v>
                </c:pt>
                <c:pt idx="1148">
                  <c:v>84.114454901367338</c:v>
                </c:pt>
                <c:pt idx="1149">
                  <c:v>83.486879988018785</c:v>
                </c:pt>
                <c:pt idx="1150">
                  <c:v>76.416822420956521</c:v>
                </c:pt>
                <c:pt idx="1151">
                  <c:v>76.920827589655914</c:v>
                </c:pt>
                <c:pt idx="1152">
                  <c:v>77.061699534646763</c:v>
                </c:pt>
                <c:pt idx="1153">
                  <c:v>77.389992438203421</c:v>
                </c:pt>
                <c:pt idx="1154">
                  <c:v>88.323300283780853</c:v>
                </c:pt>
                <c:pt idx="1155">
                  <c:v>74.111939085543767</c:v>
                </c:pt>
                <c:pt idx="1156">
                  <c:v>83.1309865917313</c:v>
                </c:pt>
                <c:pt idx="1157">
                  <c:v>87.345760284963575</c:v>
                </c:pt>
                <c:pt idx="1158">
                  <c:v>73.248234368202148</c:v>
                </c:pt>
                <c:pt idx="1159">
                  <c:v>121.7580627966278</c:v>
                </c:pt>
                <c:pt idx="1160">
                  <c:v>70.736336158244882</c:v>
                </c:pt>
                <c:pt idx="1161">
                  <c:v>80.413954002774645</c:v>
                </c:pt>
                <c:pt idx="1162">
                  <c:v>82.734667771111745</c:v>
                </c:pt>
                <c:pt idx="1163">
                  <c:v>77.305660268349868</c:v>
                </c:pt>
                <c:pt idx="1164">
                  <c:v>79.487994301369696</c:v>
                </c:pt>
                <c:pt idx="1165">
                  <c:v>73.163373857354642</c:v>
                </c:pt>
                <c:pt idx="1166">
                  <c:v>78.878287467492186</c:v>
                </c:pt>
                <c:pt idx="1167">
                  <c:v>75.06259831479835</c:v>
                </c:pt>
                <c:pt idx="1168">
                  <c:v>78.74607567743756</c:v>
                </c:pt>
                <c:pt idx="1169">
                  <c:v>83.444326577869489</c:v>
                </c:pt>
                <c:pt idx="1170">
                  <c:v>80.953325437336318</c:v>
                </c:pt>
                <c:pt idx="1171">
                  <c:v>76.334922043356258</c:v>
                </c:pt>
                <c:pt idx="1172">
                  <c:v>77.189818506348431</c:v>
                </c:pt>
                <c:pt idx="1173">
                  <c:v>88.441547090446335</c:v>
                </c:pt>
                <c:pt idx="1174">
                  <c:v>86.211492523246761</c:v>
                </c:pt>
                <c:pt idx="1175">
                  <c:v>71.0164227594653</c:v>
                </c:pt>
                <c:pt idx="1176">
                  <c:v>96.297104934868955</c:v>
                </c:pt>
                <c:pt idx="1177">
                  <c:v>166.82717822206035</c:v>
                </c:pt>
                <c:pt idx="1178">
                  <c:v>96.827191236133913</c:v>
                </c:pt>
                <c:pt idx="1179">
                  <c:v>71.744254610414345</c:v>
                </c:pt>
                <c:pt idx="1180">
                  <c:v>73.628966349492345</c:v>
                </c:pt>
                <c:pt idx="1181">
                  <c:v>77.505560315954099</c:v>
                </c:pt>
                <c:pt idx="1182">
                  <c:v>87.479769274197892</c:v>
                </c:pt>
                <c:pt idx="1183">
                  <c:v>75.516633893116364</c:v>
                </c:pt>
                <c:pt idx="1184">
                  <c:v>81.266742431463086</c:v>
                </c:pt>
                <c:pt idx="1185">
                  <c:v>74.982049318233251</c:v>
                </c:pt>
                <c:pt idx="1186">
                  <c:v>73.749353106452091</c:v>
                </c:pt>
                <c:pt idx="1187">
                  <c:v>81.336839672796543</c:v>
                </c:pt>
                <c:pt idx="1188">
                  <c:v>82.49481439432779</c:v>
                </c:pt>
                <c:pt idx="1189">
                  <c:v>74.713018634169003</c:v>
                </c:pt>
                <c:pt idx="1190">
                  <c:v>87.941609129993253</c:v>
                </c:pt>
                <c:pt idx="1191">
                  <c:v>73.068810935983223</c:v>
                </c:pt>
                <c:pt idx="1192">
                  <c:v>88.510136193398495</c:v>
                </c:pt>
                <c:pt idx="1193">
                  <c:v>107.25989357049954</c:v>
                </c:pt>
                <c:pt idx="1194">
                  <c:v>193.03700680690784</c:v>
                </c:pt>
                <c:pt idx="1195">
                  <c:v>145.18541808997304</c:v>
                </c:pt>
                <c:pt idx="1196">
                  <c:v>73.622692517846758</c:v>
                </c:pt>
                <c:pt idx="1197">
                  <c:v>79.373965271055852</c:v>
                </c:pt>
                <c:pt idx="1198">
                  <c:v>84.464312773741938</c:v>
                </c:pt>
                <c:pt idx="1199">
                  <c:v>76.334135347742432</c:v>
                </c:pt>
                <c:pt idx="1200">
                  <c:v>80.654480352723823</c:v>
                </c:pt>
                <c:pt idx="1201">
                  <c:v>75.001040353691153</c:v>
                </c:pt>
                <c:pt idx="1202">
                  <c:v>80.353839709482884</c:v>
                </c:pt>
                <c:pt idx="1203">
                  <c:v>70.070075080253091</c:v>
                </c:pt>
                <c:pt idx="1204">
                  <c:v>73.40069850699507</c:v>
                </c:pt>
                <c:pt idx="1205">
                  <c:v>82.431699263893009</c:v>
                </c:pt>
                <c:pt idx="1206">
                  <c:v>73.542553063330729</c:v>
                </c:pt>
                <c:pt idx="1207">
                  <c:v>69.504438489291161</c:v>
                </c:pt>
                <c:pt idx="1208">
                  <c:v>98.607813927033618</c:v>
                </c:pt>
                <c:pt idx="1209">
                  <c:v>227.35872027392645</c:v>
                </c:pt>
                <c:pt idx="1210">
                  <c:v>76.018774940285553</c:v>
                </c:pt>
                <c:pt idx="1211">
                  <c:v>79.226598338102221</c:v>
                </c:pt>
                <c:pt idx="1212">
                  <c:v>70.918522460483189</c:v>
                </c:pt>
                <c:pt idx="1213">
                  <c:v>83.876510109705379</c:v>
                </c:pt>
                <c:pt idx="1214">
                  <c:v>75.767429548106705</c:v>
                </c:pt>
                <c:pt idx="1215">
                  <c:v>75.270017526646129</c:v>
                </c:pt>
                <c:pt idx="1216">
                  <c:v>71.676554535044815</c:v>
                </c:pt>
                <c:pt idx="1217">
                  <c:v>72.895194050968257</c:v>
                </c:pt>
                <c:pt idx="1218">
                  <c:v>77.751199989711168</c:v>
                </c:pt>
                <c:pt idx="1219">
                  <c:v>75.025737180277346</c:v>
                </c:pt>
                <c:pt idx="1220">
                  <c:v>72.116478000480427</c:v>
                </c:pt>
                <c:pt idx="1221">
                  <c:v>71.886172016422094</c:v>
                </c:pt>
                <c:pt idx="1222">
                  <c:v>77.11597954568002</c:v>
                </c:pt>
                <c:pt idx="1223">
                  <c:v>133.09896859923501</c:v>
                </c:pt>
                <c:pt idx="1224">
                  <c:v>82.039003040437379</c:v>
                </c:pt>
                <c:pt idx="1225">
                  <c:v>82.370862860701621</c:v>
                </c:pt>
                <c:pt idx="1226">
                  <c:v>71.563695716338472</c:v>
                </c:pt>
                <c:pt idx="1227">
                  <c:v>76.514378594629619</c:v>
                </c:pt>
                <c:pt idx="1228">
                  <c:v>70.895489302907251</c:v>
                </c:pt>
                <c:pt idx="1229">
                  <c:v>78.870127218404605</c:v>
                </c:pt>
                <c:pt idx="1230">
                  <c:v>79.302954053908522</c:v>
                </c:pt>
                <c:pt idx="1231">
                  <c:v>80.011438320465004</c:v>
                </c:pt>
                <c:pt idx="1232">
                  <c:v>87.394321086155585</c:v>
                </c:pt>
                <c:pt idx="1233">
                  <c:v>73.86229252580614</c:v>
                </c:pt>
                <c:pt idx="1234">
                  <c:v>70.540776531807879</c:v>
                </c:pt>
                <c:pt idx="1235">
                  <c:v>67.268811596380445</c:v>
                </c:pt>
                <c:pt idx="1236">
                  <c:v>157.11557564349212</c:v>
                </c:pt>
                <c:pt idx="1237">
                  <c:v>91.268165054526321</c:v>
                </c:pt>
                <c:pt idx="1238">
                  <c:v>78.981468502068552</c:v>
                </c:pt>
                <c:pt idx="1239">
                  <c:v>78.17280146219386</c:v>
                </c:pt>
                <c:pt idx="1240">
                  <c:v>84.934370855605792</c:v>
                </c:pt>
                <c:pt idx="1241">
                  <c:v>71.372926875977541</c:v>
                </c:pt>
                <c:pt idx="1242">
                  <c:v>82.542270709253259</c:v>
                </c:pt>
                <c:pt idx="1243">
                  <c:v>78.883408912516856</c:v>
                </c:pt>
                <c:pt idx="1244">
                  <c:v>76.954691710327324</c:v>
                </c:pt>
                <c:pt idx="1245">
                  <c:v>75.417259893432615</c:v>
                </c:pt>
                <c:pt idx="1246">
                  <c:v>79.036841589778447</c:v>
                </c:pt>
                <c:pt idx="1247">
                  <c:v>78.676518083501293</c:v>
                </c:pt>
                <c:pt idx="1248">
                  <c:v>83.597626599576614</c:v>
                </c:pt>
                <c:pt idx="1249">
                  <c:v>116.73705391376116</c:v>
                </c:pt>
                <c:pt idx="1250">
                  <c:v>85.754622516546647</c:v>
                </c:pt>
                <c:pt idx="1251">
                  <c:v>79.081804557008198</c:v>
                </c:pt>
                <c:pt idx="1252">
                  <c:v>72.488950510241438</c:v>
                </c:pt>
                <c:pt idx="1253">
                  <c:v>85.340611893975733</c:v>
                </c:pt>
                <c:pt idx="1254">
                  <c:v>75.129876077635629</c:v>
                </c:pt>
                <c:pt idx="1255">
                  <c:v>70.953539736893788</c:v>
                </c:pt>
                <c:pt idx="1256">
                  <c:v>77.828432257353683</c:v>
                </c:pt>
                <c:pt idx="1257">
                  <c:v>77.899904292897233</c:v>
                </c:pt>
                <c:pt idx="1258">
                  <c:v>96.740697984646715</c:v>
                </c:pt>
                <c:pt idx="1259">
                  <c:v>96.302810970449926</c:v>
                </c:pt>
                <c:pt idx="1260">
                  <c:v>130.86981281713878</c:v>
                </c:pt>
                <c:pt idx="1261">
                  <c:v>265.95809169601665</c:v>
                </c:pt>
                <c:pt idx="1262">
                  <c:v>79.160888106706878</c:v>
                </c:pt>
                <c:pt idx="1263">
                  <c:v>78.764000188960424</c:v>
                </c:pt>
                <c:pt idx="1264">
                  <c:v>74.851872926072758</c:v>
                </c:pt>
                <c:pt idx="1265">
                  <c:v>73.714423511444963</c:v>
                </c:pt>
                <c:pt idx="1266">
                  <c:v>78.526375746945789</c:v>
                </c:pt>
                <c:pt idx="1267">
                  <c:v>73.965435911680203</c:v>
                </c:pt>
                <c:pt idx="1268">
                  <c:v>75.376769778893376</c:v>
                </c:pt>
                <c:pt idx="1269">
                  <c:v>85.98988843351097</c:v>
                </c:pt>
                <c:pt idx="1270">
                  <c:v>79.86051586268178</c:v>
                </c:pt>
                <c:pt idx="1271">
                  <c:v>78.518792257037731</c:v>
                </c:pt>
                <c:pt idx="1272">
                  <c:v>124.07234673688548</c:v>
                </c:pt>
                <c:pt idx="1273">
                  <c:v>90.754208460685817</c:v>
                </c:pt>
                <c:pt idx="1274">
                  <c:v>82.756136255681398</c:v>
                </c:pt>
                <c:pt idx="1275">
                  <c:v>83.257392226669666</c:v>
                </c:pt>
                <c:pt idx="1276">
                  <c:v>75.900619147692964</c:v>
                </c:pt>
                <c:pt idx="1277">
                  <c:v>69.793222703718527</c:v>
                </c:pt>
                <c:pt idx="1278">
                  <c:v>76.248504600457622</c:v>
                </c:pt>
                <c:pt idx="1279">
                  <c:v>72.365531378442512</c:v>
                </c:pt>
                <c:pt idx="1280">
                  <c:v>74.545827706015231</c:v>
                </c:pt>
                <c:pt idx="1281">
                  <c:v>81.058144126505908</c:v>
                </c:pt>
                <c:pt idx="1282">
                  <c:v>122.32627396618108</c:v>
                </c:pt>
                <c:pt idx="1283">
                  <c:v>81.657146460858641</c:v>
                </c:pt>
                <c:pt idx="1284">
                  <c:v>71.970361686885624</c:v>
                </c:pt>
                <c:pt idx="1285">
                  <c:v>81.760840840322587</c:v>
                </c:pt>
                <c:pt idx="1286">
                  <c:v>81.614057203884258</c:v>
                </c:pt>
                <c:pt idx="1287">
                  <c:v>84.723392095345815</c:v>
                </c:pt>
                <c:pt idx="1288">
                  <c:v>80.880352372706213</c:v>
                </c:pt>
                <c:pt idx="1289">
                  <c:v>78.688701913621159</c:v>
                </c:pt>
                <c:pt idx="1290">
                  <c:v>77.357100864532626</c:v>
                </c:pt>
                <c:pt idx="1291">
                  <c:v>77.020047062690466</c:v>
                </c:pt>
                <c:pt idx="1292">
                  <c:v>84.089797091987975</c:v>
                </c:pt>
                <c:pt idx="1293">
                  <c:v>143.28412940259602</c:v>
                </c:pt>
                <c:pt idx="1294">
                  <c:v>87.079969795999801</c:v>
                </c:pt>
                <c:pt idx="1295">
                  <c:v>78.883678776657518</c:v>
                </c:pt>
                <c:pt idx="1296">
                  <c:v>83.039555787981016</c:v>
                </c:pt>
                <c:pt idx="1297">
                  <c:v>80.576628137095341</c:v>
                </c:pt>
                <c:pt idx="1298">
                  <c:v>86.114817427459755</c:v>
                </c:pt>
                <c:pt idx="1299">
                  <c:v>70.36673558526266</c:v>
                </c:pt>
                <c:pt idx="1300">
                  <c:v>90.264837899520359</c:v>
                </c:pt>
                <c:pt idx="1301">
                  <c:v>83.775316281580146</c:v>
                </c:pt>
                <c:pt idx="1302">
                  <c:v>79.560595278739612</c:v>
                </c:pt>
                <c:pt idx="1303">
                  <c:v>115.96242240790497</c:v>
                </c:pt>
                <c:pt idx="1304">
                  <c:v>243.17935059560469</c:v>
                </c:pt>
                <c:pt idx="1305">
                  <c:v>122.8472445910173</c:v>
                </c:pt>
                <c:pt idx="1306">
                  <c:v>82.878774235462913</c:v>
                </c:pt>
                <c:pt idx="1307">
                  <c:v>81.040169838983644</c:v>
                </c:pt>
                <c:pt idx="1308">
                  <c:v>83.596436493668079</c:v>
                </c:pt>
                <c:pt idx="1309">
                  <c:v>82.157166941902418</c:v>
                </c:pt>
                <c:pt idx="1310">
                  <c:v>76.082474146913555</c:v>
                </c:pt>
                <c:pt idx="1311">
                  <c:v>76.301277103260688</c:v>
                </c:pt>
                <c:pt idx="1312">
                  <c:v>107.2157870224267</c:v>
                </c:pt>
                <c:pt idx="1313">
                  <c:v>287.78414828014712</c:v>
                </c:pt>
                <c:pt idx="1314">
                  <c:v>82.670945242232563</c:v>
                </c:pt>
                <c:pt idx="1315">
                  <c:v>80.555570744494645</c:v>
                </c:pt>
                <c:pt idx="1316">
                  <c:v>78.36898045254911</c:v>
                </c:pt>
                <c:pt idx="1317">
                  <c:v>68.577405934879224</c:v>
                </c:pt>
                <c:pt idx="1318">
                  <c:v>104.34482980421456</c:v>
                </c:pt>
                <c:pt idx="1319">
                  <c:v>111.49190895785632</c:v>
                </c:pt>
                <c:pt idx="1320">
                  <c:v>164.9947056196248</c:v>
                </c:pt>
                <c:pt idx="1321">
                  <c:v>80.462117565751882</c:v>
                </c:pt>
                <c:pt idx="1322">
                  <c:v>70.98841492849192</c:v>
                </c:pt>
                <c:pt idx="1323">
                  <c:v>71.69710905886933</c:v>
                </c:pt>
                <c:pt idx="1324">
                  <c:v>74.710897606547249</c:v>
                </c:pt>
                <c:pt idx="1325">
                  <c:v>105.9076999952818</c:v>
                </c:pt>
                <c:pt idx="1326">
                  <c:v>244.91155566392305</c:v>
                </c:pt>
                <c:pt idx="1327">
                  <c:v>74.222297799493035</c:v>
                </c:pt>
                <c:pt idx="1328">
                  <c:v>74.062745355449749</c:v>
                </c:pt>
                <c:pt idx="1329">
                  <c:v>85.706473837833116</c:v>
                </c:pt>
                <c:pt idx="1330">
                  <c:v>173.57938562247077</c:v>
                </c:pt>
                <c:pt idx="1331">
                  <c:v>73.45818218943954</c:v>
                </c:pt>
                <c:pt idx="1332">
                  <c:v>84.284493174853225</c:v>
                </c:pt>
                <c:pt idx="1333">
                  <c:v>74.230595565811001</c:v>
                </c:pt>
                <c:pt idx="1334">
                  <c:v>72.532712892089407</c:v>
                </c:pt>
                <c:pt idx="1335">
                  <c:v>84.54345432943596</c:v>
                </c:pt>
                <c:pt idx="1336">
                  <c:v>163.39327669900601</c:v>
                </c:pt>
                <c:pt idx="1337">
                  <c:v>90.209214243141645</c:v>
                </c:pt>
                <c:pt idx="1338">
                  <c:v>88.536355264249636</c:v>
                </c:pt>
                <c:pt idx="1339">
                  <c:v>72.284251198680522</c:v>
                </c:pt>
                <c:pt idx="1340">
                  <c:v>77.671258964837861</c:v>
                </c:pt>
                <c:pt idx="1341">
                  <c:v>71.670573688059932</c:v>
                </c:pt>
                <c:pt idx="1342">
                  <c:v>135.71003793398458</c:v>
                </c:pt>
                <c:pt idx="1343">
                  <c:v>74.339478902261902</c:v>
                </c:pt>
                <c:pt idx="1344">
                  <c:v>77.783648171836489</c:v>
                </c:pt>
                <c:pt idx="1345">
                  <c:v>78.846563286515519</c:v>
                </c:pt>
                <c:pt idx="1346">
                  <c:v>74.615496800760951</c:v>
                </c:pt>
                <c:pt idx="1347">
                  <c:v>120.31840631419124</c:v>
                </c:pt>
                <c:pt idx="1348">
                  <c:v>200.17708875297444</c:v>
                </c:pt>
                <c:pt idx="1349">
                  <c:v>79.690248801607225</c:v>
                </c:pt>
                <c:pt idx="1350">
                  <c:v>74.7794918507349</c:v>
                </c:pt>
                <c:pt idx="1351">
                  <c:v>78.815862588899151</c:v>
                </c:pt>
                <c:pt idx="1352">
                  <c:v>68.946410501465252</c:v>
                </c:pt>
                <c:pt idx="1353">
                  <c:v>209.29828471646192</c:v>
                </c:pt>
                <c:pt idx="1354">
                  <c:v>87.433660854763772</c:v>
                </c:pt>
                <c:pt idx="1355">
                  <c:v>76.25666909329793</c:v>
                </c:pt>
                <c:pt idx="1356">
                  <c:v>68.441623279283519</c:v>
                </c:pt>
                <c:pt idx="1357">
                  <c:v>107.02772726360828</c:v>
                </c:pt>
                <c:pt idx="1358">
                  <c:v>273.00971362412179</c:v>
                </c:pt>
                <c:pt idx="1359">
                  <c:v>109.8970191043819</c:v>
                </c:pt>
                <c:pt idx="1360">
                  <c:v>82.310973786141929</c:v>
                </c:pt>
                <c:pt idx="1361">
                  <c:v>79.861178762386274</c:v>
                </c:pt>
                <c:pt idx="1362">
                  <c:v>183.09944609281339</c:v>
                </c:pt>
                <c:pt idx="1363">
                  <c:v>82.826157052267121</c:v>
                </c:pt>
                <c:pt idx="1364">
                  <c:v>77.545312088521612</c:v>
                </c:pt>
                <c:pt idx="1365">
                  <c:v>211.08290506940105</c:v>
                </c:pt>
                <c:pt idx="1366">
                  <c:v>135.00696475830031</c:v>
                </c:pt>
                <c:pt idx="1367">
                  <c:v>100.22092655239494</c:v>
                </c:pt>
                <c:pt idx="1368">
                  <c:v>296.71911487183161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4B-224B-B7B3-C9A0A62D7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512672"/>
        <c:axId val="565514400"/>
      </c:scatterChart>
      <c:valAx>
        <c:axId val="56551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Stand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65514400"/>
        <c:crosses val="autoZero"/>
        <c:crossBetween val="midCat"/>
      </c:valAx>
      <c:valAx>
        <c:axId val="56551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DBH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6551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69850</xdr:colOff>
      <xdr:row>9</xdr:row>
      <xdr:rowOff>139700</xdr:rowOff>
    </xdr:from>
    <xdr:to>
      <xdr:col>26</xdr:col>
      <xdr:colOff>514350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8FDE63-5F2E-D6B2-D066-25B98591C7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673100</xdr:colOff>
      <xdr:row>9</xdr:row>
      <xdr:rowOff>152400</xdr:rowOff>
    </xdr:from>
    <xdr:to>
      <xdr:col>32</xdr:col>
      <xdr:colOff>292100</xdr:colOff>
      <xdr:row>23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956DFF-D277-7140-AC93-C948454FC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501650</xdr:colOff>
      <xdr:row>1</xdr:row>
      <xdr:rowOff>63500</xdr:rowOff>
    </xdr:from>
    <xdr:to>
      <xdr:col>19</xdr:col>
      <xdr:colOff>736600</xdr:colOff>
      <xdr:row>21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12E7AE-CEAC-5DB3-F23B-D672B291F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6350</xdr:colOff>
      <xdr:row>1</xdr:row>
      <xdr:rowOff>38100</xdr:rowOff>
    </xdr:from>
    <xdr:to>
      <xdr:col>26</xdr:col>
      <xdr:colOff>482600</xdr:colOff>
      <xdr:row>21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FFA454-4D6C-605F-8B17-3F30CECF98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6715269-ECBC-A349-A501-C25B18EE116C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cycle" tableColumnId="1"/>
      <queryTableField id="2" name="name" tableColumnId="2"/>
      <queryTableField id="3" name="stand_age" tableColumnId="3"/>
      <queryTableField id="4" name="stand_level_biomass" tableColumnId="4"/>
      <queryTableField id="5" name="stand_basal_area" tableColumnId="5"/>
      <queryTableField id="6" name="mean_dbh" tableColumnId="6"/>
      <queryTableField id="7" name="stock" tableColumnId="7"/>
      <queryTableField id="9" dataBound="0" tableColumnId="9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39E9BE5-AD77-A745-9DAB-FEA69FE6E0A4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73BB7B-6FE0-AC48-9E84-0BD868EE7385}" name="stand_validation_1cycle" displayName="stand_validation_1cycle" ref="A1:I1370" tableType="queryTable" totalsRowShown="0">
  <autoFilter ref="A1:I1370" xr:uid="{2A73BB7B-6FE0-AC48-9E84-0BD868EE7385}"/>
  <tableColumns count="9">
    <tableColumn id="1" xr3:uid="{0113ECC1-467E-3342-9AE8-FCE4C157EC62}" uniqueName="1" name="cycle" queryTableFieldId="1"/>
    <tableColumn id="2" xr3:uid="{9A25EE4C-0ED6-B046-9107-E639081BCDF0}" uniqueName="2" name="name" queryTableFieldId="2" dataDxfId="1"/>
    <tableColumn id="3" xr3:uid="{3B825750-54D6-9E40-B52F-E671DF51EBE9}" uniqueName="3" name="stand_age" queryTableFieldId="3" dataDxfId="0"/>
    <tableColumn id="4" xr3:uid="{477F1462-E9F4-BC46-AE78-CE75847077E4}" uniqueName="4" name="stand_level_biomass" queryTableFieldId="4"/>
    <tableColumn id="5" xr3:uid="{C4B328EB-9549-F24F-9890-70AB4ECE1AE4}" uniqueName="5" name="stand_basal_area" queryTableFieldId="5"/>
    <tableColumn id="6" xr3:uid="{375387DE-E10D-CD4D-A18B-1F0AABC2A26A}" uniqueName="6" name="mean_dbh" queryTableFieldId="6"/>
    <tableColumn id="7" xr3:uid="{C2C12F43-685A-3B46-8225-9E4E5282D030}" uniqueName="7" name="stock" queryTableFieldId="7"/>
    <tableColumn id="9" xr3:uid="{952DB3BB-EE51-5947-918C-5409A2688A52}" uniqueName="9" name="aws" queryTableFieldId="9"/>
    <tableColumn id="8" xr3:uid="{00B32D69-3723-9F41-92B6-8EB1E23BF781}" uniqueName="8" name="percent_tree_cover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1A428D-436E-C747-B776-26B4F6287C35}" name="Py3PG2Output__2" displayName="Py3PG2Output__2" ref="A1:M1370" tableType="queryTable" totalsRowShown="0">
  <autoFilter ref="A1:M1370" xr:uid="{DD1A428D-436E-C747-B776-26B4F6287C35}"/>
  <tableColumns count="13">
    <tableColumn id="1" xr3:uid="{555CC23F-27E2-484B-9C39-598CBB2C22B5}" uniqueName="1" name="plot_name" queryTableFieldId="1"/>
    <tableColumn id="2" xr3:uid="{631D632A-7680-2342-B003-6102188DF46B}" uniqueName="2" name=" SimTime" queryTableFieldId="2"/>
    <tableColumn id="3" xr3:uid="{6B0C89D0-6F3F-1144-B420-3BAD5DA12933}" uniqueName="3" name=" standAge" queryTableFieldId="3"/>
    <tableColumn id="4" xr3:uid="{8202348D-E84B-1849-A431-BEAA58D408B2}" uniqueName="4" name=" Stems" queryTableFieldId="4"/>
    <tableColumn id="5" xr3:uid="{137329CA-2D89-914E-9610-AD1E68F73A14}" uniqueName="5" name=" MeanDBH" queryTableFieldId="5"/>
    <tableColumn id="6" xr3:uid="{C5A11A63-2818-BB4B-9B11-45345A1D82B1}" uniqueName="6" name=" BasalArea" queryTableFieldId="6"/>
    <tableColumn id="7" xr3:uid="{4E68898F-C928-4246-A798-ACC783E8BA58}" uniqueName="7" name=" StandVolume" queryTableFieldId="7"/>
    <tableColumn id="8" xr3:uid="{049B2F00-DE1F-9845-A67F-F12047526026}" uniqueName="8" name=" MAI" queryTableFieldId="8"/>
    <tableColumn id="9" xr3:uid="{E2C00F50-5E1D-9343-B81F-F70414DB6DBC}" uniqueName="9" name=" PlotlevelLAI" queryTableFieldId="9"/>
    <tableColumn id="10" xr3:uid="{24047C01-665B-F643-989C-72C42574E770}" uniqueName="10" name=" FoliageDM" queryTableFieldId="10"/>
    <tableColumn id="11" xr3:uid="{8FA9EDD8-A2B7-6343-A300-3F567F2A0D9A}" uniqueName="11" name=" StemDM" queryTableFieldId="11"/>
    <tableColumn id="12" xr3:uid="{A22B6DD3-EDE6-624D-9782-26DDC35EA2E6}" uniqueName="12" name=" RootDM" queryTableFieldId="12"/>
    <tableColumn id="13" xr3:uid="{12A8A577-97B3-1540-9EE9-03D20DBC276D}" uniqueName="13" name=" BarkBranchFraction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B3B70-63E2-0B43-8043-DC4D007A455E}">
  <dimension ref="A1:W1370"/>
  <sheetViews>
    <sheetView topLeftCell="T1" workbookViewId="0">
      <selection activeCell="AA29" sqref="AA29"/>
    </sheetView>
  </sheetViews>
  <sheetFormatPr baseColWidth="10" defaultRowHeight="16" x14ac:dyDescent="0.2"/>
  <cols>
    <col min="1" max="1" width="7.83203125" bestFit="1" customWidth="1"/>
    <col min="2" max="2" width="8.33203125" bestFit="1" customWidth="1"/>
    <col min="3" max="3" width="13.6640625" bestFit="1" customWidth="1"/>
    <col min="4" max="4" width="21.1640625" bestFit="1" customWidth="1"/>
    <col min="5" max="5" width="18.1640625" bestFit="1" customWidth="1"/>
    <col min="6" max="6" width="12.33203125" bestFit="1" customWidth="1"/>
    <col min="7" max="7" width="8" bestFit="1" customWidth="1"/>
    <col min="8" max="8" width="8" customWidth="1"/>
  </cols>
  <sheetData>
    <row r="1" spans="1:23" x14ac:dyDescent="0.2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1393</v>
      </c>
      <c r="I1" t="s">
        <v>1398</v>
      </c>
      <c r="K1" t="s">
        <v>1389</v>
      </c>
      <c r="M1" t="s">
        <v>1390</v>
      </c>
      <c r="N1" t="s">
        <v>1395</v>
      </c>
      <c r="O1" t="s">
        <v>1396</v>
      </c>
      <c r="P1" t="s">
        <v>1397</v>
      </c>
      <c r="Q1" t="s">
        <v>1391</v>
      </c>
      <c r="R1" t="s">
        <v>1392</v>
      </c>
      <c r="S1" t="s">
        <v>1393</v>
      </c>
      <c r="T1" t="s">
        <v>1394</v>
      </c>
    </row>
    <row r="2" spans="1:23" x14ac:dyDescent="0.2">
      <c r="A2">
        <v>1</v>
      </c>
      <c r="B2" t="s">
        <v>20</v>
      </c>
      <c r="C2">
        <v>27.717411924119201</v>
      </c>
      <c r="D2">
        <v>852.66139912865697</v>
      </c>
      <c r="E2">
        <v>6.25586601746397</v>
      </c>
      <c r="F2">
        <v>26.358748291689899</v>
      </c>
      <c r="G2">
        <v>82</v>
      </c>
      <c r="H2">
        <v>568.30651855468705</v>
      </c>
      <c r="I2">
        <v>7.3858869962383805E-2</v>
      </c>
      <c r="K2" s="1" t="str">
        <f>TEXT(stand_validation_1cycle[[#This Row],[stand_age]], ".0")</f>
        <v>27.7</v>
      </c>
      <c r="L2" s="1" t="str">
        <f>""""&amp;K2&amp;""""</f>
        <v>"27.7"</v>
      </c>
      <c r="M2">
        <v>100</v>
      </c>
      <c r="N2">
        <f>0.029*stand_validation_1cycle[[#This Row],[stand_level_biomass]]</f>
        <v>24.727180574731054</v>
      </c>
      <c r="O2">
        <f>0.213*stand_validation_1cycle[[#This Row],[stand_level_biomass]]</f>
        <v>181.61687801440394</v>
      </c>
      <c r="P2">
        <f>0.571*stand_validation_1cycle[[#This Row],[stand_level_biomass]]</f>
        <v>486.86965890246307</v>
      </c>
      <c r="Q2">
        <f>stand_validation_1cycle[[#This Row],[stock]]</f>
        <v>82</v>
      </c>
      <c r="R2">
        <v>0</v>
      </c>
      <c r="S2">
        <f>stand_validation_1cycle[[#This Row],[aws]]</f>
        <v>568.30651855468705</v>
      </c>
      <c r="T2">
        <f>stand_validation_1cycle[[#This Row],[percent_tree_cover]]*100</f>
        <v>7.3858869962383809</v>
      </c>
      <c r="V2" t="s">
        <v>1399</v>
      </c>
      <c r="W2" t="str">
        <f>_xlfn.TEXTJOIN(",", FALSE, L2:L1370)</f>
        <v>"27.7","28.5","31.1","27.6","26.5","26.7","23.7","28.7","27.8","27.0","28.1","28.0","28.7","29.4","26.8","28.5","26.5","27.1","27.0","26.7","26.5","26.7","27.2","27.0","26.0","27.0","26.7","27.3","26.7","27.5","26.5","24.6","28.6","26.0","27.1","24.8","28.6","26.9","27.6","26.9","28.5","27.8","27.7","25.6","28.3","28.0","30.2","27.0","27.7","25.1","26.9","25.4","28.1","28.3","27.5","26.4","26.7","28.2","26.1","26.6","27.3","25.7","27.4","29.2","28.4","27.5","25.9","26.8","25.2","27.8","28.4","27.6","25.8","28.4","28.6","27.3","27.1","26.0","25.0","29.4","30.3","27.7","29.0","26.5","29.1","25.5","26.6","27.4","28.9","27.1","26.5","29.5","29.2","28.6","30.2","26.4","26.7","27.6","28.1","26.3","27.5","28.9","25.9","26.3","26.7","27.6","28.3","27.4","27.5","26.0","25.3","24.4","28.2","26.9","29.3","28.0","26.5","27.4","29.1","28.1","27.2","29.0","27.7","30.8","24.9","24.6","26.9","28.4","27.3","25.6","27.1","25.8","25.4","24.6","27.5","26.8","29.1","27.5","27.6","26.0","26.8","28.0","26.6","26.5","30.0","28.4","27.2","26.5","26.2","29.8","26.3","27.5","27.7","27.7","24.6","28.6","26.8","26.0","25.7","27.6","26.1","27.4","28.2","27.1","27.2","28.5","29.8","28.9","29.4","26.8","27.3","26.0","27.6","25.9","29.8","27.8","27.2","25.7","27.9","27.6","26.5","27.5","24.9","25.5","27.2","25.8","25.5","25.6","29.4","29.1","27.2","28.2","29.4","26.4","29.1","27.7","25.6","27.4","26.1","28.5","27.5","26.9","29.3","27.2","26.9","29.6","28.0","26.7","26.7","27.3","26.2","27.7","28.5","27.3","28.3","29.1","26.3","24.9","27.0","29.9","27.3","27.0","29.6","28.1","26.7","27.6","29.1","27.0","26.2","27.2","25.7","28.3","27.7","28.5","26.6","28.8","26.4","28.0","29.7","28.9","25.8","31.0","26.1","27.0","28.1","24.3","26.1","26.4","27.0","29.4","26.8","25.3","29.1","27.6","28.8","30.1","25.2","30.2","27.4","25.7","31.1","27.3","26.4","27.3","25.5","29.0","26.7","30.5","25.3","28.0","28.5","27.7","29.1","29.4","24.7","29.3","27.3","24.9","25.8","29.5","27.4","30.6","28.5","31.6","20.6","22.2","32.2","24.9","26.6","26.9","25.5","27.0","25.3","28.5","29.0","28.9","27.0","26.3","30.5","30.0","26.7","26.4","30.7","27.1","28.0","28.4","26.1","26.5","27.2","26.1","27.9","26.1","26.7","26.7","26.4","27.7","27.3","28.3","33.9","29.4","27.5","27.2","28.3","26.8","26.0","25.4","27.4","26.4","27.2","31.0","25.3","25.5","27.5","27.1","27.6","28.9","30.1","27.7","25.1","24.3","24.9","28.1","28.6","25.8","28.9","28.9","28.7","27.2","25.5","27.2","27.6","26.0","26.1","28.7","26.6","28.1","29.1","27.1","29.0","28.2","27.8","27.0","28.6","26.7","27.4","26.5","27.3","26.1","25.9","26.4","29.8","27.3","24.5","26.8","27.4","27.1","25.0","28.7","28.1","28.9","27.0","26.0","26.3","28.6","26.3","28.3","28.1","26.3","27.3","29.0","26.5","30.1","26.6","26.5","26.6","28.1","26.5","27.8","26.5","29.6","27.4","29.7","25.5","29.9","28.3","28.5","28.9","25.6","27.8","27.5","28.2","28.9","26.9","28.7","25.8","28.2","26.4","29.2","26.9","26.7","25.3","25.5","29.0","27.2","28.5","28.5","26.3","28.6","26.6","29.7","25.9","28.0","25.6","26.7","26.1","25.8","24.5","29.1","27.5","26.5","27.4","27.0","27.2","28.3","28.5","25.8","27.3","27.9","25.8","29.3","21.2","37.3","27.5","27.2","28.7","31.3","25.7","26.1","28.6","28.1","31.5","27.9","29.5","28.3","27.3","28.6","27.7","27.1","28.8","28.4","27.1","28.1","26.5","26.7","26.5","27.2","27.3","28.5","27.6","25.8","30.2","24.8","30.6","26.0","26.8","27.2","28.7","26.5","28.8","26.5","26.5","28.2","27.9","26.7","28.1","25.4","29.7","27.6","26.1","30.1","24.5","26.6","26.0","26.7","26.3","26.3","26.8","30.1","26.1","29.6","26.5","26.3","24.8","30.9","28.7","27.2","25.6","27.7","26.9","27.8","26.9","26.7","28.8","28.4","26.1","25.8","25.2","30.0","27.2","25.2","27.7","26.5","29.1","25.3","28.9","27.5","29.2","26.6","28.7","28.4","29.9","27.0","28.5","27.3","27.8","27.8","27.0","26.9","25.8","28.3","27.2","26.6","28.1","27.0","25.0","26.2","27.2","27.8","28.0","27.2","27.4","28.0","28.3","28.2","27.5","27.5","26.9","28.1","28.0","26.6","30.7","25.8","26.6","25.8","27.5","25.7","29.1","26.3","27.3","26.8","26.8","28.3","30.8","27.1","26.9","30.1","26.2","28.7","26.6","30.3","27.7","30.3","27.1","29.1","26.3","26.5","25.7","26.5","27.4","28.5","27.2","26.3","26.7","26.5","27.9","28.7","25.5","25.3","25.1","29.3","28.1","28.1","28.2","26.6","28.0","27.1","26.7","26.1","27.9","27.8","26.2","25.8","27.4","27.4","26.7","29.6","27.6","25.6","27.9","28.1","26.4","28.7","27.1","22.7","25.7","27.8","31.1","30.4","27.1","28.8","28.0","30.4","26.8","26.8","30.4","28.2","28.9","25.6","26.4","27.1","26.4","26.5","28.0","27.6","28.0","28.5","27.8","28.0","28.9","27.8","30.2","27.6","28.3","30.1","28.9","29.2","28.8","24.3","27.1","28.7","28.2","29.5","26.2","28.4","26.4","28.9","28.7","27.1","28.0","29.1","30.4","25.4","27.5","28.1","26.6","29.8","25.7","28.9","28.5","26.5","27.8","26.9","28.8","28.4","25.5","26.8","27.8","28.2","29.0","28.1","26.8","30.5","27.8","27.0","28.3","27.1","27.9","27.9","28.4","29.8","26.9","26.9","27.4","29.1","26.0","24.2","26.9","25.6","26.3","29.9","26.4","28.1","27.1","28.0","28.9","28.6","28.5","27.1","26.4","27.5","26.6","27.2","28.1","26.8","28.1","28.5","26.6","29.1","24.9","27.9","28.4","28.3","26.0","26.1","26.7","27.9","25.6","30.1","27.6","27.9","28.4","29.8","29.8","28.1","26.2","26.8","25.6","26.4","28.6","24.7","27.7","25.2","27.0","27.1","26.9","28.3","27.8","27.5","31.0","29.4","27.8","26.6","24.2","27.2","27.3","27.1","28.2","24.6","25.5","26.1","26.2","27.4","26.3","28.2","24.4","26.0","26.8","27.2","24.7","24.8","30.3","25.6","26.0","29.2","28.4","28.6","28.3","25.8","27.2","26.2","28.6","27.8","26.6","26.5","28.0","26.1","27.6","26.8","28.3","27.1","26.6","29.4","29.3","26.4","27.4","28.0","27.2","26.6","27.7","28.3","26.7","25.2","28.7","29.8","27.4","27.0","28.8","30.7","25.4","28.4","27.2","29.4","25.5","30.0","28.3","28.8","29.0","28.6","28.5","27.3","27.2","27.2","28.4","28.4","23.4","27.2","27.9","25.8","28.2","28.0","27.7","26.0","26.8","29.9","24.4","25.1","29.4","24.9","29.9","27.4","28.7","28.4","26.2","26.2","27.2","29.8","27.2","26.1","27.9","28.6","28.0","29.9","28.0","26.3","32.2","25.0","28.1","29.6","27.2","26.7","29.7","26.6","27.4","29.3","26.8","27.8","26.8","27.9","27.8","28.3","30.4","25.2","27.8","27.1","28.5","25.7","28.4","27.7","28.2","28.0","25.4","27.9","28.8","29.1","28.2","27.0","26.1","29.3","26.5","27.9","26.3","27.2","28.0","29.9","27.5","25.3","27.7","25.8","27.1","29.0","27.2","26.9","27.7","25.7","28.1","28.8","27.5","26.7","26.4","27.0","28.4","34.4","31.5","28.8","29.4","26.5","26.2","29.3","26.4","28.0","25.8","26.3","26.1","26.0","26.6","29.1","26.9","27.6","25.9","29.6","28.5","28.1","28.5","27.0","25.3","30.2","26.8","26.8","26.8","25.4","26.2","25.0","27.8","26.2","27.1","27.2","29.4","28.2","27.5","30.4","28.1","26.2","29.2","28.8","26.6","28.3","25.6","26.6","25.9","24.8","28.8","24.4","29.2","26.7","30.3","26.7","26.6","25.8","28.7","29.9","27.0","29.4","24.8","26.8","28.5","27.7","27.0","26.0","28.8","27.0","27.0","28.6","28.6","27.6","26.4","28.7","30.1","48.5","31.4","24.5","28.5","25.4","24.9","28.0","28.7","25.7","27.9","27.3","28.5","25.6","25.7","29.3","23.7","26.9","27.2","27.3","27.8","29.3","28.3","25.0","27.5","27.0","27.2","26.8","26.0","28.4","28.8","29.5","25.7","28.3","26.0","24.3","29.1","28.9","26.4","27.0","28.6","30.0","25.1","22.3","29.8","28.1","27.4","27.3","26.9","26.0","26.8","24.9","29.5","24.6","25.4","27.1","26.7","25.8","26.8","28.3","27.9","28.0","29.6","27.5","28.0","29.5","27.8","29.4","28.4","28.0","26.8","27.9","28.0","27.7","27.9","27.1","28.1","28.0","26.4","27.6","27.1","24.8","27.3","24.5","26.1","29.4","26.6","26.3","30.5","25.8","24.7","27.4","27.4","27.2","25.3","26.7","25.2","28.8","32.2","25.5","30.5","27.1","29.5","25.8","28.0","23.8","29.1","25.5","27.7","28.1","28.2","26.8","26.8","25.3","31.2","23.4","28.0","27.8","27.6","27.3","28.3","29.4","28.5","27.8","25.8","29.8","28.1","27.1","26.3","29.5","26.6","27.3","26.7","28.7","26.2","22.7","27.8","26.5","28.2","28.2","26.5","25.2","28.8","28.2","28.5","27.4","28.3","27.8","29.3","26.3","29.5","29.2","25.5","27.4","26.5","27.7","29.7","28.2","26.7","26.9","28.0","25.4","27.2","29.3","28.9","27.4","27.2","29.6","29.4","26.1","25.4","24.7","32.1","26.8","26.1","27.4","30.8","27.4","29.8","27.1","27.3","28.5","28.2","26.8","31.2","25.8","28.4","26.5","34.3","25.8","27.1","28.4","29.0","27.2","26.9","26.7","27.6","25.5","26.6","29.2","26.5","25.1","25.3","31.6","26.6","28.2","27.2","28.8","27.5","26.9","26.0","25.5","27.1","27.0","25.6","26.1","27.8","28.3","26.5","28.0","26.7","27.1","24.6","28.9","26.0","27.8","31.3","25.8","25.4","23.9","32.3","30.4","27.3","26.9","28.8","25.6","28.6","26.7","26.0","26.9","29.2","27.1","28.6","26.7","28.1","27.8","26.2","28.6","26.6","25.4","27.5","28.3","26.5","25.1","28.8","38.4","26.0","27.7","27.5","26.8","27.5","24.6","26.4","29.3","28.0","26.2","28.7","29.0","29.9","27.9","27.4","25.7","26.7","26.1","25.5","27.2","26.7","26.6","26.2","27.5","26.9","29.2","27.8","27.8","28.0","26.6","28.4","28.1","30.8","28.0","28.4","27.8","30.6","24.9","30.7","30.0","28.3","29.7","25.6","27.8","28.4","27.5","27.9","28.6","28.2","27.0","26.9","34.9","29.2","28.0","26.0","25.7","27.3","27.5","24.3","27.3","26.7","26.4","25.6","28.0","26.8","25.1","25.8","29.7","25.8","25.6","29.6","26.7","26.7","27.9","27.0","27.8","30.8","27.6","26.4","25.6","24.1","25.2","26.8","27.0","25.8","29.3","26.3","28.2","26.5","26.3","26.1","32.3","28.1","26.6","25.2","26.2","34.8","27.5","28.0","27.3","29.3","29.7","27.7","34.6","31.0","25.7","37.2"</v>
      </c>
    </row>
    <row r="3" spans="1:23" x14ac:dyDescent="0.2">
      <c r="A3">
        <v>1</v>
      </c>
      <c r="B3" t="s">
        <v>21</v>
      </c>
      <c r="C3">
        <v>28.456217732884401</v>
      </c>
      <c r="D3">
        <v>1025.0986943866701</v>
      </c>
      <c r="E3">
        <v>8.7857945083906408</v>
      </c>
      <c r="F3">
        <v>28.7927725240461</v>
      </c>
      <c r="G3">
        <v>99</v>
      </c>
      <c r="H3">
        <v>564.938232421875</v>
      </c>
      <c r="I3">
        <v>8.7054293432137997E-2</v>
      </c>
      <c r="K3" s="1" t="str">
        <f>TEXT(stand_validation_1cycle[[#This Row],[stand_age]], ".0")</f>
        <v>28.5</v>
      </c>
      <c r="L3" s="1" t="str">
        <f t="shared" ref="L3:L66" si="0">""""&amp;K3&amp;""""</f>
        <v>"28.5"</v>
      </c>
      <c r="M3">
        <v>100</v>
      </c>
      <c r="N3">
        <f>0.029*stand_validation_1cycle[[#This Row],[stand_level_biomass]]</f>
        <v>29.727862137213435</v>
      </c>
      <c r="O3">
        <f>0.213*stand_validation_1cycle[[#This Row],[stand_level_biomass]]</f>
        <v>218.34602190436073</v>
      </c>
      <c r="P3">
        <f>0.571*stand_validation_1cycle[[#This Row],[stand_level_biomass]]</f>
        <v>585.33135449478857</v>
      </c>
      <c r="Q3">
        <f>stand_validation_1cycle[[#This Row],[stock]]</f>
        <v>99</v>
      </c>
      <c r="R3">
        <v>0</v>
      </c>
      <c r="S3">
        <f>stand_validation_1cycle[[#This Row],[aws]]</f>
        <v>564.938232421875</v>
      </c>
      <c r="T3">
        <f>stand_validation_1cycle[[#This Row],[percent_tree_cover]]*100</f>
        <v>8.7054293432137992</v>
      </c>
      <c r="V3" t="s">
        <v>1400</v>
      </c>
      <c r="W3" t="str">
        <f>_xlfn.TEXTJOIN(",", FALSE, N2:N1370)</f>
        <v>24.7271805747311,29.7278621372134,33.9347627339009,23.6340355928997,19.4142368408708,21.7227559991019,19.387735433933,32.9051621805508,23.9442284839344,22.4124987202019,27.5475081180184,28.8085990356254,37.0977101169632,27.8732671357482,21.0085080673075,24.9999278678166,22.7256139067435,22.9615955039807,21.4844613392906,22.4162320094257,23.0452842827812,30.8054769392552,23.6840789819943,25.8154788173526,22.1216313982975,23.107384605868,22.4795802169794,27.1616113862824,22.9210664463162,22.9401835574294,22.0522406472792,20.2097893441293,31.1516210672398,20.1793187427038,24.6452865556811,16.6865338808773,25.0085554783022,27.4787609670729,29.3626701498539,20.5321915762219,26.9832162871309,30.3640646218397,28.4519307341839,22.4570329898864,25.8836261585838,25.1205064307521,25.7142545603382,21.2794444984878,26.8488037988533,21.3275002641857,22.8485251925219,14.9434929209962,25.8425817390016,26.554501944996,28.3343416423582,26.7410855790702,21.5154199651518,28.1419529436466,22.0147339688538,21.5035439803714,21.4956346469473,18.8363393987339,27.7801109139685,31.1335627419582,25.8123146183416,28.0885638345337,19.9780912963102,24.9868034092629,17.996432558554,29.4221256171087,31.4021386450045,24.0141639530952,20.3236207337074,23.3751411800552,24.2774246231799,23.5825908905176,25.5857881086189,20.1330895037189,21.9098956472683,30.6718374655376,28.9301322167355,27.1122806863078,32.442389426633,22.7155704901611,29.3400645716412,18.6070142617959,22.9797376408002,25.7918034028016,25.6758959001546,26.5603410113194,23.4417955520345,29.0109394866893,36.7895227294616,27.9962258592116,28.3936774512863,22.7892402323865,23.4786215048894,24.7646375409182,24.670089001416,22.7550194149489,18.681637289991,29.5866807750672,20.2063015107224,20.7393716008957,21.2685469273863,28.2552646415596,26.2142339655925,22.6315378927751,26.094870939737,22.7533961813929,18.9328816498219,17.0086661786412,25.0827764423014,21.2376489194651,32.4451509407525,27.6026007092695,21.387639594946,23.9149863509579,31.437723967787,22.3159521834859,19.9423082758261,32.1543504358804,26.4139328697194,34.6197597368544,22.5166585592467,18.3846535068147,25.1681812357019,28.5247191252801,21.942565504571,22.5184086209623,28.5448348376693,22.1331718295897,20.5466694920667,18.6234218001227,24.5092840689428,21.917962615103,27.6747726633832,25.175057020187,19.5027408006993,22.4553613368592,21.9825983295694,25.210137388787,22.2183019238015,18.2456152888793,34.9442280220944,29.6288251465957,20.7994301753619,23.0591419777952,23.0222069298569,31.5911740688922,22.844370202909,24.0272482247958,28.2278992142995,26.3031840061924,12.8076238950229,25.8493173157443,22.3154733701202,23.1759830912586,21.7482930942904,28.79246766795,17.2970436865854,27.8632932261237,30.100275480055,24.6803256055899,23.5785896636904,29.1056825760127,26.8097847743989,29.2935837344149,20.5944150925231,22.0856850660408,24.6234163066264,20.8262082212113,23.4950544244,23.5599969471933,35.8573327759782,20.9310916952004,22.7258957117909,24.0757877560548,27.4305556067244,25.0583301851856,23.3024737293361,22.0013009801378,21.0233177785369,24.5699661629319,21.0072576606038,23.8123351438352,21.9827236775381,19.146872322825,32.4310176227851,26.4968144788447,26.2489294035031,22.9776864894977,29.9383334731939,26.5847932982728,31.0854090782445,25.4937463937781,23.7616581441762,23.2179343038035,21.5364529547794,25.5322711588882,24.2262440510527,24.9123331968671,30.0824373733236,26.4181296653545,19.727316887354,36.300071242889,23.8940955044543,18.4756000567447,21.9036364716524,25.3938215019224,21.7045318692294,22.154118536779,24.4875283645404,24.4593434283661,23.210933820772,30.9845957660612,23.6466067876284,18.7024351930863,20.4367169772408,26.6014990749263,28.9951534837083,21.0394907528597,26.8956199458831,26.752777015371,23.2180453629737,26.0399377403379,28.8840403541062,23.5117709383318,18.2527069048591,25.6627472219359,19.0948169878899,29.4374523636847,27.3277737589138,29.1179740499146,23.1810637447381,32.3128945483801,21.6853129315426,24.5025926564178,30.7808740717167,29.4718112607229,20.2648816517586,32.9066832162486,20.9719359661818,22.5352600168257,23.9745110336536,21.3517664688237,21.2448840959284,24.193747539433,22.1152616396729,34.3976309818407,24.4696723249825,21.1658372565392,29.8641679785132,25.783433418448,30.6102070211467,27.4675451143757,23.2214980777408,31.3816437899857,21.9648992575554,20.8310710220692,36.1388745977959,26.5349361099957,26.8837958363322,22.5833777610434,20.7202359648033,28.8482931490978,22.9810364928496,34.5440324980727,20.5619913187857,24.5274744107137,27.0348367990152,27.2504224068109,24.9290063151332,31.2921696948537,17.9530790128089,29.3094506308616,27.8901133831806,19.8128419084864,25.3148785190165,29.7104020184627,18.6642565471341,24.436036233646,26.9051999397987,32.8726351369393,14.5732743436361,8.48472474854921,36.2933514649821,16.7501152149639,26.0544989057398,21.4401373242486,20.846185377762,22.3113320394335,18.6357253961344,32.1497687195833,30.448117200346,25.4996488533477,19.8399719757158,24.4697220510037,34.4012717115373,35.7544174350991,25.3820582158314,20.6239171254563,30.3680863346996,21.3420162053075,31.3231037188859,28.7307187985739,22.5065668864344,19.5811668285786,22.0078354391158,18.9065417071863,25.3300426350814,22.0197263587403,25.7247788784852,20.3798959205603,22.2929478093333,30.6987988292272,23.1539789016042,18.6636541865007,15.8912692628277,23.1626644113609,26.5394994644407,24.2138035265718,29.2457498892155,22.2540541897478,14.041779589588,18.501287468768,22.7954100628583,21.5370355191934,22.5411511572905,35.7409485666455,18.0539559441067,20.3856058858456,26.4039974598574,21.9150357538743,30.2104545258211,28.0370510559909,39.6268278078334,20.1236853269777,16.4912130155844,18.8692274991538,18.1873853941184,23.5020539452261,28.8189689575154,23.571445049122,26.8141811175675,24.1781282567041,27.943670534738,27.0862822516663,20.1501423179624,24.4668382937658,27.9862328439364,26.2115190170147,23.3093259390373,44.4454117696564,28.7762544277942,29.5051454767029,27.8272061670256,20.7778667468401,26.314414944714,24.7045337632553,20.2345546368103,24.0448514211448,24.2458084299116,21.0543794867072,27.2143038404014,22.2020672525733,25.4452050617381,20.3450115763709,19.5605269534223,20.8020632106522,26.833648437944,21.9068002280084,16.4610977434321,22.7906205799311,22.3407845490707,22.9581202284429,14.6119986042426,31.2097933082889,25.1058541862515,28.1617861512754,23.5588775727279,19.9191636159793,21.0483922222769,29.9029461701266,31.168248597752,25.9342423882224,29.6187198944402,20.2366213382194,24.4497034296969,27.748181655427,20.375307903524,30.926750501523,21.4878163110724,24.812931856353,24.4386698864444,26.0573482910943,29.3868439387479,27.4154121047615,18.5275922248527,33.8777592166971,24.8104477834356,33.0470145059311,17.0139658312616,37.8622684259966,24.2440255468839,25.7032194351685,24.6329313028205,20.3129073686472,24.412851020573,23.9018885096994,28.4197437157729,31.2031197437121,24.5893385924817,28.1468827243023,20.5133283184081,26.7578414515905,21.7279812036611,36.4472392864288,23.6557401060228,22.6195048333537,20.7965472321945,18.6238376892756,27.7564209127688,29.1559922751114,30.438546827781,24.6785552674787,24.0450759362084,32.1800728888435,23.3083858474502,31.5722750151921,20.2562313021158,27.2949383778502,16.2932913268361,24.0629503344105,18.1346309779829,19.4841894813645,21.0570914424485,29.6936041833619,20.7252974468326,27.4774188212899,25.8554210972143,24.8644571997327,23.5059730596066,29.9118574611871,27.0577443306405,24.6709220781046,23.6676986515431,29.7488581208229,22.2500231975952,32.2388436552144,9.24714437043838,55.1760725268983,22.6430187803577,24.9890044584259,27.1304390593393,31.2264540138815,19.2764043780501,20.052799638247,31.3426185183462,22.107330462594,32.4769079873617,26.2535690753986,31.7586684523205,25.4885530462232,23.1914417239356,33.0878618681878,25.7292473199142,24.6854386521282,27.398432460387,25.8317604622683,23.4891832353128,28.3030607144286,21.8474290477565,20.4984415058824,22.0861536642091,22.6376132628339,21.6428183199614,25.1100070934133,26.7252052198426,23.6443606279059,29.6100096171578,16.0335467808192,30.2997806148774,20.1786475241018,26.0957002359605,23.6829657305018,31.7674647709491,21.9403146872682,28.4066365527112,20.8835508805499,21.7717907121992,27.7190078091752,31.2298206377829,24.8715213739712,29.0127157711323,20.5359661599608,29.5031073659093,26.0099171868931,21.8120047530007,34.7208779439954,17.1334770548688,24.0011327557367,21.2112605956395,26.6147801740892,19.7855562787885,26.8520738847718,21.674284713068,31.1386460001603,21.352771621019,29.5929174001016,26.3786974810532,22.8863893685736,17.7705373952475,33.2128501345159,28.6647202359734,25.180817679429,19.9806672337876,26.5848649035843,23.8905087057314,24.2223184389917,22.7956159677901,24.5468671287099,30.3725972946901,29.5297776481438,26.1760962419325,19.1886820640182,17.770536260052,31.4777774725096,21.0087686217724,19.1728435194197,29.1505452209054,19.3835192809881,26.994092783816,21.4081290555266,25.6158360576186,24.8255459829581,29.7778651972576,23.3838177686199,27.5472887152105,27.8898060335525,32.8453113162719,27.7879703436909,26.4965752867129,22.0275573171468,29.1730614385335,24.7591865862347,18.8081685247349,18.9152343453342,19.6366680874954,23.1780314915994,26.863046802376,21.9324069963684,26.3699663017876,27.7579271850252,17.1925244850243,23.4385282561601,25.8689603235813,21.6227454894488,21.4295412004101,26.6195374025654,26.2719322365432,23.4960231245449,26.2983705657012,23.1276225095912,30.4538830128712,24.0659106138434,22.9752517988037,26.1502565831106,26.8937428187938,21.8347187970809,34.7052552882225,20.498794037856,22.8244694780231,23.6417312908777,28.2823450654264,21.141166499528,29.5832321044014,25.650547448586,22.2912391391639,25.3432714936192,23.9704934939517,23.3521264356983,35.2097180272165,25.5165517794553,25.5459334479093,28.1755216673626,21.5274639235307,23.5341330181692,22.061301792746,31.8222437520161,24.6388868116097,29.9818775435567,26.2686744782927,27.539642899949,23.843187917485,21.3392995365992,24.4275658310674,22.9456055761274,24.0531838985639,28.1914162135049,24.6430595485223,22.9427646933107,23.9387307131575,23.5288292916722,29.3925755109798,28.9400843460591,19.6338657076474,22.423892015454,20.5231248273136,28.8755199593568,31.4089552771216,21.4094248851219,26.3788340901955,19.7245958396119,26.135330026426,25.3562172271755,19.8097509390019,21.3014241116,28.0781159033815,29.7640041366651,19.6860949577559,22.730285404052,24.3827248524275,24.0012348652487,20.6481499592272,29.5758281118421,25.2790517429679,21.5617868567894,20.8048910196979,28.0773922991507,21.3350929416181,27.1113038425358,20.2910552274515,11.212419776458,19.7628810472354,26.5307100792053,32.7830187168703,33.1908181080598,23.9664998872719,28.4944132954916,25.8269838274694,36.7519416867218,19.2282765917843,26.8395483858251,26.1179210556788,24.3920455981923,21.8488571380833,21.1976184458509,23.883328796723,24.3012929752906,19.4906619912869,22.3379361067916,22.6126704469213,27.5515222557448,26.4666008206924,27.895059117354,26.2508167344484,33.9141793882351,32.9153397640632,26.3324082649297,35.5414709517912,21.2767567278929,21.3748281250763,33.1598842287033,35.665467450925,30.6175699171117,29.9861002688523,19.3198347065761,23.5672621195434,27.9528281352187,27.0263714130406,32.8950202226281,21.7589014486346,24.3886293714029,17.6050421152641,26.2365020636749,26.2937156032535,22.0245883480062,22.7408487190926,26.4075965048509,34.2940727808928,15.7804850903903,29.4478050053944,26.8068573003855,22.8759451381701,25.6014639897166,21.565023092129,28.3609473253462,28.0096072077672,22.5619767296126,27.0471277134471,28.6723627656245,26.1664100839455,26.5788371511059,23.8041661122111,20.096444917887,25.4538273823977,22.8850032514163,25.9408635284213,28.453923376851,19.2357801643963,34.887576548246,28.8139036063539,23.5025190021438,29.7610059425636,21.695441956788,23.5064559090616,27.668220707879,27.0203825246701,27.6521497981205,21.4707586052323,22.9821806986424,26.2997009564815,32.6902114853468,19.8050751813006,18.6029874409165,21.9737629627613,23.0567402983325,18.4822303395618,28.5865454543555,22.2521033843341,24.5452449108533,25.0664832134886,31.3512725537841,27.1527420926048,26.701309775092,25.5170063296836,35.5559765792812,20.0558253665733,24.1354821204404,19.2688478150638,26.0081832889584,28.4086679660792,28.8513378062308,24.6066860084405,20.1589591429751,20.829460847756,27.7005712520138,19.3549315896256,27.6317353119744,28.7398499340287,33.1059961880181,24.9591760356755,25.2350871177907,20.2410125390616,28.8648481888835,18.3546672275736,30.9461952707039,26.8824317681996,25.0184292987724,28.4592287944645,29.351638674923,27.6874242787611,23.6827121989657,22.6539848751062,25.8854809266876,20.1683094456591,20.2787456200285,28.9223222833651,15.711858066214,26.1070490243377,20.0775208741358,24.9598519175778,21.1595185059088,24.9202707589433,27.2218198827538,24.8043146898529,27.8406312065711,38.1475320229467,32.8393494997977,25.8629920683151,22.8856039941054,19.4514447532962,25.933239430257,27.3140689803334,24.5185879408505,23.7654565285859,22.4460836197014,20.393742166955,23.9371799745621,23.2825749516579,26.0491470876626,25.4071682320248,25.697667424623,17.0658162080031,25.835014850415,23.7549839895135,24.0990925366122,19.1579807264881,15.7303578641438,43.9566359368613,22.5060177502122,23.5476376940584,29.0508020154388,27.8403828046335,27.9229305030156,25.1104229242266,18.4561427036706,26.467714676638,21.3944635412086,27.5433287533739,29.4301005145172,24.6153714745876,21.9720264628298,26.1679795285848,19.9543200341084,23.3706632269169,25.2747061690313,27.7166731569564,26.5667670845473,25.5701395065829,28.2467713937736,26.5019278459188,18.0070779288162,17.7849881545662,26.9088728316177,25.0172363361361,25.2928735302839,26.123596614572,26.5755869860573,22.9555610833852,18.9399186768571,25.1155191136678,27.7190369572323,27.0237740524144,23.0205652531158,32.2281981868176,34.0212811662618,18.7105257954437,29.8762065372233,22.0671513857074,28.9125079611082,20.7935572124238,32.0586938579301,24.9696472114898,26.9097609815469,30.6033122800752,25.4310453122198,24.5987355808816,26.2563763382279,24.7634339021027,22.0751881374082,25.6453193108226,23.3065251376256,9.6543631650896,22.7165186141259,19.4662937294507,21.2515571087327,27.9946886485693,20.5609097293678,23.8716663209286,23.2401760107865,24.6023992262672,35.1891517950202,17.5592734794316,19.0422076508704,32.4178245477099,15.8427815929769,33.3260256758317,28.229896271923,28.9172378830007,24.377319932943,19.9903937374008,20.0931822486197,26.7195931180896,27.4155304499151,23.940195795879,20.3259217391043,20.0994126196651,30.9178824757156,23.3884115296616,34.3294437283157,25.0528963689576,20.1967115259903,44.1843162801654,16.5011092690157,25.3257781082004,30.7974098630396,28.1049198816176,20.3555136710055,30.6831365450938,24.6142200093971,23.0642673890318,35.6138075653876,22.5833134465096,24.8803100842793,27.044040434844,24.8661472228673,27.5528394235215,25.4620042556325,32.7923649275855,21.7917821258589,25.8935393671211,23.5406502040352,30.8360973238183,21.5617831953119,29.5831459928378,23.1669001202651,25.7167846917693,28.1338182996244,21.3164990507376,29.4509589264932,30.4497851741628,27.0870389128678,21.424408310324,25.8166156808133,22.8784318278077,34.2314104619044,18.2967201931605,26.3306652015844,25.9789412572513,20.047043763219,23.9716812251353,22.7146311262876,21.5330960685047,20.784415984596,30.7184709164024,24.188323917345,21.1674887952551,29.0977947090908,23.0961519091604,26.802722210638,25.9869517611381,19.7957325237908,25.9410777906695,30.0397481321157,23.450826597023,22.8105570098916,21.0107937610083,26.8497951378959,18.040153649132,36.357459407347,34.5953693398858,24.7407889733351,32.8386531305949,23.3217328137033,22.3629472559825,30.9771326820373,21.5618417957611,24.9903267013428,19.5544965057129,20.1168836409533,23.663081772286,24.1246132269794,22.9876502984016,29.9337084984921,26.7141078231712,28.4378718363273,19.1226413048811,32.7460730580907,25.1549507077524,29.9252954877774,28.6422330617096,24.3740229251687,17.9231661145205,35.7167004416417,23.805250606112,17.6030643716969,30.5360040874471,17.7554820069154,27.7569859056508,16.9842892499124,23.0500903865774,22.2252289225961,23.5344984596173,23.3515123431812,30.5659668902195,29.0089536127819,23.6050546573557,33.336595990359,24.3669502580181,22.4932625122525,29.485532263846,27.5864365277244,24.824706039342,28.0306494767424,18.2267445443399,27.6796964512185,18.2658559944857,15.9634638457626,29.5951900067138,20.933269335267,24.4591794673052,23.4385420427393,29.2808391251296,25.7568091754767,19.9791351281986,19.4663668182247,31.5004452712796,28.2187815280351,22.8932687061016,32.7205680122063,19.1954210077567,26.4970522402907,26.4721065711455,26.2019970615428,18.0023766120561,18.0049624762892,29.8214792353224,25.1843279309852,23.8292535557337,23.4106040555007,27.2007592724454,28.4748614997261,23.409500959712,23.3326099889465,43.5232381062306,110.397685067553,30.94310402563,19.4933999252345,29.8550685114986,19.4265476806241,16.3630901534171,25.5055582562233,24.146216914288,24.8001725769773,27.6161618523413,20.149835807835,24.8737548967823,22.193874349195,20.0773734510113,29.4398778157189,15.5045458620864,24.3817841857478,25.6561990700026,27.2699357946464,22.0970100055777,32.4354464685193,29.3246051264395,27.5033651724232,23.8439957596558,24.0365872889973,24.5790383009422,27.3930108439806,20.7348435392505,30.7740720339519,33.9046787246715,32.5514966028762,19.1723502557548,23.9475464088012,18.6677807577144,17.9859570025026,29.0693526987016,24.6703619375226,16.6126773557429,21.1993113281714,26.0729121867835,25.9967016528872,19.9981668898161,14.9337817922137,30.2922663445257,23.682800553866,23.7706670361497,25.7458277199829,23.284768069812,23.070742616642,22.903263317055,16.6298932966474,35.7734759178988,17.8321267215073,20.9887980353856,25.1741021907163,20.4963832241556,17.8687067148323,24.0963317109669,28.7300476629743,22.0457723087217,24.9033698262941,26.2762386947268,18.289492225225,22.7698308139446,31.1678216922427,26.8970054527014,28.2468896790384,29.704121945253,27.5508407911749,24.7786159445779,29.1546667567354,25.3321750176037,24.5382991127723,28.0801580732737,22.9071671504298,28.5219853506325,25.8662949983088,21.9330181617097,22.7569394759307,23.0627210456398,15.5688143801356,23.1504490448483,19.1999999197864,20.7499577386978,29.2814384347715,25.2955886644006,20.2263596557755,32.6057167992766,17.5282565107347,19.4163361219759,24.2430948298798,25.4880759068641,22.8249348446494,21.6530457288085,26.088959169261,21.609198208258,32.270674221019,39.8811626052059,16.6924908707492,31.0306144312346,23.2595263004233,29.655412397828,20.5753992082384,24.8170533087765,21.0068600719884,30.6381090901419,19.5437172394407,28.0376271826683,25.0831138942797,23.9257564260464,25.6605855722797,23.9423245595727,17.4129504385296,24.4518076009783,21.1155327222915,26.0089356722054,17.9440431838557,23.4454115278512,26.6791264514102,26.4221720704707,29.7563178980652,22.0898735092973,27.8682086900665,23.9914028257648,33.0865932991237,23.8752529126707,22.0964123843028,27.9597010417133,32.936878995016,30.3765895567586,26.9326529782438,21.0733733294946,27.7509475509628,23.6854933173397,11.7696741164095,27.3258501286182,21.0083828942287,29.2156108832516,23.7466103532576,21.0661925442616,20.9366285457276,29.6870917955269,29.7283666426137,23.3470327580803,24.143489919039,23.8543558244108,24.2714063917798,34.2486804474769,21.751558097149,28.9634425941312,33.5214727464465,20.9247193017904,23.9036781285901,17.3431895623542,27.0465961819425,28.6618983694748,24.112823998207,26.2174756167763,20.8128711326549,25.4437822882812,22.6196309779361,25.4552361722866,29.6728954443244,26.6595432131801,23.473784679188,24.2700787322055,34.5623428538353,32.3185003185039,19.3516666171586,19.9198401872112,14.4730694659131,38.2916394917409,19.8160888006187,21.2767102872915,24.4049298528543,33.2407249768524,22.9103398893148,27.5173973513286,22.3286874878444,21.5405412862687,27.8715160222686,28.8264206248692,21.9490894856378,34.0563072841303,20.8607780031467,34.441995240191,26.7657687881029,18.8694152891678,27.8866867414442,19.658583039598,25.9169528529142,30.628602736327,23.4156126005102,26.7988533639606,22.4714192110772,26.9749100864401,18.7276738738671,21.1543065927912,28.4118842885961,20.9565664808985,18.2235728516008,20.7978020359936,29.7611958017634,20.7309842302494,25.8865544192735,19.3504114555075,29.7622404761889,22.8411333550784,22.4479916017403,19.7699810334849,20.652040597253,24.5605353633935,22.0610572140799,20.2907227252111,20.1401344963211,23.9501441434057,25.9531754097672,25.3475599890073,28.6617327421429,19.6420613123461,23.5985662569425,19.358992071902,25.2552707970516,25.7217075940772,26.4692147881726,33.1802852475672,21.5863776925076,19.1336490215443,16.5602339488443,40.1508203366579,33.241806878231,25.6163138092385,24.7313100645255,30.9318525913968,19.5063066163515,28.9194000289957,25.7448491930796,24.0968857774292,22.3638920936564,25.8181007267049,25.303948454248,29.8517683859434,17.2532178603182,28.3641034462194,25.4746809298225,20.6077267191666,30.8535301652029,22.6171485318749,19.1943981980629,24.730342365373,24.6858585628391,20.0634403686505,12.3661708389989,26.7133852884798,46.243893659953,22.8246111442036,25.6111453861919,22.279072818676,21.391914719385,25.2807770878686,21.5643693620608,22.2775144668512,31.4714381199602,25.9999447358578,25.3625369220303,17.2034593044322,32.9146663720622,29.0316509844733,29.4784623972306,23.0274553685602,18.3989636152493,23.3731755760489,20.2052456172623,21.8375949852246,27.3746981203284,17.4267670652003,24.9547132244225,20.1029575912855,27.9597102151501,27.7893414992337,30.9257371901274,27.2142138220902,24.9177387496345,24.237795242432,24.0427741514944,30.3515233319555,27.1838908753955,29.7919049993847,25.4561003641786,29.4193031495335,26.9779324252029,31.8915237532941,18.7970581371705,35.8650689719338,29.4737629026057,26.1037781953966,32.3173436910777,30.5131978818482,21.4646498985728,27.2182011586514,27.5346100212478,29.7218055028946,28.4676224829032,23.4118222607108,23.2196045005926,25.6424016555513,46.5187576854,25.5305523047233,27.0514188335586,25.2208925426175,17.7178981507608,22.8701899658828,19.1708480568433,10.7420234801282,23.7707303193046,19.3263593229114,19.8174206599439,21.9640930122257,24.7866641070048,27.9578659753899,21.8263147576934,21.5989975843104,32.0033171942892,31.2811799899754,18.6241359168747,30.6008201202006,21.8500652804891,20.5829392376441,30.9880373800125,28.5593219767605,31.8066453406904,34.5887888904181,20.177251985381,24.6642177622441,20.0572290842175,16.5840121191803,19.3800964526289,24.6041482317349,25.5310025716732,22.0660890559256,35.2164464954777,17.5178696004883,23.2738857245565,22.0847777662864,25.4745944812563,17.7555552126893,50.8860669682615,28.8028058126291,23.5298210881235,17.4458260411943,26.7026512042629,29.5138328385374,18.4918677641194,25.9075335337034,26.4007956415911,31.700255233954,25.0652374049932,24.4493610372007,44.9920656495066,33.4084503290337,17.7175313416998,31.180113421145</v>
      </c>
    </row>
    <row r="4" spans="1:23" x14ac:dyDescent="0.2">
      <c r="A4">
        <v>1</v>
      </c>
      <c r="B4" t="s">
        <v>22</v>
      </c>
      <c r="C4">
        <v>31.057195767195701</v>
      </c>
      <c r="D4">
        <v>1170.16423220348</v>
      </c>
      <c r="E4">
        <v>2.0902673114457602</v>
      </c>
      <c r="F4">
        <v>30.977125395683601</v>
      </c>
      <c r="G4">
        <v>21</v>
      </c>
      <c r="H4">
        <v>564.938232421875</v>
      </c>
      <c r="I4">
        <v>9.6077776713476004E-2</v>
      </c>
      <c r="K4" s="1" t="str">
        <f>TEXT(stand_validation_1cycle[[#This Row],[stand_age]], ".0")</f>
        <v>31.1</v>
      </c>
      <c r="L4" s="1" t="str">
        <f t="shared" si="0"/>
        <v>"31.1"</v>
      </c>
      <c r="M4">
        <v>100</v>
      </c>
      <c r="N4">
        <f>0.029*stand_validation_1cycle[[#This Row],[stand_level_biomass]]</f>
        <v>33.934762733900918</v>
      </c>
      <c r="O4">
        <f>0.213*stand_validation_1cycle[[#This Row],[stand_level_biomass]]</f>
        <v>249.24498145934123</v>
      </c>
      <c r="P4">
        <f>0.571*stand_validation_1cycle[[#This Row],[stand_level_biomass]]</f>
        <v>668.16377658818703</v>
      </c>
      <c r="Q4">
        <f>stand_validation_1cycle[[#This Row],[stock]]</f>
        <v>21</v>
      </c>
      <c r="R4">
        <v>0</v>
      </c>
      <c r="S4">
        <f>stand_validation_1cycle[[#This Row],[aws]]</f>
        <v>564.938232421875</v>
      </c>
      <c r="T4">
        <f>stand_validation_1cycle[[#This Row],[percent_tree_cover]]*100</f>
        <v>9.6077776713476002</v>
      </c>
      <c r="V4" t="s">
        <v>1401</v>
      </c>
      <c r="W4" t="str">
        <f>_xlfn.TEXTJOIN(",", FALSE, O2:O1370)</f>
        <v>181.616878014404,218.346021904361,249.244981459341,173.587916596126,142.594222313982,159.549897510645,142.399574049232,241.682742912322,175.866229899242,164.615938875965,202.33169755648,211.594192916835,272.476284652178,204.724341376357,154.30386959781,183.620159856722,166.915715935737,168.648960080962,157.799664319617,164.643359241644,169.263639732152,226.260916829702,173.955476660855,189.610240968831,162.479568546116,169.719755898272,165.108640904021,199.497352595798,168.351281140185,168.491693025257,161.96990544381,148.437418286191,228.803285769727,148.213616972273,181.015380564141,122.559714366443,183.68352816822,201.826761585742,215.66374972134,150.805407094319,198.187071350306,223.018819463857,208.974525737282,164.943035408476,190.110771440633,184.505788612076,188.866766253518,156.293850971652,197.199834798474,156.646812285226,167.818478138178,109.75737904042,189.809307255425,195.038238423591,208.110854131804,196.408663046274,158.027050088873,206.697792310232,161.694425357443,157.939823028245,157.881730337923,138.349665238977,204.040124988803,228.670650484038,189.587000472647,206.305658508817,146.735636072899,183.523762971482,132.180694309379,216.100439877385,230.643294185723,176.379893862389,149.27349021654,171.68638177075,178.31349809439,173.210064126905,187.923202315028,147.874071182487,160.924405960971,225.279357936535,212.486833178092,199.135027109778,238.283756823201,166.841948772563,215.497715646882,136.665311646984,168.782210947947,189.436349130922,188.585028508032,195.081125359001,172.175946640805,213.080348643614,270.212701426735,205.627452000417,208.546665418068,167.383040327528,172.446426915222,181.891992972951,181.19755025178,167.13169432359,137.213404923037,217.30906914101,148.411800751168,152.327108654855,156.213810190803,207.530047194903,192.539028781766,166.224743833141,191.662327936689,167.119771952989,139.058751428002,124.925720553468,184.228668352076,155.986869649865,238.304039668286,202.736343140497,157.088525300811,175.651451474277,230.90466224616,163.906821209742,146.47281595693,236.168160098018,194.005782801732,254.276166343103,165.380974935156,135.032110239708,184.855951834638,209.509143920161,161.164360430125,165.393828836723,209.656890359433,162.564331024228,150.911744890007,136.785822187108,180.016465747752,160.98365644886,203.266433700021,184.906453286201,143.244268639619,164.930757405207,161.458394627527,185.164112545229,163.189596888611,134.010898501079,256.659329955383,217.618612283617,152.768228529382,169.365422112771,169.094140553777,232.031726781863,167.787960455849,176.475995582121,207.329052849855,193.192351493758,94.0697892979267,189.858778905294,163.903304408124,170.223599946141,159.737463071857,211.475710802529,127.043803629058,204.651084729805,221.081333698335,181.272736344505,173.180675805726,213.77622029968,196.913246791274,215.156321911392,151.262428093359,162.215548933334,180.854747355566,152.964908659242,172.567123875765,173.044115508696,263.365926940805,153.735259692334,166.917785745223,176.832510070334,201.472701525251,184.049114808432,171.152651874089,161.595762371357,154.412644373392,180.462165265672,154.294685576159,174.897496056445,161.459315286746,140.630476026266,238.200232884594,194.614533930825,192.793860791247,168.767145595276,219.891897578976,195.260723190763,228.316970126416,187.247171788784,174.525282231363,170.531724369316,158.181533771311,187.530129546317,177.937585616353,182.976792101127,220.950315879928,194.036607542086,144.893741276083,266.617764646047,175.498011808578,135.700096968504,160.87843339524,186.513240686534,159.416044418823,162.718180977032,179.8566738499,179.649660353172,170.480307028429,227.576513730035,173.68024985396,137.366161935427,150.104162625941,195.383424239976,212.964403173444,154.531432081349,197.543691326659,196.494534630139,170.532540079772,191.258853058344,212.148296393953,172.689903788437,134.062985197758,188.488453733529,140.248138566226,216.213012188443,200.717786574091,213.866499056269,170.260916469973,237.332639269137,159.274884635123,179.967318476448,226.080213009505,216.46537236324,148.842061787054,241.693914657274,154.035253820577,165.517599433927,176.088650005801,156.825043374464,156.040010773543,177.698904341352,162.432783767252,252.644668935589,179.725524317975,155.459425366995,219.3471648077,189.374873038946,224.826692948422,201.744383081449,170.557899674441,230.492763009205,161.328397995148,153.000625093129,265.433803080363,194.894530738934,197.456845280647,165.871015969043,152.186560707003,211.885739336477,168.791750792309,253.719962830672,151.024281065564,180.150070671794,198.566215110008,200.149654229335,183.099253280116,229.835591207029,131.862269990631,215.272861530121,204.848074159223,145.521907810607,185.933418087949,218.217780342502,137.085746363433,179.478473026435,197.614054730245,241.443837385106,107.0381874205,62.3188403945166,266.568409035903,123.026708303011,191.365802307675,157.474112071205,153.111637429769,163.872887048253,136.876189978504,236.134508181767,223.636171161162,187.290524336658,145.721173476809,179.725889547027,252.671409467498,262.610031506073,186.426841378348,151.479115438696,223.048358251414,156.753429370017,230.062796280093,211.022176003319,165.306853338294,143.820294292664,161.643756845919,138.865289090713,186.044795905943,161.731093600403,188.944065555771,149.686821761356,163.737858047862,225.477384504324,170.061982966955,137.081322128436,116.718632861459,170.125776538616,194.928047790547,177.846212108958,214.804990565617,163.452191117803,103.134450089043,135.888766580951,167.42835666858,158.185812606489,165.560868844927,262.5111049895,132.603193658439,149.7287604719,193.932808929297,160.962159157766,221.8905797931,205.927306031933,291.052218036845,147.804999125733,121.125116286879,138.591222666199,133.583209963697,172.618534149419,211.670358205199,173.128199843551,196.945537173858,177.584183402689,205.241442203421,198.944073089825,147.999321162965,179.704708847315,205.554055026153,192.519087952557,171.202980172929,326.443886446097,211.356627348972,216.710206432335,204.386031502636,152.609848864722,193.27484080083,181.450541088737,148.619315091055,176.60528802427,178.081282605902,154.640787264436,199.884369586396,163.070356027521,186.890644074146,149.430602267828,143.66869796824,152.787567719618,197.088521285588,160.9016706402,120.903924805208,167.393178742253,164.08921065352,168.623434781322,107.322610438058,229.230550850535,184.398170402468,206.843463800747,173.035893896243,146.302822420813,154.596811839482,219.631983939205,228.925412114523,190.482538920392,217.544390948819,148.634494656577,179.578856225015,203.805610089861,149.653123567262,227.151650235324,157.824306008911,182.246706393214,179.497816752161,191.38673055183,215.841302032872,201.361475114282,136.08197047909,248.826300453672,182.228461305923,242.724623784942,124.964645588232,278.09183361163,178.068187637458,188.785715161755,180.924633362095,149.194802397305,179.308181633864,175.555250088482,208.738117636539,229.181534669334,180.604452420641,206.734000699186,150.666859717963,196.531732040992,159.588275737235,267.698688552046,173.747332502857,166.136363086357,152.747053808877,136.788876821231,203.866126014474,214.145736365474,223.565878424736,181.259733516309,176.606937048703,236.357087080126,171.196075362307,231.892916490894,148.778526460368,200.476616361452,119.671415607451,176.738221421705,133.195737872771,143.108012397608,154.660706111777,218.094403139865,152.22373641984,201.816903756371,189.903610127815,182.625151156658,172.647319368835,219.697435835616,198.734466980222,181.203669056423,173.835165957885,218.500233783975,163.422584175441,236.78874822623,67.9186810656336,405.258739594115,166.309068972972,183.539929298094,199.268397228941,229.352920860578,141.581866638782,147.284355963676,230.206129117508,162.374530639052,238.537289700277,192.827938381376,233.261944149802,187.209027546398,170.337140937872,243.024640618069,188.976885487645,181.310290789769,201.236762553877,189.729826843557,172.524001004194,207.881101109424,160.46559955766,150.557518646654,162.218990706087,166.269366378746,158.962769039716,184.428672789553,196.29202454574,173.663752198067,217.480415463952,117.7636367005,222.546664516169,148.208686987368,191.668418974468,173.947300020582,233.326551593523,161.147828565108,208.641847783706,153.386080605418,159.910049024084,203.591333219115,229.377648132681,182.677036298478,213.093395146592,150.833130761091,216.695236859954,191.038357269249,160.205414220315,255.01886214038,125.842434920244,176.284181964549,155.793051961076,195.480971623483,145.321499564895,197.223853015737,159.193884271844,228.707986139108,156.832426044036,217.354876076608,193.746984947046,168.096583982972,130.521533282335,243.942657884547,210.537427940081,184.948764335116,146.754555889544,195.261249119429,175.471667390372,177.908752672594,167.429869004803,180.292506841904,223.081490474793,216.891125484643,192.258913776953,140.937561366754,130.52152494452,231.19884833257,154.305783325431,140.821229987462,214.105728691478,142.368607132775,198.2669573432,157.239016856109,188.143899319751,182.339354978278,218.713285759168,171.750109817794,202.330086080684,204.845816729196,241.243148633307,204.09785114504,194.612777105856,161.788610639734,214.27110642785,181.851956650621,138.142755026501,138.929135019179,144.227941470225,170.238645093472,197.304447203658,161.089747938844,193.682855940716,203.877189324495,126.276128114144,172.151948915935,190.003053411131,158.815337560434,157.396285368529,195.515912646429,192.962812633921,172.574238811313,193.156997603254,169.868399811825,223.678520060054,176.759964163746,168.749263211903,192.06912593802,197.52990415183,160.37224495787,254.904116427289,150.560107933218,167.641793062721,173.644440170929,207.728948239167,155.278222910326,217.283739249569,188.398848501683,163.725308160066,186.141959591065,176.05914186937,171.517342441509,258.609308268866,187.41467341462,187.630476703609,206.944348798215,158.115510886622,172.854149409312,162.036457994996,233.728893764808,180.96837554734,220.211721268192,192.938884961253,202.273928885832,175.124104359459,156.733475906746,179.416259379909,168.531516817764,176.66648863428,207.061091499191,180.999023580526,168.510651023282,175.825849720777,172.815194452627,215.883399442714,212.559929852089,144.20735847341,164.699620665231,150.73881338682,212.085715563552,230.693361173341,157.248534501068,193.747988317643,144.873755649563,191.959492952715,186.237043772013,145.499205172669,156.455287440373,206.228920255871,218.611478658954,144.590973310414,166.950027278037,179.086910123002,176.284931941309,151.657101424669,217.229358200772,185.670276594902,158.36760691366,152.808337489505,206.223605507555,156.702579191885,199.127852360694,149.034302187833,82.3532900822602,145.15495389866,194.863491271404,240.785620230806,243.780836448853,176.029809516859,209.286552825507,189.694743284516,269.936675147302,141.228376346554,197.131855385543,191.831627064123,179.15536939362,160.476088634887,155.692852722974,175.418932196621,178.48880702541,143.155551867038,164.06828933609,166.086165696353,202.361180705988,194.392619820947,204.884399724014,192.807722911638,249.093800334279,241.757495508464,193.406998635518,261.045976301087,156.274109760041,156.994427263491,243.553632438407,261.956709208518,224.88077214982,220.242736457432,141.900854913818,173.097476946991,205.308703200055,198.504038309574,241.608251979993,159.815379605489,179.130277796855,129.305998984526,192.702584122854,193.122807706655,161.766804073287,167.027613005749,193.95924329425,251.884051804489,115.904942215626,216.289050556862,196.891744999383,168.019872911387,188.038338958953,158.391376504258,208.306268286163,205.725735698428,165.713829083017,198.656489757387,210.59356100269,192.187770616566,195.216976316743,174.837495927619,147.604923017584,186.953973532783,168.086403191437,190.531170053577,208.989161354113,141.283488793669,256.243234647462,211.633154074255,172.621949912297,218.589457440208,159.349280579167,172.650865814832,203.21831071649,198.46005095706,203.100272655161,157.699020100499,168.80015478658,193.166769094157,240.103967116513,145.464862538518,136.635735341904,161.393500381661,169.3477821912,135.748795252644,209.963247647507,163.437862788385,180.28059193144,184.108997395623,230.269691515725,199.432209162925,196.116516623951,187.418012007676,261.152517634031,147.306579416555,177.270954884614,141.526364986503,191.025622087867,208.65676816465,211.908101818178,180.731866199925,148.064079222541,152.988798640415,203.45591988548,142.158635468629,202.950331774157,211.0892426189,243.157834070616,183.320844675824,185.347364003083,148.666747269659,212.007333249386,134.811866188731,227.294468712411,197.446826435397,183.75604967719,209.028128731756,215.582725439952,203.359357633659,173.945437875162,166.389613048194,190.124394392567,148.132755583634,148.943890243658,212.429470564026,115.400888555296,191.751773868412,147.465929178997,183.325808911864,155.413015233054,183.035092126032,199.939573621606,182.183414790989,204.484636103436,280.18704554785,241.199360119204,189.959217605211,168.090815542912,142.867508015589,190.47517236706,200.617127338311,180.084801082799,174.553180709958,164.86261417229,149.788520053842,175.814459813163,171.006498782866,191.326494126625,186.611270117976,188.744936601542,125.345477665678,189.753729763393,174.476261716082,177.003679665462,140.71206533593,115.53676638147,322.853912225912,165.302820027421,172.953338925325,213.37313204443,204.482811634032,205.089110246287,184.431726995182,135.557186064891,194.400800900824,157.138646009567,202.301000843746,216.159014123867,180.795659451282,161.380746089061,192.199297916847,146.561040250521,171.65349197701,185.638359103574,203.574185601094,195.128323758916,187.808266031109,207.467665754268,194.652090730369,132.258882718547,130.627671618021,197.641031487399,183.74728757231,185.771795239672,191.87331306565,195.193104414834,168.604638302105,139.110437178295,184.469157627974,203.591547306568,198.484961143595,169.082082721161,236.710559096281,249.880444428061,137.425586014811,219.435585945812,162.079422246747,212.357386059174,152.725092629182,235.465579025487,183.397753656804,197.6475547955,224.776052264,186.786643155269,180.673471680269,192.848557242846,181.883152453375,162.138450802343,188.360448731214,171.182408769457,70.9096329022098,166.848912579615,142.976571185276,156.089022902071,205.616161453285,151.01633697777,175.333273322683,170.695085872329,180.700380523962,258.458252839286,128.96983624548,139.861732056393,238.103332022835,116.362499286348,244.773912722488,207.343720893779,212.39212651997,179.047211921271,146.825995381599,147.580959274344,196.250804625969,201.362344339031,175.836610500766,149.290390704456,147.626720275471,227.086516114738,171.783850200618,252.143845314871,184.009204365102,148.341363966756,324.526185092249,121.197802562081,186.013473691265,226.201665545773,206.42579085464,149.507738342213,225.362347727758,180.787202137985,169.403067374613,261.577276256122,165.870543589881,182.741587860396,198.633814228337,182.637564085198,202.37085507621,187.014031256887,240.854266537093,160.056882510619,190.183582248165,172.902017015845,226.485818274941,158.367580020739,217.283106774981,170.156887090223,188.88534963265,206.638044752414,156.56601026921,216.312215563553,223.648422141265,198.949630635891,157.358585175828,189.618591034939,168.038137218036,251.423807875367,134.386255211834,193.394196135775,190.810844406708,147.242080053988,176.067865550132,166.835049306871,158.156878020396,152.65795188686,225.621872592887,177.659068772223,155.471555634115,213.718285277115,169.637253677626,196.861373478134,190.869680176635,145.396242329912,190.532743772848,220.636770763471,172.242278109169,167.539608382997,154.320657623957,197.207116012821,132.501818181556,267.03927081948,254.09702308261,181.716829355875,241.194245407473,171.294106528235,164.25199191463,227.521698664619,158.368010430935,183.549640944345,143.624405369546,147.755041914588,173.801255775755,177.19112473609,168.840328053777,219.857927937201,196.210516080533,208.871265556473,140.45250337723,240.514260737011,184.758775887974,219.79613582402,210.372263522212,179.022995967618,131.642564910099,262.333006692058,174.84546134834,129.291472799015,224.281685194008,130.410954050792,203.87027578978,124.746676214874,169.298939735896,163.240474500447,172.856833513741,171.512832037848,224.501756814371,213.065762742156,173.375056621268,244.851549860223,178.971048446822,165.209135003785,216.56615076549,202.617620013976,182.333185737236,205.880287536073,133.872296136014,203.302598072743,134.159562993981,117.248889625774,217.371567980346,153.751254083168,179.648456087449,172.152050175982,215.062714953538,189.179322564708,146.743302838148,142.977108009719,231.365339406295,207.262085016258,168.147111531022,240.326930572412,140.987057746627,194.616280247653,194.433058608759,192.449150831331,132.224352357515,132.243345084469,219.033623349092,184.974546527581,175.021758874872,171.946850476609,199.78488707003,209.142948256609,171.938748428229,171.373997505021,319.670679883693,810.851962737545,227.271764050317,143.175661519826,219.280330791352,142.684643309412,120.184075954409,187.333927881916,177.349800094598,182.152991686075,202.835947398231,147.997069898926,182.693441138435,163.010180564777,147.464846381566,216.230826715452,113.878216159462,179.080001088424,188.440358686571,200.29297669861,162.298728661657,238.232761992917,215.384168687297,202.007475231936,175.13003782092,176.544589398497,180.528798555196,201.196941716133,152.293850822771,226.030253214888,249.024019598449,239.085130221125,140.817607050889,175.890599485333,137.111631082523,132.103753156312,213.509383614601,181.199554920424,122.017250923215,155.705286651742,191.501044682238,190.941291450516,146.88308784589,109.686052473846,222.491473495999,173.946086826671,174.591450989651,189.09866566746,171.022606857584,169.450626804991,168.220520225266,122.143699040893,262.750012776291,130.973896264864,154.159102811625,184.899440228364,150.542400922246,131.24257000894,176.983401877101,211.017246628052,161.922396612335,182.910957689678,192.994442826787,134.333167033549,167.240481495524,228.922276567162,197.553867635359,207.468534539144,218.171654287548,202.356175466215,181.994661937761,214.136000661539,186.060457887917,180.229576242086,206.243919641631,168.249193208329,209.489064816715,189.983477056544,161.094236842902,167.145796840457,169.39170974901,114.350257343754,170.036056777679,141.020689066017,152.404862011815,215.067116779529,185.791737431632,148.559124368282,239.483368215376,128.742021958155,142.609641171754,178.061351681531,187.205523040071,167.645211100356,159.037887594352,191.618907001814,158.715835115826,237.022538244036,292.920263272719,122.603467429985,227.914512891481,170.837210413454,217.813891059909,151.122759701889,182.276977750669,154.291765356328,225.03162883449,143.545233517271,205.931537583046,184.231146878675,175.730555818893,188.472576789502,175.852245903069,127.895118738166,179.594311000289,155.089947236141,191.031148213095,131.795903384871,172.202505359735,195.95358393622,194.066298310699,218.555024561651,162.246312326908,204.687187964971,176.212717306479,243.015323197012,175.35961622065,162.294339236431,205.359183513274,241.915697446152,223.110812951365,197.815692564342,154.780293764909,203.825925115692,173.965864710116,86.4462271308694,200.70365784123,154.302950223128,214.583624763193,174.414758801513,154.727552135439,153.775926904827,218.046570774042,218.349727409542,171.479930257624,177.329770784666,175.206130710328,178.269295222382,251.550652941813,159.761443954922,212.731492156895,246.209437758383,153.688455561426,175.568394530679,127.382737130395,198.652585750129,210.516701817177,177.104534883382,192.562838150805,152.866950043293,186.88019404841,166.137289596565,186.964320851622,217.942301022107,195.80974842784,172.410901264381,178.259543791717,253.85444923679,237.373812684183,142.134654808786,146.307791719862,106.302199870327,281.245490060028,145.54575567351,156.27376866183,179.250002022689,244.147393795502,168.272496428416,202.110539166655,164.000359824513,158.211561861215,204.711479749766,211.725089417143,161.212277946236,250.137705224819,153.21881774725,252.970516764162,196.589956960894,138.592601951474,204.822906066469,144.388903014978,190.355550264508,224.961806304747,171.983637376161,196.832957466331,165.04869972274,198.126063738336,137.551535694265,155.374734629811,208.680391498999,153.922367601082,133.849000599689,152.756270126436,218.590851923297,152.265504863556,190.132279010526,142.125435862866,218.598524876835,167.76418636661,164.876627971403,145.207102073527,151.685677490168,180.392897669063,162.034661606862,149.031860016206,147.925815438496,175.909679398118,190.621598699324,186.173457850295,210.515485312981,144.267553776887,173.327400438922,142.188459010867,185.49560964731,188.921507501326,194.411818961406,243.703474404545,158.548222362211,140.533353158239,121.632063141512,294.900852817521,244.155340174593,188.147408323027,181.647208404963,227.189124205777,143.270458940789,212.40800710952,189.091478556067,176.987471399738,164.258931584442,189.62949844097,185.853138646718,219.256091938136,126.721910491303,208.329449449819,187.107139243179,151.360199695948,226.613859489249,166.119056458254,140.979545385773,181.640100821532,181.313374961542,147.362510293881,90.8273927140268,196.2052091878,339.653425847241,167.642833576392,188.109447146858,163.635948633724,157.119925352724,185.682948955725,158.386574969619,163.624502808252,231.152286881087,190.965111335783,186.283460841119,126.356442477381,241.752549560319,213.23247102389,216.514223814142,169.132689431149,135.1372155189,171.671944748221,148.404045395754,160.393370063891,201.062437918274,127.996599478885,183.28806609662,147.652757480821,205.359250890585,204.107922046096,227.144207637833,199.883708417421,183.016494954212,178.022427125448,176.590030836838,222.926705851949,199.660991602043,218.816405685136,186.97066819207,216.079709339677,198.148262295456,234.237743429367,138.061151145424,263.422747966273,216.47970683638,191.727750193775,237.365317455157,224.114177545988,157.65415270331,199.912994716991,202.236963259509,218.301536969536,209.089778926151,171.955797983842,170.543991676767,188.339019056291,341.6722547238,187.51750485883,198.688007294758,185.243107295777,130.134907107312,167.977602163208,140.806573658883,78.8983103885279,174.591915793513,141.948777095867,145.555537950623,161.322476262209,182.053774303173,205.345705267519,160.310518737541,158.640913291659,235.058846978745,229.754873719475,136.791067251528,224.757747779404,160.484962232558,151.178139917869,227.601791791126,209.763295898275,233.614326123002,254.04869081583,148.198436996074,181.154427012345,147.316889480632,121.806709702945,142.343467048619,180.71322666757,187.520811991944,162.07161961766,258.658727708164,128.665731893242,170.942677907949,162.208884973069,187.106504293365,130.41149173458,373.749388422059,211.551642692759,172.822479026562,128.136584371531,196.126369189931,216.774013607189,135.819580474394,190.286366988925,193.909292126169,232.832909132145,184.099847147019,179.576341411163,330.458964942928,245.37930758911,130.132212958002,229.012557196686</v>
      </c>
    </row>
    <row r="5" spans="1:23" x14ac:dyDescent="0.2">
      <c r="A5">
        <v>1</v>
      </c>
      <c r="B5" t="s">
        <v>23</v>
      </c>
      <c r="C5">
        <v>27.5658692810457</v>
      </c>
      <c r="D5">
        <v>814.96674458274902</v>
      </c>
      <c r="E5">
        <v>6.2357574682864998</v>
      </c>
      <c r="F5">
        <v>26.5840047049243</v>
      </c>
      <c r="G5">
        <v>85</v>
      </c>
      <c r="H5">
        <v>564.938232421875</v>
      </c>
      <c r="I5">
        <v>7.5528956532940797E-2</v>
      </c>
      <c r="K5" s="1" t="str">
        <f>TEXT(stand_validation_1cycle[[#This Row],[stand_age]], ".0")</f>
        <v>27.6</v>
      </c>
      <c r="L5" s="1" t="str">
        <f t="shared" si="0"/>
        <v>"27.6"</v>
      </c>
      <c r="M5">
        <v>100</v>
      </c>
      <c r="N5">
        <f>0.029*stand_validation_1cycle[[#This Row],[stand_level_biomass]]</f>
        <v>23.634035592899721</v>
      </c>
      <c r="O5">
        <f>0.213*stand_validation_1cycle[[#This Row],[stand_level_biomass]]</f>
        <v>173.58791659612552</v>
      </c>
      <c r="P5">
        <f>0.571*stand_validation_1cycle[[#This Row],[stand_level_biomass]]</f>
        <v>465.34601115674963</v>
      </c>
      <c r="Q5">
        <f>stand_validation_1cycle[[#This Row],[stock]]</f>
        <v>85</v>
      </c>
      <c r="R5">
        <v>0</v>
      </c>
      <c r="S5">
        <f>stand_validation_1cycle[[#This Row],[aws]]</f>
        <v>564.938232421875</v>
      </c>
      <c r="T5">
        <f>stand_validation_1cycle[[#This Row],[percent_tree_cover]]*100</f>
        <v>7.5528956532940796</v>
      </c>
      <c r="V5" t="s">
        <v>1402</v>
      </c>
      <c r="W5" t="str">
        <f>_xlfn.TEXTJOIN(",", FALSE, P2:P1370)</f>
        <v>486.869658902463,585.331354494789,668.163776588187,465.34601115675,382.259628832319,427.713575016799,381.737825268129,647.891296727397,471.453602218157,441.29437135294,542.400935703052,567.231381011797,730.441119889173,548.815018431456,413.650279532159,492.239959052526,447.459501405191,452.105897681827,423.021635335688,441.367878530417,453.753700878209,606.549218355681,466.33134823168,508.297876024426,435.56729408372,454.976434825883,442.615182892939,534.802762123008,451.307894511951,451.684303837662,434.201014124015,397.923783293029,613.364676875652,397.323827658064,485.257193906687,328.552098137273,492.409833727951,541.047328006849,578.14085019195,404.271772069748,531.290224136267,597.857962036912,560.208705145482,442.171235766384,509.639673674185,494.614109377912,506.304805308727,418.984924435743,528.643688591215,419.93112589138,449.879582238965,294.232222685821,508.831523205858,522.848986572162,557.893416475398,526.5227539879,423.631200003505,554.105349338698,433.462520559155,423.397365958347,423.241633910583,370.881027471623,546.980804547449,613.009114677866,508.235574037002,553.054136190302,393.36172862735,491.981542989279,354.343551411529,579.311507840313,618.297281596467,472.830607490254,400.165084101618,460.248469441777,478.01411930468,464.333082706398,503.775345173151,396.413589883569,431.398290158283,603.917903200758,569.624327439861,533.831457651096,638.779460779567,447.26174999593,577.695754151969,366.365694602947,452.463110099894,507.831715275851,505.549536516838,522.963955774599,461.560871041782,571.215394720675,724.373016500778,551.236033296891,559.061718092568,448.712281816989,462.285961354892,487.607173650492,485.74554551064,448.038485721925,367.834996296029,582.551542157357,397.855109055948,408.351075314187,418.770355018536,556.336417597605,516.149227391493,445.607177130158,513.799010572063,448.006524812943,372.781911105114,334.894772000142,493.871218915658,418.161983897055,638.833834040333,543.485689827341,421.115248576351,470.877834703343,618.997944331255,439.393403336913,392.65717329299,633.108072375438,520.081229952062,681.651131370478,443.345242666546,361.987488013489,495.552809847785,561.641883466722,432.041548383104,443.379700778258,562.037954907214,435.794521196404,404.556837240348,366.68875337483,482.579351840218,431.557125973235,544.906730716958,495.688191673337,384.002241282734,442.138321494711,432.829780902901,496.378912034393,437.47070339623,359.249873446554,688.039800021238,583.381350300212,409.533607935574,454.026554114519,453.299315756837,622.019323908188,449.797771926243,473.08823228822,555.797601771208,517.900623018478,252.177698070968,508.96414438931,439.38397566685,456.327115348574,428.216391615165,566.913759944808,340.572825691043,548.618635590228,592.664044796945,485.947100716959,464.254299929905,573.080853479423,527.875417454543,576.780562494859,405.496931649334,434.859523196872,484.826576244264,410.06085842454,462.609519873531,463.888215753358,706.018517761502,412.125977860669,447.4650500494,474.043958920942,540.098181084124,493.389880542793,458.817672394858,433.198029643403,413.941877639469,483.774161346004,413.625659455336,468.856667832065,432.832248961182,376.995313666658,638.555553883113,521.713140255873,516.832368600009,452.422723638041,589.475462523922,523.445412872889,612.060985644055,501.963075546459,467.858855183607,457.153120257649,424.045332316519,502.721614887075,477.006391487969,490.515250186589,592.312818626474,520.163863410945,388.424066988936,714.735885506539,470.466501139429,363.778194220733,431.275049148741,499.995588882679,427.354748183793,436.206954637959,482.150989522502,481.596037848174,457.015283160718,610.076006290377,465.593533646062,368.244499836286,402.391910138087,523.774343854583,570.904573765429,414.260317926996,529.565482382733,526.752954337133,457.155306974413,512.717394818378,568.716794558436,462.938662268533,359.389504919812,505.290643576739,375.970362071902,579.613286195309,538.074441942751,573.322868362111,456.427151663637,636.229751280174,426.976333927959,482.447600234985,606.064796377593,580.289801030095,399.008531832901,647.921245395791,412.930187472063,443.711498951982,472.049855179869,420.408919093047,418.304442026729,476.36654637987,435.441875732869,677.277492780381,481.799410260863,416.748037016686,588.015169507967,507.666913170132,602.704421002577,540.826491734776,457.223289737587,617.893744968338,432.481292278073,410.156605296603,711.561979149706,522.463742027847,529.332669742955,444.658920743304,407.974301238023,568.012944418442,452.488684048866,680.160088151707,404.858518725056,482.937513397156,532.306614215092,536.551420492724,490.843538135898,616.132030888326,353.489935045306,577.09297621455,549.14671523435,390.108025163646,498.44122877098,584.987570777317,367.492775462537,481.1371272211,529.754109159484,647.250850454909,286.94274655918,167.061304531779,714.603575396716,329.803992680841,513.00409914405,422.148910763654,410.454201748348,439.302434293673,366.931006937681,633.017859961451,599.512928324054,502.079292940054,390.642206832198,481.800389349072,677.349177492683,703.992150187641,499.763973835852,406.077816504674,597.937148176326,420.216939766573,616.741111154616,565.697945999508,443.14654110876,385.54642272822,433.326690887417,372.263286717358,498.739804987293,433.560818994508,506.512025503968,401.273123125514,438.94045514239,604.448763154783,455.893860441932,367.480915189375,312.893612037056,456.064875134037,522.553592903297,476.761441850776,575.838730577312,438.174653184345,276.477798126025,364.283970505743,448.833763651451,424.056802808946,443.827493476306,703.726952812226,355.476167037411,401.385550373028,519.885605157881,431.499497084904,594.833432215305,552.03986734382,780.238575112857,396.228424886354,324.70629765168,371.528582828166,358.103346897986,462.747338024968,567.435561197976,464.113624932713,527.961979935553,476.059008088898,550.201237080531,533.319557437982,396.749353915743,481.743609163459,551.039274271989,516.095770990187,458.952590041044,875.114831740476,566.594526836914,580.946140248185,547.9080938404,409.109031463645,518.121756325231,486.42375099375,398.411403366161,473.434833154265,477.391607361363,414.553471962408,535.840258374799,437.151048317909,501.007313456982,400.58626241751,385.140030703591,409.585451492496,528.345284760897,431.337342420442,324.113338327577,448.73946038416,439.882344052393,452.037470704859,287.705213897329,614.510068242515,494.325611736193,554.495858357872,463.866175656125,392.201462921523,414.435584790349,588.778698729043,613.692067217806,510.636289781897,583.18238136984,398.452096004251,481.406229598515,546.352128456856,401.182786652145,608.937052978263,423.087693573184,488.558072068192,481.188982936543,513.060202559132,578.616823759484,539.800010752372,364.801902082444,667.041396990829,488.509161529025,650.684320099539,334.999120332771,745.495009353243,477.356503009335,506.087527499351,485.013923238293,399.954141637846,480.680618370593,470.61994272546,559.574953851941,614.378668057228,484.155597803691,554.202415019883,403.900361027966,526.852671339937,427.816457492775,717.633573536235,465.773365535829,445.370250339482,409.476843778725,366.69694208884,546.514356592793,574.071434106505,599.324490988377,485.912243370011,473.439253778448,633.61453860447,458.934079961865,621.647208057748,398.838209431314,537.427924612154,320.809287849083,473.791194515463,357.064630635457,383.636972202038,414.606869435797,584.65682719654,408.073960073842,541.02090161919,509.084325741701,489.572588311979,462.824504035702,588.954158977167,532.757655613646,485.76194850337,466.008825173486,585.744758172065,438.095284338858,634.771714728532,182.073083983459,1086.39784182272,445.833231847733,492.024880888317,534.188989754578,614.838111790562,379.545755167814,394.832710118588,617.125350826748,435.285713591075,639.459119337362,516.923722139745,625.317230561207,501.860820323912,456.631490495421,651.488590577076,506.600007574861,486.04777484018,539.465687409689,508.618455998455,462.493918184953,557.27750579099,430.168344354101,403.607244822719,434.86874973322,445.726799071661,426.13962967924,494.407381046172,526.210075190693,465.549307535664,583.010879013692,315.695007305095,596.592232106725,397.310611595246,513.815339128739,466.309428693673,625.490427041791,431.997230566557,559.316878330969,411.189915613585,428.679051609163,545.777705484105,614.904399454277,489.711679466811,571.250369148846,404.346092321987,580.906010549455,512.126300472964,429.470852205634,683.642114000737,337.352255114831,472.574027707781,417.64240690035,524.035844117412,389.570780523732,528.708075455334,426.759192109028,613.109202279018,420.428710193167,582.674339153724,519.387457299357,450.625114808812,349.895753540907,653.949566441674,564.398457060028,495.801617067377,393.412447948026,523.44682275678,470.395878309402,476.929097540147,448.837817848556,483.319349327357,598.025967423036,581.431139210004,515.398308763567,377.818533053599,349.895731189299,619.786584027688,413.655409759725,377.506677572023,573.964183487483,381.654810670491,531.50437860548,421.51867898985,504.366978927595,488.806439871347,586.315897504624,460.419308478688,542.396615737421,549.140663626155,646.712853847974,547.135554008534,521.708430645277,433.715007865201,574.407520048366,487.499846232415,370.326352676677,372.434441765029,386.639223377926,456.36744764494,528.924128419196,431.84153085953,519.215543390369,546.544014574116,338.514878653409,461.49653911267,509.350908440169,425.744402568113,421.940276739109,524.129512305685,517.285286450558,462.62859324535,517.805848035014,455.374912171605,599.626455184465,473.84948139671,452.374785417825,514.889534791592,529.52852239763,429.918083901145,683.334509295691,403.614186055716,449.405933515558,465.497536796247,556.869621805465,416.262278318292,582.483639021145,505.050434246297,438.906812015952,499.000276650226,471.970751208498,459.795317061509,693.267206673813,502.412105726516,502.990620646765,554.766305933242,423.868341390897,463.378963909469,434.379424953722,626.569006289696,485.131185152729,590.332830254167,517.22114231397,542.24607227141,469.464148306342,420.163449496487,480.970347915154,451.791061516164,473.598896761379,555.079264065907,485.213344903663,451.735125513117,471.345353007342,463.274535363615,578.729676440326,569.820281434474,386.584045485058,441.518701407732,404.093250910209,568.549030923887,618.43149873229,421.544193427745,519.390147086264,388.370490497186,514.595636037559,499.255173679903,390.047165040347,419.417695438746,552.848420028649,586.042978001233,387.612421409608,447.551481576334,480.087444508141,472.576038208862,406.554952645474,582.337856960754,497.735811904644,424.544148111268,409.6411300775,552.834172510863,420.080623091859,533.812223934068,399.523880512924,220.76867904681,389.124313033496,522.380532938834,645.486334045964,653.515763438004,471.892118470078,561.045172128472,508.52440570638,723.633058728212,378.598135652029,528.46145270021,514.252859406641,480.270966778201,430.196462960191,417.373797675203,470.254508376857,478.484078927273,383.76441369051,439.826259206138,445.235683627312,542.4799726907,521.118243745356,549.244095034798,516.869529495519,667.758497609733,648.091689837245,518.476038595684,699.799307361131,418.932003159547,420.862995152364,652.906686020331,702.240755671661,602.849393885198,590.415974259126,380.400883360515,464.031264491699,550.381547076203,532.139933684352,647.691605073126,428.425266454151,480.203702450725,346.637208545373,516.587678564082,517.714193429577,433.656549886604,447.759469606961,519.956469112754,675.238467513441,310.712309883203,579.817126140696,527.817776500694,450.419471513624,504.08399786649,424.607868469161,558.417273199057,551.499507435692,444.237541814097,532.54861808201,564.548935833502,515.207591652859,523.328138389015,468.695822416294,395.692070624603,501.177083977554,450.597822639955,510.766657749261,560.247939592481,378.74587840932,686.924352036154,567.335826180279,462.756494835314,585.983944593234,427.175770942273,462.834011174971,544.777724972376,532.02201453747,544.461294300923,422.75183322716,452.511213066373,517.832042970722,643.658991659759,389.95510098354,366.28640788839,432.655815577129,453.979265874063,363.908742203096,562.859222566792,438.13624249844,483.287408417146,493.550410858689,617.29574580037,534.628128788873,525.739582123363,502.42105566377,700.084918164469,394.892285665977,475.21932037143,379.396969048325,512.092160620526,559.356876159696,568.072892667509,484.497162442053,396.922954159957,410.12490151961,545.41469603103,381.091928885387,544.059340108186,565.877734907944,651.845649081322,491.437569530024,496.87016359512,398.538557234627,568.338907443188,361.397068515329,609.319913778342,529.305811711792,492.604245848242,560.352401435835,577.923644254519,545.155836661123,466.304436745153,446.049150471918,509.676193418573,397.107058395564,399.281508587457,569.470552544877,309.361067441662,514.038792858512,395.319462728673,491.450877411618,416.623622995653,490.671538046781,535.98824665698,488.388403031242,548.172428239727,751.111751210433,646.595467737396,509.233395551998,450.609651056352,382.99223979766,510.616541885404,537.804599578288,482.76254186985,467.933644062846,441.955646443086,401.54575094246,471.314819499136,458.425872324022,512.898723691563,500.258381396075,505.978210326199,336.020036371372,508.682533778861,467.727443379732,474.502822013985,377.2140343043,309.725322083659,865.491004136131,443.135728805903,463.644866320943,572.000274166053,548.167537291231,549.792873007653,494.415568611496,363.395085648134,521.140175184838,421.249609725176,542.318645454362,579.468530820321,484.668176275501,432.62162449227,515.238493476618,392.893680671583,460.160300088604,497.650249052305,545.73173698697,523.090482940569,503.467229595133,556.169188477405,521.813820690332,354.553155081175,350.180284008872,529.826427132886,492.580756825301,498.007958130763,514.36460920416,523.264143759955,451.987082021136,372.920467740876,494.515910824287,545.778279399298,532.088792549263,453.2669917079,634.56210912665,669.86729468743,368.40380100684,588.252204577741,434.494601422032,569.277311923888,409.417971320483,631.224627340624,491.643743371057,529.843914498733,602.568665928377,500.728512871638,484.340621264946,516.978996176832,487.583474417263,434.652842291727,504.947494016542,458.897443227042,190.091081629868,447.280418229859,383.284611017805,418.435831347806,551.205766149416,404.83722260238,470.024878250009,457.59105179859,484.412757179261,692.862264653674,345.736039888119,374.934502367139,638.29578678422,311.93890653758,656.177953824134,555.836923147173,569.370442454944,479.981023507258,393.603959450203,395.627829791787,526.099574842385,539.802340927638,471.374199980927,400.210390104433,395.750503649268,608.762444608054,460.509758049545,675.93490927132,493.282890574993,397.666285563463,869.973951585325,324.90115146924,498.655837923533,606.390380406744,553.376181117367,400.793045039452,604.140378180984,484.645504322956,454.127471694384,701.223590339182,444.65765441231,489.884726142188,532.487830630893,489.605864284733,542.505907270027,501.338083791937,645.670357712114,429.072675650533,509.834861331935,463.507285051866,607.152123168974,424.544076018038,582.481943514152,456.148274781772,506.354622724147,553.94518100295,419.714515792109,579.879225759573,599.545770153343,533.334455836121,421.839211903276,508.320260473944,450.468433575109,674.004668060256,360.25611138947,518.441718279471,511.516395099673,394.719378924071,471.994137225939,447.24325424518,423.979236383316,409.237983696701,604.836099767786,476.259757131172,416.780555244506,572.925544099685,454.755266901054,527.736358009458,511.674119158961,389.771147278778,510.770876499044,591.47228218752,461.738689203453,449.132001815451,413.695284052956,528.663207715122,355.204404608772,715.865838675695,681.170892864648,487.137603578426,646.581756467921,459.196877124986,440.318720109172,609.929060739425,424.545229840676,492.050915395404,385.021293267657,396.094502033942,465.917920412941,475.005315607078,452.618907599562,589.384398366862,525.991571276922,559.931890294581,376.518213278866,644.758886764475,495.292305314711,589.218749086927,563.955692352971,479.91610656108,352.900960392799,703.249515592324,468.717175727239,346.598267456514,601.243390825251,349.599318136162,546.525481107814,334.414798679309,453.848331404678,437.607093613874,463.386159325569,459.783225791602,601.833348079839,571.176293548222,464.775386529313,656.386079672241,479.776848183735,442.884582568833,580.55996285021,543.167422666574,488.789901671182,551.913822455859,358.878314993727,545.003678401578,359.648405960391,314.31509848036,582.719085994262,412.16885484267,481.592809511423,461.49681056566,576.529625532724,507.1426910068,393.38228131729,383.286050110562,620.232905168988,555.61807767269,450.760566592552,644.256701205856,377.951220532037,521.717821696759,521.226650073245,515.908286970377,354.460587775311,354.511502550383,587.174642874796,495.870732710088,469.189785528412,460.946721230721,535.573570502287,560.660204011848,460.925001655019,459.411044954774,856.957550298539,2173.69235081286,609.259048228784,383.818322665825,587.836004140197,382.502025021944,322.183602675903,502.195647044948,475.430684760636,488.306846257036,543.752704058169,396.743318837026,489.755656760782,436.989732875529,395.316560018189,579.661042509499,305.279161629357,480.068923105587,505.161712723154,536.935632370452,435.082507351202,638.642756328431,577.39136300679,541.531776325988,469.480054440119,473.272115241981,483.952788615103,539.358937652169,408.261919341794,605.930866599536,667.571432820257,640.927743456632,377.496965380551,471.518931014671,367.562165953619,354.137291325137,572.36553072271,485.750919528461,327.097888625145,417.40712994434,513.366650298393,511.866091165468,393.757010140861,294.04101390876,596.444278714626,466.306176422672,468.036237160051,506.926469934835,458.469054064229,454.254966693193,450.957357035806,327.436864565023,704.367405142077,351.108426137264,413.262195800178,495.66939141031,403.56671796527,351.828673592042,474.448462309037,565.684731570976,434.073654768278,490.338764510826,517.370079127208,360.113795193223,448.330117060771,613.683661595537,529.592762534225,556.17151747348,584.863918301361,542.466554888305,487.882403598412,574.045335106755,498.781790863852,483.150648048033,552.88862964963,451.034222168808,561.588056386592,509.298429104632,431.853564494353,448.076291060567,454.097024726218,306.544586588187,455.8243587796,378.041377730966,408.559512717118,576.541425732914,498.061418185267,398.250047015442,641.995320427135,345.125326469984,382.300962953387,477.338177512461,501.851425614462,449.415096423959,426.341003832747,513.682609849933,425.477661272941,635.398447593167,785.246339571468,328.669389213716,610.982097939135,457.972052329025,583.904844108958,405.12251544497,488.63922204522,413.617831072598,603.25380311969,384.809053231746,552.051211079434,493.877863228749,471.089893768017,505.248081440403,471.416114604001,342.854989668979,481.447660005469,415.757558083739,512.106974787217,353.31202268902,461.632068358726,525.30280012949,520.243456973751,585.891638613629,434.941992200303,548.715419380275,472.382448741782,651.463612889642,470.095497004653,435.070740394376,550.516872235114,648.515789867384,598.104573686523,530.294650019903,414.927454177291,546.406587986199,466.359196006931,231.740824843786,538.036566325552,413.647814917399,575.245303942644,467.562569369314,414.786066992185,412.234996538291,584.528600525719,585.341288032152,459.69502430565,475.376991164527,469.68404054271,477.895622403664,674.344708121011,428.280678395588,570.280197284445,660.026239248997,412.000507631805,470.655179704308,341.48142207256,532.53815240997,564.342895481729,474.7731897578,516.213054385492,409.798255749861,500.979299538227,445.372734082811,501.204822564677,584.249079265836,524.917212921581,462.190725924701,477.869481244461,680.520612742757,636.340126960886,381.027642703365,392.21478437578,284.969747070219,753.949177578761,390.171955350113,418.931088760118,480.524653309649,654.498412475265,451.096692303405,541.808065089952,439.644157088247,424.125830153772,548.780539610874,567.582281958632,432.170003320662,670.55694687029,410.741525510233,678.151009729279,527.008757862302,371.532280348786,549.07924584016,387.070721227946,510.295864793587,603.066626291129,461.045337754874,527.660181752466,442.454495500866,531.126677908872,368.741440757865,416.521002223579,559.420204440979,412.627567606657,358.815865457382,409.501550432839,585.987682855411,408.185930878358,509.69733011742,381.002929003269,586.008252134615,449.734039508612,441.993213951508,389.264109314479,406.631557966602,483.588472155092,434.374609284124,399.517333658468,396.552303358598,471.570079513264,511.009074447485,499.084715645627,564.339634336676,386.745414115505,464.647632162557,381.171878381244,497.267573279878,506.451552973038,521.169711863675,653.308375046927,425.02833318696,376.734951424199,326.065296027245,790.555807318332,654.519714740341,504.376385692247,486.950967132554,609.037511368537,384.072450963335,569.413014364019,506.907203077532,474.459371686623,440.337323637167,508.349500515465,498.226019564676,587.771025805989,339.709910284196,558.479416130734,501.58768313547,405.759032987729,607.495369804513,445.323855575882,377.93108176186,486.93191346993,486.056042737279,395.042222431015,243.485639623048,525.977344817998,910.526319994247,449.408722873803,504.274621224674,438.667261360828,421.199424302374,497.769783350793,424.594996749542,438.636577950759,619.661764361976,511.929946350855,499.37960629239,338.730181476924,648.078430980948,571.623196970147,580.420759614437,453.402655705099,362.269249114047,460.209767376686,397.83431887782,429.974715053904,538.998366438191,343.127034283771,491.349698315353,395.82030291807,550.51705285692,547.16255158836,608.917101226302,535.838485945293,490.621683656597,477.233830463057,473.393932431149,597.611028363675,535.241437581063,586.592336367195,501.221838205034,579.255934427022,531.186186716925,627.933105625204,370.107592976701,706.170840792214,580.328228185788,513.974391364534,636.317353365702,600.794344501218,422.631554899484,535.91699522724,542.146976625258,585.212101453545,560.517670266818,460.970707271238,457.186005856496,504.890046390337,915.9382978746,502.687771241277,532.633108757308,496.59067730464,348.859304968429,450.30615415583,377.467387601983,211.506738177697,468.037483183549,380.529350806291,390.198179200965,432.465417585547,488.040869141369,550.480740411988,429.752611263549,425.276814504871,630.134279928935,615.915647388826,366.70281408743,602.519596159811,430.220250867561,405.270976023958,610.143770482315,562.323201680353,626.261878949456,681.04132608375,397.283133919054,485.62994283591,394.919924382351,326.533480001792,381.587416360382,484.447194493815,502.696636842254,434.473684514948,693.399687893716,344.920811788925,458.254784438681,434.841658777571,501.585980993012,349.600759532607,1001.92911168542,567.117314448663,463.294063493741,343.502298949033,525.765994401177,581.117191407065,364.098499769385,510.110401646367,519.822562460293,624.16709443406,493.525881319003,481.39948800833,885.878258133389,657.800866823388,348.852082624503,613.925681499097</v>
      </c>
    </row>
    <row r="6" spans="1:23" x14ac:dyDescent="0.2">
      <c r="A6">
        <v>1</v>
      </c>
      <c r="B6" t="s">
        <v>24</v>
      </c>
      <c r="C6">
        <v>26.4943666666666</v>
      </c>
      <c r="D6">
        <v>669.45644278864995</v>
      </c>
      <c r="E6">
        <v>6.3151156695125001</v>
      </c>
      <c r="F6">
        <v>25.0566865990635</v>
      </c>
      <c r="G6">
        <v>100</v>
      </c>
      <c r="H6">
        <v>568.453857421875</v>
      </c>
      <c r="I6">
        <v>6.2930205916686799E-2</v>
      </c>
      <c r="K6" s="1" t="str">
        <f>TEXT(stand_validation_1cycle[[#This Row],[stand_age]], ".0")</f>
        <v>26.5</v>
      </c>
      <c r="L6" s="1" t="str">
        <f t="shared" si="0"/>
        <v>"26.5"</v>
      </c>
      <c r="M6">
        <v>100</v>
      </c>
      <c r="N6">
        <f>0.029*stand_validation_1cycle[[#This Row],[stand_level_biomass]]</f>
        <v>19.414236840870849</v>
      </c>
      <c r="O6">
        <f>0.213*stand_validation_1cycle[[#This Row],[stand_level_biomass]]</f>
        <v>142.59422231398244</v>
      </c>
      <c r="P6">
        <f>0.571*stand_validation_1cycle[[#This Row],[stand_level_biomass]]</f>
        <v>382.25962883231909</v>
      </c>
      <c r="Q6">
        <f>stand_validation_1cycle[[#This Row],[stock]]</f>
        <v>100</v>
      </c>
      <c r="R6">
        <v>0</v>
      </c>
      <c r="S6">
        <f>stand_validation_1cycle[[#This Row],[aws]]</f>
        <v>568.453857421875</v>
      </c>
      <c r="T6">
        <f>stand_validation_1cycle[[#This Row],[percent_tree_cover]]*100</f>
        <v>6.2930205916686797</v>
      </c>
      <c r="V6" t="s">
        <v>1403</v>
      </c>
      <c r="W6" t="str">
        <f>_xlfn.TEXTJOIN(",", FALSE, Q2:Q1370)</f>
        <v>82,99,21,85,100,100,24,84,99,99,100,97,23,99,100,100,100,99,100,98,97,28,89,99,100,100,100,100,100,100,100,100,95,95,97,29,86,100,99,100,100,99,100,100,98,100,86,63,98,98,98,35,89,95,96,96,100,100,100,100,99,100,100,100,100,100,100,100,90,78,99,100,97,95,39,92,99,100,100,99,99,99,100,98,100,99,100,100,99,100,100,67,97,100,100,100,100,99,95,95,39,93,100,99,100,100,100,100,100,100,100,100,100,95,68,99,99,98,99,99,100,100,99,95,41,90,93,98,100,99,99,98,100,100,99,100,100,100,99,97,63,99,100,100,99,100,99,99,100,99,97,94,96,94,48,96,100,100,100,99,100,99,98,100,100,98,100,100,68,97,100,100,100,99,100,100,100,100,100,100,100,100,100,50,90,100,100,100,100,100,99,100,100,99,100,100,100,99,100,100,94,65,100,98,99,100,100,100,100,99,100,97,100,99,100,98,50,88,100,89,65,92,100,99,99,88,64,74,99,100,100,100,100,100,77,94,100,99,99,100,100,99,100,99,98,100,100,98,98,100,50,90,100,100,99,97,70,99,100,100,70,100,69,73,88,100,89,65,60,100,100,99,99,100,100,100,100,98,98,100,98,100,100,49,4,9,8,95,99,100,66,98,72,71,71,99,100,91,80,83,71,78,100,64,100,98,99,100,100,100,100,100,100,99,100,99,99,46,5,9,94,99,79,50,97,99,98,100,100,99,99,99,98,99,100,69,100,100,100,99,100,99,100,100,100,99,100,100,100,96,39,89,89,5,95,96,79,77,100,99,98,100,100,100,100,99,98,100,98,99,68,100,100,100,100,100,99,99,100,100,100,99,100,99,44,96,100,90,97,72,82,100,100,100,99,100,99,99,99,100,100,100,100,100,71,98,98,100,100,100,99,100,99,96,100,99,50,4,99,97,100,100,100,100,99,100,99,98,100,100,100,99,100,100,100,100,100,67,99,100,100,100,99,100,100,100,100,99,100,43,11,10,99,99,97,99,100,100,100,99,99,100,100,100,100,100,99,99,99,66,100,99,99,100,97,100,100,100,100,99,98,100,43,97,100,100,100,98,100,99,100,99,100,100,100,100,100,99,100,100,71,92,100,100,100,100,100,99,100,100,100,100,48,4,95,100,99,100,99,100,100,100,100,100,99,100,100,100,100,100,100,94,75,100,99,99,100,100,99,100,99,100,100,94,36,80,100,100,100,99,99,99,100,100,100,99,100,99,98,100,100,99,100,75,88,100,100,100,100,99,100,100,100,100,100,49,7,97,100,100,99,100,100,99,100,98,99,99,100,100,100,82,72,100,100,100,100,100,100,99,100,100,100,100,40,96,100,100,99,100,98,98,99,100,97,100,100,100,100,100,100,69,100,100,100,98,99,99,100,100,100,100,51,5,98,99,99,100,100,100,99,100,99,99,100,100,100,100,99,100,56,91,100,99,100,100,100,100,100,99,100,99,90,37,86,99,99,99,100,100,100,100,98,100,100,100,100,100,100,100,99,84,69,100,100,100,100,98,99,100,99,99,100,100,92,34,99,100,99,100,100,99,99,100,99,100,100,98,100,100,100,99,100,97,57,99,100,100,98,72,70,80,100,100,100,99,92,38,82,100,100,100,100,99,100,100,100,97,100,100,99,99,99,94,60,89,68,86,100,95,59,95,100,72,89,98,99,100,100,43,100,100,99,100,99,100,100,99,100,100,100,100,98,62,98,100,99,60,76,63,100,100,100,98,64,70,66,100,53,8,18,99,100,99,100,100,100,98,100,100,70,96,98,100,100,99,100,100,100,100,100,100,99,96,66,45,98,100,100,100,99,100,99,90,97,100,99,99,95,67,100,99,100,100,99,100,100,98,99,97,99,100,100,43,7,99,100,100,99,100,99,99,63,59,95,96,70,100,68,96,100,99,98,100,100,100,99,100,100,100,99,100,100,100,41,20,100,100,100,99,98,67,91,98,67,72,90,67,91,74,98,99,100,99,100,99,100,99,100,100,100,97,99,100,44,79,66,100,99,63,90,100,98,57,73,91,53,70,99,98,100,100,100,100,99,100,99,100,98,51,20,7,96,86,64,65,89,99,99,99,99,100,100,100,100,100,99,100,100,99,99,100,100,98,100,39,98,100,98,97,100,99,99,100,99,99,99,100,100,100,100,100,100,100,100,100,99,52,72,51,21,8,20,23,22,95,100,100,100,98,100,99,100,100,100,99,99,100,99,100,99,98,99,100,100,34,13,7,22,21,92,98,100,100,100,100,100,99,100,100,100,99,100,100,100,100,99,98,100,33,90,100,100,100,99,99,100,100,98,100,100,98,100,100,99,98,100,100,100,35,91,100,99,100,99,99,99,100,99,98,99,99,99,100,100,99,100,50,9,91,100,100,100,99,100,100,98,99,99,99,100,99,100,98,100,100,100,32,92,100,100,100,100,99,100,99,100,99,99,99,100,99,100,100,98,34,90,98,100,99,99,100,99,100,99,100,100,100,98,99,48,24,28,9,91,100,100,100,100,100,99,98,100,100,99,100,100,100,100,80,75,22,92,100,100,99,100,100,98,100,99,100,99,100,99,100,98,100,99,33,91,100,98,99,100,100,99,100,99,100,97,100,100,100,100,100,48,11,90,100,100,100,99,100,100,100,100,100,100,100,100,100,99,49,9,24,93,100,100,100,98,99,100,100,100,99,98,100,47,9,90,100,100,99,99,100,100,99,100,98,100,100,100,28,90,100,99,100,100,99,99,100,99,100,100,99,28,89,100,99,100,99,100,100,100,98,100,99,100,26,90,99,100,97,100,99,100,100,49,33,30,9,90,100,100,100,100,99,97,98,98,100,23,90,100,100,99,99,100,99,98,99,24,88,100,99,99,100,100,98,100,100,100,25,90,100,100,100,99,100,100,98,100,48,7,28,94,99,100,99,100,99,47,7,89,100,100,100,45,33,8,89,100,99,98,48,7,100,99,100,17,88,100,100,100,100,19,88,100,99,100,100,18,89,100,100,100,48,8,90,99,100,99,18,86,100,100,50,5,32,91,100,16,87,100,15,34,40,4</v>
      </c>
    </row>
    <row r="7" spans="1:23" x14ac:dyDescent="0.2">
      <c r="A7">
        <v>1</v>
      </c>
      <c r="B7" t="s">
        <v>25</v>
      </c>
      <c r="C7">
        <v>26.652677777777701</v>
      </c>
      <c r="D7">
        <v>749.06055169316801</v>
      </c>
      <c r="E7">
        <v>6.83289804811207</v>
      </c>
      <c r="F7">
        <v>25.620582798995699</v>
      </c>
      <c r="G7">
        <v>100</v>
      </c>
      <c r="H7">
        <v>564.938232421875</v>
      </c>
      <c r="I7">
        <v>6.8394423601432802E-2</v>
      </c>
      <c r="K7" s="1" t="str">
        <f>TEXT(stand_validation_1cycle[[#This Row],[stand_age]], ".0")</f>
        <v>26.7</v>
      </c>
      <c r="L7" s="1" t="str">
        <f t="shared" si="0"/>
        <v>"26.7"</v>
      </c>
      <c r="M7">
        <v>100</v>
      </c>
      <c r="N7">
        <f>0.029*stand_validation_1cycle[[#This Row],[stand_level_biomass]]</f>
        <v>21.722755999101874</v>
      </c>
      <c r="O7">
        <f>0.213*stand_validation_1cycle[[#This Row],[stand_level_biomass]]</f>
        <v>159.54989751064477</v>
      </c>
      <c r="P7">
        <f>0.571*stand_validation_1cycle[[#This Row],[stand_level_biomass]]</f>
        <v>427.71357501679887</v>
      </c>
      <c r="Q7">
        <f>stand_validation_1cycle[[#This Row],[stock]]</f>
        <v>100</v>
      </c>
      <c r="R7">
        <v>0</v>
      </c>
      <c r="S7">
        <f>stand_validation_1cycle[[#This Row],[aws]]</f>
        <v>564.938232421875</v>
      </c>
      <c r="T7">
        <f>stand_validation_1cycle[[#This Row],[percent_tree_cover]]*100</f>
        <v>6.8394423601432806</v>
      </c>
      <c r="V7" t="s">
        <v>1393</v>
      </c>
      <c r="W7" t="str">
        <f>_xlfn.TEXTJOIN(",", FALSE, S2:S1370)</f>
        <v>568.306518554687,564.938232421875,564.938232421875,564.938232421875,568.453857421875,564.938232421875,564.938232421875,564.938232421875,564.938232421875,564.938232421875,568.514526367187,570.088623046875,570.088623046875,522.753845214843,522.753845214843,567.773681640625,571.678955078125,573.067993164062,524.665588378906,0,591,591,575,523.835083007812,523.849426269531,522.753845214843,522.753845214843,523.974853515625,523.555297851562,522.753845214843,523.563415527343,604,567.809387207031,567.809387207031,567.642272949218,567.642272949218,572,796.439147949218,616.639831542968,622.3115234375,622.399230957031,626.350463867187,634.356018066406,655.206481933593,644.294738769531,605,642.28515625,627.76806640625,624.887634277343,703.545166015625,702.74658203125,702.74658203125,566.865295410156,524.611877441406,522.773986816406,522.753845214843,565,638.281616210937,564.938232421875,564.938232421875,564.938232421875,523.918640136718,523.192199707031,524.755493164062,574.258911132812,572.136474609375,616,569.006591796875,566.543029785156,567.498229980468,567.954162597656,576.518859863281,567.564453125,566.479309082031,566.479309082031,524.611877441406,524.611877441406,525.375427246093,524.138061523437,566,609.738525390625,524.43212890625,524.964233398437,524.148010253906,526.238037109375,524.280639648437,525.293273925781,526.464721679687,524.173034667968,615,570.159057617187,566.543029785156,571.448547363281,569.965759277343,575.936218261718,567.564453125,569.2900390625,568.750549316406,572.562194824218,566.479309082031,566.479309082031,524.711730957031,524.611877441406,524.611877441406,524.317199707031,567,614.168640136718,526.425964355468,524.324462890625,525.940612792968,525.3056640625,524.114685058593,609,568.905334472656,567.036682128906,566.543029785156,568.117553710937,572.227783203125,566.543029785156,566.479309082031,566.580383300781,575.361877441406,566.479309082031,572.432739257812,572.432739257812,567.442138671875,622.518127441406,524.611877441406,525.052978515625,525.274108886718,524.138061523437,568,524.487487792968,575.139587402343,524.138061523437,525.447143554687,526.605712890625,524.488647460937,524.114685058593,611,572.175415039062,569.994079589843,570.841552734375,571.344787597656,566.628479003906,566.543029785156,566.479309082031,567.964172363281,573.150756835937,566.479309082031,570.673645019531,570.735534667968,566.479309082031,567.849060058593,567.849060058593,569.236511230468,610.896850585937,525.651245117187,526.630249023437,524.830261230468,525.497619628906,524.138061523437,571.180114746093,524.369445800781,524.464660644531,524.114685058593,524.114685058593,525.013732910156,616,524.127868652343,524.137145996093,569.607360839843,567.506774902343,572.969970703125,566.543029785156,574.497253417968,567.679809570312,572.131408691406,566.479309082031,569.556945800781,566.577819824218,572.561279296875,571.766357421875,571.766357421875,566.865295410156,568.070556640625,610.975158691406,524.611877441406,525.277770996093,524.658386230468,524.455627441406,570,623.149353027343,524.488220214843,524.138061523437,569.465087890625,525.683471679687,525.085815429687,526.572692871093,524.114685058593,524.114685058593,618,524.135009765625,524.137145996093,566.543029785156,567.916809082031,571.412963867187,566.543029785156,570.086853027343,567.620727539062,566.556945800781,566.479309082031,568.951416015625,570.316467285156,570.520935058593,566.635009765625,566.635009765625,604,591,586,589,586,577,576,579,575,576,579,581,570,572,582,580,588,605,605,616,622,615,596,606,616,624,639,642,623,600,573,560,547,547,566.865295410156,568.805603027343,568.759765625,566.865295410156,682.698486328125,566.865295410156,524.611877441406,524.875183105468,525.144653320312,586,597.221801757812,566.733947753906,567.402709960937,566.733947753906,525.294860839843,524.848266601562,525.272583007812,524.292785644531,619,566.543029785156,570.809631347656,566.543029785156,567.498229980468,525.418518066406,524.404968261718,524.234008789062,566.675720214843,568.434997558593,566.479309082031,569.204162597656,566.64453125,568.170166015625,568.516540527343,547,566.865295410156,568.805603027343,566.865295410156,567.865234375,702.51220703125,571.802368164062,524.611877441406,525.728881835937,524.138061523437,595,597.221801757812,566.733947753906,574.593322753906,566.733947753906,566.733947753906,526.406066894531,524.114685058593,524.114685058593,524.388916015625,623,566.543029785156,569.971252441406,574.6630859375,567.548706054687,524.565979003906,525.92626953125,523.526123046875,570.707885742187,570.584045410156,566.479309082031,572.079467773437,573.318969726562,400,568.170166015625,566.865295410156,571.208862304687,632.178588867187,524.611877441406,524.611877441406,525.855224609375,524.138061523437,594,597.221801757812,566.733947753906,566.733947753906,524.138061523437,524.138061523437,525.035766601562,524.900024414062,526.186645507812,525.369750976562,614,567.387573242187,570.714233398437,572.787841796875,568.432312011718,566.543029785156,579.329650878906,573.686889648437,524.086547851562,523.612976074218,566.479309082031,571.125427246093,574.383117675781,568.235290527343,568.235290527343,0,0,0,524.611877441406,640.156494140625,524.759338378906,525.535827636718,524.733337402343,524.138061523437,594,597.221801757812,566.733947753906,568.824096679687,525.026916503906,527.225341796875,526.422302246093,526.021362304687,525.564270019531,524.312622070312,524.114685058593,605,567.577758789062,569.764526367187,571.517028808593,567.498229980468,569.056091308593,573.850463867187,525.333740234375,524.4716796875,566.479309082031,569.753540039062,567.245178222656,569.58642578125,569.58642578125,525.667907714843,524.85400390625,525.105834960937,526.064819335937,643.151794433593,525.022888183593,525.24755859375,524.85400390625,525.087768554687,591,597.201721191406,567.029724121093,567.029724121093,524.135925292968,527.227905273437,573.736022949218,570.543273925781,572.361572265625,573.822448730468,572.104675292968,602,568.519653320312,573.991271972656,575.523071289062,577.522277832031,574.421447753906,574.486694335937,573.498779296875,566.604675292968,571.563232421875,572.903198242187,400,569.58642578125,525.105834960937,525.461242675781,525.624206542968,525.342102050781,635.775573730468,524.87890625,526.722412109375,526.187133789062,524.135925292968,586,606.602355957031,567.177612304687,570.025207519531,524.135925292968,526.109741210937,570.529174804687,571.849853515625,572.994873046875,566.928344726562,566.928344726562,594,569.026000976562,570.579406738281,571.600952148437,566.928344726562,569.008850097656,566.896728515625,571.173217773437,566.604675292968,572.778991699218,575.715454101562,575.715454101562,525.105834960937,525.461242675781,0,525.793090820312,609.233154296875,524.85400390625,526.595092773437,524.916748046875,525.139709472656,585,627.71142578125,567.361877441406,567.029724121093,524.135925292968,525.455749511718,525.418029785156,524.252685546875,523.815673828125,568.859558105468,568.859558105468,577,566.928344726562,570.716552734375,566.928344726562,568.343444824218,568.343444824218,571.3134765625,566.604675292968,570.466247558593,523.688720703125,0,0,0,0,526.331909179687,599.4521484375,524.965698242187,527.191040039062,526.827758789062,524.135925292968,578,603.701293945312,569.924621582031,567.029724121093,524.135925292968,524.186706542968,525.371398925781,524.230590820312,524.683288574218,571.953247070312,570.640808105468,571,568.672424316406,568.399291992187,571.262145996093,572.912292480468,568.63134765625,573.527587890625,568.61767578125,574.357055664062,523.688720703125,0,400,0,0,525.189270019531,603.598999023437,524.85400390625,524.85400390625,525.266174316406,524.480529785156,572,611.487060546875,569.210693359375,569.210693359375,524.676818847656,525.689636230468,524.443054199218,524.366455078125,525.007751464843,573.309448242187,571.817626953125,571,566.928344726562,571.649230957031,566.928344726562,566.928344726562,569.043151855468,571.105041503906,566.604675292968,576.744934082031,523.688720703125,0,0,0,524.85400390625,525.5615234375,524.85400390625,603.955810546875,524.85400390625,577.406921386718,573.526062011718,524.135925292968,572,625.445983886718,567.029724121093,569.684936523437,574.569519042968,571.605773925781,571.605773925781,567.029724121093,579.433776855468,574.432495117187,575.84033203125,574,568.942199707031,571.844055175781,570.351135253906,571.745178222656,572.736877441406,569.451843261718,566.604675292968,576.846618652343,566.604675292968,575.700927734375,400,0,524.923217773437,525.374938964843,525.105834960937,616.071044921875,524.85400390625,567.528625488281,579.510864257812,524.135925292968,574,623.625244140625,567.029724121093,567.029724121093,572.76416015625,567.029724121093,576.878601074218,568.44873046875,578,566.928344726562,574.782104492187,566.928344726562,566.928344726562,568.428833007812,568.574584960937,567.524353027343,568.754516601562,566.604675292968,570.440673828125,570.440673828125,573.680236816406,573.138671875,571.992858886718,673.981262207031,572.448181152343,524.85400390625,526.903747558593,524.135925292968,571,616.068298339843,572.002319335937,567.029724121093,575.044860839843,574.166137695312,571.445556640625,567.029724121093,577.269409179687,567.16552734375,577,566.928344726562,574.863891601562,571.760620117187,566.928344726562,572.351623535156,570.9267578125,571.971313476562,566.604675292968,571.944641113281,570.440673828125,567.528625488281,572.670837402343,567.697875976562,645.810424804687,567.528625488281,524.924560546875,525.393005371093,524.135925292968,570,619.846984863281,567.029724121093,567.029724121093,567.029724121093,568.932434082031,570.639343261718,567.029724121093,571.718688964843,569.882995605468,572,567.850524902343,576.037170410156,573.372680664062,570.543701171875,569.344665527343,569.697021484375,567.552856445312,575.314025878906,566.604675292968,571.254089355468,571.254089355468,570.283264160156,568.089782714843,575.251831054687,576.76318359375,720.140197753906,574.344055175781,571.068542480468,578.190979003906,567.239379882812,569,697.741088867187,569.393493652343,569.163879394531,567.239379882812,567.239379882812,567.398681640625,576.198181152343,571.643676757812,567.256652832031,571,569.431213378906,567.187622070312,571.078552246093,567.187622070312,571.054870605468,566.722473144531,570.897705078125,572.10595703125,566.722473144531,573.400512695312,566.888916015625,566.888916015625,574.476928710937,568.089782714843,572.432189941406,569.386169433593,616.879699707031,574.804931640625,575.727783203125,571.950500488281,567.239379882812,569,684.717590332031,567.281311035156,567.239379882812,570.842590332031,571.660400390625,569.474914550781,567.187622070312,567.187622070312,568.698425292968,571,567.187622070312,571.967102050781,573.888305664062,572.560119628906,569.609985351562,574.291198730468,566.870178222656,566.722473144531,571.111389160156,575.951843261718,569.229064941406,569.229064941406,568.089782714843,573.903198242187,568.089782714843,574.937927246093,569.198181152343,624.3388671875,568.196838378906,573.125793457031,567.239379882812,549,642.548095703125,571.742553710937,567.239379882812,570.322998046875,574.838317871093,575.026550292968,574.281616210937,571.128295898437,566,568.245788574218,569.467590332031,567.187622070312,569.524353027343,567.187622070312,572.709716796875,566.790161132812,571.854248046875,566.722473144531,573.385925292968,574.494689941406,567.05908203125,567.05908203125,568.089782714843,570.820129394531,568.089782714843,573.6591796875,568.089782714843,646.778869628906,568.089782714843,568.46337890625,569.13671875,569.13671875,568.992248535156,573.282470703125,577.632934570312,576.670227050781,571.119323730468,567.187622070312,562,568.536010742187,576.368591308593,572.872802734375,571.20166015625,569.067321777343,574.84130859375,569.284118652343,572.310424804687,566.722473144531,571.273620605468,573.48486328125,400,567.05908203125,568.089782714843,568.089782714843,570.139953613281,571.589599609375,571.929382324218,667.8720703125,570.441833496093,568.089782714843,575.655578613281,574.864501953125,567.308349609375,568.352355957031,567.187622070312,567.187622070312,559,573.119812011718,568.325561523437,567.356323242187,570.3134765625,566.722473144531,567.794250488281,566.800903320312,566.722473144531,570.954772949218,571.248291015625,571.248291015625,572.389038085937,568.089782714843,569.1328125,573.157470703125,671.970092773437,568.089782714843,568.089782714843,568.089782714843,571.395812988281,557,608.16455078125,575.617309570312,569.549499511718,570.516906738281,573.379455566406,570.135803222656,569.209167480468,562,574.531677246093,573.23681640625,572.453735351562,573.588684082031,573.281860351562,570.341735839843,571.3525390625,566.722473144531,571.432678222656,573.554931640625,571.248291015625,569.1328125,570.256591796875,570.256591796875,570.626159667968,643.83642578125,568.089782714843,570.276428222656,575.008666992187,570.22802734375,558,608.16455078125,567.3125,569.759948730468,567.239379882812,572.753112792968,567.187622070312,567.187622070312,567.187622070312,558,567.187622070312,567.187622070312,567.187622070312,568.123046875,576.535766601562,576.242004394531,566.800903320312,570.116821289062,566.722473144531,568.584289550781,568.584289550781,569.1328125,572.004699707031,574.090454101562,572.382568359375,650.274108886718,568.089782714843,568.089782714843,568.089782714843,567.239379882812,544,609.010070800781,568.77587890625,567.239379882812,571.741027832031,574.437133789062,570.944580078125,569.853881835937,571.699890136718,569.731811523437,568.178283691406,570.824829101562,574.165466308593,571.012634277343,572.720947265625,569.115234375,566.722473144531,575.165954589843,566.722473144531,570.631408691406,570.631408691406,568.234008789062,569.978088378906,568.089782714843,622.661987304687,568.089782714843,575.259582519531,574.450256347656,578.322143554687,540,617.08349609375,567.239379882812,567.239379882812,572.960571289062,573.444519042968,567.366333007812,570.401306152343,571.735290527343,567.187622070312,568.961547851562,567.400634765625,576.068237304687,567.948791503906,570.42529296875,571.710510253906,400,570.631408691406,570.631408691406,568.089782714843,572.632995605468,568.089782714843,630.026733398437,568.089782714843,526.166809082031,525.735717773437,523.76416015625,547,523.76416015625,567.038024902343,576.602783203125,568.377990722656,578,566.783081054687,568.811584472656,566.8505859375,572.629760742187,570.590270996093,571.57861328125,572.94677734375,574.010803222656,566.918701171875,566.918701171875,568.089782714843,569.01220703125,569.01220703125,623.443176269531,569.90576171875,523.76416015625,523.76416015625,523.76416015625,562,595.439880371093,525.746643066406,523.839172363281,572.396057128906,572.04248046875,566.783081054687,581,573.98291015625,572.244140625,570.705810546875,568.710815429687,574.329528808593,566.783081054687,568.277770996093,569.851684570312,566.918701171875,566.918701171875,568.089782714843,569.01220703125,569.01220703125,663.272766113281,568.365356445312,523.76416015625,523.76416015625,526.271423339843,586,595.439880371093,524.925720214843,523.76416015625,523.76416015625,569.238220214843,566.848937988281,570.282775878906,568.1728515625,585,567.78125,567.78125,566.783081054687,570.178161621093,571.162536621093,571.162536621093,568.277770996093,568.277770996093,663.272766113281,568.365356445312,523.815185546875,523.76416015625,523.76416015625,593,597.068725585937,523.76416015625,523.76416015625,523.76416015625,567.358276367187,573.073974609375,568.082824707031,572.37109375,569.742370605468,575,566.783081054687,571.326110839843,568.909973144531,572.123962402343,574.514343261718,574.514343261718,0,525.458984375,523.76416015625,596,596.712707519531,523.76416015625,524.74951171875,525.096984863281,578.172546386718,570.66162109375,573.368591308593,571.160705566406,566.876342773437,573,567.727966308593,572.947143554687,566.783081054687,566.783081054687,572.577087402343,572.577087402343,0,524.640014648437,523.76416015625,596,595.439880371093,523.76416015625,525.822082519531,523.76416015625,567.142272949218,569.008972167968,571.898315429687,568.890014648437,575,570.26416015625,574.789245605468,576.291015625,569.089599609375,569.171020507812,572.577087402343,0,523.76416015625,523.76416015625,600,597.696166992187,523.76416015625,526.783630371093,523.76416015625,523.76416015625,570.565551757812,567.119140625,571.968444824218,566.783081054687,562,566.783081054687,568.013916015625,572.142211914062,569.635437011718,569.635437011718,525.941955566406,523.76416015625,523.76416015625,601,596.130554199218,523.76416015625,524.74951171875,524.981262207031,574.717346191406,572.979736328125,574.744445800781,567.852172851562,536,569.163635253906,575.546813964843,577.092712402343,574.618591308593,574.618591308593,523.76416015625,523.76416015625,523.76416015625,608,595.439880371093,523.76416015625,523.76416015625,523.76416015625,567.038024902343,566.783081054687,566.783081054687,566.783081054687,517,566.783081054687,566.783081054687,577.092712402343,574.618591308593,574.618591308593,572.879211425781,566.6083984375,566.438598632812,617,609.05859375,566.438598632812,566.438598632812,566.438598632812,570.341125488281,572.026794433593,570.620910644531,574.405578613281,567.830444335937,519,569.817626953125,575.325744628906,571.610107421875,571.610107421875,570.030883789062,568.065551757812,566.438598632812,627,609.538757324218,566.438598632812,566.438598632812,566.438598632812,566.438598632812,567.924377441406,566.753356933593,572.43603515625,566.513732910156,523,566.513732910156,569.319763183593,572.567993164062,572.567993164062,570.565856933593,566.438598632812,566.438598632812,630,609.05859375,566.438598632812,568.70263671875,569.574951171875,569.574951171875,573.646728515625,569.087341308593,572.173400878906,566.513732910156,519,566.513732910156,569.398254394531,570.565307617187,572.567993164062,644.639709472656,621.42626953125,619.675659179687,633,622.077758789062,611.864440917968,674.151733398437,665.110229492187,651.91748046875,702.378784179687,664.777221679687,696.077087402343,609.618347167968,517,621.066650390625,400,569.398254394531,644.639709472656,566.52734375,566.438598632812,606,609.05859375,566.438598632812,566.438598632812,566.438598632812,566.869934082031,574.385437011718,566.659423828125,566.513732910156,524,400,621.066650390625,576.698547363281,566.438598632812,561,609.05859375,566.438598632812,566.438598632812,575.6318359375,570.029907226562,574.717163085937,568.588562011718,566.513732910156,566.513732910156,505,505,566.438598632812,566.438598632812,505,609.05859375,566.438598632812,566.438598632812,568.534973144531,572.525146484375,566.513732910156,566.513732910156,566.513732910156,488,488,566.438598632812,569.955627441406,494,612.538818359375,570.417846679687,574.265625,575.487060546875,566.438598632812,566.513732910156,569.645263671875,566.513732910156,485,485,525.266906738281,523.002685546875,544,592.594116210937,523.149169921875,570.949890136718,564.934448242187,566.513732910156,400,566.513732910156,485,485,525.21630859375,523.002685546875,543,592.594116210937,523.002685546875,525.928466796875,524.968139648437,568.310607910156,564.934448242187,564.934448242187,564.934448242187,525.796997070312,523.002685546875,496,592.594116210937,524.859436035156,523.932983398437,564.934448242187,564.934448242187,564.934448242187,564.934448242187,0,523.002685546875,470,592.594116210937,523.002685546875,523.002685546875,523.002685546875,564.934448242187,564.934448242187,564.934448242187,564.934448242187,0,523.002685546875,444,609.397644042968,526.16015625,525.603698730468,524.324279785156,564.934448242187,564.934448242187,400,564.934448242187,0,523.002685546875,417,523.379089355468,0,0,567.88720703125,400,564.934448242187,0,525.412353515625,523.145141601562,0,400,567.88720703125,567.88720703125,400,625.898132324218,523.038330078125,523.002685546875,0,0,634.29296875,523.002685546875,0,0,567.146484375,468,686.0634765625,523.53515625,0,0,567.039428710937,513,611.794738769531,565.9423828125,0,0,565.990905761718,511,611.372436523437,565.9423828125,400,0,568.336242675781,501,611.372436523437,565.9423828125,565.9423828125,566.015747070312,496,611.372436523437,400,565.9423828125,566.015747070312,492,611.372436523437,611.372436523437,484,611.372436523437,611.372436523437,484,611.372436523437,611.372436523437</v>
      </c>
    </row>
    <row r="8" spans="1:23" x14ac:dyDescent="0.2">
      <c r="A8">
        <v>1</v>
      </c>
      <c r="B8" t="s">
        <v>26</v>
      </c>
      <c r="C8">
        <v>23.657777777777699</v>
      </c>
      <c r="D8">
        <v>668.54260117010404</v>
      </c>
      <c r="E8">
        <v>1.4646010703256001</v>
      </c>
      <c r="F8">
        <v>23.405468887833301</v>
      </c>
      <c r="G8">
        <v>24</v>
      </c>
      <c r="H8">
        <v>564.938232421875</v>
      </c>
      <c r="I8">
        <v>6.3985345609815003E-2</v>
      </c>
      <c r="K8" s="1" t="str">
        <f>TEXT(stand_validation_1cycle[[#This Row],[stand_age]], ".0")</f>
        <v>23.7</v>
      </c>
      <c r="L8" s="1" t="str">
        <f t="shared" si="0"/>
        <v>"23.7"</v>
      </c>
      <c r="M8">
        <v>100</v>
      </c>
      <c r="N8">
        <f>0.029*stand_validation_1cycle[[#This Row],[stand_level_biomass]]</f>
        <v>19.387735433933017</v>
      </c>
      <c r="O8">
        <f>0.213*stand_validation_1cycle[[#This Row],[stand_level_biomass]]</f>
        <v>142.39957404923214</v>
      </c>
      <c r="P8">
        <f>0.571*stand_validation_1cycle[[#This Row],[stand_level_biomass]]</f>
        <v>381.73782526812937</v>
      </c>
      <c r="Q8">
        <f>stand_validation_1cycle[[#This Row],[stock]]</f>
        <v>24</v>
      </c>
      <c r="R8">
        <v>0</v>
      </c>
      <c r="S8">
        <f>stand_validation_1cycle[[#This Row],[aws]]</f>
        <v>564.938232421875</v>
      </c>
      <c r="T8">
        <f>stand_validation_1cycle[[#This Row],[percent_tree_cover]]*100</f>
        <v>6.3985345609815001</v>
      </c>
      <c r="V8" t="s">
        <v>1404</v>
      </c>
      <c r="W8" t="str">
        <f>_xlfn.TEXTJOIN(",", FALSE, T2:T1370)</f>
        <v>7.38588699623838,8.7054293432138,9.6077776713476,7.55289565329408,6.29302059166868,6.83944236014328,6.3985345609815,9.79192488040446,7.29847423001854,6.99138421441277,8.36999568440679,8.42643456549988,9.55952432745699,8.38460540419108,6.70805006343153,7.60396515438111,7.11080442152429,7.08486911931024,6.71065971574838,7.02819325946154,7.00903278189155,9.18693954848596,7.4022120351674,7.70801565313249,6.95165749966355,7.25061452733523,7.10730807359465,8.03319208259702,7.06725935208372,7.1964911329417,6.96570452992482,6.41219773597247,9.22372486779144,6.4504698826838,7.58116108500598,5.13857255167856,7.62661090705994,8.10230459539277,8.52462039052047,6.48067672749548,8.09912220096954,8.88147521459393,8.51808496106891,6.95494373336213,7.76801642182679,7.56262024558599,7.9246888668082,6.83615279931322,8.10837204370288,6.63399024304314,7.27140156492246,5.40762278230577,7.76568502730138,8.07037977735839,8.21660115424793,7.90154413735049,6.72882853432308,8.42486219135668,6.88585315291075,6.83488554794344,6.70982788436152,6.12693827689468,8.19378176112816,9.21713852746969,7.8602111771668,8.38520211193827,6.28201654022384,7.55782638569765,5.86294158508448,8.75722010265257,9.09703604450624,7.400247735484,6.40982600859403,7.20604327807227,8.12707535823881,7.19002694003254,7.70553496453548,6.3948798334671,6.89402664338523,8.84514989847992,8.66094467618955,8.09350856941151,9.39323199924014,6.8979794777287,8.69539052407882,5.95685343315312,7.08795488169748,7.81206528926674,7.77035946958607,7.96421008267683,7.29885171807736,8.32052128410988,10.4227861069812,8.36219155459532,8.52040454731708,7.06992595729641,7.18625930111063,7.68592171556371,7.47271752487461,6.99861951446164,6.25279171791873,8.73536432637956,6.45501746321877,6.42901114330022,6.73680245358314,8.391689114261,7.96193265633087,7.06810156263251,7.92433861650359,7.02541288385313,6.06256723591375,5.54302170330155,7.71002314617545,6.6975525143363,9.11227925016682,8.17110593940578,6.56232520667213,7.36139781174733,9.08938193671351,6.8892441484561,6.34667769109028,9.36804578447305,7.9342210527693,9.81653881941771,7.13902272654083,5.97733905808678,7.46096162725475,8.2731860355949,6.9663772080073,6.84566384986853,8.32342023176536,6.71539822219406,6.54312030028855,6.03445690304057,7.38523169858571,6.92576240349112,8.39227349648392,7.70789682583212,6.27381776307072,6.95841849650329,6.94809911334856,7.75656627165474,6.97847515986138,6.03321639397882,10.0746548127723,8.71931939955426,6.45384267190311,6.98656527374305,7.13144311441397,9.18627286123327,6.87378514767497,7.2941880584688,8.47057224443419,7.88519340681682,5.12704518484708,8.00472970349618,7.10930226229733,7.17864117571869,6.83176080600882,8.31696040898205,5.73091480398192,8.1440270257753,8.6514256994433,7.46245619181028,7.31160313867431,8.37361461531918,8.09315075673815,8.79093322679275,6.49526197678066,6.90969775840569,7.52325100076665,6.56811546310434,7.22603148469116,7.18328043206538,10.2222037031684,6.80604753808459,6.961775674462,7.23551300994719,8.17345238760567,7.74145420041431,7.27152982512375,6.85597625322779,6.65176600253327,8.19551628155306,6.74338180449543,7.27905158933856,6.90468448188236,6.07869076755059,9.44240151226664,8.02339882441664,7.84292162678268,7.21374040163695,8.91973036303135,7.82246894339823,9.19653757142441,7.7555432138028,7.24448277095495,7.15262895764476,6.72265428770192,7.83723377429016,7.46497677203898,7.61585067075765,8.9332943318121,7.83770712579596,6.23513374527694,10.3249661131057,7.44061315448087,6.10116388383183,6.76762197999035,7.64645441099545,6.89949323052431,6.77591850415615,7.60062610725558,7.43813160502408,7.38164762915892,8.94359982383438,8.06836236106632,5.76536142101961,6.64867596943978,8.10366371575083,8.33384057249502,6.45332365225605,8.20260537730116,7.93488640345625,7.11357591990936,7.96401178957468,8.42324541603836,6.84803470714216,5.96347817021111,7.72346264827745,6.14757941833383,8.72603023299181,8.15406663339093,8.72241878690556,7.29184640349313,9.37927794045186,6.85090503844778,7.44864105987901,9.03313541289176,8.66327882281987,6.35714088065287,9.47868524008083,6.71584316380895,6.98917023865398,7.31234393673122,6.69718508918679,6.68580660630952,7.18200481283105,6.8960694900609,9.74277113481617,8.07707912808345,6.6458668214314,8.8107752654636,7.69558827718316,8.96769399068074,8.37983375599626,6.96273603795575,9.07479097028303,6.83544986106736,6.6806867316282,10.4690773121574,8.05335378025725,8.07975665847523,7.32718565795083,6.49505032899952,8.66673692214237,7.05681164666395,9.35383501216856,6.43241523322887,7.48950883093402,8.13568550027318,8.02492863925911,7.66419151731082,9.21070322535117,5.8866161916818,8.83877065964658,8.30849578981999,6.11453366014302,7.51139997416367,8.74865386107497,5.96728659578094,7.64538564757074,8.07507289045359,9.65507848391697,5.8390397231584,3.77764806734913,10.2236571165131,5.39422367498366,7.65998340994559,6.87757807649602,6.43161220415652,7.05718155214348,6.1388366205154,9.51370374724489,8.79716225928849,7.65113878663305,6.35037882289487,7.37247506297954,9.78384774134855,10.5143240894093,7.92081654528471,6.69905274008723,9.00462563689215,6.19099802246549,9.14262020656023,8.39264677506756,7.08753109988588,6.39149755306675,6.92894969054494,6.15274077363871,7.78781382724218,6.87589896653499,7.875205270483,6.36296430742778,6.96118936797806,8.86448130115367,7.13147070156858,5.85868626049868,7.9088794111864,7.69709634477888,7.91828501072891,7.34110596090932,8.33847427416099,6.9451640483171,4.9059824759789,5.96922061623255,7.05468962728274,6.72226905380487,6.99416166317333,10.1046063895528,5.77084101052853,6.41337021573597,7.77307069362935,6.8655265526958,8.78820973285208,8.4485592115442,11.1408033753664,6.64367970186567,5.56767689996685,5.93914250289094,5.91151332382821,7.21531021317357,8.64545428356828,7.25430831094696,8.09917680110778,7.44553939653902,8.31665125900223,8.09549872733597,6.41835819263237,7.55136249636873,8.13984338261192,7.83883376963759,7.08712001800573,16.7837941412976,8.46521674266125,8.79139939807028,8.36616962210823,6.60924490142977,7.9854072818755,7.36945961435891,6.42193364466148,7.38760089205741,7.47286259584109,6.64227703807099,8.04412652279584,6.88712254357425,7.57610616878999,6.56248154159683,6.13568060890506,6.6100698060911,8.03934025297604,6.89502510887589,5.55028566273168,7.1546256771048,7.0729061646427,7.1540116809754,5.09747582730216,8.97068914250156,7.58399223227213,8.393117202822,7.25505924542583,6.32826416433688,6.64672779847927,8.74613563450545,8.9590688437003,7.67117332590823,8.75687813872704,6.36505068226764,7.30907071941564,8.42934882648694,6.60609147979987,9.15811760533275,6.85866547324998,7.55061310460407,7.32922138415071,7.95562821606441,8.61408287655967,8.11805611061074,5.96502573878176,9.81776650940254,7.64619527960908,9.6141769147035,5.77609554723587,10.7657203231596,7.81619848415577,7.69463379408906,7.48304126374648,6.35844482626128,7.55018063711426,7.44510041003552,8.2935867530925,9.17037160315968,7.49356645779681,8.09752221850083,6.49391741440839,8.0194774177718,6.96794612088299,9.54539197604369,7.28073766658174,6.75901135465458,6.55313124577428,5.97201576011524,8.30394713600458,8.67709909909019,8.86762968019989,7.58676929904796,7.24603698990325,9.11171366687362,7.18915369409702,9.35860940034098,6.45989100892401,8.04938014555038,5.50129953996705,7.3162518669977,5.97748000800975,6.35994995224653,6.5217928148303,8.6116612287895,6.66821027519709,8.20292199170765,7.83010902642501,7.64060087776814,7.28202145982526,8.84741513918862,8.12390439358282,7.48887729829824,7.26341586642423,8.66235794648599,7.04451471408487,9.28588319729051,3.58479400224053,13.4171615184556,7.1784270621628,7.51075077085771,7.93986920236746,9.21713645210079,6.24164069362241,6.48800059055951,9.12882294580114,6.94222602356031,9.39839446490939,7.90114145721761,9.33434589975936,7.91288278053423,7.17312169802463,9.53421998501792,7.71651610402466,7.45498082849379,8.23388781665683,7.4987244256972,7.353037445779,8.30724687691992,6.70614580552549,6.47911641329519,6.67375199186957,6.93628582619789,6.80397382699214,7.66260468531495,7.92468522321312,7.18970937046354,8.54661820612401,5.4247760252939,8.91844772923494,6.43570744038587,7.83261433795203,7.3023889266612,9.26775985818434,6.79986580478932,8.47260869386929,6.53705343351609,6.84031355131961,8.20353610062417,9.2546340845421,7.56901031135767,8.5351094128891,6.5547145805632,8.74839876319098,7.77363286122335,6.76594124906938,10.0887630458781,5.63191813239892,7.15366771810811,6.65040554051636,7.91620141054477,6.49670435237656,8.16216433127013,6.75588132756341,9.01807855804556,6.64941056480334,8.76536126941744,7.86658150900928,7.11855599412311,5.83987348350106,7.5942052451295,8.3014677743099,7.6781921797637,6.28104797195754,8.16136196888286,7.26505712637607,7.55093661315972,7.07183842941713,7.39026744737854,8.99110705784037,8.72488703909865,7.76434868507905,6.17406086888885,5.8001167952854,9.31451551351462,6.61074807495685,6.17590749138213,8.58553159062297,6.19777870599533,8.22162707421617,6.66581379776935,7.70357383157416,7.42872682034941,8.86966349268807,7.20792057690038,8.22895601511721,8.43875769735765,9.53596989330354,8.13816081754489,7.99618847282796,7.14176261255258,8.1588198800408,7.1362294480269,6.22920634855281,6.14472450257816,6.3091933070539,7.28502274058887,7.99126673728926,6.82652559913183,8.01031270821204,8.23019289379304,5.71701085359119,7.09393534008142,7.91615114878926,6.85599599644931,6.60862254119406,8.11046806383638,7.98717463522337,7.18576234215722,8.01624109324211,7.03385978297079,8.83414070237947,7.36564688150272,7.07076863311079,7.80183426306596,8.09122248299446,6.7434951164911,9.9891170642588,6.48266638056907,7.06244995781977,7.34816819350434,8.39021753907747,6.65468461993051,11.2297613975256,7.56387030161177,6.98437269727492,7.64342676280684,7.33740140352409,7.19324047526764,10.1217642724017,7.61951247585133,7.71852423607422,8.35194115978507,6.68958333588201,7.29966068946125,6.84363154045994,9.33563748854619,7.54081515796658,8.84810935228151,7.98372426608002,8.26137103214529,7.26894731055085,6.70464881318836,7.39934918298892,7.06163528783779,7.475866101828,8.30898050119705,7.55817692375202,7.17543237211997,7.31196850714117,7.17306247771771,8.14737295998355,8.48208993306494,6.26563912137817,6.91139903378688,6.39718816863367,8.62342230664679,9.07459841520518,6.74162289588544,7.96072716356745,6.34263367436401,7.68781591876547,7.58835720152073,6.38648795901165,6.65133532160994,8.43916050378495,8.77770429161402,6.30031497058464,6.87126216482413,7.44873981843805,7.42517758341398,6.6084457048702,8.6555229659555,7.55979482135809,6.6006117125257,6.78778992496343,8.40146118101219,6.74751808141225,8.1580665778137,6.71244348320236,3.73946635683047,6.41606691288722,7.96311451627364,9.49585662903279,9.67705017893544,7.44974482467844,8.45457073375989,7.75441009863282,10.4142555580527,6.17633855536849,7.87392149792451,8.00151252537481,7.45501848710054,6.97159169368473,6.68084160924315,7.23610677411471,7.48177790464914,5.95366491519345,6.9701376815258,7.10097901486962,8.15481081049989,8.03038044850793,8.23785500614267,8.06055449906777,9.78686294087945,9.57316055431844,7.89551933202948,10.1759546844921,6.71798149129673,6.66844647312377,10.0004593302068,10.4951378317925,8.99446601917555,8.74730474940653,6.11421012686842,7.31224631681395,8.32303713154953,8.04285294896673,9.51757679617423,6.66962443338268,7.63600165244577,5.90235510796983,8.04516585170519,8.05171509147081,6.85808232972936,7.06391152355182,8.04556904533149,9.79950337493054,5.29302882100677,8.60034530535709,8.16049039225233,7.21038468557503,7.99915944488654,6.77690082079589,8.38833881671585,8.25515216156236,7.00763016656715,8.04305291850704,8.41893056096846,8.04944923190622,8.03813090589053,7.41479319271027,6.03816862993303,7.74648571149636,7.15397483829876,7.82195981266638,8.44196599656539,6.25960445089226,10.0223936574943,8.49637447518535,7.23162068686262,8.68374868665288,6.85990127109046,7.23540742920012,8.11918320191451,8.18588063924942,8.36240376383169,6.8317506853289,7.03691408983727,7.9462746437279,9.50617479187121,6.41266558252886,5.98732588670379,6.87238563851473,7.06350125846067,6.01006326655208,8.35032947532662,6.88520333010123,7.60092009426774,7.69379109566387,9.0896369205058,8.21917600293863,7.94410717989269,7.86719961037235,10.159711676402,6.39245222242765,7.45871825487573,6.26247711571748,7.96003698239532,8.48298660315311,8.44357280426667,7.64497177966342,6.56569680352519,6.60033224336055,8.19917227540647,6.22967614659978,8.26923788018287,8.4390120934882,9.49948655119125,7.50198779212601,7.59964197620214,6.33740652019815,8.60996474691947,5.98460355081775,9.21119672668073,8.12197226001475,7.65548141369311,8.01005670087151,8.70765823394077,8.37705156710839,7.13464377413116,7.02497449010643,7.68814602413831,6.31049036005444,6.37274657719438,8.75051004593254,5.17248621250743,7.80309605673782,6.3543999712887,7.52632913366073,6.79223047974592,7.47357943090918,8.20472642744615,7.58549930515498,8.15034206727939,10.7558544642148,9.47861444768486,7.8886778348539,7.22780743148631,6.20426202888237,7.80937103294594,8.01868459723627,7.42755998130159,7.34134251444878,6.39752668468319,6.47931951287009,7.42306101285457,7.15361707350171,8.0092311158656,7.58562827417094,7.77914851480418,5.62911886873317,7.77477366634571,7.08247458473685,7.5474790046836,5.9865967802251,5.62379815162145,12.6638035363118,6.97271652413758,7.30926048314754,8.56032660735691,8.35795954362463,8.40410891752633,7.72191243328174,5.92145040781724,7.98431772481802,6.79584529564861,8.11775799408841,8.67955640066493,7.41208129947947,6.91226201668469,7.96815845297334,6.40525612041412,7.24228773279795,7.70550915497617,8.31466092254869,8.00962045397471,7.73021757707413,8.47208696513247,7.92269350610844,5.93304886573767,5.86568530326135,8.57049212232608,7.60870994874695,7.65042065047967,7.75990902099615,8.0059861360764,7.11834195296556,6.10087701665989,7.67505616518577,8.3429472247563,8.09047968892797,7.12921768183279,9.3178708705932,9.82682280283971,5.94654867268163,8.75757002701861,6.79766673704292,8.51047262143212,6.54499193038953,9.37976464500955,7.60766673389312,8.0886259403994,8.94626954697511,7.59829157838268,7.4099643667168,7.67528507808583,7.47766656380911,6.93490932762307,7.79853459912538,6.96685074544406,3.7008155941277,7.11128946805631,6.25666477626147,6.5959552741549,8.31578717452272,6.52628572420804,7.21312607198564,7.17793078426264,7.7451100994946,9.92503034453276,5.6861674850754,6.05072669810944,9.20594659809859,5.4794656887468,9.63306221193671,8.28976167097081,8.58066275150999,7.48544035085879,6.34603438200419,6.34663476206265,8.04899434340627,8.22502761945228,7.27197297487821,6.4951839925517,6.45790468788112,9.05854406965188,7.23434721439195,9.86579779667965,7.65106252450273,6.50447442480309,11.9426915305557,5.89391746777405,7.84547343415056,9.02098677961598,8.22747814187516,6.48777822610264,9.09092296139278,7.46208465576592,7.18637193161673,10.1754681064488,6.80984699793973,7.64631047405164,8.02864176371209,7.8425449412911,8.24594513156826,7.79648579008635,9.26759856582311,6.73520319719392,7.82799957480922,7.08058074225568,8.98710132742176,6.75067146560913,8.75617311589545,7.10614481303391,7.79557737315362,8.42119151211363,6.64598072733283,8.49098602595575,8.90143480716516,8.12478140375556,7.22000947611017,7.62398069696288,7.07017767561639,9.79302164112185,6.015765361424,8.2018390769106,7.83930047794432,6.46753888704147,7.43966334370599,6.94899944813404,6.82230271345493,6.35573254546998,9.18201794526333,7.30339550756917,6.49014792663316,8.53555688913793,7.13163804229796,8.01304009774336,7.81345006354171,6.36034935345825,7.84106086311593,8.80739799206528,7.22735326003235,7.10496748638965,6.54735848918754,7.98167533390592,5.94571226128067,9.10104515515448,9.95909568754525,7.78220183262601,9.12432281194629,7.13712577102799,7.02510376937779,9.02101710833118,6.69671715906423,7.60373907107342,6.24805240912344,6.46647716893277,7.30424409787539,7.38411756002006,7.1487078425413,8.86444616383928,7.9742624815067,8.45309027616525,6.21496528376401,9.37768464240341,7.64862387226683,8.81618508276178,8.56560877009154,7.3877927899926,5.81392905244156,10.0174915900413,7.44183487564637,5.8089492684779,8.92467970692786,5.75355030102146,8.21603707684396,5.58695307413154,7.19425560755061,6.94474961158791,7.16717000211938,7.15714638106534,8.84997911550132,8.6668282610947,7.20340400051523,9.65161656683598,7.50777033725268,6.97403531141141,8.74585484746548,8.2052514610714,7.59865497823603,8.35512246610947,5.84212705849608,8.75071869509358,6.07113993291395,5.46274362240656,8.81171751507467,6.49482295926371,7.07694304515502,7.59361171515655,8.80825047764304,7.76627642327884,6.44886538628251,6.28331562349543,9.18880054308836,8.34067044060191,7.08689474351585,9.35591744037924,6.13900019227712,8.11474239268634,8.07376850196206,7.87524760057581,5.92567625879742,5.9978951536871,8.68840523592544,7.61751607617469,7.27212636850056,7.12093473196875,8.23338362435418,8.45860564701364,7.17193582570999,7.11246415492783,11.1512334069017,24.7783788999786,9.84767290454505,5.88315919005352,8.74326729135651,6.16192841320761,5.48285852884614,7.80095844858482,7.44724304350093,7.48902301576472,8.24890405066802,6.42493975804878,7.62404851363498,7.03136691727462,6.41165547005211,8.67475636637852,5.21966512842524,7.45733015566492,7.78764071176413,8.06527394299787,6.90970001845781,9.24361217941059,8.61273283282938,7.87908206856216,7.31692975971677,7.378527495647,7.53903383864514,8.23496782703975,6.48929494674656,8.89643202749048,9.70991209541638,9.41855382750415,5.98051730210976,7.34607745614684,6.08958392916519,5.80095081574904,8.67674077052436,7.63234465022856,5.59287607304863,6.670226540332,7.86869160690736,7.95264131361215,6.28826955449869,5.24549891039701,8.94709400678496,7.35217900145245,7.21623954646738,7.81210742577531,7.16512339799362,7.02835286013302,7.04932354786183,5.49688153803762,10.1274871699111,5.72103538997145,6.54515532118161,7.57642782062716,6.41656598915826,5.92453215170389,7.37562747357588,8.43231795196481,6.98853599247672,7.69015552030366,9.24477184061457,5.99428021691624,7.08793449921,9.22289295241646,8.1398096421376,8.31213396811724,8.88160352801785,8.19005675267115,7.43945604314788,8.51492773425583,7.71453834173018,7.43580587209894,8.48750480706572,7.05673564553891,8.43778690883413,7.62549853797371,6.81807442259407,7.09301893069331,7.25216825070131,5.03781439632133,7.19368784181193,6.23366435325829,6.6219663175695,8.72151452605208,7.59936699190083,6.37122282350123,9.49367347966523,5.74053798874652,6.15776025891502,7.46005686728623,7.64814174588182,7.0660850877822,6.85089442126715,7.86936299000499,6.72436973258653,9.37032769532542,11.0446302701897,5.94345736183305,9.04072909891793,7.13385784775293,8.85279658351388,6.52812950982919,7.55743329046431,6.50127774200978,8.92013122722525,6.34705500239363,8.35101775911324,7.6343084620922,7.32654328700576,7.7571492148983,7.23628042838362,5.72425616262808,7.80147484198103,6.29836595680069,8.59975101418776,6.22613602997333,7.27353991253556,7.94834102895209,7.94214109106465,8.82097361623192,7.0443680899571,8.32682687911763,7.2821401586147,9.40902381081664,7.35781769535085,6.93359445060385,8.12071951968657,9.49022162598901,8.89599310614046,8.05280173476276,6.70460930981465,8.13532308369011,7.37592733214022,3.93673934418648,8.27523460881783,6.65743507919519,8.66726521107529,7.32633544095178,6.6884600374297,6.63568196123416,8.67421454910674,8.79288510496109,7.21268102369633,7.28822717020608,7.33557422355164,7.42309682561103,9.73881490389001,6.81992831692355,8.45999434529776,9.63628046842071,6.54416190062385,7.63476104312967,5.74343202624429,8.06801785207187,8.36390342024564,7.36584709198646,7.89145727063029,6.67442922755826,7.60607893874831,6.92378561455456,7.55987171981249,8.80495815428063,7.83564434636793,7.28516684754129,7.39786238488509,10.0120188339053,9.42514211525709,6.2547134605098,6.11620684797639,6.55403441322428,10.7064529005114,6.40647116929318,6.76348157811583,7.54119189143699,9.5685306609509,7.06972845277403,8.3295813260994,6.98797672710111,6.71674180616707,8.23648023373444,8.56345657334247,7.03015812912209,9.88940577401586,6.61523538285968,9.74671551722796,8.03729607422563,7.07518979605611,7.85165341690982,6.34840429747424,7.97740316443236,8.95430197462373,7.31480552495203,7.75017601413404,6.79956131136767,8.0933342683186,6.08758129470322,6.76338566735112,8.51891920315232,6.52950018892675,5.99568768805162,6.29594967059457,9.81704042789977,6.6148336903249,7.88698642492892,6.25048514376995,8.7141500495794,7.04699572786259,7.04042298992854,6.40701407719781,6.49752966999218,7.57765605469128,6.77910824530309,6.44775002393647,6.32279593677622,7.45935363985769,7.73717170848257,7.7285600284911,8.49836640065406,6.29502751484581,7.29626672104115,6.2362807377486,7.6448784138987,7.71841838007459,7.99880008404539,9.6371960430206,6.64330744687812,6.11471041423249,5.54400537640959,11.1962363810348,9.5833082305864,7.82148496382344,7.49378266201163,9.11715507478872,6.27654310770266,8.57925591121522,7.7318836885328,7.2673864414844,6.78281139731367,7.80401749378376,7.56444681702827,8.8743105983177,5.31663295974853,8.53253722180109,7.69335124703561,6.4631953789822,8.77952573802271,7.01863533133478,6.17042306876222,7.57490049344143,7.63896868311299,6.69277789290132,4.8877680450369,7.94549797998808,13.7923870324726,7.26740581309575,7.73091633768718,7.00440573494385,6.69441070751618,7.74342634594713,6.67212420615104,6.73688908881962,9.1629183780002,7.74092564472053,7.67064216213403,5.73203974757139,9.61413904349876,8.53844450337079,8.65346568589031,7.04638221394906,5.97716798756843,7.32293052488855,6.37863980964459,6.65009764681678,8.08553810033496,5.6940558919575,7.37330184065396,6.44343643055336,8.31583240051376,8.10505854762728,9.07293621439142,8.19950080355883,7.52095636103353,7.47696770132678,7.43235831397427,8.87738513266512,8.48089388592682,8.94998507947648,7.83358623770954,8.7165007831404,8.1179303187182,9.39219303524192,6.13095021641028,10.3414975217788,8.58921099367951,7.98177796509801,9.3993242164878,7.50062256128517,6.40127323412733,8.23645840019926,8.09987303684797,8.73170436788588,8.4608391733596,7.28346380951931,7.12868020775831,7.76125829592802,11.5393442321947,7.95457061547714,8.09232926773167,7.58607746020684,5.93511179699317,7.00628882324992,6.20575736565819,4.41773123310318,7.45520681002147,6.3099352757607,6.25687880555229,6.71898346696671,7.98263593662083,8.96218036245131,6.80001171848755,6.58749948646275,9.44548905209061,8.55638995727723,5.97619820864708,9.00970636900516,6.87175794694961,6.530387706574,9.05406687879833,8.92379474034139,9.12834219199923,9.9606548610839,6.44890139190818,7.49247493984958,6.42591409253182,5.63905485335395,6.19471317605125,7.5048837365023,7.74972056199626,6.87983729824625,10.3102290452721,7.01182016031943,7.41864410262898,6.87805247446658,7.80002442125573,5.82025565673102,15.1115842463431,8.31728965217161,7.24734650616952,5.90120310087393,8.43152860220475,7.11580991639019,5.58730682514498,7.81663451987555,8.02399682981016,9.94047281928629,7.74719357711888,7.56322861795606,12.2838922202314,9.44511602271123,5.93085248293407,6.23895288756965</v>
      </c>
    </row>
    <row r="9" spans="1:23" x14ac:dyDescent="0.2">
      <c r="A9">
        <v>1</v>
      </c>
      <c r="B9" t="s">
        <v>27</v>
      </c>
      <c r="C9">
        <v>28.7141931216931</v>
      </c>
      <c r="D9">
        <v>1134.6607648465799</v>
      </c>
      <c r="E9">
        <v>8.0747924006228509</v>
      </c>
      <c r="F9">
        <v>29.695563887655599</v>
      </c>
      <c r="G9">
        <v>84</v>
      </c>
      <c r="H9">
        <v>564.938232421875</v>
      </c>
      <c r="I9">
        <v>9.7919248804044595E-2</v>
      </c>
      <c r="K9" s="1" t="str">
        <f>TEXT(stand_validation_1cycle[[#This Row],[stand_age]], ".0")</f>
        <v>28.7</v>
      </c>
      <c r="L9" s="1" t="str">
        <f t="shared" si="0"/>
        <v>"28.7"</v>
      </c>
      <c r="M9">
        <v>100</v>
      </c>
      <c r="N9">
        <f>0.029*stand_validation_1cycle[[#This Row],[stand_level_biomass]]</f>
        <v>32.905162180550818</v>
      </c>
      <c r="O9">
        <f>0.213*stand_validation_1cycle[[#This Row],[stand_level_biomass]]</f>
        <v>241.68274291232152</v>
      </c>
      <c r="P9">
        <f>0.571*stand_validation_1cycle[[#This Row],[stand_level_biomass]]</f>
        <v>647.89129672739705</v>
      </c>
      <c r="Q9">
        <f>stand_validation_1cycle[[#This Row],[stock]]</f>
        <v>84</v>
      </c>
      <c r="R9">
        <v>0</v>
      </c>
      <c r="S9">
        <f>stand_validation_1cycle[[#This Row],[aws]]</f>
        <v>564.938232421875</v>
      </c>
      <c r="T9">
        <f>stand_validation_1cycle[[#This Row],[percent_tree_cover]]*100</f>
        <v>9.7919248804044603</v>
      </c>
    </row>
    <row r="10" spans="1:23" x14ac:dyDescent="0.2">
      <c r="A10">
        <v>1</v>
      </c>
      <c r="B10" t="s">
        <v>28</v>
      </c>
      <c r="C10">
        <v>27.826352413018999</v>
      </c>
      <c r="D10">
        <v>825.66305117015202</v>
      </c>
      <c r="E10">
        <v>7.3564853045373004</v>
      </c>
      <c r="F10">
        <v>26.5715437027532</v>
      </c>
      <c r="G10">
        <v>99</v>
      </c>
      <c r="H10">
        <v>564.938232421875</v>
      </c>
      <c r="I10">
        <v>7.2984742300185396E-2</v>
      </c>
      <c r="K10" s="1" t="str">
        <f>TEXT(stand_validation_1cycle[[#This Row],[stand_age]], ".0")</f>
        <v>27.8</v>
      </c>
      <c r="L10" s="1" t="str">
        <f t="shared" si="0"/>
        <v>"27.8"</v>
      </c>
      <c r="M10">
        <v>100</v>
      </c>
      <c r="N10">
        <f>0.029*stand_validation_1cycle[[#This Row],[stand_level_biomass]]</f>
        <v>23.94422848393441</v>
      </c>
      <c r="O10">
        <f>0.213*stand_validation_1cycle[[#This Row],[stand_level_biomass]]</f>
        <v>175.86622989924237</v>
      </c>
      <c r="P10">
        <f>0.571*stand_validation_1cycle[[#This Row],[stand_level_biomass]]</f>
        <v>471.45360221815679</v>
      </c>
      <c r="Q10">
        <f>stand_validation_1cycle[[#This Row],[stock]]</f>
        <v>99</v>
      </c>
      <c r="R10">
        <v>0</v>
      </c>
      <c r="S10">
        <f>stand_validation_1cycle[[#This Row],[aws]]</f>
        <v>564.938232421875</v>
      </c>
      <c r="T10">
        <f>stand_validation_1cycle[[#This Row],[percent_tree_cover]]*100</f>
        <v>7.2984742300185399</v>
      </c>
    </row>
    <row r="11" spans="1:23" x14ac:dyDescent="0.2">
      <c r="A11">
        <v>1</v>
      </c>
      <c r="B11" t="s">
        <v>29</v>
      </c>
      <c r="C11">
        <v>27.0102469135802</v>
      </c>
      <c r="D11">
        <v>772.84478345523701</v>
      </c>
      <c r="E11">
        <v>7.0463574879510498</v>
      </c>
      <c r="F11">
        <v>26.6419016150512</v>
      </c>
      <c r="G11">
        <v>99</v>
      </c>
      <c r="H11">
        <v>564.938232421875</v>
      </c>
      <c r="I11">
        <v>6.99138421441277E-2</v>
      </c>
      <c r="K11" s="1" t="str">
        <f>TEXT(stand_validation_1cycle[[#This Row],[stand_age]], ".0")</f>
        <v>27.0</v>
      </c>
      <c r="L11" s="1" t="str">
        <f t="shared" si="0"/>
        <v>"27.0"</v>
      </c>
      <c r="M11">
        <v>100</v>
      </c>
      <c r="N11">
        <f>0.029*stand_validation_1cycle[[#This Row],[stand_level_biomass]]</f>
        <v>22.412498720201874</v>
      </c>
      <c r="O11">
        <f>0.213*stand_validation_1cycle[[#This Row],[stand_level_biomass]]</f>
        <v>164.61593887596547</v>
      </c>
      <c r="P11">
        <f>0.571*stand_validation_1cycle[[#This Row],[stand_level_biomass]]</f>
        <v>441.29437135294029</v>
      </c>
      <c r="Q11">
        <f>stand_validation_1cycle[[#This Row],[stock]]</f>
        <v>99</v>
      </c>
      <c r="R11">
        <v>0</v>
      </c>
      <c r="S11">
        <f>stand_validation_1cycle[[#This Row],[aws]]</f>
        <v>564.938232421875</v>
      </c>
      <c r="T11">
        <f>stand_validation_1cycle[[#This Row],[percent_tree_cover]]*100</f>
        <v>6.9913842144127702</v>
      </c>
    </row>
    <row r="12" spans="1:23" x14ac:dyDescent="0.2">
      <c r="A12">
        <v>1</v>
      </c>
      <c r="B12" t="s">
        <v>30</v>
      </c>
      <c r="C12">
        <v>28.0624111111111</v>
      </c>
      <c r="D12">
        <v>949.91407303511699</v>
      </c>
      <c r="E12">
        <v>8.3249637068135094</v>
      </c>
      <c r="F12">
        <v>28.136491398846399</v>
      </c>
      <c r="G12">
        <v>100</v>
      </c>
      <c r="H12">
        <v>568.51452636718705</v>
      </c>
      <c r="I12">
        <v>8.3699956844067905E-2</v>
      </c>
      <c r="K12" s="1" t="str">
        <f>TEXT(stand_validation_1cycle[[#This Row],[stand_age]], ".0")</f>
        <v>28.1</v>
      </c>
      <c r="L12" s="1" t="str">
        <f t="shared" si="0"/>
        <v>"28.1"</v>
      </c>
      <c r="M12">
        <v>100</v>
      </c>
      <c r="N12">
        <f>0.029*stand_validation_1cycle[[#This Row],[stand_level_biomass]]</f>
        <v>27.547508118018396</v>
      </c>
      <c r="O12">
        <f>0.213*stand_validation_1cycle[[#This Row],[stand_level_biomass]]</f>
        <v>202.33169755647992</v>
      </c>
      <c r="P12">
        <f>0.571*stand_validation_1cycle[[#This Row],[stand_level_biomass]]</f>
        <v>542.4009357030518</v>
      </c>
      <c r="Q12">
        <f>stand_validation_1cycle[[#This Row],[stock]]</f>
        <v>100</v>
      </c>
      <c r="R12">
        <v>0</v>
      </c>
      <c r="S12">
        <f>stand_validation_1cycle[[#This Row],[aws]]</f>
        <v>568.51452636718705</v>
      </c>
      <c r="T12">
        <f>stand_validation_1cycle[[#This Row],[percent_tree_cover]]*100</f>
        <v>8.3699956844067902</v>
      </c>
    </row>
    <row r="13" spans="1:23" x14ac:dyDescent="0.2">
      <c r="A13">
        <v>1</v>
      </c>
      <c r="B13" t="s">
        <v>31</v>
      </c>
      <c r="C13">
        <v>27.953024054982802</v>
      </c>
      <c r="D13">
        <v>993.399966745705</v>
      </c>
      <c r="E13">
        <v>8.37820113592125</v>
      </c>
      <c r="F13">
        <v>28.494755943753301</v>
      </c>
      <c r="G13">
        <v>97</v>
      </c>
      <c r="H13">
        <v>570.088623046875</v>
      </c>
      <c r="I13">
        <v>8.4264345654998796E-2</v>
      </c>
      <c r="K13" s="1" t="str">
        <f>TEXT(stand_validation_1cycle[[#This Row],[stand_age]], ".0")</f>
        <v>28.0</v>
      </c>
      <c r="L13" s="1" t="str">
        <f t="shared" si="0"/>
        <v>"28.0"</v>
      </c>
      <c r="M13">
        <v>100</v>
      </c>
      <c r="N13">
        <f>0.029*stand_validation_1cycle[[#This Row],[stand_level_biomass]]</f>
        <v>28.808599035625445</v>
      </c>
      <c r="O13">
        <f>0.213*stand_validation_1cycle[[#This Row],[stand_level_biomass]]</f>
        <v>211.59419291683517</v>
      </c>
      <c r="P13">
        <f>0.571*stand_validation_1cycle[[#This Row],[stand_level_biomass]]</f>
        <v>567.23138101179745</v>
      </c>
      <c r="Q13">
        <f>stand_validation_1cycle[[#This Row],[stock]]</f>
        <v>97</v>
      </c>
      <c r="R13">
        <v>0</v>
      </c>
      <c r="S13">
        <f>stand_validation_1cycle[[#This Row],[aws]]</f>
        <v>570.088623046875</v>
      </c>
      <c r="T13">
        <f>stand_validation_1cycle[[#This Row],[percent_tree_cover]]*100</f>
        <v>8.4264345654998802</v>
      </c>
    </row>
    <row r="14" spans="1:23" x14ac:dyDescent="0.2">
      <c r="A14">
        <v>1</v>
      </c>
      <c r="B14" t="s">
        <v>32</v>
      </c>
      <c r="C14">
        <v>28.677874396135199</v>
      </c>
      <c r="D14">
        <v>1279.2313833435601</v>
      </c>
      <c r="E14">
        <v>2.4180720844956101</v>
      </c>
      <c r="F14">
        <v>30.4196707233788</v>
      </c>
      <c r="G14">
        <v>23</v>
      </c>
      <c r="H14">
        <v>570.088623046875</v>
      </c>
      <c r="I14">
        <v>9.5595243274569905E-2</v>
      </c>
      <c r="K14" s="1" t="str">
        <f>TEXT(stand_validation_1cycle[[#This Row],[stand_age]], ".0")</f>
        <v>28.7</v>
      </c>
      <c r="L14" s="1" t="str">
        <f t="shared" si="0"/>
        <v>"28.7"</v>
      </c>
      <c r="M14">
        <v>100</v>
      </c>
      <c r="N14">
        <f>0.029*stand_validation_1cycle[[#This Row],[stand_level_biomass]]</f>
        <v>37.097710116963242</v>
      </c>
      <c r="O14">
        <f>0.213*stand_validation_1cycle[[#This Row],[stand_level_biomass]]</f>
        <v>272.47628465217826</v>
      </c>
      <c r="P14">
        <f>0.571*stand_validation_1cycle[[#This Row],[stand_level_biomass]]</f>
        <v>730.4411198891728</v>
      </c>
      <c r="Q14">
        <f>stand_validation_1cycle[[#This Row],[stock]]</f>
        <v>23</v>
      </c>
      <c r="R14">
        <v>0</v>
      </c>
      <c r="S14">
        <f>stand_validation_1cycle[[#This Row],[aws]]</f>
        <v>570.088623046875</v>
      </c>
      <c r="T14">
        <f>stand_validation_1cycle[[#This Row],[percent_tree_cover]]*100</f>
        <v>9.559524327456991</v>
      </c>
    </row>
    <row r="15" spans="1:23" x14ac:dyDescent="0.2">
      <c r="A15">
        <v>1</v>
      </c>
      <c r="B15" t="s">
        <v>33</v>
      </c>
      <c r="C15">
        <v>29.365319865319801</v>
      </c>
      <c r="D15">
        <v>961.14714261200697</v>
      </c>
      <c r="E15">
        <v>8.2698012668072902</v>
      </c>
      <c r="F15">
        <v>27.902366800473999</v>
      </c>
      <c r="G15">
        <v>99</v>
      </c>
      <c r="H15">
        <v>522.75384521484295</v>
      </c>
      <c r="I15">
        <v>8.3846054041910797E-2</v>
      </c>
      <c r="K15" s="1" t="str">
        <f>TEXT(stand_validation_1cycle[[#This Row],[stand_age]], ".0")</f>
        <v>29.4</v>
      </c>
      <c r="L15" s="1" t="str">
        <f t="shared" si="0"/>
        <v>"29.4"</v>
      </c>
      <c r="M15">
        <v>100</v>
      </c>
      <c r="N15">
        <f>0.029*stand_validation_1cycle[[#This Row],[stand_level_biomass]]</f>
        <v>27.873267135748204</v>
      </c>
      <c r="O15">
        <f>0.213*stand_validation_1cycle[[#This Row],[stand_level_biomass]]</f>
        <v>204.72434137635747</v>
      </c>
      <c r="P15">
        <f>0.571*stand_validation_1cycle[[#This Row],[stand_level_biomass]]</f>
        <v>548.81501843145588</v>
      </c>
      <c r="Q15">
        <f>stand_validation_1cycle[[#This Row],[stock]]</f>
        <v>99</v>
      </c>
      <c r="R15">
        <v>0</v>
      </c>
      <c r="S15">
        <f>stand_validation_1cycle[[#This Row],[aws]]</f>
        <v>522.75384521484295</v>
      </c>
      <c r="T15">
        <f>stand_validation_1cycle[[#This Row],[percent_tree_cover]]*100</f>
        <v>8.3846054041910794</v>
      </c>
    </row>
    <row r="16" spans="1:23" x14ac:dyDescent="0.2">
      <c r="A16">
        <v>1</v>
      </c>
      <c r="B16" t="s">
        <v>34</v>
      </c>
      <c r="C16">
        <v>26.770900000000001</v>
      </c>
      <c r="D16">
        <v>724.431312665777</v>
      </c>
      <c r="E16">
        <v>6.61336748047004</v>
      </c>
      <c r="F16">
        <v>25.172942399131401</v>
      </c>
      <c r="G16">
        <v>100</v>
      </c>
      <c r="H16">
        <v>522.75384521484295</v>
      </c>
      <c r="I16">
        <v>6.7080500634315296E-2</v>
      </c>
      <c r="K16" s="1" t="str">
        <f>TEXT(stand_validation_1cycle[[#This Row],[stand_age]], ".0")</f>
        <v>26.8</v>
      </c>
      <c r="L16" s="1" t="str">
        <f t="shared" si="0"/>
        <v>"26.8"</v>
      </c>
      <c r="M16">
        <v>100</v>
      </c>
      <c r="N16">
        <f>0.029*stand_validation_1cycle[[#This Row],[stand_level_biomass]]</f>
        <v>21.008508067307535</v>
      </c>
      <c r="O16">
        <f>0.213*stand_validation_1cycle[[#This Row],[stand_level_biomass]]</f>
        <v>154.30386959781049</v>
      </c>
      <c r="P16">
        <f>0.571*stand_validation_1cycle[[#This Row],[stand_level_biomass]]</f>
        <v>413.65027953215861</v>
      </c>
      <c r="Q16">
        <f>stand_validation_1cycle[[#This Row],[stock]]</f>
        <v>100</v>
      </c>
      <c r="R16">
        <v>0</v>
      </c>
      <c r="S16">
        <f>stand_validation_1cycle[[#This Row],[aws]]</f>
        <v>522.75384521484295</v>
      </c>
      <c r="T16">
        <f>stand_validation_1cycle[[#This Row],[percent_tree_cover]]*100</f>
        <v>6.7080500634315294</v>
      </c>
    </row>
    <row r="17" spans="1:20" x14ac:dyDescent="0.2">
      <c r="A17">
        <v>1</v>
      </c>
      <c r="B17" t="s">
        <v>35</v>
      </c>
      <c r="C17">
        <v>28.517622222222201</v>
      </c>
      <c r="D17">
        <v>862.06647820057105</v>
      </c>
      <c r="E17">
        <v>7.6102670860851003</v>
      </c>
      <c r="F17">
        <v>26.7536181324285</v>
      </c>
      <c r="G17">
        <v>100</v>
      </c>
      <c r="H17">
        <v>567.773681640625</v>
      </c>
      <c r="I17">
        <v>7.6039651543811093E-2</v>
      </c>
      <c r="K17" s="1" t="str">
        <f>TEXT(stand_validation_1cycle[[#This Row],[stand_age]], ".0")</f>
        <v>28.5</v>
      </c>
      <c r="L17" s="1" t="str">
        <f t="shared" si="0"/>
        <v>"28.5"</v>
      </c>
      <c r="M17">
        <v>100</v>
      </c>
      <c r="N17">
        <f>0.029*stand_validation_1cycle[[#This Row],[stand_level_biomass]]</f>
        <v>24.999927867816563</v>
      </c>
      <c r="O17">
        <f>0.213*stand_validation_1cycle[[#This Row],[stand_level_biomass]]</f>
        <v>183.62015985672164</v>
      </c>
      <c r="P17">
        <f>0.571*stand_validation_1cycle[[#This Row],[stand_level_biomass]]</f>
        <v>492.23995905252605</v>
      </c>
      <c r="Q17">
        <f>stand_validation_1cycle[[#This Row],[stock]]</f>
        <v>100</v>
      </c>
      <c r="R17">
        <v>0</v>
      </c>
      <c r="S17">
        <f>stand_validation_1cycle[[#This Row],[aws]]</f>
        <v>567.773681640625</v>
      </c>
      <c r="T17">
        <f>stand_validation_1cycle[[#This Row],[percent_tree_cover]]*100</f>
        <v>7.6039651543811093</v>
      </c>
    </row>
    <row r="18" spans="1:20" x14ac:dyDescent="0.2">
      <c r="A18">
        <v>1</v>
      </c>
      <c r="B18" t="s">
        <v>36</v>
      </c>
      <c r="C18">
        <v>26.5225222222222</v>
      </c>
      <c r="D18">
        <v>783.64185885322399</v>
      </c>
      <c r="E18">
        <v>7.1350053786537204</v>
      </c>
      <c r="F18">
        <v>26.296915932252102</v>
      </c>
      <c r="G18">
        <v>100</v>
      </c>
      <c r="H18">
        <v>571.678955078125</v>
      </c>
      <c r="I18">
        <v>7.1108044215242902E-2</v>
      </c>
      <c r="K18" s="1" t="str">
        <f>TEXT(stand_validation_1cycle[[#This Row],[stand_age]], ".0")</f>
        <v>26.5</v>
      </c>
      <c r="L18" s="1" t="str">
        <f t="shared" si="0"/>
        <v>"26.5"</v>
      </c>
      <c r="M18">
        <v>100</v>
      </c>
      <c r="N18">
        <f>0.029*stand_validation_1cycle[[#This Row],[stand_level_biomass]]</f>
        <v>22.725613906743497</v>
      </c>
      <c r="O18">
        <f>0.213*stand_validation_1cycle[[#This Row],[stand_level_biomass]]</f>
        <v>166.9157159357367</v>
      </c>
      <c r="P18">
        <f>0.571*stand_validation_1cycle[[#This Row],[stand_level_biomass]]</f>
        <v>447.45950140519085</v>
      </c>
      <c r="Q18">
        <f>stand_validation_1cycle[[#This Row],[stock]]</f>
        <v>100</v>
      </c>
      <c r="R18">
        <v>0</v>
      </c>
      <c r="S18">
        <f>stand_validation_1cycle[[#This Row],[aws]]</f>
        <v>571.678955078125</v>
      </c>
      <c r="T18">
        <f>stand_validation_1cycle[[#This Row],[percent_tree_cover]]*100</f>
        <v>7.11080442152429</v>
      </c>
    </row>
    <row r="19" spans="1:20" x14ac:dyDescent="0.2">
      <c r="A19">
        <v>1</v>
      </c>
      <c r="B19" t="s">
        <v>37</v>
      </c>
      <c r="C19">
        <v>27.0637934904601</v>
      </c>
      <c r="D19">
        <v>791.77915530967903</v>
      </c>
      <c r="E19">
        <v>7.1416506325142199</v>
      </c>
      <c r="F19">
        <v>26.493254342378702</v>
      </c>
      <c r="G19">
        <v>99</v>
      </c>
      <c r="H19">
        <v>573.06799316406205</v>
      </c>
      <c r="I19">
        <v>7.08486911931024E-2</v>
      </c>
      <c r="K19" s="1" t="str">
        <f>TEXT(stand_validation_1cycle[[#This Row],[stand_age]], ".0")</f>
        <v>27.1</v>
      </c>
      <c r="L19" s="1" t="str">
        <f t="shared" si="0"/>
        <v>"27.1"</v>
      </c>
      <c r="M19">
        <v>100</v>
      </c>
      <c r="N19">
        <f>0.029*stand_validation_1cycle[[#This Row],[stand_level_biomass]]</f>
        <v>22.961595503980693</v>
      </c>
      <c r="O19">
        <f>0.213*stand_validation_1cycle[[#This Row],[stand_level_biomass]]</f>
        <v>168.64896008096161</v>
      </c>
      <c r="P19">
        <f>0.571*stand_validation_1cycle[[#This Row],[stand_level_biomass]]</f>
        <v>452.10589768182666</v>
      </c>
      <c r="Q19">
        <f>stand_validation_1cycle[[#This Row],[stock]]</f>
        <v>99</v>
      </c>
      <c r="R19">
        <v>0</v>
      </c>
      <c r="S19">
        <f>stand_validation_1cycle[[#This Row],[aws]]</f>
        <v>573.06799316406205</v>
      </c>
      <c r="T19">
        <f>stand_validation_1cycle[[#This Row],[percent_tree_cover]]*100</f>
        <v>7.0848691193102402</v>
      </c>
    </row>
    <row r="20" spans="1:20" x14ac:dyDescent="0.2">
      <c r="A20">
        <v>1</v>
      </c>
      <c r="B20" t="s">
        <v>38</v>
      </c>
      <c r="C20">
        <v>27.010011111111101</v>
      </c>
      <c r="D20">
        <v>740.84349445829798</v>
      </c>
      <c r="E20">
        <v>6.7358024147639002</v>
      </c>
      <c r="F20">
        <v>25.145709999158498</v>
      </c>
      <c r="G20">
        <v>100</v>
      </c>
      <c r="H20">
        <v>524.66558837890602</v>
      </c>
      <c r="I20">
        <v>6.7106597157483794E-2</v>
      </c>
      <c r="K20" s="1" t="str">
        <f>TEXT(stand_validation_1cycle[[#This Row],[stand_age]], ".0")</f>
        <v>27.0</v>
      </c>
      <c r="L20" s="1" t="str">
        <f t="shared" si="0"/>
        <v>"27.0"</v>
      </c>
      <c r="M20">
        <v>100</v>
      </c>
      <c r="N20">
        <f>0.029*stand_validation_1cycle[[#This Row],[stand_level_biomass]]</f>
        <v>21.484461339290643</v>
      </c>
      <c r="O20">
        <f>0.213*stand_validation_1cycle[[#This Row],[stand_level_biomass]]</f>
        <v>157.79966431961748</v>
      </c>
      <c r="P20">
        <f>0.571*stand_validation_1cycle[[#This Row],[stand_level_biomass]]</f>
        <v>423.02163533568813</v>
      </c>
      <c r="Q20">
        <f>stand_validation_1cycle[[#This Row],[stock]]</f>
        <v>100</v>
      </c>
      <c r="R20">
        <v>0</v>
      </c>
      <c r="S20">
        <f>stand_validation_1cycle[[#This Row],[aws]]</f>
        <v>524.66558837890602</v>
      </c>
      <c r="T20">
        <f>stand_validation_1cycle[[#This Row],[percent_tree_cover]]*100</f>
        <v>6.7106597157483794</v>
      </c>
    </row>
    <row r="21" spans="1:20" x14ac:dyDescent="0.2">
      <c r="A21">
        <v>1</v>
      </c>
      <c r="B21" t="s">
        <v>39</v>
      </c>
      <c r="C21">
        <v>26.705555555555499</v>
      </c>
      <c r="D21">
        <v>772.97351756640501</v>
      </c>
      <c r="E21">
        <v>6.9604789111725198</v>
      </c>
      <c r="F21">
        <v>26.467907209758</v>
      </c>
      <c r="G21">
        <v>98</v>
      </c>
      <c r="H21">
        <v>0</v>
      </c>
      <c r="I21">
        <v>7.0281932594615404E-2</v>
      </c>
      <c r="K21" s="1" t="str">
        <f>TEXT(stand_validation_1cycle[[#This Row],[stand_age]], ".0")</f>
        <v>26.7</v>
      </c>
      <c r="L21" s="1" t="str">
        <f t="shared" si="0"/>
        <v>"26.7"</v>
      </c>
      <c r="M21">
        <v>100</v>
      </c>
      <c r="N21">
        <f>0.029*stand_validation_1cycle[[#This Row],[stand_level_biomass]]</f>
        <v>22.416232009425748</v>
      </c>
      <c r="O21">
        <f>0.213*stand_validation_1cycle[[#This Row],[stand_level_biomass]]</f>
        <v>164.64335924164428</v>
      </c>
      <c r="P21">
        <f>0.571*stand_validation_1cycle[[#This Row],[stand_level_biomass]]</f>
        <v>441.36787853041722</v>
      </c>
      <c r="Q21">
        <f>stand_validation_1cycle[[#This Row],[stock]]</f>
        <v>98</v>
      </c>
      <c r="R21">
        <v>0</v>
      </c>
      <c r="S21">
        <f>stand_validation_1cycle[[#This Row],[aws]]</f>
        <v>0</v>
      </c>
      <c r="T21">
        <f>stand_validation_1cycle[[#This Row],[percent_tree_cover]]*100</f>
        <v>7.0281932594615402</v>
      </c>
    </row>
    <row r="22" spans="1:20" x14ac:dyDescent="0.2">
      <c r="A22">
        <v>1</v>
      </c>
      <c r="B22" t="s">
        <v>40</v>
      </c>
      <c r="C22">
        <v>26.478980526918601</v>
      </c>
      <c r="D22">
        <v>794.66497526831699</v>
      </c>
      <c r="E22">
        <v>6.9098764929029803</v>
      </c>
      <c r="F22">
        <v>26.031826115765799</v>
      </c>
      <c r="G22">
        <v>97</v>
      </c>
      <c r="H22">
        <v>591</v>
      </c>
      <c r="I22">
        <v>7.0090327818915499E-2</v>
      </c>
      <c r="K22" s="1" t="str">
        <f>TEXT(stand_validation_1cycle[[#This Row],[stand_age]], ".0")</f>
        <v>26.5</v>
      </c>
      <c r="L22" s="1" t="str">
        <f t="shared" si="0"/>
        <v>"26.5"</v>
      </c>
      <c r="M22">
        <v>100</v>
      </c>
      <c r="N22">
        <f>0.029*stand_validation_1cycle[[#This Row],[stand_level_biomass]]</f>
        <v>23.045284282781193</v>
      </c>
      <c r="O22">
        <f>0.213*stand_validation_1cycle[[#This Row],[stand_level_biomass]]</f>
        <v>169.26363973215152</v>
      </c>
      <c r="P22">
        <f>0.571*stand_validation_1cycle[[#This Row],[stand_level_biomass]]</f>
        <v>453.75370087820897</v>
      </c>
      <c r="Q22">
        <f>stand_validation_1cycle[[#This Row],[stock]]</f>
        <v>97</v>
      </c>
      <c r="R22">
        <v>0</v>
      </c>
      <c r="S22">
        <f>stand_validation_1cycle[[#This Row],[aws]]</f>
        <v>591</v>
      </c>
      <c r="T22">
        <f>stand_validation_1cycle[[#This Row],[percent_tree_cover]]*100</f>
        <v>7.0090327818915501</v>
      </c>
    </row>
    <row r="23" spans="1:20" x14ac:dyDescent="0.2">
      <c r="A23">
        <v>1</v>
      </c>
      <c r="B23" t="s">
        <v>41</v>
      </c>
      <c r="C23">
        <v>26.670555555555499</v>
      </c>
      <c r="D23">
        <v>1062.25782549156</v>
      </c>
      <c r="E23">
        <v>2.54047795905743</v>
      </c>
      <c r="F23">
        <v>28.749180950959101</v>
      </c>
      <c r="G23">
        <v>28</v>
      </c>
      <c r="H23">
        <v>591</v>
      </c>
      <c r="I23">
        <v>9.1869395484859603E-2</v>
      </c>
      <c r="K23" s="1" t="str">
        <f>TEXT(stand_validation_1cycle[[#This Row],[stand_age]], ".0")</f>
        <v>26.7</v>
      </c>
      <c r="L23" s="1" t="str">
        <f t="shared" si="0"/>
        <v>"26.7"</v>
      </c>
      <c r="M23">
        <v>100</v>
      </c>
      <c r="N23">
        <f>0.029*stand_validation_1cycle[[#This Row],[stand_level_biomass]]</f>
        <v>30.805476939255239</v>
      </c>
      <c r="O23">
        <f>0.213*stand_validation_1cycle[[#This Row],[stand_level_biomass]]</f>
        <v>226.26091682970227</v>
      </c>
      <c r="P23">
        <f>0.571*stand_validation_1cycle[[#This Row],[stand_level_biomass]]</f>
        <v>606.54921835568064</v>
      </c>
      <c r="Q23">
        <f>stand_validation_1cycle[[#This Row],[stock]]</f>
        <v>28</v>
      </c>
      <c r="R23">
        <v>0</v>
      </c>
      <c r="S23">
        <f>stand_validation_1cycle[[#This Row],[aws]]</f>
        <v>591</v>
      </c>
      <c r="T23">
        <f>stand_validation_1cycle[[#This Row],[percent_tree_cover]]*100</f>
        <v>9.1869395484859595</v>
      </c>
    </row>
    <row r="24" spans="1:20" x14ac:dyDescent="0.2">
      <c r="A24">
        <v>1</v>
      </c>
      <c r="B24" t="s">
        <v>42</v>
      </c>
      <c r="C24">
        <v>27.219650436953799</v>
      </c>
      <c r="D24">
        <v>816.692378689458</v>
      </c>
      <c r="E24">
        <v>6.48269450484029</v>
      </c>
      <c r="F24">
        <v>26.0382211226805</v>
      </c>
      <c r="G24">
        <v>89</v>
      </c>
      <c r="H24">
        <v>575</v>
      </c>
      <c r="I24">
        <v>7.4022120351674006E-2</v>
      </c>
      <c r="K24" s="1" t="str">
        <f>TEXT(stand_validation_1cycle[[#This Row],[stand_age]], ".0")</f>
        <v>27.2</v>
      </c>
      <c r="L24" s="1" t="str">
        <f t="shared" si="0"/>
        <v>"27.2"</v>
      </c>
      <c r="M24">
        <v>100</v>
      </c>
      <c r="N24">
        <f>0.029*stand_validation_1cycle[[#This Row],[stand_level_biomass]]</f>
        <v>23.684078981994283</v>
      </c>
      <c r="O24">
        <f>0.213*stand_validation_1cycle[[#This Row],[stand_level_biomass]]</f>
        <v>173.95547666085454</v>
      </c>
      <c r="P24">
        <f>0.571*stand_validation_1cycle[[#This Row],[stand_level_biomass]]</f>
        <v>466.33134823168047</v>
      </c>
      <c r="Q24">
        <f>stand_validation_1cycle[[#This Row],[stock]]</f>
        <v>89</v>
      </c>
      <c r="R24">
        <v>0</v>
      </c>
      <c r="S24">
        <f>stand_validation_1cycle[[#This Row],[aws]]</f>
        <v>575</v>
      </c>
      <c r="T24">
        <f>stand_validation_1cycle[[#This Row],[percent_tree_cover]]*100</f>
        <v>7.402212035167401</v>
      </c>
    </row>
    <row r="25" spans="1:20" x14ac:dyDescent="0.2">
      <c r="A25">
        <v>1</v>
      </c>
      <c r="B25" t="s">
        <v>43</v>
      </c>
      <c r="C25">
        <v>27.017721661054999</v>
      </c>
      <c r="D25">
        <v>890.18892473629705</v>
      </c>
      <c r="E25">
        <v>7.7526142200155901</v>
      </c>
      <c r="F25">
        <v>26.798139662212101</v>
      </c>
      <c r="G25">
        <v>99</v>
      </c>
      <c r="H25">
        <v>523.83508300781205</v>
      </c>
      <c r="I25">
        <v>7.7080156531324898E-2</v>
      </c>
      <c r="K25" s="1" t="str">
        <f>TEXT(stand_validation_1cycle[[#This Row],[stand_age]], ".0")</f>
        <v>27.0</v>
      </c>
      <c r="L25" s="1" t="str">
        <f t="shared" si="0"/>
        <v>"27.0"</v>
      </c>
      <c r="M25">
        <v>100</v>
      </c>
      <c r="N25">
        <f>0.029*stand_validation_1cycle[[#This Row],[stand_level_biomass]]</f>
        <v>25.815478817352616</v>
      </c>
      <c r="O25">
        <f>0.213*stand_validation_1cycle[[#This Row],[stand_level_biomass]]</f>
        <v>189.61024096883128</v>
      </c>
      <c r="P25">
        <f>0.571*stand_validation_1cycle[[#This Row],[stand_level_biomass]]</f>
        <v>508.29787602442559</v>
      </c>
      <c r="Q25">
        <f>stand_validation_1cycle[[#This Row],[stock]]</f>
        <v>99</v>
      </c>
      <c r="R25">
        <v>0</v>
      </c>
      <c r="S25">
        <f>stand_validation_1cycle[[#This Row],[aws]]</f>
        <v>523.83508300781205</v>
      </c>
      <c r="T25">
        <f>stand_validation_1cycle[[#This Row],[percent_tree_cover]]*100</f>
        <v>7.7080156531324899</v>
      </c>
    </row>
    <row r="26" spans="1:20" x14ac:dyDescent="0.2">
      <c r="A26">
        <v>1</v>
      </c>
      <c r="B26" t="s">
        <v>44</v>
      </c>
      <c r="C26">
        <v>25.991166666666601</v>
      </c>
      <c r="D26">
        <v>762.81487580336204</v>
      </c>
      <c r="E26">
        <v>6.9743246953950502</v>
      </c>
      <c r="F26">
        <v>26.127260998846399</v>
      </c>
      <c r="G26">
        <v>100</v>
      </c>
      <c r="H26">
        <v>523.84942626953102</v>
      </c>
      <c r="I26">
        <v>6.9516574996635494E-2</v>
      </c>
      <c r="K26" s="1" t="str">
        <f>TEXT(stand_validation_1cycle[[#This Row],[stand_age]], ".0")</f>
        <v>26.0</v>
      </c>
      <c r="L26" s="1" t="str">
        <f t="shared" si="0"/>
        <v>"26.0"</v>
      </c>
      <c r="M26">
        <v>100</v>
      </c>
      <c r="N26">
        <f>0.029*stand_validation_1cycle[[#This Row],[stand_level_biomass]]</f>
        <v>22.121631398297499</v>
      </c>
      <c r="O26">
        <f>0.213*stand_validation_1cycle[[#This Row],[stand_level_biomass]]</f>
        <v>162.4795685461161</v>
      </c>
      <c r="P26">
        <f>0.571*stand_validation_1cycle[[#This Row],[stand_level_biomass]]</f>
        <v>435.56729408371967</v>
      </c>
      <c r="Q26">
        <f>stand_validation_1cycle[[#This Row],[stock]]</f>
        <v>100</v>
      </c>
      <c r="R26">
        <v>0</v>
      </c>
      <c r="S26">
        <f>stand_validation_1cycle[[#This Row],[aws]]</f>
        <v>523.84942626953102</v>
      </c>
      <c r="T26">
        <f>stand_validation_1cycle[[#This Row],[percent_tree_cover]]*100</f>
        <v>6.9516574996635496</v>
      </c>
    </row>
    <row r="27" spans="1:20" x14ac:dyDescent="0.2">
      <c r="A27">
        <v>1</v>
      </c>
      <c r="B27" t="s">
        <v>45</v>
      </c>
      <c r="C27">
        <v>26.991999999999901</v>
      </c>
      <c r="D27">
        <v>796.80636571958496</v>
      </c>
      <c r="E27">
        <v>7.2750905658736098</v>
      </c>
      <c r="F27">
        <v>26.998450865440699</v>
      </c>
      <c r="G27">
        <v>100</v>
      </c>
      <c r="H27">
        <v>522.75384521484295</v>
      </c>
      <c r="I27">
        <v>7.2506145273352293E-2</v>
      </c>
      <c r="K27" s="1" t="str">
        <f>TEXT(stand_validation_1cycle[[#This Row],[stand_age]], ".0")</f>
        <v>27.0</v>
      </c>
      <c r="L27" s="1" t="str">
        <f t="shared" si="0"/>
        <v>"27.0"</v>
      </c>
      <c r="M27">
        <v>100</v>
      </c>
      <c r="N27">
        <f>0.029*stand_validation_1cycle[[#This Row],[stand_level_biomass]]</f>
        <v>23.107384605867964</v>
      </c>
      <c r="O27">
        <f>0.213*stand_validation_1cycle[[#This Row],[stand_level_biomass]]</f>
        <v>169.71975589827159</v>
      </c>
      <c r="P27">
        <f>0.571*stand_validation_1cycle[[#This Row],[stand_level_biomass]]</f>
        <v>454.97643482588296</v>
      </c>
      <c r="Q27">
        <f>stand_validation_1cycle[[#This Row],[stock]]</f>
        <v>100</v>
      </c>
      <c r="R27">
        <v>0</v>
      </c>
      <c r="S27">
        <f>stand_validation_1cycle[[#This Row],[aws]]</f>
        <v>522.75384521484295</v>
      </c>
      <c r="T27">
        <f>stand_validation_1cycle[[#This Row],[percent_tree_cover]]*100</f>
        <v>7.2506145273352294</v>
      </c>
    </row>
    <row r="28" spans="1:20" x14ac:dyDescent="0.2">
      <c r="A28">
        <v>1</v>
      </c>
      <c r="B28" t="s">
        <v>46</v>
      </c>
      <c r="C28">
        <v>26.666233333333299</v>
      </c>
      <c r="D28">
        <v>775.15793851652995</v>
      </c>
      <c r="E28">
        <v>7.1309919940387498</v>
      </c>
      <c r="F28">
        <v>26.750378798832799</v>
      </c>
      <c r="G28">
        <v>100</v>
      </c>
      <c r="H28">
        <v>522.75384521484295</v>
      </c>
      <c r="I28">
        <v>7.1073080735946495E-2</v>
      </c>
      <c r="K28" s="1" t="str">
        <f>TEXT(stand_validation_1cycle[[#This Row],[stand_age]], ".0")</f>
        <v>26.7</v>
      </c>
      <c r="L28" s="1" t="str">
        <f t="shared" si="0"/>
        <v>"26.7"</v>
      </c>
      <c r="M28">
        <v>100</v>
      </c>
      <c r="N28">
        <f>0.029*stand_validation_1cycle[[#This Row],[stand_level_biomass]]</f>
        <v>22.479580216979368</v>
      </c>
      <c r="O28">
        <f>0.213*stand_validation_1cycle[[#This Row],[stand_level_biomass]]</f>
        <v>165.10864090402089</v>
      </c>
      <c r="P28">
        <f>0.571*stand_validation_1cycle[[#This Row],[stand_level_biomass]]</f>
        <v>442.61518289293855</v>
      </c>
      <c r="Q28">
        <f>stand_validation_1cycle[[#This Row],[stock]]</f>
        <v>100</v>
      </c>
      <c r="R28">
        <v>0</v>
      </c>
      <c r="S28">
        <f>stand_validation_1cycle[[#This Row],[aws]]</f>
        <v>522.75384521484295</v>
      </c>
      <c r="T28">
        <f>stand_validation_1cycle[[#This Row],[percent_tree_cover]]*100</f>
        <v>7.1073080735946492</v>
      </c>
    </row>
    <row r="29" spans="1:20" x14ac:dyDescent="0.2">
      <c r="A29">
        <v>1</v>
      </c>
      <c r="B29" t="s">
        <v>47</v>
      </c>
      <c r="C29">
        <v>27.281755555555499</v>
      </c>
      <c r="D29">
        <v>936.60728918215</v>
      </c>
      <c r="E29">
        <v>8.0639217046432705</v>
      </c>
      <c r="F29">
        <v>26.756051932360698</v>
      </c>
      <c r="G29">
        <v>100</v>
      </c>
      <c r="H29">
        <v>523.974853515625</v>
      </c>
      <c r="I29">
        <v>8.0331920825970196E-2</v>
      </c>
      <c r="K29" s="1" t="str">
        <f>TEXT(stand_validation_1cycle[[#This Row],[stand_age]], ".0")</f>
        <v>27.3</v>
      </c>
      <c r="L29" s="1" t="str">
        <f t="shared" si="0"/>
        <v>"27.3"</v>
      </c>
      <c r="M29">
        <v>100</v>
      </c>
      <c r="N29">
        <f>0.029*stand_validation_1cycle[[#This Row],[stand_level_biomass]]</f>
        <v>27.161611386282352</v>
      </c>
      <c r="O29">
        <f>0.213*stand_validation_1cycle[[#This Row],[stand_level_biomass]]</f>
        <v>199.49735259579793</v>
      </c>
      <c r="P29">
        <f>0.571*stand_validation_1cycle[[#This Row],[stand_level_biomass]]</f>
        <v>534.8027621230076</v>
      </c>
      <c r="Q29">
        <f>stand_validation_1cycle[[#This Row],[stock]]</f>
        <v>100</v>
      </c>
      <c r="R29">
        <v>0</v>
      </c>
      <c r="S29">
        <f>stand_validation_1cycle[[#This Row],[aws]]</f>
        <v>523.974853515625</v>
      </c>
      <c r="T29">
        <f>stand_validation_1cycle[[#This Row],[percent_tree_cover]]*100</f>
        <v>8.0331920825970204</v>
      </c>
    </row>
    <row r="30" spans="1:20" x14ac:dyDescent="0.2">
      <c r="A30">
        <v>1</v>
      </c>
      <c r="B30" t="s">
        <v>48</v>
      </c>
      <c r="C30">
        <v>26.6901444444444</v>
      </c>
      <c r="D30">
        <v>790.38160159711197</v>
      </c>
      <c r="E30">
        <v>7.0933030923717997</v>
      </c>
      <c r="F30">
        <v>25.658051932360699</v>
      </c>
      <c r="G30">
        <v>100</v>
      </c>
      <c r="H30">
        <v>523.55529785156205</v>
      </c>
      <c r="I30">
        <v>7.0672593520837199E-2</v>
      </c>
      <c r="K30" s="1" t="str">
        <f>TEXT(stand_validation_1cycle[[#This Row],[stand_age]], ".0")</f>
        <v>26.7</v>
      </c>
      <c r="L30" s="1" t="str">
        <f t="shared" si="0"/>
        <v>"26.7"</v>
      </c>
      <c r="M30">
        <v>100</v>
      </c>
      <c r="N30">
        <f>0.029*stand_validation_1cycle[[#This Row],[stand_level_biomass]]</f>
        <v>22.921066446316249</v>
      </c>
      <c r="O30">
        <f>0.213*stand_validation_1cycle[[#This Row],[stand_level_biomass]]</f>
        <v>168.35128114018485</v>
      </c>
      <c r="P30">
        <f>0.571*stand_validation_1cycle[[#This Row],[stand_level_biomass]]</f>
        <v>451.30789451195091</v>
      </c>
      <c r="Q30">
        <f>stand_validation_1cycle[[#This Row],[stock]]</f>
        <v>100</v>
      </c>
      <c r="R30">
        <v>0</v>
      </c>
      <c r="S30">
        <f>stand_validation_1cycle[[#This Row],[aws]]</f>
        <v>523.55529785156205</v>
      </c>
      <c r="T30">
        <f>stand_validation_1cycle[[#This Row],[percent_tree_cover]]*100</f>
        <v>7.0672593520837195</v>
      </c>
    </row>
    <row r="31" spans="1:20" x14ac:dyDescent="0.2">
      <c r="A31">
        <v>1</v>
      </c>
      <c r="B31" t="s">
        <v>49</v>
      </c>
      <c r="C31">
        <v>27.467288888888799</v>
      </c>
      <c r="D31">
        <v>791.04081232515205</v>
      </c>
      <c r="E31">
        <v>7.22164343545625</v>
      </c>
      <c r="F31">
        <v>26.694011398954999</v>
      </c>
      <c r="G31">
        <v>100</v>
      </c>
      <c r="H31">
        <v>522.75384521484295</v>
      </c>
      <c r="I31">
        <v>7.1964911329417E-2</v>
      </c>
      <c r="K31" s="1" t="str">
        <f>TEXT(stand_validation_1cycle[[#This Row],[stand_age]], ".0")</f>
        <v>27.5</v>
      </c>
      <c r="L31" s="1" t="str">
        <f t="shared" si="0"/>
        <v>"27.5"</v>
      </c>
      <c r="M31">
        <v>100</v>
      </c>
      <c r="N31">
        <f>0.029*stand_validation_1cycle[[#This Row],[stand_level_biomass]]</f>
        <v>22.94018355742941</v>
      </c>
      <c r="O31">
        <f>0.213*stand_validation_1cycle[[#This Row],[stand_level_biomass]]</f>
        <v>168.49169302525738</v>
      </c>
      <c r="P31">
        <f>0.571*stand_validation_1cycle[[#This Row],[stand_level_biomass]]</f>
        <v>451.68430383766179</v>
      </c>
      <c r="Q31">
        <f>stand_validation_1cycle[[#This Row],[stock]]</f>
        <v>100</v>
      </c>
      <c r="R31">
        <v>0</v>
      </c>
      <c r="S31">
        <f>stand_validation_1cycle[[#This Row],[aws]]</f>
        <v>522.75384521484295</v>
      </c>
      <c r="T31">
        <f>stand_validation_1cycle[[#This Row],[percent_tree_cover]]*100</f>
        <v>7.1964911329417003</v>
      </c>
    </row>
    <row r="32" spans="1:20" x14ac:dyDescent="0.2">
      <c r="A32">
        <v>1</v>
      </c>
      <c r="B32" t="s">
        <v>50</v>
      </c>
      <c r="C32">
        <v>26.5150111111111</v>
      </c>
      <c r="D32">
        <v>760.42209128549098</v>
      </c>
      <c r="E32">
        <v>6.9883212760649602</v>
      </c>
      <c r="F32">
        <v>26.375890932157098</v>
      </c>
      <c r="G32">
        <v>100</v>
      </c>
      <c r="H32">
        <v>523.56341552734295</v>
      </c>
      <c r="I32">
        <v>6.9657045299248196E-2</v>
      </c>
      <c r="K32" s="1" t="str">
        <f>TEXT(stand_validation_1cycle[[#This Row],[stand_age]], ".0")</f>
        <v>26.5</v>
      </c>
      <c r="L32" s="1" t="str">
        <f t="shared" si="0"/>
        <v>"26.5"</v>
      </c>
      <c r="M32">
        <v>100</v>
      </c>
      <c r="N32">
        <f>0.029*stand_validation_1cycle[[#This Row],[stand_level_biomass]]</f>
        <v>22.052240647279241</v>
      </c>
      <c r="O32">
        <f>0.213*stand_validation_1cycle[[#This Row],[stand_level_biomass]]</f>
        <v>161.96990544380958</v>
      </c>
      <c r="P32">
        <f>0.571*stand_validation_1cycle[[#This Row],[stand_level_biomass]]</f>
        <v>434.20101412401533</v>
      </c>
      <c r="Q32">
        <f>stand_validation_1cycle[[#This Row],[stock]]</f>
        <v>100</v>
      </c>
      <c r="R32">
        <v>0</v>
      </c>
      <c r="S32">
        <f>stand_validation_1cycle[[#This Row],[aws]]</f>
        <v>523.56341552734295</v>
      </c>
      <c r="T32">
        <f>stand_validation_1cycle[[#This Row],[percent_tree_cover]]*100</f>
        <v>6.9657045299248193</v>
      </c>
    </row>
    <row r="33" spans="1:20" x14ac:dyDescent="0.2">
      <c r="A33">
        <v>1</v>
      </c>
      <c r="B33" t="s">
        <v>51</v>
      </c>
      <c r="C33">
        <v>24.6482888888888</v>
      </c>
      <c r="D33">
        <v>696.88928772859799</v>
      </c>
      <c r="E33">
        <v>6.4331437347115497</v>
      </c>
      <c r="F33">
        <v>24.8545614654814</v>
      </c>
      <c r="G33">
        <v>100</v>
      </c>
      <c r="H33">
        <v>604</v>
      </c>
      <c r="I33">
        <v>6.4121977359724705E-2</v>
      </c>
      <c r="K33" s="1" t="str">
        <f>TEXT(stand_validation_1cycle[[#This Row],[stand_age]], ".0")</f>
        <v>24.6</v>
      </c>
      <c r="L33" s="1" t="str">
        <f t="shared" si="0"/>
        <v>"24.6"</v>
      </c>
      <c r="M33">
        <v>100</v>
      </c>
      <c r="N33">
        <f>0.029*stand_validation_1cycle[[#This Row],[stand_level_biomass]]</f>
        <v>20.209789344129344</v>
      </c>
      <c r="O33">
        <f>0.213*stand_validation_1cycle[[#This Row],[stand_level_biomass]]</f>
        <v>148.43741828619136</v>
      </c>
      <c r="P33">
        <f>0.571*stand_validation_1cycle[[#This Row],[stand_level_biomass]]</f>
        <v>397.92378329302943</v>
      </c>
      <c r="Q33">
        <f>stand_validation_1cycle[[#This Row],[stock]]</f>
        <v>100</v>
      </c>
      <c r="R33">
        <v>0</v>
      </c>
      <c r="S33">
        <f>stand_validation_1cycle[[#This Row],[aws]]</f>
        <v>604</v>
      </c>
      <c r="T33">
        <f>stand_validation_1cycle[[#This Row],[percent_tree_cover]]*100</f>
        <v>6.4121977359724704</v>
      </c>
    </row>
    <row r="34" spans="1:20" x14ac:dyDescent="0.2">
      <c r="A34">
        <v>1</v>
      </c>
      <c r="B34" t="s">
        <v>52</v>
      </c>
      <c r="C34">
        <v>28.638502923976599</v>
      </c>
      <c r="D34">
        <v>1074.1938299048199</v>
      </c>
      <c r="E34">
        <v>8.6446851619656808</v>
      </c>
      <c r="F34">
        <v>28.656136519141299</v>
      </c>
      <c r="G34">
        <v>95</v>
      </c>
      <c r="H34">
        <v>567.80938720703102</v>
      </c>
      <c r="I34">
        <v>9.2237248677914399E-2</v>
      </c>
      <c r="K34" s="1" t="str">
        <f>TEXT(stand_validation_1cycle[[#This Row],[stand_age]], ".0")</f>
        <v>28.6</v>
      </c>
      <c r="L34" s="1" t="str">
        <f t="shared" si="0"/>
        <v>"28.6"</v>
      </c>
      <c r="M34">
        <v>100</v>
      </c>
      <c r="N34">
        <f>0.029*stand_validation_1cycle[[#This Row],[stand_level_biomass]]</f>
        <v>31.15162106723978</v>
      </c>
      <c r="O34">
        <f>0.213*stand_validation_1cycle[[#This Row],[stand_level_biomass]]</f>
        <v>228.80328576972664</v>
      </c>
      <c r="P34">
        <f>0.571*stand_validation_1cycle[[#This Row],[stand_level_biomass]]</f>
        <v>613.36467687565209</v>
      </c>
      <c r="Q34">
        <f>stand_validation_1cycle[[#This Row],[stock]]</f>
        <v>95</v>
      </c>
      <c r="R34">
        <v>0</v>
      </c>
      <c r="S34">
        <f>stand_validation_1cycle[[#This Row],[aws]]</f>
        <v>567.80938720703102</v>
      </c>
      <c r="T34">
        <f>stand_validation_1cycle[[#This Row],[percent_tree_cover]]*100</f>
        <v>9.2237248677914394</v>
      </c>
    </row>
    <row r="35" spans="1:20" x14ac:dyDescent="0.2">
      <c r="A35">
        <v>1</v>
      </c>
      <c r="B35" t="s">
        <v>53</v>
      </c>
      <c r="C35">
        <v>26.016643274853799</v>
      </c>
      <c r="D35">
        <v>695.83857733461298</v>
      </c>
      <c r="E35">
        <v>6.2436899897368097</v>
      </c>
      <c r="F35">
        <v>25.6199865440135</v>
      </c>
      <c r="G35">
        <v>95</v>
      </c>
      <c r="H35">
        <v>567.80938720703102</v>
      </c>
      <c r="I35">
        <v>6.4504698826838E-2</v>
      </c>
      <c r="K35" s="1" t="str">
        <f>TEXT(stand_validation_1cycle[[#This Row],[stand_age]], ".0")</f>
        <v>26.0</v>
      </c>
      <c r="L35" s="1" t="str">
        <f t="shared" si="0"/>
        <v>"26.0"</v>
      </c>
      <c r="M35">
        <v>100</v>
      </c>
      <c r="N35">
        <f>0.029*stand_validation_1cycle[[#This Row],[stand_level_biomass]]</f>
        <v>20.179318742703778</v>
      </c>
      <c r="O35">
        <f>0.213*stand_validation_1cycle[[#This Row],[stand_level_biomass]]</f>
        <v>148.21361697227255</v>
      </c>
      <c r="P35">
        <f>0.571*stand_validation_1cycle[[#This Row],[stand_level_biomass]]</f>
        <v>397.32382765806398</v>
      </c>
      <c r="Q35">
        <f>stand_validation_1cycle[[#This Row],[stock]]</f>
        <v>95</v>
      </c>
      <c r="R35">
        <v>0</v>
      </c>
      <c r="S35">
        <f>stand_validation_1cycle[[#This Row],[aws]]</f>
        <v>567.80938720703102</v>
      </c>
      <c r="T35">
        <f>stand_validation_1cycle[[#This Row],[percent_tree_cover]]*100</f>
        <v>6.4504698826837998</v>
      </c>
    </row>
    <row r="36" spans="1:20" x14ac:dyDescent="0.2">
      <c r="A36">
        <v>1</v>
      </c>
      <c r="B36" t="s">
        <v>54</v>
      </c>
      <c r="C36">
        <v>27.098694158075599</v>
      </c>
      <c r="D36">
        <v>849.83746743728102</v>
      </c>
      <c r="E36">
        <v>7.4296781301806396</v>
      </c>
      <c r="F36">
        <v>27.389465073751001</v>
      </c>
      <c r="G36">
        <v>97</v>
      </c>
      <c r="H36">
        <v>567.64227294921795</v>
      </c>
      <c r="I36">
        <v>7.5811610850059802E-2</v>
      </c>
      <c r="K36" s="1" t="str">
        <f>TEXT(stand_validation_1cycle[[#This Row],[stand_age]], ".0")</f>
        <v>27.1</v>
      </c>
      <c r="L36" s="1" t="str">
        <f t="shared" si="0"/>
        <v>"27.1"</v>
      </c>
      <c r="M36">
        <v>100</v>
      </c>
      <c r="N36">
        <f>0.029*stand_validation_1cycle[[#This Row],[stand_level_biomass]]</f>
        <v>24.64528655568115</v>
      </c>
      <c r="O36">
        <f>0.213*stand_validation_1cycle[[#This Row],[stand_level_biomass]]</f>
        <v>181.01538056414086</v>
      </c>
      <c r="P36">
        <f>0.571*stand_validation_1cycle[[#This Row],[stand_level_biomass]]</f>
        <v>485.25719390668741</v>
      </c>
      <c r="Q36">
        <f>stand_validation_1cycle[[#This Row],[stock]]</f>
        <v>97</v>
      </c>
      <c r="R36">
        <v>0</v>
      </c>
      <c r="S36">
        <f>stand_validation_1cycle[[#This Row],[aws]]</f>
        <v>567.64227294921795</v>
      </c>
      <c r="T36">
        <f>stand_validation_1cycle[[#This Row],[percent_tree_cover]]*100</f>
        <v>7.5811610850059798</v>
      </c>
    </row>
    <row r="37" spans="1:20" x14ac:dyDescent="0.2">
      <c r="A37">
        <v>1</v>
      </c>
      <c r="B37" t="s">
        <v>55</v>
      </c>
      <c r="C37">
        <v>24.845440613026799</v>
      </c>
      <c r="D37">
        <v>575.39772003025098</v>
      </c>
      <c r="E37">
        <v>1.61311750682956</v>
      </c>
      <c r="F37">
        <v>23.504374382364499</v>
      </c>
      <c r="G37">
        <v>29</v>
      </c>
      <c r="H37">
        <v>567.64227294921795</v>
      </c>
      <c r="I37">
        <v>5.1385725516785601E-2</v>
      </c>
      <c r="K37" s="1" t="str">
        <f>TEXT(stand_validation_1cycle[[#This Row],[stand_age]], ".0")</f>
        <v>24.8</v>
      </c>
      <c r="L37" s="1" t="str">
        <f t="shared" si="0"/>
        <v>"24.8"</v>
      </c>
      <c r="M37">
        <v>100</v>
      </c>
      <c r="N37">
        <f>0.029*stand_validation_1cycle[[#This Row],[stand_level_biomass]]</f>
        <v>16.686533880877278</v>
      </c>
      <c r="O37">
        <f>0.213*stand_validation_1cycle[[#This Row],[stand_level_biomass]]</f>
        <v>122.55971436644346</v>
      </c>
      <c r="P37">
        <f>0.571*stand_validation_1cycle[[#This Row],[stand_level_biomass]]</f>
        <v>328.55209813727328</v>
      </c>
      <c r="Q37">
        <f>stand_validation_1cycle[[#This Row],[stock]]</f>
        <v>29</v>
      </c>
      <c r="R37">
        <v>0</v>
      </c>
      <c r="S37">
        <f>stand_validation_1cycle[[#This Row],[aws]]</f>
        <v>567.64227294921795</v>
      </c>
      <c r="T37">
        <f>stand_validation_1cycle[[#This Row],[percent_tree_cover]]*100</f>
        <v>5.1385725516785596</v>
      </c>
    </row>
    <row r="38" spans="1:20" x14ac:dyDescent="0.2">
      <c r="A38">
        <v>1</v>
      </c>
      <c r="B38" t="s">
        <v>56</v>
      </c>
      <c r="C38">
        <v>28.637545219638199</v>
      </c>
      <c r="D38">
        <v>862.36398201042198</v>
      </c>
      <c r="E38">
        <v>6.6782013134603302</v>
      </c>
      <c r="F38">
        <v>27.836187363304798</v>
      </c>
      <c r="G38">
        <v>86</v>
      </c>
      <c r="H38">
        <v>572</v>
      </c>
      <c r="I38">
        <v>7.62661090705994E-2</v>
      </c>
      <c r="K38" s="1" t="str">
        <f>TEXT(stand_validation_1cycle[[#This Row],[stand_age]], ".0")</f>
        <v>28.6</v>
      </c>
      <c r="L38" s="1" t="str">
        <f t="shared" si="0"/>
        <v>"28.6"</v>
      </c>
      <c r="M38">
        <v>100</v>
      </c>
      <c r="N38">
        <f>0.029*stand_validation_1cycle[[#This Row],[stand_level_biomass]]</f>
        <v>25.008555478302238</v>
      </c>
      <c r="O38">
        <f>0.213*stand_validation_1cycle[[#This Row],[stand_level_biomass]]</f>
        <v>183.68352816821988</v>
      </c>
      <c r="P38">
        <f>0.571*stand_validation_1cycle[[#This Row],[stand_level_biomass]]</f>
        <v>492.40983372795091</v>
      </c>
      <c r="Q38">
        <f>stand_validation_1cycle[[#This Row],[stock]]</f>
        <v>86</v>
      </c>
      <c r="R38">
        <v>0</v>
      </c>
      <c r="S38">
        <f>stand_validation_1cycle[[#This Row],[aws]]</f>
        <v>572</v>
      </c>
      <c r="T38">
        <f>stand_validation_1cycle[[#This Row],[percent_tree_cover]]*100</f>
        <v>7.6266109070599404</v>
      </c>
    </row>
    <row r="39" spans="1:20" x14ac:dyDescent="0.2">
      <c r="A39">
        <v>1</v>
      </c>
      <c r="B39" t="s">
        <v>57</v>
      </c>
      <c r="C39">
        <v>26.886288888888899</v>
      </c>
      <c r="D39">
        <v>947.54348162320298</v>
      </c>
      <c r="E39">
        <v>8.1312813781270492</v>
      </c>
      <c r="F39">
        <v>27.041806932211401</v>
      </c>
      <c r="G39">
        <v>100</v>
      </c>
      <c r="H39">
        <v>796.43914794921795</v>
      </c>
      <c r="I39">
        <v>8.1023045953927703E-2</v>
      </c>
      <c r="K39" s="1" t="str">
        <f>TEXT(stand_validation_1cycle[[#This Row],[stand_age]], ".0")</f>
        <v>26.9</v>
      </c>
      <c r="L39" s="1" t="str">
        <f t="shared" si="0"/>
        <v>"26.9"</v>
      </c>
      <c r="M39">
        <v>100</v>
      </c>
      <c r="N39">
        <f>0.029*stand_validation_1cycle[[#This Row],[stand_level_biomass]]</f>
        <v>27.478760967072887</v>
      </c>
      <c r="O39">
        <f>0.213*stand_validation_1cycle[[#This Row],[stand_level_biomass]]</f>
        <v>201.82676158574222</v>
      </c>
      <c r="P39">
        <f>0.571*stand_validation_1cycle[[#This Row],[stand_level_biomass]]</f>
        <v>541.04732800684883</v>
      </c>
      <c r="Q39">
        <f>stand_validation_1cycle[[#This Row],[stock]]</f>
        <v>100</v>
      </c>
      <c r="R39">
        <v>0</v>
      </c>
      <c r="S39">
        <f>stand_validation_1cycle[[#This Row],[aws]]</f>
        <v>796.43914794921795</v>
      </c>
      <c r="T39">
        <f>stand_validation_1cycle[[#This Row],[percent_tree_cover]]*100</f>
        <v>8.1023045953927699</v>
      </c>
    </row>
    <row r="40" spans="1:20" x14ac:dyDescent="0.2">
      <c r="A40">
        <v>1</v>
      </c>
      <c r="B40" t="s">
        <v>58</v>
      </c>
      <c r="C40">
        <v>27.559169472502798</v>
      </c>
      <c r="D40">
        <v>1012.50586723634</v>
      </c>
      <c r="E40">
        <v>8.5818870810149104</v>
      </c>
      <c r="F40">
        <v>27.732062692473999</v>
      </c>
      <c r="G40">
        <v>99</v>
      </c>
      <c r="H40">
        <v>616.63983154296795</v>
      </c>
      <c r="I40">
        <v>8.5246203905204695E-2</v>
      </c>
      <c r="K40" s="1" t="str">
        <f>TEXT(stand_validation_1cycle[[#This Row],[stand_age]], ".0")</f>
        <v>27.6</v>
      </c>
      <c r="L40" s="1" t="str">
        <f t="shared" si="0"/>
        <v>"27.6"</v>
      </c>
      <c r="M40">
        <v>100</v>
      </c>
      <c r="N40">
        <f>0.029*stand_validation_1cycle[[#This Row],[stand_level_biomass]]</f>
        <v>29.362670149853862</v>
      </c>
      <c r="O40">
        <f>0.213*stand_validation_1cycle[[#This Row],[stand_level_biomass]]</f>
        <v>215.66374972134042</v>
      </c>
      <c r="P40">
        <f>0.571*stand_validation_1cycle[[#This Row],[stand_level_biomass]]</f>
        <v>578.14085019195011</v>
      </c>
      <c r="Q40">
        <f>stand_validation_1cycle[[#This Row],[stock]]</f>
        <v>99</v>
      </c>
      <c r="R40">
        <v>0</v>
      </c>
      <c r="S40">
        <f>stand_validation_1cycle[[#This Row],[aws]]</f>
        <v>616.63983154296795</v>
      </c>
      <c r="T40">
        <f>stand_validation_1cycle[[#This Row],[percent_tree_cover]]*100</f>
        <v>8.5246203905204698</v>
      </c>
    </row>
    <row r="41" spans="1:20" x14ac:dyDescent="0.2">
      <c r="A41">
        <v>1</v>
      </c>
      <c r="B41" t="s">
        <v>59</v>
      </c>
      <c r="C41">
        <v>26.8728333333333</v>
      </c>
      <c r="D41">
        <v>708.006606076617</v>
      </c>
      <c r="E41">
        <v>6.5044445361792604</v>
      </c>
      <c r="F41">
        <v>24.975006865820699</v>
      </c>
      <c r="G41">
        <v>100</v>
      </c>
      <c r="H41">
        <v>622.3115234375</v>
      </c>
      <c r="I41">
        <v>6.4806767274954796E-2</v>
      </c>
      <c r="K41" s="1" t="str">
        <f>TEXT(stand_validation_1cycle[[#This Row],[stand_age]], ".0")</f>
        <v>26.9</v>
      </c>
      <c r="L41" s="1" t="str">
        <f t="shared" si="0"/>
        <v>"26.9"</v>
      </c>
      <c r="M41">
        <v>100</v>
      </c>
      <c r="N41">
        <f>0.029*stand_validation_1cycle[[#This Row],[stand_level_biomass]]</f>
        <v>20.532191576221894</v>
      </c>
      <c r="O41">
        <f>0.213*stand_validation_1cycle[[#This Row],[stand_level_biomass]]</f>
        <v>150.80540709431941</v>
      </c>
      <c r="P41">
        <f>0.571*stand_validation_1cycle[[#This Row],[stand_level_biomass]]</f>
        <v>404.27177206974829</v>
      </c>
      <c r="Q41">
        <f>stand_validation_1cycle[[#This Row],[stock]]</f>
        <v>100</v>
      </c>
      <c r="R41">
        <v>0</v>
      </c>
      <c r="S41">
        <f>stand_validation_1cycle[[#This Row],[aws]]</f>
        <v>622.3115234375</v>
      </c>
      <c r="T41">
        <f>stand_validation_1cycle[[#This Row],[percent_tree_cover]]*100</f>
        <v>6.4806767274954797</v>
      </c>
    </row>
    <row r="42" spans="1:20" x14ac:dyDescent="0.2">
      <c r="A42">
        <v>1</v>
      </c>
      <c r="B42" t="s">
        <v>60</v>
      </c>
      <c r="C42">
        <v>28.4638666666666</v>
      </c>
      <c r="D42">
        <v>930.45573403899596</v>
      </c>
      <c r="E42">
        <v>8.1298841547943699</v>
      </c>
      <c r="F42">
        <v>27.446719265684902</v>
      </c>
      <c r="G42">
        <v>100</v>
      </c>
      <c r="H42">
        <v>622.39923095703102</v>
      </c>
      <c r="I42">
        <v>8.0991222009695399E-2</v>
      </c>
      <c r="K42" s="1" t="str">
        <f>TEXT(stand_validation_1cycle[[#This Row],[stand_age]], ".0")</f>
        <v>28.5</v>
      </c>
      <c r="L42" s="1" t="str">
        <f t="shared" si="0"/>
        <v>"28.5"</v>
      </c>
      <c r="M42">
        <v>100</v>
      </c>
      <c r="N42">
        <f>0.029*stand_validation_1cycle[[#This Row],[stand_level_biomass]]</f>
        <v>26.983216287130883</v>
      </c>
      <c r="O42">
        <f>0.213*stand_validation_1cycle[[#This Row],[stand_level_biomass]]</f>
        <v>198.18707135030613</v>
      </c>
      <c r="P42">
        <f>0.571*stand_validation_1cycle[[#This Row],[stand_level_biomass]]</f>
        <v>531.2902241362666</v>
      </c>
      <c r="Q42">
        <f>stand_validation_1cycle[[#This Row],[stock]]</f>
        <v>100</v>
      </c>
      <c r="R42">
        <v>0</v>
      </c>
      <c r="S42">
        <f>stand_validation_1cycle[[#This Row],[aws]]</f>
        <v>622.39923095703102</v>
      </c>
      <c r="T42">
        <f>stand_validation_1cycle[[#This Row],[percent_tree_cover]]*100</f>
        <v>8.0991222009695392</v>
      </c>
    </row>
    <row r="43" spans="1:20" x14ac:dyDescent="0.2">
      <c r="A43">
        <v>1</v>
      </c>
      <c r="B43" t="s">
        <v>61</v>
      </c>
      <c r="C43">
        <v>27.821391694725001</v>
      </c>
      <c r="D43">
        <v>1047.03671109792</v>
      </c>
      <c r="E43">
        <v>8.9138002718574896</v>
      </c>
      <c r="F43">
        <v>29.268694611446598</v>
      </c>
      <c r="G43">
        <v>99</v>
      </c>
      <c r="H43">
        <v>626.35046386718705</v>
      </c>
      <c r="I43">
        <v>8.8814752145939299E-2</v>
      </c>
      <c r="K43" s="1" t="str">
        <f>TEXT(stand_validation_1cycle[[#This Row],[stand_age]], ".0")</f>
        <v>27.8</v>
      </c>
      <c r="L43" s="1" t="str">
        <f t="shared" si="0"/>
        <v>"27.8"</v>
      </c>
      <c r="M43">
        <v>100</v>
      </c>
      <c r="N43">
        <f>0.029*stand_validation_1cycle[[#This Row],[stand_level_biomass]]</f>
        <v>30.364064621839681</v>
      </c>
      <c r="O43">
        <f>0.213*stand_validation_1cycle[[#This Row],[stand_level_biomass]]</f>
        <v>223.01881946385697</v>
      </c>
      <c r="P43">
        <f>0.571*stand_validation_1cycle[[#This Row],[stand_level_biomass]]</f>
        <v>597.85796203691234</v>
      </c>
      <c r="Q43">
        <f>stand_validation_1cycle[[#This Row],[stock]]</f>
        <v>99</v>
      </c>
      <c r="R43">
        <v>0</v>
      </c>
      <c r="S43">
        <f>stand_validation_1cycle[[#This Row],[aws]]</f>
        <v>626.35046386718705</v>
      </c>
      <c r="T43">
        <f>stand_validation_1cycle[[#This Row],[percent_tree_cover]]*100</f>
        <v>8.8814752145939302</v>
      </c>
    </row>
    <row r="44" spans="1:20" x14ac:dyDescent="0.2">
      <c r="A44">
        <v>1</v>
      </c>
      <c r="B44" t="s">
        <v>62</v>
      </c>
      <c r="C44">
        <v>27.6762444444444</v>
      </c>
      <c r="D44">
        <v>981.10105979944399</v>
      </c>
      <c r="E44">
        <v>8.54881396435424</v>
      </c>
      <c r="F44">
        <v>28.37258893213</v>
      </c>
      <c r="G44">
        <v>100</v>
      </c>
      <c r="H44">
        <v>634.35601806640602</v>
      </c>
      <c r="I44">
        <v>8.5180849610689099E-2</v>
      </c>
      <c r="K44" s="1" t="str">
        <f>TEXT(stand_validation_1cycle[[#This Row],[stand_age]], ".0")</f>
        <v>27.7</v>
      </c>
      <c r="L44" s="1" t="str">
        <f t="shared" si="0"/>
        <v>"27.7"</v>
      </c>
      <c r="M44">
        <v>100</v>
      </c>
      <c r="N44">
        <f>0.029*stand_validation_1cycle[[#This Row],[stand_level_biomass]]</f>
        <v>28.451930734183875</v>
      </c>
      <c r="O44">
        <f>0.213*stand_validation_1cycle[[#This Row],[stand_level_biomass]]</f>
        <v>208.97452573728157</v>
      </c>
      <c r="P44">
        <f>0.571*stand_validation_1cycle[[#This Row],[stand_level_biomass]]</f>
        <v>560.20870514548244</v>
      </c>
      <c r="Q44">
        <f>stand_validation_1cycle[[#This Row],[stock]]</f>
        <v>100</v>
      </c>
      <c r="R44">
        <v>0</v>
      </c>
      <c r="S44">
        <f>stand_validation_1cycle[[#This Row],[aws]]</f>
        <v>634.35601806640602</v>
      </c>
      <c r="T44">
        <f>stand_validation_1cycle[[#This Row],[percent_tree_cover]]*100</f>
        <v>8.5180849610689098</v>
      </c>
    </row>
    <row r="45" spans="1:20" x14ac:dyDescent="0.2">
      <c r="A45">
        <v>1</v>
      </c>
      <c r="B45" t="s">
        <v>63</v>
      </c>
      <c r="C45">
        <v>25.575588888888799</v>
      </c>
      <c r="D45">
        <v>774.38044792711696</v>
      </c>
      <c r="E45">
        <v>6.97909598923769</v>
      </c>
      <c r="F45">
        <v>25.6610747322249</v>
      </c>
      <c r="G45">
        <v>100</v>
      </c>
      <c r="H45">
        <v>655.20648193359295</v>
      </c>
      <c r="I45">
        <v>6.9549437333621303E-2</v>
      </c>
      <c r="K45" s="1" t="str">
        <f>TEXT(stand_validation_1cycle[[#This Row],[stand_age]], ".0")</f>
        <v>25.6</v>
      </c>
      <c r="L45" s="1" t="str">
        <f t="shared" si="0"/>
        <v>"25.6"</v>
      </c>
      <c r="M45">
        <v>100</v>
      </c>
      <c r="N45">
        <f>0.029*stand_validation_1cycle[[#This Row],[stand_level_biomass]]</f>
        <v>22.457032989886393</v>
      </c>
      <c r="O45">
        <f>0.213*stand_validation_1cycle[[#This Row],[stand_level_biomass]]</f>
        <v>164.94303540847591</v>
      </c>
      <c r="P45">
        <f>0.571*stand_validation_1cycle[[#This Row],[stand_level_biomass]]</f>
        <v>442.17123576638375</v>
      </c>
      <c r="Q45">
        <f>stand_validation_1cycle[[#This Row],[stock]]</f>
        <v>100</v>
      </c>
      <c r="R45">
        <v>0</v>
      </c>
      <c r="S45">
        <f>stand_validation_1cycle[[#This Row],[aws]]</f>
        <v>655.20648193359295</v>
      </c>
      <c r="T45">
        <f>stand_validation_1cycle[[#This Row],[percent_tree_cover]]*100</f>
        <v>6.9549437333621302</v>
      </c>
    </row>
    <row r="46" spans="1:20" x14ac:dyDescent="0.2">
      <c r="A46">
        <v>1</v>
      </c>
      <c r="B46" t="s">
        <v>64</v>
      </c>
      <c r="C46">
        <v>28.33</v>
      </c>
      <c r="D46">
        <v>892.53883305461397</v>
      </c>
      <c r="E46">
        <v>7.8215234840757502</v>
      </c>
      <c r="F46">
        <v>28.063630679131901</v>
      </c>
      <c r="G46">
        <v>98</v>
      </c>
      <c r="H46">
        <v>644.29473876953102</v>
      </c>
      <c r="I46">
        <v>7.76801642182679E-2</v>
      </c>
      <c r="K46" s="1" t="str">
        <f>TEXT(stand_validation_1cycle[[#This Row],[stand_age]], ".0")</f>
        <v>28.3</v>
      </c>
      <c r="L46" s="1" t="str">
        <f t="shared" si="0"/>
        <v>"28.3"</v>
      </c>
      <c r="M46">
        <v>100</v>
      </c>
      <c r="N46">
        <f>0.029*stand_validation_1cycle[[#This Row],[stand_level_biomass]]</f>
        <v>25.883626158583805</v>
      </c>
      <c r="O46">
        <f>0.213*stand_validation_1cycle[[#This Row],[stand_level_biomass]]</f>
        <v>190.11077144063276</v>
      </c>
      <c r="P46">
        <f>0.571*stand_validation_1cycle[[#This Row],[stand_level_biomass]]</f>
        <v>509.63967367418456</v>
      </c>
      <c r="Q46">
        <f>stand_validation_1cycle[[#This Row],[stock]]</f>
        <v>98</v>
      </c>
      <c r="R46">
        <v>0</v>
      </c>
      <c r="S46">
        <f>stand_validation_1cycle[[#This Row],[aws]]</f>
        <v>644.29473876953102</v>
      </c>
      <c r="T46">
        <f>stand_validation_1cycle[[#This Row],[percent_tree_cover]]*100</f>
        <v>7.7680164218267898</v>
      </c>
    </row>
    <row r="47" spans="1:20" x14ac:dyDescent="0.2">
      <c r="A47">
        <v>1</v>
      </c>
      <c r="B47" t="s">
        <v>65</v>
      </c>
      <c r="C47">
        <v>28.0096666666666</v>
      </c>
      <c r="D47">
        <v>866.22435968110699</v>
      </c>
      <c r="E47">
        <v>7.59220999691044</v>
      </c>
      <c r="F47">
        <v>26.1750338077414</v>
      </c>
      <c r="G47">
        <v>100</v>
      </c>
      <c r="H47">
        <v>605</v>
      </c>
      <c r="I47">
        <v>7.5626202455859895E-2</v>
      </c>
      <c r="K47" s="1" t="str">
        <f>TEXT(stand_validation_1cycle[[#This Row],[stand_age]], ".0")</f>
        <v>28.0</v>
      </c>
      <c r="L47" s="1" t="str">
        <f t="shared" si="0"/>
        <v>"28.0"</v>
      </c>
      <c r="M47">
        <v>100</v>
      </c>
      <c r="N47">
        <f>0.029*stand_validation_1cycle[[#This Row],[stand_level_biomass]]</f>
        <v>25.120506430752105</v>
      </c>
      <c r="O47">
        <f>0.213*stand_validation_1cycle[[#This Row],[stand_level_biomass]]</f>
        <v>184.50578861207578</v>
      </c>
      <c r="P47">
        <f>0.571*stand_validation_1cycle[[#This Row],[stand_level_biomass]]</f>
        <v>494.61410937791203</v>
      </c>
      <c r="Q47">
        <f>stand_validation_1cycle[[#This Row],[stock]]</f>
        <v>100</v>
      </c>
      <c r="R47">
        <v>0</v>
      </c>
      <c r="S47">
        <f>stand_validation_1cycle[[#This Row],[aws]]</f>
        <v>605</v>
      </c>
      <c r="T47">
        <f>stand_validation_1cycle[[#This Row],[percent_tree_cover]]*100</f>
        <v>7.5626202455859897</v>
      </c>
    </row>
    <row r="48" spans="1:20" x14ac:dyDescent="0.2">
      <c r="A48">
        <v>1</v>
      </c>
      <c r="B48" t="s">
        <v>66</v>
      </c>
      <c r="C48">
        <v>30.156886304909499</v>
      </c>
      <c r="D48">
        <v>886.69843311510897</v>
      </c>
      <c r="E48">
        <v>6.7973572104220104</v>
      </c>
      <c r="F48">
        <v>27.669924893164399</v>
      </c>
      <c r="G48">
        <v>86</v>
      </c>
      <c r="H48">
        <v>642.28515625</v>
      </c>
      <c r="I48">
        <v>7.9246888668081994E-2</v>
      </c>
      <c r="K48" s="1" t="str">
        <f>TEXT(stand_validation_1cycle[[#This Row],[stand_age]], ".0")</f>
        <v>30.2</v>
      </c>
      <c r="L48" s="1" t="str">
        <f t="shared" si="0"/>
        <v>"30.2"</v>
      </c>
      <c r="M48">
        <v>100</v>
      </c>
      <c r="N48">
        <f>0.029*stand_validation_1cycle[[#This Row],[stand_level_biomass]]</f>
        <v>25.714254560338162</v>
      </c>
      <c r="O48">
        <f>0.213*stand_validation_1cycle[[#This Row],[stand_level_biomass]]</f>
        <v>188.86676625351819</v>
      </c>
      <c r="P48">
        <f>0.571*stand_validation_1cycle[[#This Row],[stand_level_biomass]]</f>
        <v>506.30480530872717</v>
      </c>
      <c r="Q48">
        <f>stand_validation_1cycle[[#This Row],[stock]]</f>
        <v>86</v>
      </c>
      <c r="R48">
        <v>0</v>
      </c>
      <c r="S48">
        <f>stand_validation_1cycle[[#This Row],[aws]]</f>
        <v>642.28515625</v>
      </c>
      <c r="T48">
        <f>stand_validation_1cycle[[#This Row],[percent_tree_cover]]*100</f>
        <v>7.9246888668081992</v>
      </c>
    </row>
    <row r="49" spans="1:20" x14ac:dyDescent="0.2">
      <c r="A49">
        <v>1</v>
      </c>
      <c r="B49" t="s">
        <v>67</v>
      </c>
      <c r="C49">
        <v>27.019171075837701</v>
      </c>
      <c r="D49">
        <v>733.77394822371798</v>
      </c>
      <c r="E49">
        <v>4.2632747486091196</v>
      </c>
      <c r="F49">
        <v>25.844980043498801</v>
      </c>
      <c r="G49">
        <v>63</v>
      </c>
      <c r="H49">
        <v>627.76806640625</v>
      </c>
      <c r="I49">
        <v>6.8361527993132207E-2</v>
      </c>
      <c r="K49" s="1" t="str">
        <f>TEXT(stand_validation_1cycle[[#This Row],[stand_age]], ".0")</f>
        <v>27.0</v>
      </c>
      <c r="L49" s="1" t="str">
        <f t="shared" si="0"/>
        <v>"27.0"</v>
      </c>
      <c r="M49">
        <v>100</v>
      </c>
      <c r="N49">
        <f>0.029*stand_validation_1cycle[[#This Row],[stand_level_biomass]]</f>
        <v>21.279444498487823</v>
      </c>
      <c r="O49">
        <f>0.213*stand_validation_1cycle[[#This Row],[stand_level_biomass]]</f>
        <v>156.29385097165192</v>
      </c>
      <c r="P49">
        <f>0.571*stand_validation_1cycle[[#This Row],[stand_level_biomass]]</f>
        <v>418.98492443574293</v>
      </c>
      <c r="Q49">
        <f>stand_validation_1cycle[[#This Row],[stock]]</f>
        <v>63</v>
      </c>
      <c r="R49">
        <v>0</v>
      </c>
      <c r="S49">
        <f>stand_validation_1cycle[[#This Row],[aws]]</f>
        <v>627.76806640625</v>
      </c>
      <c r="T49">
        <f>stand_validation_1cycle[[#This Row],[percent_tree_cover]]*100</f>
        <v>6.8361527993132203</v>
      </c>
    </row>
    <row r="50" spans="1:20" x14ac:dyDescent="0.2">
      <c r="A50">
        <v>1</v>
      </c>
      <c r="B50" t="s">
        <v>68</v>
      </c>
      <c r="C50">
        <v>27.7066893424036</v>
      </c>
      <c r="D50">
        <v>925.820820650114</v>
      </c>
      <c r="E50">
        <v>7.9283784750023001</v>
      </c>
      <c r="F50">
        <v>27.470657004540801</v>
      </c>
      <c r="G50">
        <v>98</v>
      </c>
      <c r="H50">
        <v>624.88763427734295</v>
      </c>
      <c r="I50">
        <v>8.10837204370288E-2</v>
      </c>
      <c r="K50" s="1" t="str">
        <f>TEXT(stand_validation_1cycle[[#This Row],[stand_age]], ".0")</f>
        <v>27.7</v>
      </c>
      <c r="L50" s="1" t="str">
        <f t="shared" si="0"/>
        <v>"27.7"</v>
      </c>
      <c r="M50">
        <v>100</v>
      </c>
      <c r="N50">
        <f>0.029*stand_validation_1cycle[[#This Row],[stand_level_biomass]]</f>
        <v>26.848803798853307</v>
      </c>
      <c r="O50">
        <f>0.213*stand_validation_1cycle[[#This Row],[stand_level_biomass]]</f>
        <v>197.19983479847428</v>
      </c>
      <c r="P50">
        <f>0.571*stand_validation_1cycle[[#This Row],[stand_level_biomass]]</f>
        <v>528.6436885912151</v>
      </c>
      <c r="Q50">
        <f>stand_validation_1cycle[[#This Row],[stock]]</f>
        <v>98</v>
      </c>
      <c r="R50">
        <v>0</v>
      </c>
      <c r="S50">
        <f>stand_validation_1cycle[[#This Row],[aws]]</f>
        <v>624.88763427734295</v>
      </c>
      <c r="T50">
        <f>stand_validation_1cycle[[#This Row],[percent_tree_cover]]*100</f>
        <v>8.1083720437028806</v>
      </c>
    </row>
    <row r="51" spans="1:20" x14ac:dyDescent="0.2">
      <c r="A51">
        <v>1</v>
      </c>
      <c r="B51" t="s">
        <v>69</v>
      </c>
      <c r="C51">
        <v>25.0806802721088</v>
      </c>
      <c r="D51">
        <v>735.43104359260894</v>
      </c>
      <c r="E51">
        <v>6.5236938597659604</v>
      </c>
      <c r="F51">
        <v>24.815525984326499</v>
      </c>
      <c r="G51">
        <v>98</v>
      </c>
      <c r="H51">
        <v>703.545166015625</v>
      </c>
      <c r="I51">
        <v>6.6339902430431405E-2</v>
      </c>
      <c r="K51" s="1" t="str">
        <f>TEXT(stand_validation_1cycle[[#This Row],[stand_age]], ".0")</f>
        <v>25.1</v>
      </c>
      <c r="L51" s="1" t="str">
        <f t="shared" si="0"/>
        <v>"25.1"</v>
      </c>
      <c r="M51">
        <v>100</v>
      </c>
      <c r="N51">
        <f>0.029*stand_validation_1cycle[[#This Row],[stand_level_biomass]]</f>
        <v>21.327500264185659</v>
      </c>
      <c r="O51">
        <f>0.213*stand_validation_1cycle[[#This Row],[stand_level_biomass]]</f>
        <v>156.64681228522571</v>
      </c>
      <c r="P51">
        <f>0.571*stand_validation_1cycle[[#This Row],[stand_level_biomass]]</f>
        <v>419.93112589137968</v>
      </c>
      <c r="Q51">
        <f>stand_validation_1cycle[[#This Row],[stock]]</f>
        <v>98</v>
      </c>
      <c r="R51">
        <v>0</v>
      </c>
      <c r="S51">
        <f>stand_validation_1cycle[[#This Row],[aws]]</f>
        <v>703.545166015625</v>
      </c>
      <c r="T51">
        <f>stand_validation_1cycle[[#This Row],[percent_tree_cover]]*100</f>
        <v>6.6339902430431401</v>
      </c>
    </row>
    <row r="52" spans="1:20" x14ac:dyDescent="0.2">
      <c r="A52">
        <v>1</v>
      </c>
      <c r="B52" t="s">
        <v>70</v>
      </c>
      <c r="C52">
        <v>26.949058956916002</v>
      </c>
      <c r="D52">
        <v>787.88017905247898</v>
      </c>
      <c r="E52">
        <v>7.0944874728022</v>
      </c>
      <c r="F52">
        <v>26.8564744583425</v>
      </c>
      <c r="G52">
        <v>98</v>
      </c>
      <c r="H52">
        <v>702.74658203125</v>
      </c>
      <c r="I52">
        <v>7.2714015649224598E-2</v>
      </c>
      <c r="K52" s="1" t="str">
        <f>TEXT(stand_validation_1cycle[[#This Row],[stand_age]], ".0")</f>
        <v>26.9</v>
      </c>
      <c r="L52" s="1" t="str">
        <f t="shared" si="0"/>
        <v>"26.9"</v>
      </c>
      <c r="M52">
        <v>100</v>
      </c>
      <c r="N52">
        <f>0.029*stand_validation_1cycle[[#This Row],[stand_level_biomass]]</f>
        <v>22.84852519252189</v>
      </c>
      <c r="O52">
        <f>0.213*stand_validation_1cycle[[#This Row],[stand_level_biomass]]</f>
        <v>167.81847813817802</v>
      </c>
      <c r="P52">
        <f>0.571*stand_validation_1cycle[[#This Row],[stand_level_biomass]]</f>
        <v>449.87958223896544</v>
      </c>
      <c r="Q52">
        <f>stand_validation_1cycle[[#This Row],[stock]]</f>
        <v>98</v>
      </c>
      <c r="R52">
        <v>0</v>
      </c>
      <c r="S52">
        <f>stand_validation_1cycle[[#This Row],[aws]]</f>
        <v>702.74658203125</v>
      </c>
      <c r="T52">
        <f>stand_validation_1cycle[[#This Row],[percent_tree_cover]]*100</f>
        <v>7.2714015649224599</v>
      </c>
    </row>
    <row r="53" spans="1:20" x14ac:dyDescent="0.2">
      <c r="A53">
        <v>1</v>
      </c>
      <c r="B53" t="s">
        <v>71</v>
      </c>
      <c r="C53">
        <v>25.444603174603099</v>
      </c>
      <c r="D53">
        <v>515.29285934469601</v>
      </c>
      <c r="E53">
        <v>1.812933009774</v>
      </c>
      <c r="F53">
        <v>23.195263345387701</v>
      </c>
      <c r="G53">
        <v>35</v>
      </c>
      <c r="H53">
        <v>702.74658203125</v>
      </c>
      <c r="I53">
        <v>5.4076227823057703E-2</v>
      </c>
      <c r="K53" s="1" t="str">
        <f>TEXT(stand_validation_1cycle[[#This Row],[stand_age]], ".0")</f>
        <v>25.4</v>
      </c>
      <c r="L53" s="1" t="str">
        <f t="shared" si="0"/>
        <v>"25.4"</v>
      </c>
      <c r="M53">
        <v>100</v>
      </c>
      <c r="N53">
        <f>0.029*stand_validation_1cycle[[#This Row],[stand_level_biomass]]</f>
        <v>14.943492920996185</v>
      </c>
      <c r="O53">
        <f>0.213*stand_validation_1cycle[[#This Row],[stand_level_biomass]]</f>
        <v>109.75737904042025</v>
      </c>
      <c r="P53">
        <f>0.571*stand_validation_1cycle[[#This Row],[stand_level_biomass]]</f>
        <v>294.2322226858214</v>
      </c>
      <c r="Q53">
        <f>stand_validation_1cycle[[#This Row],[stock]]</f>
        <v>35</v>
      </c>
      <c r="R53">
        <v>0</v>
      </c>
      <c r="S53">
        <f>stand_validation_1cycle[[#This Row],[aws]]</f>
        <v>702.74658203125</v>
      </c>
      <c r="T53">
        <f>stand_validation_1cycle[[#This Row],[percent_tree_cover]]*100</f>
        <v>5.4076227823057703</v>
      </c>
    </row>
    <row r="54" spans="1:20" x14ac:dyDescent="0.2">
      <c r="A54">
        <v>1</v>
      </c>
      <c r="B54" t="s">
        <v>72</v>
      </c>
      <c r="C54">
        <v>28.117652933832701</v>
      </c>
      <c r="D54">
        <v>891.123508241433</v>
      </c>
      <c r="E54">
        <v>6.94614225309786</v>
      </c>
      <c r="F54">
        <v>26.894671330250301</v>
      </c>
      <c r="G54">
        <v>89</v>
      </c>
      <c r="H54">
        <v>566.86529541015602</v>
      </c>
      <c r="I54">
        <v>7.7656850273013805E-2</v>
      </c>
      <c r="K54" s="1" t="str">
        <f>TEXT(stand_validation_1cycle[[#This Row],[stand_age]], ".0")</f>
        <v>28.1</v>
      </c>
      <c r="L54" s="1" t="str">
        <f t="shared" si="0"/>
        <v>"28.1"</v>
      </c>
      <c r="M54">
        <v>100</v>
      </c>
      <c r="N54">
        <f>0.029*stand_validation_1cycle[[#This Row],[stand_level_biomass]]</f>
        <v>25.84258173900156</v>
      </c>
      <c r="O54">
        <f>0.213*stand_validation_1cycle[[#This Row],[stand_level_biomass]]</f>
        <v>189.80930725542524</v>
      </c>
      <c r="P54">
        <f>0.571*stand_validation_1cycle[[#This Row],[stand_level_biomass]]</f>
        <v>508.83152320585822</v>
      </c>
      <c r="Q54">
        <f>stand_validation_1cycle[[#This Row],[stock]]</f>
        <v>89</v>
      </c>
      <c r="R54">
        <v>0</v>
      </c>
      <c r="S54">
        <f>stand_validation_1cycle[[#This Row],[aws]]</f>
        <v>566.86529541015602</v>
      </c>
      <c r="T54">
        <f>stand_validation_1cycle[[#This Row],[percent_tree_cover]]*100</f>
        <v>7.7656850273013802</v>
      </c>
    </row>
    <row r="55" spans="1:20" x14ac:dyDescent="0.2">
      <c r="A55">
        <v>1</v>
      </c>
      <c r="B55" t="s">
        <v>73</v>
      </c>
      <c r="C55">
        <v>28.315228070175401</v>
      </c>
      <c r="D55">
        <v>915.67248086193001</v>
      </c>
      <c r="E55">
        <v>7.8137739603975103</v>
      </c>
      <c r="F55">
        <v>28.764534473571398</v>
      </c>
      <c r="G55">
        <v>95</v>
      </c>
      <c r="H55">
        <v>524.61187744140602</v>
      </c>
      <c r="I55">
        <v>8.0703797773583899E-2</v>
      </c>
      <c r="K55" s="1" t="str">
        <f>TEXT(stand_validation_1cycle[[#This Row],[stand_age]], ".0")</f>
        <v>28.3</v>
      </c>
      <c r="L55" s="1" t="str">
        <f t="shared" si="0"/>
        <v>"28.3"</v>
      </c>
      <c r="M55">
        <v>100</v>
      </c>
      <c r="N55">
        <f>0.029*stand_validation_1cycle[[#This Row],[stand_level_biomass]]</f>
        <v>26.554501944995973</v>
      </c>
      <c r="O55">
        <f>0.213*stand_validation_1cycle[[#This Row],[stand_level_biomass]]</f>
        <v>195.03823842359108</v>
      </c>
      <c r="P55">
        <f>0.571*stand_validation_1cycle[[#This Row],[stand_level_biomass]]</f>
        <v>522.84898657216195</v>
      </c>
      <c r="Q55">
        <f>stand_validation_1cycle[[#This Row],[stock]]</f>
        <v>95</v>
      </c>
      <c r="R55">
        <v>0</v>
      </c>
      <c r="S55">
        <f>stand_validation_1cycle[[#This Row],[aws]]</f>
        <v>524.61187744140602</v>
      </c>
      <c r="T55">
        <f>stand_validation_1cycle[[#This Row],[percent_tree_cover]]*100</f>
        <v>8.0703797773583901</v>
      </c>
    </row>
    <row r="56" spans="1:20" x14ac:dyDescent="0.2">
      <c r="A56">
        <v>1</v>
      </c>
      <c r="B56" t="s">
        <v>74</v>
      </c>
      <c r="C56">
        <v>27.482569444444401</v>
      </c>
      <c r="D56">
        <v>977.04626352959394</v>
      </c>
      <c r="E56">
        <v>7.9590199989490902</v>
      </c>
      <c r="F56">
        <v>26.539743471308</v>
      </c>
      <c r="G56">
        <v>96</v>
      </c>
      <c r="H56">
        <v>522.77398681640602</v>
      </c>
      <c r="I56">
        <v>8.2166011542479295E-2</v>
      </c>
      <c r="K56" s="1" t="str">
        <f>TEXT(stand_validation_1cycle[[#This Row],[stand_age]], ".0")</f>
        <v>27.5</v>
      </c>
      <c r="L56" s="1" t="str">
        <f t="shared" si="0"/>
        <v>"27.5"</v>
      </c>
      <c r="M56">
        <v>100</v>
      </c>
      <c r="N56">
        <f>0.029*stand_validation_1cycle[[#This Row],[stand_level_biomass]]</f>
        <v>28.334341642358225</v>
      </c>
      <c r="O56">
        <f>0.213*stand_validation_1cycle[[#This Row],[stand_level_biomass]]</f>
        <v>208.11085413180351</v>
      </c>
      <c r="P56">
        <f>0.571*stand_validation_1cycle[[#This Row],[stand_level_biomass]]</f>
        <v>557.89341647539811</v>
      </c>
      <c r="Q56">
        <f>stand_validation_1cycle[[#This Row],[stock]]</f>
        <v>96</v>
      </c>
      <c r="R56">
        <v>0</v>
      </c>
      <c r="S56">
        <f>stand_validation_1cycle[[#This Row],[aws]]</f>
        <v>522.77398681640602</v>
      </c>
      <c r="T56">
        <f>stand_validation_1cycle[[#This Row],[percent_tree_cover]]*100</f>
        <v>8.2166011542479289</v>
      </c>
    </row>
    <row r="57" spans="1:20" x14ac:dyDescent="0.2">
      <c r="A57">
        <v>1</v>
      </c>
      <c r="B57" t="s">
        <v>75</v>
      </c>
      <c r="C57">
        <v>26.4008449074074</v>
      </c>
      <c r="D57">
        <v>922.10639927828402</v>
      </c>
      <c r="E57">
        <v>7.6519811533394702</v>
      </c>
      <c r="F57">
        <v>26.554966179400999</v>
      </c>
      <c r="G57">
        <v>96</v>
      </c>
      <c r="H57">
        <v>522.75384521484295</v>
      </c>
      <c r="I57">
        <v>7.9015441373504899E-2</v>
      </c>
      <c r="K57" s="1" t="str">
        <f>TEXT(stand_validation_1cycle[[#This Row],[stand_age]], ".0")</f>
        <v>26.4</v>
      </c>
      <c r="L57" s="1" t="str">
        <f t="shared" si="0"/>
        <v>"26.4"</v>
      </c>
      <c r="M57">
        <v>100</v>
      </c>
      <c r="N57">
        <f>0.029*stand_validation_1cycle[[#This Row],[stand_level_biomass]]</f>
        <v>26.741085579070237</v>
      </c>
      <c r="O57">
        <f>0.213*stand_validation_1cycle[[#This Row],[stand_level_biomass]]</f>
        <v>196.40866304627448</v>
      </c>
      <c r="P57">
        <f>0.571*stand_validation_1cycle[[#This Row],[stand_level_biomass]]</f>
        <v>526.52275398790016</v>
      </c>
      <c r="Q57">
        <f>stand_validation_1cycle[[#This Row],[stock]]</f>
        <v>96</v>
      </c>
      <c r="R57">
        <v>0</v>
      </c>
      <c r="S57">
        <f>stand_validation_1cycle[[#This Row],[aws]]</f>
        <v>522.75384521484295</v>
      </c>
      <c r="T57">
        <f>stand_validation_1cycle[[#This Row],[percent_tree_cover]]*100</f>
        <v>7.9015441373504895</v>
      </c>
    </row>
    <row r="58" spans="1:20" x14ac:dyDescent="0.2">
      <c r="A58">
        <v>1</v>
      </c>
      <c r="B58" t="s">
        <v>76</v>
      </c>
      <c r="C58">
        <v>26.6853555555555</v>
      </c>
      <c r="D58">
        <v>741.911033281095</v>
      </c>
      <c r="E58">
        <v>6.7236633007504301</v>
      </c>
      <c r="F58">
        <v>25.0286949324285</v>
      </c>
      <c r="G58">
        <v>100</v>
      </c>
      <c r="H58">
        <v>565</v>
      </c>
      <c r="I58">
        <v>6.7288285343230794E-2</v>
      </c>
      <c r="K58" s="1" t="str">
        <f>TEXT(stand_validation_1cycle[[#This Row],[stand_age]], ".0")</f>
        <v>26.7</v>
      </c>
      <c r="L58" s="1" t="str">
        <f t="shared" si="0"/>
        <v>"26.7"</v>
      </c>
      <c r="M58">
        <v>100</v>
      </c>
      <c r="N58">
        <f>0.029*stand_validation_1cycle[[#This Row],[stand_level_biomass]]</f>
        <v>21.515419965151757</v>
      </c>
      <c r="O58">
        <f>0.213*stand_validation_1cycle[[#This Row],[stand_level_biomass]]</f>
        <v>158.02705008887324</v>
      </c>
      <c r="P58">
        <f>0.571*stand_validation_1cycle[[#This Row],[stand_level_biomass]]</f>
        <v>423.63120000350523</v>
      </c>
      <c r="Q58">
        <f>stand_validation_1cycle[[#This Row],[stock]]</f>
        <v>100</v>
      </c>
      <c r="R58">
        <v>0</v>
      </c>
      <c r="S58">
        <f>stand_validation_1cycle[[#This Row],[aws]]</f>
        <v>565</v>
      </c>
      <c r="T58">
        <f>stand_validation_1cycle[[#This Row],[percent_tree_cover]]*100</f>
        <v>6.7288285343230791</v>
      </c>
    </row>
    <row r="59" spans="1:20" x14ac:dyDescent="0.2">
      <c r="A59">
        <v>1</v>
      </c>
      <c r="B59" t="s">
        <v>77</v>
      </c>
      <c r="C59">
        <v>28.236088888888801</v>
      </c>
      <c r="D59">
        <v>970.41217047057398</v>
      </c>
      <c r="E59">
        <v>8.45519843026808</v>
      </c>
      <c r="F59">
        <v>28.4002204654407</v>
      </c>
      <c r="G59">
        <v>100</v>
      </c>
      <c r="H59">
        <v>638.28161621093705</v>
      </c>
      <c r="I59">
        <v>8.4248621913566801E-2</v>
      </c>
      <c r="K59" s="1" t="str">
        <f>TEXT(stand_validation_1cycle[[#This Row],[stand_age]], ".0")</f>
        <v>28.2</v>
      </c>
      <c r="L59" s="1" t="str">
        <f t="shared" si="0"/>
        <v>"28.2"</v>
      </c>
      <c r="M59">
        <v>100</v>
      </c>
      <c r="N59">
        <f>0.029*stand_validation_1cycle[[#This Row],[stand_level_biomass]]</f>
        <v>28.141952943646647</v>
      </c>
      <c r="O59">
        <f>0.213*stand_validation_1cycle[[#This Row],[stand_level_biomass]]</f>
        <v>206.69779231023224</v>
      </c>
      <c r="P59">
        <f>0.571*stand_validation_1cycle[[#This Row],[stand_level_biomass]]</f>
        <v>554.10534933869769</v>
      </c>
      <c r="Q59">
        <f>stand_validation_1cycle[[#This Row],[stock]]</f>
        <v>100</v>
      </c>
      <c r="R59">
        <v>0</v>
      </c>
      <c r="S59">
        <f>stand_validation_1cycle[[#This Row],[aws]]</f>
        <v>638.28161621093705</v>
      </c>
      <c r="T59">
        <f>stand_validation_1cycle[[#This Row],[percent_tree_cover]]*100</f>
        <v>8.4248621913566808</v>
      </c>
    </row>
    <row r="60" spans="1:20" x14ac:dyDescent="0.2">
      <c r="A60">
        <v>1</v>
      </c>
      <c r="B60" t="s">
        <v>78</v>
      </c>
      <c r="C60">
        <v>26.127422222222201</v>
      </c>
      <c r="D60">
        <v>759.12875754668198</v>
      </c>
      <c r="E60">
        <v>6.9089882075801796</v>
      </c>
      <c r="F60">
        <v>25.8237368655764</v>
      </c>
      <c r="G60">
        <v>100</v>
      </c>
      <c r="H60">
        <v>564.938232421875</v>
      </c>
      <c r="I60">
        <v>6.8858531529107495E-2</v>
      </c>
      <c r="K60" s="1" t="str">
        <f>TEXT(stand_validation_1cycle[[#This Row],[stand_age]], ".0")</f>
        <v>26.1</v>
      </c>
      <c r="L60" s="1" t="str">
        <f t="shared" si="0"/>
        <v>"26.1"</v>
      </c>
      <c r="M60">
        <v>100</v>
      </c>
      <c r="N60">
        <f>0.029*stand_validation_1cycle[[#This Row],[stand_level_biomass]]</f>
        <v>22.014733968853779</v>
      </c>
      <c r="O60">
        <f>0.213*stand_validation_1cycle[[#This Row],[stand_level_biomass]]</f>
        <v>161.69442535744327</v>
      </c>
      <c r="P60">
        <f>0.571*stand_validation_1cycle[[#This Row],[stand_level_biomass]]</f>
        <v>433.46252055915539</v>
      </c>
      <c r="Q60">
        <f>stand_validation_1cycle[[#This Row],[stock]]</f>
        <v>100</v>
      </c>
      <c r="R60">
        <v>0</v>
      </c>
      <c r="S60">
        <f>stand_validation_1cycle[[#This Row],[aws]]</f>
        <v>564.938232421875</v>
      </c>
      <c r="T60">
        <f>stand_validation_1cycle[[#This Row],[percent_tree_cover]]*100</f>
        <v>6.8858531529107498</v>
      </c>
    </row>
    <row r="61" spans="1:20" x14ac:dyDescent="0.2">
      <c r="A61">
        <v>1</v>
      </c>
      <c r="B61" t="s">
        <v>79</v>
      </c>
      <c r="C61">
        <v>26.5977</v>
      </c>
      <c r="D61">
        <v>741.50151656453102</v>
      </c>
      <c r="E61">
        <v>6.8584816078865796</v>
      </c>
      <c r="F61">
        <v>26.096859398955001</v>
      </c>
      <c r="G61">
        <v>100</v>
      </c>
      <c r="H61">
        <v>564.938232421875</v>
      </c>
      <c r="I61">
        <v>6.8348855479434395E-2</v>
      </c>
      <c r="K61" s="1" t="str">
        <f>TEXT(stand_validation_1cycle[[#This Row],[stand_age]], ".0")</f>
        <v>26.6</v>
      </c>
      <c r="L61" s="1" t="str">
        <f t="shared" si="0"/>
        <v>"26.6"</v>
      </c>
      <c r="M61">
        <v>100</v>
      </c>
      <c r="N61">
        <f>0.029*stand_validation_1cycle[[#This Row],[stand_level_biomass]]</f>
        <v>21.503543980371401</v>
      </c>
      <c r="O61">
        <f>0.213*stand_validation_1cycle[[#This Row],[stand_level_biomass]]</f>
        <v>157.93982302824512</v>
      </c>
      <c r="P61">
        <f>0.571*stand_validation_1cycle[[#This Row],[stand_level_biomass]]</f>
        <v>423.39736595834717</v>
      </c>
      <c r="Q61">
        <f>stand_validation_1cycle[[#This Row],[stock]]</f>
        <v>100</v>
      </c>
      <c r="R61">
        <v>0</v>
      </c>
      <c r="S61">
        <f>stand_validation_1cycle[[#This Row],[aws]]</f>
        <v>564.938232421875</v>
      </c>
      <c r="T61">
        <f>stand_validation_1cycle[[#This Row],[percent_tree_cover]]*100</f>
        <v>6.8348855479434398</v>
      </c>
    </row>
    <row r="62" spans="1:20" x14ac:dyDescent="0.2">
      <c r="A62">
        <v>1</v>
      </c>
      <c r="B62" t="s">
        <v>80</v>
      </c>
      <c r="C62">
        <v>27.305746352412999</v>
      </c>
      <c r="D62">
        <v>741.22878092921701</v>
      </c>
      <c r="E62">
        <v>6.7853304083459101</v>
      </c>
      <c r="F62">
        <v>25.612647541137001</v>
      </c>
      <c r="G62">
        <v>99</v>
      </c>
      <c r="H62">
        <v>564.938232421875</v>
      </c>
      <c r="I62">
        <v>6.7098278843615203E-2</v>
      </c>
      <c r="K62" s="1" t="str">
        <f>TEXT(stand_validation_1cycle[[#This Row],[stand_age]], ".0")</f>
        <v>27.3</v>
      </c>
      <c r="L62" s="1" t="str">
        <f t="shared" si="0"/>
        <v>"27.3"</v>
      </c>
      <c r="M62">
        <v>100</v>
      </c>
      <c r="N62">
        <f>0.029*stand_validation_1cycle[[#This Row],[stand_level_biomass]]</f>
        <v>21.495634646947295</v>
      </c>
      <c r="O62">
        <f>0.213*stand_validation_1cycle[[#This Row],[stand_level_biomass]]</f>
        <v>157.88173033792322</v>
      </c>
      <c r="P62">
        <f>0.571*stand_validation_1cycle[[#This Row],[stand_level_biomass]]</f>
        <v>423.24163391058289</v>
      </c>
      <c r="Q62">
        <f>stand_validation_1cycle[[#This Row],[stock]]</f>
        <v>99</v>
      </c>
      <c r="R62">
        <v>0</v>
      </c>
      <c r="S62">
        <f>stand_validation_1cycle[[#This Row],[aws]]</f>
        <v>564.938232421875</v>
      </c>
      <c r="T62">
        <f>stand_validation_1cycle[[#This Row],[percent_tree_cover]]*100</f>
        <v>6.7098278843615207</v>
      </c>
    </row>
    <row r="63" spans="1:20" x14ac:dyDescent="0.2">
      <c r="A63">
        <v>1</v>
      </c>
      <c r="B63" t="s">
        <v>81</v>
      </c>
      <c r="C63">
        <v>25.734877777777701</v>
      </c>
      <c r="D63">
        <v>649.52894478392795</v>
      </c>
      <c r="E63">
        <v>6.1480151416662299</v>
      </c>
      <c r="F63">
        <v>24.697632132347099</v>
      </c>
      <c r="G63">
        <v>100</v>
      </c>
      <c r="H63">
        <v>523.91864013671795</v>
      </c>
      <c r="I63">
        <v>6.1269382768946799E-2</v>
      </c>
      <c r="K63" s="1" t="str">
        <f>TEXT(stand_validation_1cycle[[#This Row],[stand_age]], ".0")</f>
        <v>25.7</v>
      </c>
      <c r="L63" s="1" t="str">
        <f t="shared" si="0"/>
        <v>"25.7"</v>
      </c>
      <c r="M63">
        <v>100</v>
      </c>
      <c r="N63">
        <f>0.029*stand_validation_1cycle[[#This Row],[stand_level_biomass]]</f>
        <v>18.836339398733912</v>
      </c>
      <c r="O63">
        <f>0.213*stand_validation_1cycle[[#This Row],[stand_level_biomass]]</f>
        <v>138.34966523897666</v>
      </c>
      <c r="P63">
        <f>0.571*stand_validation_1cycle[[#This Row],[stand_level_biomass]]</f>
        <v>370.88102747162282</v>
      </c>
      <c r="Q63">
        <f>stand_validation_1cycle[[#This Row],[stock]]</f>
        <v>100</v>
      </c>
      <c r="R63">
        <v>0</v>
      </c>
      <c r="S63">
        <f>stand_validation_1cycle[[#This Row],[aws]]</f>
        <v>523.91864013671795</v>
      </c>
      <c r="T63">
        <f>stand_validation_1cycle[[#This Row],[percent_tree_cover]]*100</f>
        <v>6.1269382768946796</v>
      </c>
    </row>
    <row r="64" spans="1:20" x14ac:dyDescent="0.2">
      <c r="A64">
        <v>1</v>
      </c>
      <c r="B64" t="s">
        <v>82</v>
      </c>
      <c r="C64">
        <v>27.3586888888888</v>
      </c>
      <c r="D64">
        <v>957.93485910236302</v>
      </c>
      <c r="E64">
        <v>8.2234462818054102</v>
      </c>
      <c r="F64">
        <v>27.2885510655357</v>
      </c>
      <c r="G64">
        <v>100</v>
      </c>
      <c r="H64">
        <v>523.19219970703102</v>
      </c>
      <c r="I64">
        <v>8.1937817611281605E-2</v>
      </c>
      <c r="K64" s="1" t="str">
        <f>TEXT(stand_validation_1cycle[[#This Row],[stand_age]], ".0")</f>
        <v>27.4</v>
      </c>
      <c r="L64" s="1" t="str">
        <f t="shared" si="0"/>
        <v>"27.4"</v>
      </c>
      <c r="M64">
        <v>100</v>
      </c>
      <c r="N64">
        <f>0.029*stand_validation_1cycle[[#This Row],[stand_level_biomass]]</f>
        <v>27.780110913968528</v>
      </c>
      <c r="O64">
        <f>0.213*stand_validation_1cycle[[#This Row],[stand_level_biomass]]</f>
        <v>204.04012498880331</v>
      </c>
      <c r="P64">
        <f>0.571*stand_validation_1cycle[[#This Row],[stand_level_biomass]]</f>
        <v>546.98080454744922</v>
      </c>
      <c r="Q64">
        <f>stand_validation_1cycle[[#This Row],[stock]]</f>
        <v>100</v>
      </c>
      <c r="R64">
        <v>0</v>
      </c>
      <c r="S64">
        <f>stand_validation_1cycle[[#This Row],[aws]]</f>
        <v>523.19219970703102</v>
      </c>
      <c r="T64">
        <f>stand_validation_1cycle[[#This Row],[percent_tree_cover]]*100</f>
        <v>8.1937817611281609</v>
      </c>
    </row>
    <row r="65" spans="1:20" x14ac:dyDescent="0.2">
      <c r="A65">
        <v>1</v>
      </c>
      <c r="B65" t="s">
        <v>83</v>
      </c>
      <c r="C65">
        <v>29.1735222222222</v>
      </c>
      <c r="D65">
        <v>1073.5711290330401</v>
      </c>
      <c r="E65">
        <v>9.2510957963138303</v>
      </c>
      <c r="F65">
        <v>29.573972932129902</v>
      </c>
      <c r="G65">
        <v>100</v>
      </c>
      <c r="H65">
        <v>524.75549316406205</v>
      </c>
      <c r="I65">
        <v>9.2171385274696899E-2</v>
      </c>
      <c r="K65" s="1" t="str">
        <f>TEXT(stand_validation_1cycle[[#This Row],[stand_age]], ".0")</f>
        <v>29.2</v>
      </c>
      <c r="L65" s="1" t="str">
        <f t="shared" si="0"/>
        <v>"29.2"</v>
      </c>
      <c r="M65">
        <v>100</v>
      </c>
      <c r="N65">
        <f>0.029*stand_validation_1cycle[[#This Row],[stand_level_biomass]]</f>
        <v>31.133562741958162</v>
      </c>
      <c r="O65">
        <f>0.213*stand_validation_1cycle[[#This Row],[stand_level_biomass]]</f>
        <v>228.67065048403754</v>
      </c>
      <c r="P65">
        <f>0.571*stand_validation_1cycle[[#This Row],[stand_level_biomass]]</f>
        <v>613.0091146778658</v>
      </c>
      <c r="Q65">
        <f>stand_validation_1cycle[[#This Row],[stock]]</f>
        <v>100</v>
      </c>
      <c r="R65">
        <v>0</v>
      </c>
      <c r="S65">
        <f>stand_validation_1cycle[[#This Row],[aws]]</f>
        <v>524.75549316406205</v>
      </c>
      <c r="T65">
        <f>stand_validation_1cycle[[#This Row],[percent_tree_cover]]*100</f>
        <v>9.2171385274696895</v>
      </c>
    </row>
    <row r="66" spans="1:20" x14ac:dyDescent="0.2">
      <c r="A66">
        <v>1</v>
      </c>
      <c r="B66" t="s">
        <v>84</v>
      </c>
      <c r="C66">
        <v>28.375333333333302</v>
      </c>
      <c r="D66">
        <v>890.07981442557298</v>
      </c>
      <c r="E66">
        <v>7.8894926265343299</v>
      </c>
      <c r="F66">
        <v>27.299797665684899</v>
      </c>
      <c r="G66">
        <v>100</v>
      </c>
      <c r="H66">
        <v>574.25891113281205</v>
      </c>
      <c r="I66">
        <v>7.8602111771667996E-2</v>
      </c>
      <c r="K66" s="1" t="str">
        <f>TEXT(stand_validation_1cycle[[#This Row],[stand_age]], ".0")</f>
        <v>28.4</v>
      </c>
      <c r="L66" s="1" t="str">
        <f t="shared" si="0"/>
        <v>"28.4"</v>
      </c>
      <c r="M66">
        <v>100</v>
      </c>
      <c r="N66">
        <f>0.029*stand_validation_1cycle[[#This Row],[stand_level_biomass]]</f>
        <v>25.812314618341617</v>
      </c>
      <c r="O66">
        <f>0.213*stand_validation_1cycle[[#This Row],[stand_level_biomass]]</f>
        <v>189.58700047264705</v>
      </c>
      <c r="P66">
        <f>0.571*stand_validation_1cycle[[#This Row],[stand_level_biomass]]</f>
        <v>508.23557403700215</v>
      </c>
      <c r="Q66">
        <f>stand_validation_1cycle[[#This Row],[stock]]</f>
        <v>100</v>
      </c>
      <c r="R66">
        <v>0</v>
      </c>
      <c r="S66">
        <f>stand_validation_1cycle[[#This Row],[aws]]</f>
        <v>574.25891113281205</v>
      </c>
      <c r="T66">
        <f>stand_validation_1cycle[[#This Row],[percent_tree_cover]]*100</f>
        <v>7.8602111771668</v>
      </c>
    </row>
    <row r="67" spans="1:20" x14ac:dyDescent="0.2">
      <c r="A67">
        <v>1</v>
      </c>
      <c r="B67" t="s">
        <v>85</v>
      </c>
      <c r="C67">
        <v>27.542622222222199</v>
      </c>
      <c r="D67">
        <v>968.57116670805897</v>
      </c>
      <c r="E67">
        <v>8.41618534729764</v>
      </c>
      <c r="F67">
        <v>28.017504264260001</v>
      </c>
      <c r="G67">
        <v>100</v>
      </c>
      <c r="H67">
        <v>572.136474609375</v>
      </c>
      <c r="I67">
        <v>8.3852021119382697E-2</v>
      </c>
      <c r="K67" s="1" t="str">
        <f>TEXT(stand_validation_1cycle[[#This Row],[stand_age]], ".0")</f>
        <v>27.5</v>
      </c>
      <c r="L67" s="1" t="str">
        <f t="shared" ref="L67:L130" si="1">""""&amp;K67&amp;""""</f>
        <v>"27.5"</v>
      </c>
      <c r="M67">
        <v>100</v>
      </c>
      <c r="N67">
        <f>0.029*stand_validation_1cycle[[#This Row],[stand_level_biomass]]</f>
        <v>28.088563834533712</v>
      </c>
      <c r="O67">
        <f>0.213*stand_validation_1cycle[[#This Row],[stand_level_biomass]]</f>
        <v>206.30565850881655</v>
      </c>
      <c r="P67">
        <f>0.571*stand_validation_1cycle[[#This Row],[stand_level_biomass]]</f>
        <v>553.05413619030162</v>
      </c>
      <c r="Q67">
        <f>stand_validation_1cycle[[#This Row],[stock]]</f>
        <v>100</v>
      </c>
      <c r="R67">
        <v>0</v>
      </c>
      <c r="S67">
        <f>stand_validation_1cycle[[#This Row],[aws]]</f>
        <v>572.136474609375</v>
      </c>
      <c r="T67">
        <f>stand_validation_1cycle[[#This Row],[percent_tree_cover]]*100</f>
        <v>8.3852021119382698</v>
      </c>
    </row>
    <row r="68" spans="1:20" x14ac:dyDescent="0.2">
      <c r="A68">
        <v>1</v>
      </c>
      <c r="B68" t="s">
        <v>86</v>
      </c>
      <c r="C68">
        <v>25.945188888888801</v>
      </c>
      <c r="D68">
        <v>688.89969987276697</v>
      </c>
      <c r="E68">
        <v>6.3055581592621204</v>
      </c>
      <c r="F68">
        <v>24.263921179197101</v>
      </c>
      <c r="G68">
        <v>100</v>
      </c>
      <c r="H68">
        <v>616</v>
      </c>
      <c r="I68">
        <v>6.2820165402238407E-2</v>
      </c>
      <c r="K68" s="1" t="str">
        <f>TEXT(stand_validation_1cycle[[#This Row],[stand_age]], ".0")</f>
        <v>25.9</v>
      </c>
      <c r="L68" s="1" t="str">
        <f t="shared" si="1"/>
        <v>"25.9"</v>
      </c>
      <c r="M68">
        <v>100</v>
      </c>
      <c r="N68">
        <f>0.029*stand_validation_1cycle[[#This Row],[stand_level_biomass]]</f>
        <v>19.978091296310243</v>
      </c>
      <c r="O68">
        <f>0.213*stand_validation_1cycle[[#This Row],[stand_level_biomass]]</f>
        <v>146.73563607289935</v>
      </c>
      <c r="P68">
        <f>0.571*stand_validation_1cycle[[#This Row],[stand_level_biomass]]</f>
        <v>393.36172862734992</v>
      </c>
      <c r="Q68">
        <f>stand_validation_1cycle[[#This Row],[stock]]</f>
        <v>100</v>
      </c>
      <c r="R68">
        <v>0</v>
      </c>
      <c r="S68">
        <f>stand_validation_1cycle[[#This Row],[aws]]</f>
        <v>616</v>
      </c>
      <c r="T68">
        <f>stand_validation_1cycle[[#This Row],[percent_tree_cover]]*100</f>
        <v>6.2820165402238404</v>
      </c>
    </row>
    <row r="69" spans="1:20" x14ac:dyDescent="0.2">
      <c r="A69">
        <v>1</v>
      </c>
      <c r="B69" t="s">
        <v>87</v>
      </c>
      <c r="C69">
        <v>26.8083777777777</v>
      </c>
      <c r="D69">
        <v>861.61391066423698</v>
      </c>
      <c r="E69">
        <v>7.5856746987928103</v>
      </c>
      <c r="F69">
        <v>26.180150188458502</v>
      </c>
      <c r="G69">
        <v>100</v>
      </c>
      <c r="H69">
        <v>569.006591796875</v>
      </c>
      <c r="I69">
        <v>7.5578263856976496E-2</v>
      </c>
      <c r="K69" s="1" t="str">
        <f>TEXT(stand_validation_1cycle[[#This Row],[stand_age]], ".0")</f>
        <v>26.8</v>
      </c>
      <c r="L69" s="1" t="str">
        <f t="shared" si="1"/>
        <v>"26.8"</v>
      </c>
      <c r="M69">
        <v>100</v>
      </c>
      <c r="N69">
        <f>0.029*stand_validation_1cycle[[#This Row],[stand_level_biomass]]</f>
        <v>24.986803409262873</v>
      </c>
      <c r="O69">
        <f>0.213*stand_validation_1cycle[[#This Row],[stand_level_biomass]]</f>
        <v>183.52376297148248</v>
      </c>
      <c r="P69">
        <f>0.571*stand_validation_1cycle[[#This Row],[stand_level_biomass]]</f>
        <v>491.98154298927926</v>
      </c>
      <c r="Q69">
        <f>stand_validation_1cycle[[#This Row],[stock]]</f>
        <v>100</v>
      </c>
      <c r="R69">
        <v>0</v>
      </c>
      <c r="S69">
        <f>stand_validation_1cycle[[#This Row],[aws]]</f>
        <v>569.006591796875</v>
      </c>
      <c r="T69">
        <f>stand_validation_1cycle[[#This Row],[percent_tree_cover]]*100</f>
        <v>7.5578263856976493</v>
      </c>
    </row>
    <row r="70" spans="1:20" x14ac:dyDescent="0.2">
      <c r="A70">
        <v>1</v>
      </c>
      <c r="B70" t="s">
        <v>88</v>
      </c>
      <c r="C70">
        <v>25.175074074074001</v>
      </c>
      <c r="D70">
        <v>620.56663995013798</v>
      </c>
      <c r="E70">
        <v>5.37496265199922</v>
      </c>
      <c r="F70">
        <v>24.519856103538</v>
      </c>
      <c r="G70">
        <v>90</v>
      </c>
      <c r="H70">
        <v>566.54302978515602</v>
      </c>
      <c r="I70">
        <v>5.8629415850844802E-2</v>
      </c>
      <c r="K70" s="1" t="str">
        <f>TEXT(stand_validation_1cycle[[#This Row],[stand_age]], ".0")</f>
        <v>25.2</v>
      </c>
      <c r="L70" s="1" t="str">
        <f t="shared" si="1"/>
        <v>"25.2"</v>
      </c>
      <c r="M70">
        <v>100</v>
      </c>
      <c r="N70">
        <f>0.029*stand_validation_1cycle[[#This Row],[stand_level_biomass]]</f>
        <v>17.996432558554002</v>
      </c>
      <c r="O70">
        <f>0.213*stand_validation_1cycle[[#This Row],[stand_level_biomass]]</f>
        <v>132.18069430937939</v>
      </c>
      <c r="P70">
        <f>0.571*stand_validation_1cycle[[#This Row],[stand_level_biomass]]</f>
        <v>354.34355141152878</v>
      </c>
      <c r="Q70">
        <f>stand_validation_1cycle[[#This Row],[stock]]</f>
        <v>90</v>
      </c>
      <c r="R70">
        <v>0</v>
      </c>
      <c r="S70">
        <f>stand_validation_1cycle[[#This Row],[aws]]</f>
        <v>566.54302978515602</v>
      </c>
      <c r="T70">
        <f>stand_validation_1cycle[[#This Row],[percent_tree_cover]]*100</f>
        <v>5.8629415850844797</v>
      </c>
    </row>
    <row r="71" spans="1:20" x14ac:dyDescent="0.2">
      <c r="A71">
        <v>1</v>
      </c>
      <c r="B71" t="s">
        <v>89</v>
      </c>
      <c r="C71">
        <v>27.7968233618233</v>
      </c>
      <c r="D71">
        <v>1014.55605576237</v>
      </c>
      <c r="E71">
        <v>6.8649792068923698</v>
      </c>
      <c r="F71">
        <v>28.671149716675799</v>
      </c>
      <c r="G71">
        <v>78</v>
      </c>
      <c r="H71">
        <v>567.49822998046795</v>
      </c>
      <c r="I71">
        <v>8.7572201026525701E-2</v>
      </c>
      <c r="K71" s="1" t="str">
        <f>TEXT(stand_validation_1cycle[[#This Row],[stand_age]], ".0")</f>
        <v>27.8</v>
      </c>
      <c r="L71" s="1" t="str">
        <f t="shared" si="1"/>
        <v>"27.8"</v>
      </c>
      <c r="M71">
        <v>100</v>
      </c>
      <c r="N71">
        <f>0.029*stand_validation_1cycle[[#This Row],[stand_level_biomass]]</f>
        <v>29.42212561710873</v>
      </c>
      <c r="O71">
        <f>0.213*stand_validation_1cycle[[#This Row],[stand_level_biomass]]</f>
        <v>216.10043987738479</v>
      </c>
      <c r="P71">
        <f>0.571*stand_validation_1cycle[[#This Row],[stand_level_biomass]]</f>
        <v>579.3115078403132</v>
      </c>
      <c r="Q71">
        <f>stand_validation_1cycle[[#This Row],[stock]]</f>
        <v>78</v>
      </c>
      <c r="R71">
        <v>0</v>
      </c>
      <c r="S71">
        <f>stand_validation_1cycle[[#This Row],[aws]]</f>
        <v>567.49822998046795</v>
      </c>
      <c r="T71">
        <f>stand_validation_1cycle[[#This Row],[percent_tree_cover]]*100</f>
        <v>8.7572201026525693</v>
      </c>
    </row>
    <row r="72" spans="1:20" x14ac:dyDescent="0.2">
      <c r="A72">
        <v>1</v>
      </c>
      <c r="B72" t="s">
        <v>90</v>
      </c>
      <c r="C72">
        <v>28.3795959595959</v>
      </c>
      <c r="D72">
        <v>1082.83236706912</v>
      </c>
      <c r="E72">
        <v>9.1619633149443391</v>
      </c>
      <c r="F72">
        <v>29.094709954351998</v>
      </c>
      <c r="G72">
        <v>99</v>
      </c>
      <c r="H72">
        <v>567.95416259765602</v>
      </c>
      <c r="I72">
        <v>9.0970360445062404E-2</v>
      </c>
      <c r="K72" s="1" t="str">
        <f>TEXT(stand_validation_1cycle[[#This Row],[stand_age]], ".0")</f>
        <v>28.4</v>
      </c>
      <c r="L72" s="1" t="str">
        <f t="shared" si="1"/>
        <v>"28.4"</v>
      </c>
      <c r="M72">
        <v>100</v>
      </c>
      <c r="N72">
        <f>0.029*stand_validation_1cycle[[#This Row],[stand_level_biomass]]</f>
        <v>31.402138645004481</v>
      </c>
      <c r="O72">
        <f>0.213*stand_validation_1cycle[[#This Row],[stand_level_biomass]]</f>
        <v>230.64329418572254</v>
      </c>
      <c r="P72">
        <f>0.571*stand_validation_1cycle[[#This Row],[stand_level_biomass]]</f>
        <v>618.29728159646743</v>
      </c>
      <c r="Q72">
        <f>stand_validation_1cycle[[#This Row],[stock]]</f>
        <v>99</v>
      </c>
      <c r="R72">
        <v>0</v>
      </c>
      <c r="S72">
        <f>stand_validation_1cycle[[#This Row],[aws]]</f>
        <v>567.95416259765602</v>
      </c>
      <c r="T72">
        <f>stand_validation_1cycle[[#This Row],[percent_tree_cover]]*100</f>
        <v>9.0970360445062397</v>
      </c>
    </row>
    <row r="73" spans="1:20" x14ac:dyDescent="0.2">
      <c r="A73">
        <v>1</v>
      </c>
      <c r="B73" t="s">
        <v>91</v>
      </c>
      <c r="C73">
        <v>27.574544444444399</v>
      </c>
      <c r="D73">
        <v>828.07461907224899</v>
      </c>
      <c r="E73">
        <v>7.4277264157446004</v>
      </c>
      <c r="F73">
        <v>26.524692931369898</v>
      </c>
      <c r="G73">
        <v>100</v>
      </c>
      <c r="H73">
        <v>576.51885986328102</v>
      </c>
      <c r="I73">
        <v>7.4002477354840002E-2</v>
      </c>
      <c r="K73" s="1" t="str">
        <f>TEXT(stand_validation_1cycle[[#This Row],[stand_age]], ".0")</f>
        <v>27.6</v>
      </c>
      <c r="L73" s="1" t="str">
        <f t="shared" si="1"/>
        <v>"27.6"</v>
      </c>
      <c r="M73">
        <v>100</v>
      </c>
      <c r="N73">
        <f>0.029*stand_validation_1cycle[[#This Row],[stand_level_biomass]]</f>
        <v>24.01416395309522</v>
      </c>
      <c r="O73">
        <f>0.213*stand_validation_1cycle[[#This Row],[stand_level_biomass]]</f>
        <v>176.37989386238903</v>
      </c>
      <c r="P73">
        <f>0.571*stand_validation_1cycle[[#This Row],[stand_level_biomass]]</f>
        <v>472.83060749025412</v>
      </c>
      <c r="Q73">
        <f>stand_validation_1cycle[[#This Row],[stock]]</f>
        <v>100</v>
      </c>
      <c r="R73">
        <v>0</v>
      </c>
      <c r="S73">
        <f>stand_validation_1cycle[[#This Row],[aws]]</f>
        <v>576.51885986328102</v>
      </c>
      <c r="T73">
        <f>stand_validation_1cycle[[#This Row],[percent_tree_cover]]*100</f>
        <v>7.4002477354840002</v>
      </c>
    </row>
    <row r="74" spans="1:20" x14ac:dyDescent="0.2">
      <c r="A74">
        <v>1</v>
      </c>
      <c r="B74" t="s">
        <v>92</v>
      </c>
      <c r="C74">
        <v>25.764421534937</v>
      </c>
      <c r="D74">
        <v>700.81450805887505</v>
      </c>
      <c r="E74">
        <v>6.2839463579999197</v>
      </c>
      <c r="F74">
        <v>24.882528127559599</v>
      </c>
      <c r="G74">
        <v>97</v>
      </c>
      <c r="H74">
        <v>567.564453125</v>
      </c>
      <c r="I74">
        <v>6.4098260085940301E-2</v>
      </c>
      <c r="K74" s="1" t="str">
        <f>TEXT(stand_validation_1cycle[[#This Row],[stand_age]], ".0")</f>
        <v>25.8</v>
      </c>
      <c r="L74" s="1" t="str">
        <f t="shared" si="1"/>
        <v>"25.8"</v>
      </c>
      <c r="M74">
        <v>100</v>
      </c>
      <c r="N74">
        <f>0.029*stand_validation_1cycle[[#This Row],[stand_level_biomass]]</f>
        <v>20.323620733707376</v>
      </c>
      <c r="O74">
        <f>0.213*stand_validation_1cycle[[#This Row],[stand_level_biomass]]</f>
        <v>149.27349021654038</v>
      </c>
      <c r="P74">
        <f>0.571*stand_validation_1cycle[[#This Row],[stand_level_biomass]]</f>
        <v>400.16508410161759</v>
      </c>
      <c r="Q74">
        <f>stand_validation_1cycle[[#This Row],[stock]]</f>
        <v>97</v>
      </c>
      <c r="R74">
        <v>0</v>
      </c>
      <c r="S74">
        <f>stand_validation_1cycle[[#This Row],[aws]]</f>
        <v>567.564453125</v>
      </c>
      <c r="T74">
        <f>stand_validation_1cycle[[#This Row],[percent_tree_cover]]*100</f>
        <v>6.4098260085940302</v>
      </c>
    </row>
    <row r="75" spans="1:20" x14ac:dyDescent="0.2">
      <c r="A75">
        <v>1</v>
      </c>
      <c r="B75" t="s">
        <v>93</v>
      </c>
      <c r="C75">
        <v>28.3791578947368</v>
      </c>
      <c r="D75">
        <v>806.03935103638696</v>
      </c>
      <c r="E75">
        <v>7.1786460276028903</v>
      </c>
      <c r="F75">
        <v>26.964755227108199</v>
      </c>
      <c r="G75">
        <v>95</v>
      </c>
      <c r="H75">
        <v>566.47930908203102</v>
      </c>
      <c r="I75">
        <v>7.2060432780722702E-2</v>
      </c>
      <c r="K75" s="1" t="str">
        <f>TEXT(stand_validation_1cycle[[#This Row],[stand_age]], ".0")</f>
        <v>28.4</v>
      </c>
      <c r="L75" s="1" t="str">
        <f t="shared" si="1"/>
        <v>"28.4"</v>
      </c>
      <c r="M75">
        <v>100</v>
      </c>
      <c r="N75">
        <f>0.029*stand_validation_1cycle[[#This Row],[stand_level_biomass]]</f>
        <v>23.375141180055223</v>
      </c>
      <c r="O75">
        <f>0.213*stand_validation_1cycle[[#This Row],[stand_level_biomass]]</f>
        <v>171.68638177075042</v>
      </c>
      <c r="P75">
        <f>0.571*stand_validation_1cycle[[#This Row],[stand_level_biomass]]</f>
        <v>460.24846944177693</v>
      </c>
      <c r="Q75">
        <f>stand_validation_1cycle[[#This Row],[stock]]</f>
        <v>95</v>
      </c>
      <c r="R75">
        <v>0</v>
      </c>
      <c r="S75">
        <f>stand_validation_1cycle[[#This Row],[aws]]</f>
        <v>566.47930908203102</v>
      </c>
      <c r="T75">
        <f>stand_validation_1cycle[[#This Row],[percent_tree_cover]]*100</f>
        <v>7.2060432780722703</v>
      </c>
    </row>
    <row r="76" spans="1:20" x14ac:dyDescent="0.2">
      <c r="A76">
        <v>1</v>
      </c>
      <c r="B76" t="s">
        <v>94</v>
      </c>
      <c r="C76">
        <v>28.592165242165201</v>
      </c>
      <c r="D76">
        <v>837.15257321310003</v>
      </c>
      <c r="E76">
        <v>2.9109864010475199</v>
      </c>
      <c r="F76">
        <v>26.714962734161102</v>
      </c>
      <c r="G76">
        <v>39</v>
      </c>
      <c r="H76">
        <v>566.47930908203102</v>
      </c>
      <c r="I76">
        <v>8.1270753582388097E-2</v>
      </c>
      <c r="K76" s="1" t="str">
        <f>TEXT(stand_validation_1cycle[[#This Row],[stand_age]], ".0")</f>
        <v>28.6</v>
      </c>
      <c r="L76" s="1" t="str">
        <f t="shared" si="1"/>
        <v>"28.6"</v>
      </c>
      <c r="M76">
        <v>100</v>
      </c>
      <c r="N76">
        <f>0.029*stand_validation_1cycle[[#This Row],[stand_level_biomass]]</f>
        <v>24.2774246231799</v>
      </c>
      <c r="O76">
        <f>0.213*stand_validation_1cycle[[#This Row],[stand_level_biomass]]</f>
        <v>178.3134980943903</v>
      </c>
      <c r="P76">
        <f>0.571*stand_validation_1cycle[[#This Row],[stand_level_biomass]]</f>
        <v>478.01411930468009</v>
      </c>
      <c r="Q76">
        <f>stand_validation_1cycle[[#This Row],[stock]]</f>
        <v>39</v>
      </c>
      <c r="R76">
        <v>0</v>
      </c>
      <c r="S76">
        <f>stand_validation_1cycle[[#This Row],[aws]]</f>
        <v>566.47930908203102</v>
      </c>
      <c r="T76">
        <f>stand_validation_1cycle[[#This Row],[percent_tree_cover]]*100</f>
        <v>8.1270753582388089</v>
      </c>
    </row>
    <row r="77" spans="1:20" x14ac:dyDescent="0.2">
      <c r="A77">
        <v>1</v>
      </c>
      <c r="B77" t="s">
        <v>95</v>
      </c>
      <c r="C77">
        <v>27.3210265700483</v>
      </c>
      <c r="D77">
        <v>813.19278932819304</v>
      </c>
      <c r="E77">
        <v>6.6643013367645203</v>
      </c>
      <c r="F77">
        <v>25.886475422650602</v>
      </c>
      <c r="G77">
        <v>92</v>
      </c>
      <c r="H77">
        <v>524.61187744140602</v>
      </c>
      <c r="I77">
        <v>7.1900269400325401E-2</v>
      </c>
      <c r="K77" s="1" t="str">
        <f>TEXT(stand_validation_1cycle[[#This Row],[stand_age]], ".0")</f>
        <v>27.3</v>
      </c>
      <c r="L77" s="1" t="str">
        <f t="shared" si="1"/>
        <v>"27.3"</v>
      </c>
      <c r="M77">
        <v>100</v>
      </c>
      <c r="N77">
        <f>0.029*stand_validation_1cycle[[#This Row],[stand_level_biomass]]</f>
        <v>23.582590890517601</v>
      </c>
      <c r="O77">
        <f>0.213*stand_validation_1cycle[[#This Row],[stand_level_biomass]]</f>
        <v>173.21006412690511</v>
      </c>
      <c r="P77">
        <f>0.571*stand_validation_1cycle[[#This Row],[stand_level_biomass]]</f>
        <v>464.33308270639822</v>
      </c>
      <c r="Q77">
        <f>stand_validation_1cycle[[#This Row],[stock]]</f>
        <v>92</v>
      </c>
      <c r="R77">
        <v>0</v>
      </c>
      <c r="S77">
        <f>stand_validation_1cycle[[#This Row],[aws]]</f>
        <v>524.61187744140602</v>
      </c>
      <c r="T77">
        <f>stand_validation_1cycle[[#This Row],[percent_tree_cover]]*100</f>
        <v>7.1900269400325403</v>
      </c>
    </row>
    <row r="78" spans="1:20" x14ac:dyDescent="0.2">
      <c r="A78">
        <v>1</v>
      </c>
      <c r="B78" t="s">
        <v>96</v>
      </c>
      <c r="C78">
        <v>27.1139955106621</v>
      </c>
      <c r="D78">
        <v>882.26855546961599</v>
      </c>
      <c r="E78">
        <v>7.7578049164774798</v>
      </c>
      <c r="F78">
        <v>27.114317881258199</v>
      </c>
      <c r="G78">
        <v>99</v>
      </c>
      <c r="H78">
        <v>524.61187744140602</v>
      </c>
      <c r="I78">
        <v>7.7055349645354806E-2</v>
      </c>
      <c r="K78" s="1" t="str">
        <f>TEXT(stand_validation_1cycle[[#This Row],[stand_age]], ".0")</f>
        <v>27.1</v>
      </c>
      <c r="L78" s="1" t="str">
        <f t="shared" si="1"/>
        <v>"27.1"</v>
      </c>
      <c r="M78">
        <v>100</v>
      </c>
      <c r="N78">
        <f>0.029*stand_validation_1cycle[[#This Row],[stand_level_biomass]]</f>
        <v>25.585788108618864</v>
      </c>
      <c r="O78">
        <f>0.213*stand_validation_1cycle[[#This Row],[stand_level_biomass]]</f>
        <v>187.92320231502819</v>
      </c>
      <c r="P78">
        <f>0.571*stand_validation_1cycle[[#This Row],[stand_level_biomass]]</f>
        <v>503.7753451731507</v>
      </c>
      <c r="Q78">
        <f>stand_validation_1cycle[[#This Row],[stock]]</f>
        <v>99</v>
      </c>
      <c r="R78">
        <v>0</v>
      </c>
      <c r="S78">
        <f>stand_validation_1cycle[[#This Row],[aws]]</f>
        <v>524.61187744140602</v>
      </c>
      <c r="T78">
        <f>stand_validation_1cycle[[#This Row],[percent_tree_cover]]*100</f>
        <v>7.7055349645354809</v>
      </c>
    </row>
    <row r="79" spans="1:20" x14ac:dyDescent="0.2">
      <c r="A79">
        <v>1</v>
      </c>
      <c r="B79" t="s">
        <v>97</v>
      </c>
      <c r="C79">
        <v>26.035722222222201</v>
      </c>
      <c r="D79">
        <v>694.24446564547998</v>
      </c>
      <c r="E79">
        <v>6.4188432049523998</v>
      </c>
      <c r="F79">
        <v>24.9703220551885</v>
      </c>
      <c r="G79">
        <v>100</v>
      </c>
      <c r="H79">
        <v>525.37542724609295</v>
      </c>
      <c r="I79">
        <v>6.3948798334671E-2</v>
      </c>
      <c r="K79" s="1" t="str">
        <f>TEXT(stand_validation_1cycle[[#This Row],[stand_age]], ".0")</f>
        <v>26.0</v>
      </c>
      <c r="L79" s="1" t="str">
        <f t="shared" si="1"/>
        <v>"26.0"</v>
      </c>
      <c r="M79">
        <v>100</v>
      </c>
      <c r="N79">
        <f>0.029*stand_validation_1cycle[[#This Row],[stand_level_biomass]]</f>
        <v>20.133089503718921</v>
      </c>
      <c r="O79">
        <f>0.213*stand_validation_1cycle[[#This Row],[stand_level_biomass]]</f>
        <v>147.87407118248723</v>
      </c>
      <c r="P79">
        <f>0.571*stand_validation_1cycle[[#This Row],[stand_level_biomass]]</f>
        <v>396.41358988356905</v>
      </c>
      <c r="Q79">
        <f>stand_validation_1cycle[[#This Row],[stock]]</f>
        <v>100</v>
      </c>
      <c r="R79">
        <v>0</v>
      </c>
      <c r="S79">
        <f>stand_validation_1cycle[[#This Row],[aws]]</f>
        <v>525.37542724609295</v>
      </c>
      <c r="T79">
        <f>stand_validation_1cycle[[#This Row],[percent_tree_cover]]*100</f>
        <v>6.3948798334671002</v>
      </c>
    </row>
    <row r="80" spans="1:20" x14ac:dyDescent="0.2">
      <c r="A80">
        <v>1</v>
      </c>
      <c r="B80" t="s">
        <v>98</v>
      </c>
      <c r="C80">
        <v>24.971788888888799</v>
      </c>
      <c r="D80">
        <v>755.51364300925195</v>
      </c>
      <c r="E80">
        <v>6.9150781849391603</v>
      </c>
      <c r="F80">
        <v>26.063063732048501</v>
      </c>
      <c r="G80">
        <v>100</v>
      </c>
      <c r="H80">
        <v>524.13806152343705</v>
      </c>
      <c r="I80">
        <v>6.8940266433852301E-2</v>
      </c>
      <c r="K80" s="1" t="str">
        <f>TEXT(stand_validation_1cycle[[#This Row],[stand_age]], ".0")</f>
        <v>25.0</v>
      </c>
      <c r="L80" s="1" t="str">
        <f t="shared" si="1"/>
        <v>"25.0"</v>
      </c>
      <c r="M80">
        <v>100</v>
      </c>
      <c r="N80">
        <f>0.029*stand_validation_1cycle[[#This Row],[stand_level_biomass]]</f>
        <v>21.909895647268307</v>
      </c>
      <c r="O80">
        <f>0.213*stand_validation_1cycle[[#This Row],[stand_level_biomass]]</f>
        <v>160.92440596097066</v>
      </c>
      <c r="P80">
        <f>0.571*stand_validation_1cycle[[#This Row],[stand_level_biomass]]</f>
        <v>431.3982901582828</v>
      </c>
      <c r="Q80">
        <f>stand_validation_1cycle[[#This Row],[stock]]</f>
        <v>100</v>
      </c>
      <c r="R80">
        <v>0</v>
      </c>
      <c r="S80">
        <f>stand_validation_1cycle[[#This Row],[aws]]</f>
        <v>524.13806152343705</v>
      </c>
      <c r="T80">
        <f>stand_validation_1cycle[[#This Row],[percent_tree_cover]]*100</f>
        <v>6.8940266433852297</v>
      </c>
    </row>
    <row r="81" spans="1:20" x14ac:dyDescent="0.2">
      <c r="A81">
        <v>1</v>
      </c>
      <c r="B81" t="s">
        <v>99</v>
      </c>
      <c r="C81">
        <v>29.4451964085297</v>
      </c>
      <c r="D81">
        <v>1057.64956777716</v>
      </c>
      <c r="E81">
        <v>8.9055645867160997</v>
      </c>
      <c r="F81">
        <v>28.2773715815411</v>
      </c>
      <c r="G81">
        <v>99</v>
      </c>
      <c r="H81">
        <v>566</v>
      </c>
      <c r="I81">
        <v>8.8451498984799204E-2</v>
      </c>
      <c r="K81" s="1" t="str">
        <f>TEXT(stand_validation_1cycle[[#This Row],[stand_age]], ".0")</f>
        <v>29.4</v>
      </c>
      <c r="L81" s="1" t="str">
        <f t="shared" si="1"/>
        <v>"29.4"</v>
      </c>
      <c r="M81">
        <v>100</v>
      </c>
      <c r="N81">
        <f>0.029*stand_validation_1cycle[[#This Row],[stand_level_biomass]]</f>
        <v>30.671837465537642</v>
      </c>
      <c r="O81">
        <f>0.213*stand_validation_1cycle[[#This Row],[stand_level_biomass]]</f>
        <v>225.27935793653506</v>
      </c>
      <c r="P81">
        <f>0.571*stand_validation_1cycle[[#This Row],[stand_level_biomass]]</f>
        <v>603.91790320075825</v>
      </c>
      <c r="Q81">
        <f>stand_validation_1cycle[[#This Row],[stock]]</f>
        <v>99</v>
      </c>
      <c r="R81">
        <v>0</v>
      </c>
      <c r="S81">
        <f>stand_validation_1cycle[[#This Row],[aws]]</f>
        <v>566</v>
      </c>
      <c r="T81">
        <f>stand_validation_1cycle[[#This Row],[percent_tree_cover]]*100</f>
        <v>8.8451498984799208</v>
      </c>
    </row>
    <row r="82" spans="1:20" x14ac:dyDescent="0.2">
      <c r="A82">
        <v>1</v>
      </c>
      <c r="B82" t="s">
        <v>100</v>
      </c>
      <c r="C82">
        <v>30.306273849607098</v>
      </c>
      <c r="D82">
        <v>997.59076609432702</v>
      </c>
      <c r="E82">
        <v>8.7246669693334198</v>
      </c>
      <c r="F82">
        <v>29.628847877677401</v>
      </c>
      <c r="G82">
        <v>99</v>
      </c>
      <c r="H82">
        <v>609.738525390625</v>
      </c>
      <c r="I82">
        <v>8.6609446761895498E-2</v>
      </c>
      <c r="K82" s="1" t="str">
        <f>TEXT(stand_validation_1cycle[[#This Row],[stand_age]], ".0")</f>
        <v>30.3</v>
      </c>
      <c r="L82" s="1" t="str">
        <f t="shared" si="1"/>
        <v>"30.3"</v>
      </c>
      <c r="M82">
        <v>100</v>
      </c>
      <c r="N82">
        <f>0.029*stand_validation_1cycle[[#This Row],[stand_level_biomass]]</f>
        <v>28.930132216735487</v>
      </c>
      <c r="O82">
        <f>0.213*stand_validation_1cycle[[#This Row],[stand_level_biomass]]</f>
        <v>212.48683317809164</v>
      </c>
      <c r="P82">
        <f>0.571*stand_validation_1cycle[[#This Row],[stand_level_biomass]]</f>
        <v>569.62432743986074</v>
      </c>
      <c r="Q82">
        <f>stand_validation_1cycle[[#This Row],[stock]]</f>
        <v>99</v>
      </c>
      <c r="R82">
        <v>0</v>
      </c>
      <c r="S82">
        <f>stand_validation_1cycle[[#This Row],[aws]]</f>
        <v>609.738525390625</v>
      </c>
      <c r="T82">
        <f>stand_validation_1cycle[[#This Row],[percent_tree_cover]]*100</f>
        <v>8.6609446761895494</v>
      </c>
    </row>
    <row r="83" spans="1:20" x14ac:dyDescent="0.2">
      <c r="A83">
        <v>1</v>
      </c>
      <c r="B83" t="s">
        <v>101</v>
      </c>
      <c r="C83">
        <v>27.700505050505001</v>
      </c>
      <c r="D83">
        <v>934.90623056233903</v>
      </c>
      <c r="E83">
        <v>8.1645107890222395</v>
      </c>
      <c r="F83">
        <v>27.756644779997799</v>
      </c>
      <c r="G83">
        <v>99</v>
      </c>
      <c r="H83">
        <v>524.43212890625</v>
      </c>
      <c r="I83">
        <v>8.0935085694115103E-2</v>
      </c>
      <c r="K83" s="1" t="str">
        <f>TEXT(stand_validation_1cycle[[#This Row],[stand_age]], ".0")</f>
        <v>27.7</v>
      </c>
      <c r="L83" s="1" t="str">
        <f t="shared" si="1"/>
        <v>"27.7"</v>
      </c>
      <c r="M83">
        <v>100</v>
      </c>
      <c r="N83">
        <f>0.029*stand_validation_1cycle[[#This Row],[stand_level_biomass]]</f>
        <v>27.112280686307834</v>
      </c>
      <c r="O83">
        <f>0.213*stand_validation_1cycle[[#This Row],[stand_level_biomass]]</f>
        <v>199.13502710977821</v>
      </c>
      <c r="P83">
        <f>0.571*stand_validation_1cycle[[#This Row],[stand_level_biomass]]</f>
        <v>533.83145765109555</v>
      </c>
      <c r="Q83">
        <f>stand_validation_1cycle[[#This Row],[stock]]</f>
        <v>99</v>
      </c>
      <c r="R83">
        <v>0</v>
      </c>
      <c r="S83">
        <f>stand_validation_1cycle[[#This Row],[aws]]</f>
        <v>524.43212890625</v>
      </c>
      <c r="T83">
        <f>stand_validation_1cycle[[#This Row],[percent_tree_cover]]*100</f>
        <v>8.0935085694115099</v>
      </c>
    </row>
    <row r="84" spans="1:20" x14ac:dyDescent="0.2">
      <c r="A84">
        <v>1</v>
      </c>
      <c r="B84" t="s">
        <v>102</v>
      </c>
      <c r="C84">
        <v>28.950288888888799</v>
      </c>
      <c r="D84">
        <v>1118.703083677</v>
      </c>
      <c r="E84">
        <v>9.4285423741665397</v>
      </c>
      <c r="F84">
        <v>29.196886865603499</v>
      </c>
      <c r="G84">
        <v>100</v>
      </c>
      <c r="H84">
        <v>524.96423339843705</v>
      </c>
      <c r="I84">
        <v>9.3932319992401397E-2</v>
      </c>
      <c r="K84" s="1" t="str">
        <f>TEXT(stand_validation_1cycle[[#This Row],[stand_age]], ".0")</f>
        <v>29.0</v>
      </c>
      <c r="L84" s="1" t="str">
        <f t="shared" si="1"/>
        <v>"29.0"</v>
      </c>
      <c r="M84">
        <v>100</v>
      </c>
      <c r="N84">
        <f>0.029*stand_validation_1cycle[[#This Row],[stand_level_biomass]]</f>
        <v>32.442389426633</v>
      </c>
      <c r="O84">
        <f>0.213*stand_validation_1cycle[[#This Row],[stand_level_biomass]]</f>
        <v>238.283756823201</v>
      </c>
      <c r="P84">
        <f>0.571*stand_validation_1cycle[[#This Row],[stand_level_biomass]]</f>
        <v>638.77946077956699</v>
      </c>
      <c r="Q84">
        <f>stand_validation_1cycle[[#This Row],[stock]]</f>
        <v>100</v>
      </c>
      <c r="R84">
        <v>0</v>
      </c>
      <c r="S84">
        <f>stand_validation_1cycle[[#This Row],[aws]]</f>
        <v>524.96423339843705</v>
      </c>
      <c r="T84">
        <f>stand_validation_1cycle[[#This Row],[percent_tree_cover]]*100</f>
        <v>9.3932319992401396</v>
      </c>
    </row>
    <row r="85" spans="1:20" x14ac:dyDescent="0.2">
      <c r="A85">
        <v>1</v>
      </c>
      <c r="B85" t="s">
        <v>103</v>
      </c>
      <c r="C85">
        <v>26.491224489795901</v>
      </c>
      <c r="D85">
        <v>783.29553414348595</v>
      </c>
      <c r="E85">
        <v>6.9633927383587197</v>
      </c>
      <c r="F85">
        <v>25.954014896892801</v>
      </c>
      <c r="G85">
        <v>98</v>
      </c>
      <c r="H85">
        <v>524.14801025390602</v>
      </c>
      <c r="I85">
        <v>6.8979794777286996E-2</v>
      </c>
      <c r="K85" s="1" t="str">
        <f>TEXT(stand_validation_1cycle[[#This Row],[stand_age]], ".0")</f>
        <v>26.5</v>
      </c>
      <c r="L85" s="1" t="str">
        <f t="shared" si="1"/>
        <v>"26.5"</v>
      </c>
      <c r="M85">
        <v>100</v>
      </c>
      <c r="N85">
        <f>0.029*stand_validation_1cycle[[#This Row],[stand_level_biomass]]</f>
        <v>22.715570490161095</v>
      </c>
      <c r="O85">
        <f>0.213*stand_validation_1cycle[[#This Row],[stand_level_biomass]]</f>
        <v>166.84194877256252</v>
      </c>
      <c r="P85">
        <f>0.571*stand_validation_1cycle[[#This Row],[stand_level_biomass]]</f>
        <v>447.26174999593042</v>
      </c>
      <c r="Q85">
        <f>stand_validation_1cycle[[#This Row],[stock]]</f>
        <v>98</v>
      </c>
      <c r="R85">
        <v>0</v>
      </c>
      <c r="S85">
        <f>stand_validation_1cycle[[#This Row],[aws]]</f>
        <v>524.14801025390602</v>
      </c>
      <c r="T85">
        <f>stand_validation_1cycle[[#This Row],[percent_tree_cover]]*100</f>
        <v>6.8979794777286996</v>
      </c>
    </row>
    <row r="86" spans="1:20" x14ac:dyDescent="0.2">
      <c r="A86">
        <v>1</v>
      </c>
      <c r="B86" t="s">
        <v>104</v>
      </c>
      <c r="C86">
        <v>29.086600000000001</v>
      </c>
      <c r="D86">
        <v>1011.72636453935</v>
      </c>
      <c r="E86">
        <v>8.7280402544452098</v>
      </c>
      <c r="F86">
        <v>28.540919532224901</v>
      </c>
      <c r="G86">
        <v>100</v>
      </c>
      <c r="H86">
        <v>526.238037109375</v>
      </c>
      <c r="I86">
        <v>8.6953905240788207E-2</v>
      </c>
      <c r="K86" s="1" t="str">
        <f>TEXT(stand_validation_1cycle[[#This Row],[stand_age]], ".0")</f>
        <v>29.1</v>
      </c>
      <c r="L86" s="1" t="str">
        <f t="shared" si="1"/>
        <v>"29.1"</v>
      </c>
      <c r="M86">
        <v>100</v>
      </c>
      <c r="N86">
        <f>0.029*stand_validation_1cycle[[#This Row],[stand_level_biomass]]</f>
        <v>29.34006457164115</v>
      </c>
      <c r="O86">
        <f>0.213*stand_validation_1cycle[[#This Row],[stand_level_biomass]]</f>
        <v>215.49771564688155</v>
      </c>
      <c r="P86">
        <f>0.571*stand_validation_1cycle[[#This Row],[stand_level_biomass]]</f>
        <v>577.6957541519688</v>
      </c>
      <c r="Q86">
        <f>stand_validation_1cycle[[#This Row],[stock]]</f>
        <v>100</v>
      </c>
      <c r="R86">
        <v>0</v>
      </c>
      <c r="S86">
        <f>stand_validation_1cycle[[#This Row],[aws]]</f>
        <v>526.238037109375</v>
      </c>
      <c r="T86">
        <f>stand_validation_1cycle[[#This Row],[percent_tree_cover]]*100</f>
        <v>8.695390524078821</v>
      </c>
    </row>
    <row r="87" spans="1:20" x14ac:dyDescent="0.2">
      <c r="A87">
        <v>1</v>
      </c>
      <c r="B87" t="s">
        <v>105</v>
      </c>
      <c r="C87">
        <v>25.4870707070707</v>
      </c>
      <c r="D87">
        <v>641.62118144123804</v>
      </c>
      <c r="E87">
        <v>5.9986489043494604</v>
      </c>
      <c r="F87">
        <v>24.3236569687373</v>
      </c>
      <c r="G87">
        <v>99</v>
      </c>
      <c r="H87">
        <v>524.28063964843705</v>
      </c>
      <c r="I87">
        <v>5.9568534331531198E-2</v>
      </c>
      <c r="K87" s="1" t="str">
        <f>TEXT(stand_validation_1cycle[[#This Row],[stand_age]], ".0")</f>
        <v>25.5</v>
      </c>
      <c r="L87" s="1" t="str">
        <f t="shared" si="1"/>
        <v>"25.5"</v>
      </c>
      <c r="M87">
        <v>100</v>
      </c>
      <c r="N87">
        <f>0.029*stand_validation_1cycle[[#This Row],[stand_level_biomass]]</f>
        <v>18.607014261795904</v>
      </c>
      <c r="O87">
        <f>0.213*stand_validation_1cycle[[#This Row],[stand_level_biomass]]</f>
        <v>136.6653116469837</v>
      </c>
      <c r="P87">
        <f>0.571*stand_validation_1cycle[[#This Row],[stand_level_biomass]]</f>
        <v>366.36569460294686</v>
      </c>
      <c r="Q87">
        <f>stand_validation_1cycle[[#This Row],[stock]]</f>
        <v>99</v>
      </c>
      <c r="R87">
        <v>0</v>
      </c>
      <c r="S87">
        <f>stand_validation_1cycle[[#This Row],[aws]]</f>
        <v>524.28063964843705</v>
      </c>
      <c r="T87">
        <f>stand_validation_1cycle[[#This Row],[percent_tree_cover]]*100</f>
        <v>5.9568534331531193</v>
      </c>
    </row>
    <row r="88" spans="1:20" x14ac:dyDescent="0.2">
      <c r="A88">
        <v>1</v>
      </c>
      <c r="B88" t="s">
        <v>106</v>
      </c>
      <c r="C88">
        <v>26.565822222222199</v>
      </c>
      <c r="D88">
        <v>792.40474623449097</v>
      </c>
      <c r="E88">
        <v>7.1129600376053101</v>
      </c>
      <c r="F88">
        <v>25.786429198995702</v>
      </c>
      <c r="G88">
        <v>100</v>
      </c>
      <c r="H88">
        <v>525.29327392578102</v>
      </c>
      <c r="I88">
        <v>7.0879548816974794E-2</v>
      </c>
      <c r="K88" s="1" t="str">
        <f>TEXT(stand_validation_1cycle[[#This Row],[stand_age]], ".0")</f>
        <v>26.6</v>
      </c>
      <c r="L88" s="1" t="str">
        <f t="shared" si="1"/>
        <v>"26.6"</v>
      </c>
      <c r="M88">
        <v>100</v>
      </c>
      <c r="N88">
        <f>0.029*stand_validation_1cycle[[#This Row],[stand_level_biomass]]</f>
        <v>22.979737640800238</v>
      </c>
      <c r="O88">
        <f>0.213*stand_validation_1cycle[[#This Row],[stand_level_biomass]]</f>
        <v>168.78221094794657</v>
      </c>
      <c r="P88">
        <f>0.571*stand_validation_1cycle[[#This Row],[stand_level_biomass]]</f>
        <v>452.46311009989432</v>
      </c>
      <c r="Q88">
        <f>stand_validation_1cycle[[#This Row],[stock]]</f>
        <v>100</v>
      </c>
      <c r="R88">
        <v>0</v>
      </c>
      <c r="S88">
        <f>stand_validation_1cycle[[#This Row],[aws]]</f>
        <v>525.29327392578102</v>
      </c>
      <c r="T88">
        <f>stand_validation_1cycle[[#This Row],[percent_tree_cover]]*100</f>
        <v>7.0879548816974793</v>
      </c>
    </row>
    <row r="89" spans="1:20" x14ac:dyDescent="0.2">
      <c r="A89">
        <v>1</v>
      </c>
      <c r="B89" t="s">
        <v>107</v>
      </c>
      <c r="C89">
        <v>27.378644444444401</v>
      </c>
      <c r="D89">
        <v>889.37253113108795</v>
      </c>
      <c r="E89">
        <v>7.8408953297759503</v>
      </c>
      <c r="F89">
        <v>27.1490058264542</v>
      </c>
      <c r="G89">
        <v>100</v>
      </c>
      <c r="H89">
        <v>526.46472167968705</v>
      </c>
      <c r="I89">
        <v>7.8120652892667397E-2</v>
      </c>
      <c r="K89" s="1" t="str">
        <f>TEXT(stand_validation_1cycle[[#This Row],[stand_age]], ".0")</f>
        <v>27.4</v>
      </c>
      <c r="L89" s="1" t="str">
        <f t="shared" si="1"/>
        <v>"27.4"</v>
      </c>
      <c r="M89">
        <v>100</v>
      </c>
      <c r="N89">
        <f>0.029*stand_validation_1cycle[[#This Row],[stand_level_biomass]]</f>
        <v>25.791803402801552</v>
      </c>
      <c r="O89">
        <f>0.213*stand_validation_1cycle[[#This Row],[stand_level_biomass]]</f>
        <v>189.43634913092174</v>
      </c>
      <c r="P89">
        <f>0.571*stand_validation_1cycle[[#This Row],[stand_level_biomass]]</f>
        <v>507.8317152758512</v>
      </c>
      <c r="Q89">
        <f>stand_validation_1cycle[[#This Row],[stock]]</f>
        <v>100</v>
      </c>
      <c r="R89">
        <v>0</v>
      </c>
      <c r="S89">
        <f>stand_validation_1cycle[[#This Row],[aws]]</f>
        <v>526.46472167968705</v>
      </c>
      <c r="T89">
        <f>stand_validation_1cycle[[#This Row],[percent_tree_cover]]*100</f>
        <v>7.8120652892667399</v>
      </c>
    </row>
    <row r="90" spans="1:20" x14ac:dyDescent="0.2">
      <c r="A90">
        <v>1</v>
      </c>
      <c r="B90" t="s">
        <v>108</v>
      </c>
      <c r="C90">
        <v>28.9188664421997</v>
      </c>
      <c r="D90">
        <v>885.37572069498697</v>
      </c>
      <c r="E90">
        <v>7.8359614585134896</v>
      </c>
      <c r="F90">
        <v>27.602177448769101</v>
      </c>
      <c r="G90">
        <v>99</v>
      </c>
      <c r="H90">
        <v>524.17303466796795</v>
      </c>
      <c r="I90">
        <v>7.7703594695860703E-2</v>
      </c>
      <c r="K90" s="1" t="str">
        <f>TEXT(stand_validation_1cycle[[#This Row],[stand_age]], ".0")</f>
        <v>28.9</v>
      </c>
      <c r="L90" s="1" t="str">
        <f t="shared" si="1"/>
        <v>"28.9"</v>
      </c>
      <c r="M90">
        <v>100</v>
      </c>
      <c r="N90">
        <f>0.029*stand_validation_1cycle[[#This Row],[stand_level_biomass]]</f>
        <v>25.675895900154622</v>
      </c>
      <c r="O90">
        <f>0.213*stand_validation_1cycle[[#This Row],[stand_level_biomass]]</f>
        <v>188.58502850803222</v>
      </c>
      <c r="P90">
        <f>0.571*stand_validation_1cycle[[#This Row],[stand_level_biomass]]</f>
        <v>505.54953651683752</v>
      </c>
      <c r="Q90">
        <f>stand_validation_1cycle[[#This Row],[stock]]</f>
        <v>99</v>
      </c>
      <c r="R90">
        <v>0</v>
      </c>
      <c r="S90">
        <f>stand_validation_1cycle[[#This Row],[aws]]</f>
        <v>524.17303466796795</v>
      </c>
      <c r="T90">
        <f>stand_validation_1cycle[[#This Row],[percent_tree_cover]]*100</f>
        <v>7.7703594695860705</v>
      </c>
    </row>
    <row r="91" spans="1:20" x14ac:dyDescent="0.2">
      <c r="A91">
        <v>1</v>
      </c>
      <c r="B91" t="s">
        <v>109</v>
      </c>
      <c r="C91">
        <v>27.115566666666599</v>
      </c>
      <c r="D91">
        <v>915.87382797653095</v>
      </c>
      <c r="E91">
        <v>7.9933984473573299</v>
      </c>
      <c r="F91">
        <v>27.081485445357099</v>
      </c>
      <c r="G91">
        <v>100</v>
      </c>
      <c r="H91">
        <v>615</v>
      </c>
      <c r="I91">
        <v>7.96421008267683E-2</v>
      </c>
      <c r="K91" s="1" t="str">
        <f>TEXT(stand_validation_1cycle[[#This Row],[stand_age]], ".0")</f>
        <v>27.1</v>
      </c>
      <c r="L91" s="1" t="str">
        <f t="shared" si="1"/>
        <v>"27.1"</v>
      </c>
      <c r="M91">
        <v>100</v>
      </c>
      <c r="N91">
        <f>0.029*stand_validation_1cycle[[#This Row],[stand_level_biomass]]</f>
        <v>26.560341011319398</v>
      </c>
      <c r="O91">
        <f>0.213*stand_validation_1cycle[[#This Row],[stand_level_biomass]]</f>
        <v>195.08112535900108</v>
      </c>
      <c r="P91">
        <f>0.571*stand_validation_1cycle[[#This Row],[stand_level_biomass]]</f>
        <v>522.96395577459907</v>
      </c>
      <c r="Q91">
        <f>stand_validation_1cycle[[#This Row],[stock]]</f>
        <v>100</v>
      </c>
      <c r="R91">
        <v>0</v>
      </c>
      <c r="S91">
        <f>stand_validation_1cycle[[#This Row],[aws]]</f>
        <v>615</v>
      </c>
      <c r="T91">
        <f>stand_validation_1cycle[[#This Row],[percent_tree_cover]]*100</f>
        <v>7.9642100826768303</v>
      </c>
    </row>
    <row r="92" spans="1:20" x14ac:dyDescent="0.2">
      <c r="A92">
        <v>1</v>
      </c>
      <c r="B92" t="s">
        <v>110</v>
      </c>
      <c r="C92">
        <v>26.485988888888802</v>
      </c>
      <c r="D92">
        <v>808.33777765636103</v>
      </c>
      <c r="E92">
        <v>7.3234655949517498</v>
      </c>
      <c r="F92">
        <v>26.642322816622801</v>
      </c>
      <c r="G92">
        <v>100</v>
      </c>
      <c r="H92">
        <v>570.15905761718705</v>
      </c>
      <c r="I92">
        <v>7.2988517180773593E-2</v>
      </c>
      <c r="K92" s="1" t="str">
        <f>TEXT(stand_validation_1cycle[[#This Row],[stand_age]], ".0")</f>
        <v>26.5</v>
      </c>
      <c r="L92" s="1" t="str">
        <f t="shared" si="1"/>
        <v>"26.5"</v>
      </c>
      <c r="M92">
        <v>100</v>
      </c>
      <c r="N92">
        <f>0.029*stand_validation_1cycle[[#This Row],[stand_level_biomass]]</f>
        <v>23.441795552034471</v>
      </c>
      <c r="O92">
        <f>0.213*stand_validation_1cycle[[#This Row],[stand_level_biomass]]</f>
        <v>172.17594664080488</v>
      </c>
      <c r="P92">
        <f>0.571*stand_validation_1cycle[[#This Row],[stand_level_biomass]]</f>
        <v>461.56087104178209</v>
      </c>
      <c r="Q92">
        <f>stand_validation_1cycle[[#This Row],[stock]]</f>
        <v>100</v>
      </c>
      <c r="R92">
        <v>0</v>
      </c>
      <c r="S92">
        <f>stand_validation_1cycle[[#This Row],[aws]]</f>
        <v>570.15905761718705</v>
      </c>
      <c r="T92">
        <f>stand_validation_1cycle[[#This Row],[percent_tree_cover]]*100</f>
        <v>7.2988517180773593</v>
      </c>
    </row>
    <row r="93" spans="1:20" x14ac:dyDescent="0.2">
      <c r="A93">
        <v>1</v>
      </c>
      <c r="B93" t="s">
        <v>111</v>
      </c>
      <c r="C93">
        <v>29.501608623548901</v>
      </c>
      <c r="D93">
        <v>1000.37722367894</v>
      </c>
      <c r="E93">
        <v>5.7914522294654196</v>
      </c>
      <c r="F93">
        <v>27.978554482963698</v>
      </c>
      <c r="G93">
        <v>67</v>
      </c>
      <c r="H93">
        <v>566.54302978515602</v>
      </c>
      <c r="I93">
        <v>8.3205212841098802E-2</v>
      </c>
      <c r="K93" s="1" t="str">
        <f>TEXT(stand_validation_1cycle[[#This Row],[stand_age]], ".0")</f>
        <v>29.5</v>
      </c>
      <c r="L93" s="1" t="str">
        <f t="shared" si="1"/>
        <v>"29.5"</v>
      </c>
      <c r="M93">
        <v>100</v>
      </c>
      <c r="N93">
        <f>0.029*stand_validation_1cycle[[#This Row],[stand_level_biomass]]</f>
        <v>29.010939486689264</v>
      </c>
      <c r="O93">
        <f>0.213*stand_validation_1cycle[[#This Row],[stand_level_biomass]]</f>
        <v>213.08034864361423</v>
      </c>
      <c r="P93">
        <f>0.571*stand_validation_1cycle[[#This Row],[stand_level_biomass]]</f>
        <v>571.21539472067468</v>
      </c>
      <c r="Q93">
        <f>stand_validation_1cycle[[#This Row],[stock]]</f>
        <v>67</v>
      </c>
      <c r="R93">
        <v>0</v>
      </c>
      <c r="S93">
        <f>stand_validation_1cycle[[#This Row],[aws]]</f>
        <v>566.54302978515602</v>
      </c>
      <c r="T93">
        <f>stand_validation_1cycle[[#This Row],[percent_tree_cover]]*100</f>
        <v>8.3205212841098799</v>
      </c>
    </row>
    <row r="94" spans="1:20" x14ac:dyDescent="0.2">
      <c r="A94">
        <v>1</v>
      </c>
      <c r="B94" t="s">
        <v>112</v>
      </c>
      <c r="C94">
        <v>29.247972508591001</v>
      </c>
      <c r="D94">
        <v>1268.6042320504</v>
      </c>
      <c r="E94">
        <v>10.0693715122292</v>
      </c>
      <c r="F94">
        <v>29.857365496061799</v>
      </c>
      <c r="G94">
        <v>97</v>
      </c>
      <c r="H94">
        <v>571.44854736328102</v>
      </c>
      <c r="I94">
        <v>0.10422786106981199</v>
      </c>
      <c r="K94" s="1" t="str">
        <f>TEXT(stand_validation_1cycle[[#This Row],[stand_age]], ".0")</f>
        <v>29.2</v>
      </c>
      <c r="L94" s="1" t="str">
        <f t="shared" si="1"/>
        <v>"29.2"</v>
      </c>
      <c r="M94">
        <v>100</v>
      </c>
      <c r="N94">
        <f>0.029*stand_validation_1cycle[[#This Row],[stand_level_biomass]]</f>
        <v>36.789522729461602</v>
      </c>
      <c r="O94">
        <f>0.213*stand_validation_1cycle[[#This Row],[stand_level_biomass]]</f>
        <v>270.21270142673518</v>
      </c>
      <c r="P94">
        <f>0.571*stand_validation_1cycle[[#This Row],[stand_level_biomass]]</f>
        <v>724.37301650077836</v>
      </c>
      <c r="Q94">
        <f>stand_validation_1cycle[[#This Row],[stock]]</f>
        <v>97</v>
      </c>
      <c r="R94">
        <v>0</v>
      </c>
      <c r="S94">
        <f>stand_validation_1cycle[[#This Row],[aws]]</f>
        <v>571.44854736328102</v>
      </c>
      <c r="T94">
        <f>stand_validation_1cycle[[#This Row],[percent_tree_cover]]*100</f>
        <v>10.422786106981199</v>
      </c>
    </row>
    <row r="95" spans="1:20" x14ac:dyDescent="0.2">
      <c r="A95">
        <v>1</v>
      </c>
      <c r="B95" t="s">
        <v>113</v>
      </c>
      <c r="C95">
        <v>28.6448111111111</v>
      </c>
      <c r="D95">
        <v>965.38709859350502</v>
      </c>
      <c r="E95">
        <v>8.3937237452226299</v>
      </c>
      <c r="F95">
        <v>28.119483293184299</v>
      </c>
      <c r="G95">
        <v>100</v>
      </c>
      <c r="H95">
        <v>569.96575927734295</v>
      </c>
      <c r="I95">
        <v>8.3621915545953204E-2</v>
      </c>
      <c r="K95" s="1" t="str">
        <f>TEXT(stand_validation_1cycle[[#This Row],[stand_age]], ".0")</f>
        <v>28.6</v>
      </c>
      <c r="L95" s="1" t="str">
        <f t="shared" si="1"/>
        <v>"28.6"</v>
      </c>
      <c r="M95">
        <v>100</v>
      </c>
      <c r="N95">
        <f>0.029*stand_validation_1cycle[[#This Row],[stand_level_biomass]]</f>
        <v>27.996225859211648</v>
      </c>
      <c r="O95">
        <f>0.213*stand_validation_1cycle[[#This Row],[stand_level_biomass]]</f>
        <v>205.62745200041655</v>
      </c>
      <c r="P95">
        <f>0.571*stand_validation_1cycle[[#This Row],[stand_level_biomass]]</f>
        <v>551.23603329689126</v>
      </c>
      <c r="Q95">
        <f>stand_validation_1cycle[[#This Row],[stock]]</f>
        <v>100</v>
      </c>
      <c r="R95">
        <v>0</v>
      </c>
      <c r="S95">
        <f>stand_validation_1cycle[[#This Row],[aws]]</f>
        <v>569.96575927734295</v>
      </c>
      <c r="T95">
        <f>stand_validation_1cycle[[#This Row],[percent_tree_cover]]*100</f>
        <v>8.36219155459532</v>
      </c>
    </row>
    <row r="96" spans="1:20" x14ac:dyDescent="0.2">
      <c r="A96">
        <v>1</v>
      </c>
      <c r="B96" t="s">
        <v>114</v>
      </c>
      <c r="C96">
        <v>30.173011111110998</v>
      </c>
      <c r="D96">
        <v>979.09232590642296</v>
      </c>
      <c r="E96">
        <v>8.5541044063828906</v>
      </c>
      <c r="F96">
        <v>28.425060055378498</v>
      </c>
      <c r="G96">
        <v>100</v>
      </c>
      <c r="H96">
        <v>575.93621826171795</v>
      </c>
      <c r="I96">
        <v>8.52040454731708E-2</v>
      </c>
      <c r="K96" s="1" t="str">
        <f>TEXT(stand_validation_1cycle[[#This Row],[stand_age]], ".0")</f>
        <v>30.2</v>
      </c>
      <c r="L96" s="1" t="str">
        <f t="shared" si="1"/>
        <v>"30.2"</v>
      </c>
      <c r="M96">
        <v>100</v>
      </c>
      <c r="N96">
        <f>0.029*stand_validation_1cycle[[#This Row],[stand_level_biomass]]</f>
        <v>28.393677451286266</v>
      </c>
      <c r="O96">
        <f>0.213*stand_validation_1cycle[[#This Row],[stand_level_biomass]]</f>
        <v>208.54666541806807</v>
      </c>
      <c r="P96">
        <f>0.571*stand_validation_1cycle[[#This Row],[stand_level_biomass]]</f>
        <v>559.0617180925675</v>
      </c>
      <c r="Q96">
        <f>stand_validation_1cycle[[#This Row],[stock]]</f>
        <v>100</v>
      </c>
      <c r="R96">
        <v>0</v>
      </c>
      <c r="S96">
        <f>stand_validation_1cycle[[#This Row],[aws]]</f>
        <v>575.93621826171795</v>
      </c>
      <c r="T96">
        <f>stand_validation_1cycle[[#This Row],[percent_tree_cover]]*100</f>
        <v>8.5204045473170797</v>
      </c>
    </row>
    <row r="97" spans="1:20" x14ac:dyDescent="0.2">
      <c r="A97">
        <v>1</v>
      </c>
      <c r="B97" t="s">
        <v>115</v>
      </c>
      <c r="C97">
        <v>26.415622222222201</v>
      </c>
      <c r="D97">
        <v>785.83587008229199</v>
      </c>
      <c r="E97">
        <v>7.0956679262417897</v>
      </c>
      <c r="F97">
        <v>25.904414131180001</v>
      </c>
      <c r="G97">
        <v>100</v>
      </c>
      <c r="H97">
        <v>567.564453125</v>
      </c>
      <c r="I97">
        <v>7.0699259572964093E-2</v>
      </c>
      <c r="K97" s="1" t="str">
        <f>TEXT(stand_validation_1cycle[[#This Row],[stand_age]], ".0")</f>
        <v>26.4</v>
      </c>
      <c r="L97" s="1" t="str">
        <f t="shared" si="1"/>
        <v>"26.4"</v>
      </c>
      <c r="M97">
        <v>100</v>
      </c>
      <c r="N97">
        <f>0.029*stand_validation_1cycle[[#This Row],[stand_level_biomass]]</f>
        <v>22.789240232386469</v>
      </c>
      <c r="O97">
        <f>0.213*stand_validation_1cycle[[#This Row],[stand_level_biomass]]</f>
        <v>167.38304032752819</v>
      </c>
      <c r="P97">
        <f>0.571*stand_validation_1cycle[[#This Row],[stand_level_biomass]]</f>
        <v>448.71228181698871</v>
      </c>
      <c r="Q97">
        <f>stand_validation_1cycle[[#This Row],[stock]]</f>
        <v>100</v>
      </c>
      <c r="R97">
        <v>0</v>
      </c>
      <c r="S97">
        <f>stand_validation_1cycle[[#This Row],[aws]]</f>
        <v>567.564453125</v>
      </c>
      <c r="T97">
        <f>stand_validation_1cycle[[#This Row],[percent_tree_cover]]*100</f>
        <v>7.0699259572964097</v>
      </c>
    </row>
    <row r="98" spans="1:20" x14ac:dyDescent="0.2">
      <c r="A98">
        <v>1</v>
      </c>
      <c r="B98" t="s">
        <v>116</v>
      </c>
      <c r="C98">
        <v>26.730899999999998</v>
      </c>
      <c r="D98">
        <v>809.60763809963498</v>
      </c>
      <c r="E98">
        <v>7.2128948853141699</v>
      </c>
      <c r="F98">
        <v>25.8643726656985</v>
      </c>
      <c r="G98">
        <v>100</v>
      </c>
      <c r="H98">
        <v>569.2900390625</v>
      </c>
      <c r="I98">
        <v>7.1862593011106299E-2</v>
      </c>
      <c r="K98" s="1" t="str">
        <f>TEXT(stand_validation_1cycle[[#This Row],[stand_age]], ".0")</f>
        <v>26.7</v>
      </c>
      <c r="L98" s="1" t="str">
        <f t="shared" si="1"/>
        <v>"26.7"</v>
      </c>
      <c r="M98">
        <v>100</v>
      </c>
      <c r="N98">
        <f>0.029*stand_validation_1cycle[[#This Row],[stand_level_biomass]]</f>
        <v>23.478621504889414</v>
      </c>
      <c r="O98">
        <f>0.213*stand_validation_1cycle[[#This Row],[stand_level_biomass]]</f>
        <v>172.44642691522225</v>
      </c>
      <c r="P98">
        <f>0.571*stand_validation_1cycle[[#This Row],[stand_level_biomass]]</f>
        <v>462.28596135489153</v>
      </c>
      <c r="Q98">
        <f>stand_validation_1cycle[[#This Row],[stock]]</f>
        <v>100</v>
      </c>
      <c r="R98">
        <v>0</v>
      </c>
      <c r="S98">
        <f>stand_validation_1cycle[[#This Row],[aws]]</f>
        <v>569.2900390625</v>
      </c>
      <c r="T98">
        <f>stand_validation_1cycle[[#This Row],[percent_tree_cover]]*100</f>
        <v>7.1862593011106295</v>
      </c>
    </row>
    <row r="99" spans="1:20" x14ac:dyDescent="0.2">
      <c r="A99">
        <v>1</v>
      </c>
      <c r="B99" t="s">
        <v>117</v>
      </c>
      <c r="C99">
        <v>27.557833894500501</v>
      </c>
      <c r="D99">
        <v>853.95301865235001</v>
      </c>
      <c r="E99">
        <v>7.51443437298368</v>
      </c>
      <c r="F99">
        <v>26.851257776708501</v>
      </c>
      <c r="G99">
        <v>99</v>
      </c>
      <c r="H99">
        <v>568.75054931640602</v>
      </c>
      <c r="I99">
        <v>7.6859217155637094E-2</v>
      </c>
      <c r="K99" s="1" t="str">
        <f>TEXT(stand_validation_1cycle[[#This Row],[stand_age]], ".0")</f>
        <v>27.6</v>
      </c>
      <c r="L99" s="1" t="str">
        <f t="shared" si="1"/>
        <v>"27.6"</v>
      </c>
      <c r="M99">
        <v>100</v>
      </c>
      <c r="N99">
        <f>0.029*stand_validation_1cycle[[#This Row],[stand_level_biomass]]</f>
        <v>24.764637540918152</v>
      </c>
      <c r="O99">
        <f>0.213*stand_validation_1cycle[[#This Row],[stand_level_biomass]]</f>
        <v>181.89199297295056</v>
      </c>
      <c r="P99">
        <f>0.571*stand_validation_1cycle[[#This Row],[stand_level_biomass]]</f>
        <v>487.6071736504918</v>
      </c>
      <c r="Q99">
        <f>stand_validation_1cycle[[#This Row],[stock]]</f>
        <v>99</v>
      </c>
      <c r="R99">
        <v>0</v>
      </c>
      <c r="S99">
        <f>stand_validation_1cycle[[#This Row],[aws]]</f>
        <v>568.75054931640602</v>
      </c>
      <c r="T99">
        <f>stand_validation_1cycle[[#This Row],[percent_tree_cover]]*100</f>
        <v>7.6859217155637092</v>
      </c>
    </row>
    <row r="100" spans="1:20" x14ac:dyDescent="0.2">
      <c r="A100">
        <v>1</v>
      </c>
      <c r="B100" t="s">
        <v>118</v>
      </c>
      <c r="C100">
        <v>28.128210526315801</v>
      </c>
      <c r="D100">
        <v>850.69272418675996</v>
      </c>
      <c r="E100">
        <v>7.2548162976836696</v>
      </c>
      <c r="F100">
        <v>26.5929818938225</v>
      </c>
      <c r="G100">
        <v>95</v>
      </c>
      <c r="H100">
        <v>572.56219482421795</v>
      </c>
      <c r="I100">
        <v>7.47271752487461E-2</v>
      </c>
      <c r="K100" s="1" t="str">
        <f>TEXT(stand_validation_1cycle[[#This Row],[stand_age]], ".0")</f>
        <v>28.1</v>
      </c>
      <c r="L100" s="1" t="str">
        <f t="shared" si="1"/>
        <v>"28.1"</v>
      </c>
      <c r="M100">
        <v>100</v>
      </c>
      <c r="N100">
        <f>0.029*stand_validation_1cycle[[#This Row],[stand_level_biomass]]</f>
        <v>24.670089001416041</v>
      </c>
      <c r="O100">
        <f>0.213*stand_validation_1cycle[[#This Row],[stand_level_biomass]]</f>
        <v>181.19755025177986</v>
      </c>
      <c r="P100">
        <f>0.571*stand_validation_1cycle[[#This Row],[stand_level_biomass]]</f>
        <v>485.74554551063989</v>
      </c>
      <c r="Q100">
        <f>stand_validation_1cycle[[#This Row],[stock]]</f>
        <v>95</v>
      </c>
      <c r="R100">
        <v>0</v>
      </c>
      <c r="S100">
        <f>stand_validation_1cycle[[#This Row],[aws]]</f>
        <v>572.56219482421795</v>
      </c>
      <c r="T100">
        <f>stand_validation_1cycle[[#This Row],[percent_tree_cover]]*100</f>
        <v>7.4727175248746098</v>
      </c>
    </row>
    <row r="101" spans="1:20" x14ac:dyDescent="0.2">
      <c r="A101">
        <v>1</v>
      </c>
      <c r="B101" t="s">
        <v>119</v>
      </c>
      <c r="C101">
        <v>26.314350877193</v>
      </c>
      <c r="D101">
        <v>784.65584189479</v>
      </c>
      <c r="E101">
        <v>6.7361951138455902</v>
      </c>
      <c r="F101">
        <v>26.103633191872898</v>
      </c>
      <c r="G101">
        <v>95</v>
      </c>
      <c r="H101">
        <v>566.47930908203102</v>
      </c>
      <c r="I101">
        <v>6.9986195144616403E-2</v>
      </c>
      <c r="K101" s="1" t="str">
        <f>TEXT(stand_validation_1cycle[[#This Row],[stand_age]], ".0")</f>
        <v>26.3</v>
      </c>
      <c r="L101" s="1" t="str">
        <f t="shared" si="1"/>
        <v>"26.3"</v>
      </c>
      <c r="M101">
        <v>100</v>
      </c>
      <c r="N101">
        <f>0.029*stand_validation_1cycle[[#This Row],[stand_level_biomass]]</f>
        <v>22.755019414948912</v>
      </c>
      <c r="O101">
        <f>0.213*stand_validation_1cycle[[#This Row],[stand_level_biomass]]</f>
        <v>167.13169432359027</v>
      </c>
      <c r="P101">
        <f>0.571*stand_validation_1cycle[[#This Row],[stand_level_biomass]]</f>
        <v>448.03848572192504</v>
      </c>
      <c r="Q101">
        <f>stand_validation_1cycle[[#This Row],[stock]]</f>
        <v>95</v>
      </c>
      <c r="R101">
        <v>0</v>
      </c>
      <c r="S101">
        <f>stand_validation_1cycle[[#This Row],[aws]]</f>
        <v>566.47930908203102</v>
      </c>
      <c r="T101">
        <f>stand_validation_1cycle[[#This Row],[percent_tree_cover]]*100</f>
        <v>6.9986195144616401</v>
      </c>
    </row>
    <row r="102" spans="1:20" x14ac:dyDescent="0.2">
      <c r="A102">
        <v>1</v>
      </c>
      <c r="B102" t="s">
        <v>120</v>
      </c>
      <c r="C102">
        <v>27.4624216524216</v>
      </c>
      <c r="D102">
        <v>644.19438931003401</v>
      </c>
      <c r="E102">
        <v>2.4541768380669899</v>
      </c>
      <c r="F102">
        <v>26.0893095716172</v>
      </c>
      <c r="G102">
        <v>39</v>
      </c>
      <c r="H102">
        <v>566.47930908203102</v>
      </c>
      <c r="I102">
        <v>6.2527917179187306E-2</v>
      </c>
      <c r="K102" s="1" t="str">
        <f>TEXT(stand_validation_1cycle[[#This Row],[stand_age]], ".0")</f>
        <v>27.5</v>
      </c>
      <c r="L102" s="1" t="str">
        <f t="shared" si="1"/>
        <v>"27.5"</v>
      </c>
      <c r="M102">
        <v>100</v>
      </c>
      <c r="N102">
        <f>0.029*stand_validation_1cycle[[#This Row],[stand_level_biomass]]</f>
        <v>18.681637289990988</v>
      </c>
      <c r="O102">
        <f>0.213*stand_validation_1cycle[[#This Row],[stand_level_biomass]]</f>
        <v>137.21340492303725</v>
      </c>
      <c r="P102">
        <f>0.571*stand_validation_1cycle[[#This Row],[stand_level_biomass]]</f>
        <v>367.83499629602937</v>
      </c>
      <c r="Q102">
        <f>stand_validation_1cycle[[#This Row],[stock]]</f>
        <v>39</v>
      </c>
      <c r="R102">
        <v>0</v>
      </c>
      <c r="S102">
        <f>stand_validation_1cycle[[#This Row],[aws]]</f>
        <v>566.47930908203102</v>
      </c>
      <c r="T102">
        <f>stand_validation_1cycle[[#This Row],[percent_tree_cover]]*100</f>
        <v>6.2527917179187309</v>
      </c>
    </row>
    <row r="103" spans="1:20" x14ac:dyDescent="0.2">
      <c r="A103">
        <v>1</v>
      </c>
      <c r="B103" t="s">
        <v>121</v>
      </c>
      <c r="C103">
        <v>28.8516248506571</v>
      </c>
      <c r="D103">
        <v>1020.2303715540399</v>
      </c>
      <c r="E103">
        <v>8.0985601198435795</v>
      </c>
      <c r="F103">
        <v>27.948453024158201</v>
      </c>
      <c r="G103">
        <v>93</v>
      </c>
      <c r="H103">
        <v>524.71173095703102</v>
      </c>
      <c r="I103">
        <v>8.7353643263795605E-2</v>
      </c>
      <c r="K103" s="1" t="str">
        <f>TEXT(stand_validation_1cycle[[#This Row],[stand_age]], ".0")</f>
        <v>28.9</v>
      </c>
      <c r="L103" s="1" t="str">
        <f t="shared" si="1"/>
        <v>"28.9"</v>
      </c>
      <c r="M103">
        <v>100</v>
      </c>
      <c r="N103">
        <f>0.029*stand_validation_1cycle[[#This Row],[stand_level_biomass]]</f>
        <v>29.586680775067158</v>
      </c>
      <c r="O103">
        <f>0.213*stand_validation_1cycle[[#This Row],[stand_level_biomass]]</f>
        <v>217.3090691410105</v>
      </c>
      <c r="P103">
        <f>0.571*stand_validation_1cycle[[#This Row],[stand_level_biomass]]</f>
        <v>582.55154215735672</v>
      </c>
      <c r="Q103">
        <f>stand_validation_1cycle[[#This Row],[stock]]</f>
        <v>93</v>
      </c>
      <c r="R103">
        <v>0</v>
      </c>
      <c r="S103">
        <f>stand_validation_1cycle[[#This Row],[aws]]</f>
        <v>524.71173095703102</v>
      </c>
      <c r="T103">
        <f>stand_validation_1cycle[[#This Row],[percent_tree_cover]]*100</f>
        <v>8.7353643263795604</v>
      </c>
    </row>
    <row r="104" spans="1:20" x14ac:dyDescent="0.2">
      <c r="A104">
        <v>1</v>
      </c>
      <c r="B104" t="s">
        <v>122</v>
      </c>
      <c r="C104">
        <v>25.923444444444399</v>
      </c>
      <c r="D104">
        <v>696.76901761111799</v>
      </c>
      <c r="E104">
        <v>6.4762573814930899</v>
      </c>
      <c r="F104">
        <v>25.331041654998501</v>
      </c>
      <c r="G104">
        <v>100</v>
      </c>
      <c r="H104">
        <v>524.61187744140602</v>
      </c>
      <c r="I104">
        <v>6.4550174632187707E-2</v>
      </c>
      <c r="K104" s="1" t="str">
        <f>TEXT(stand_validation_1cycle[[#This Row],[stand_age]], ".0")</f>
        <v>25.9</v>
      </c>
      <c r="L104" s="1" t="str">
        <f t="shared" si="1"/>
        <v>"25.9"</v>
      </c>
      <c r="M104">
        <v>100</v>
      </c>
      <c r="N104">
        <f>0.029*stand_validation_1cycle[[#This Row],[stand_level_biomass]]</f>
        <v>20.206301510722422</v>
      </c>
      <c r="O104">
        <f>0.213*stand_validation_1cycle[[#This Row],[stand_level_biomass]]</f>
        <v>148.41180075116813</v>
      </c>
      <c r="P104">
        <f>0.571*stand_validation_1cycle[[#This Row],[stand_level_biomass]]</f>
        <v>397.85510905594833</v>
      </c>
      <c r="Q104">
        <f>stand_validation_1cycle[[#This Row],[stock]]</f>
        <v>100</v>
      </c>
      <c r="R104">
        <v>0</v>
      </c>
      <c r="S104">
        <f>stand_validation_1cycle[[#This Row],[aws]]</f>
        <v>524.61187744140602</v>
      </c>
      <c r="T104">
        <f>stand_validation_1cycle[[#This Row],[percent_tree_cover]]*100</f>
        <v>6.4550174632187707</v>
      </c>
    </row>
    <row r="105" spans="1:20" x14ac:dyDescent="0.2">
      <c r="A105">
        <v>1</v>
      </c>
      <c r="B105" t="s">
        <v>123</v>
      </c>
      <c r="C105">
        <v>26.333625140291801</v>
      </c>
      <c r="D105">
        <v>715.15074485847197</v>
      </c>
      <c r="E105">
        <v>6.4635959777009599</v>
      </c>
      <c r="F105">
        <v>24.6116220087359</v>
      </c>
      <c r="G105">
        <v>99</v>
      </c>
      <c r="H105">
        <v>524.61187744140602</v>
      </c>
      <c r="I105">
        <v>6.4290111433002201E-2</v>
      </c>
      <c r="K105" s="1" t="str">
        <f>TEXT(stand_validation_1cycle[[#This Row],[stand_age]], ".0")</f>
        <v>26.3</v>
      </c>
      <c r="L105" s="1" t="str">
        <f t="shared" si="1"/>
        <v>"26.3"</v>
      </c>
      <c r="M105">
        <v>100</v>
      </c>
      <c r="N105">
        <f>0.029*stand_validation_1cycle[[#This Row],[stand_level_biomass]]</f>
        <v>20.739371600895687</v>
      </c>
      <c r="O105">
        <f>0.213*stand_validation_1cycle[[#This Row],[stand_level_biomass]]</f>
        <v>152.32710865485453</v>
      </c>
      <c r="P105">
        <f>0.571*stand_validation_1cycle[[#This Row],[stand_level_biomass]]</f>
        <v>408.35107531418748</v>
      </c>
      <c r="Q105">
        <f>stand_validation_1cycle[[#This Row],[stock]]</f>
        <v>99</v>
      </c>
      <c r="R105">
        <v>0</v>
      </c>
      <c r="S105">
        <f>stand_validation_1cycle[[#This Row],[aws]]</f>
        <v>524.61187744140602</v>
      </c>
      <c r="T105">
        <f>stand_validation_1cycle[[#This Row],[percent_tree_cover]]*100</f>
        <v>6.4290111433002197</v>
      </c>
    </row>
    <row r="106" spans="1:20" x14ac:dyDescent="0.2">
      <c r="A106">
        <v>1</v>
      </c>
      <c r="B106" t="s">
        <v>124</v>
      </c>
      <c r="C106">
        <v>26.690188888888802</v>
      </c>
      <c r="D106">
        <v>733.39816990987094</v>
      </c>
      <c r="E106">
        <v>6.7595662069938101</v>
      </c>
      <c r="F106">
        <v>25.768675132306399</v>
      </c>
      <c r="G106">
        <v>100</v>
      </c>
      <c r="H106">
        <v>524.31719970703102</v>
      </c>
      <c r="I106">
        <v>6.7368024535831406E-2</v>
      </c>
      <c r="K106" s="1" t="str">
        <f>TEXT(stand_validation_1cycle[[#This Row],[stand_age]], ".0")</f>
        <v>26.7</v>
      </c>
      <c r="L106" s="1" t="str">
        <f t="shared" si="1"/>
        <v>"26.7"</v>
      </c>
      <c r="M106">
        <v>100</v>
      </c>
      <c r="N106">
        <f>0.029*stand_validation_1cycle[[#This Row],[stand_level_biomass]]</f>
        <v>21.268546927386257</v>
      </c>
      <c r="O106">
        <f>0.213*stand_validation_1cycle[[#This Row],[stand_level_biomass]]</f>
        <v>156.21381019080252</v>
      </c>
      <c r="P106">
        <f>0.571*stand_validation_1cycle[[#This Row],[stand_level_biomass]]</f>
        <v>418.77035501853629</v>
      </c>
      <c r="Q106">
        <f>stand_validation_1cycle[[#This Row],[stock]]</f>
        <v>100</v>
      </c>
      <c r="R106">
        <v>0</v>
      </c>
      <c r="S106">
        <f>stand_validation_1cycle[[#This Row],[aws]]</f>
        <v>524.31719970703102</v>
      </c>
      <c r="T106">
        <f>stand_validation_1cycle[[#This Row],[percent_tree_cover]]*100</f>
        <v>6.7368024535831408</v>
      </c>
    </row>
    <row r="107" spans="1:20" x14ac:dyDescent="0.2">
      <c r="A107">
        <v>1</v>
      </c>
      <c r="B107" t="s">
        <v>125</v>
      </c>
      <c r="C107">
        <v>27.606655555555498</v>
      </c>
      <c r="D107">
        <v>974.319470398607</v>
      </c>
      <c r="E107">
        <v>8.4223687870380708</v>
      </c>
      <c r="F107">
        <v>27.7679366655357</v>
      </c>
      <c r="G107">
        <v>100</v>
      </c>
      <c r="H107">
        <v>567</v>
      </c>
      <c r="I107">
        <v>8.3916891142610001E-2</v>
      </c>
      <c r="K107" s="1" t="str">
        <f>TEXT(stand_validation_1cycle[[#This Row],[stand_age]], ".0")</f>
        <v>27.6</v>
      </c>
      <c r="L107" s="1" t="str">
        <f t="shared" si="1"/>
        <v>"27.6"</v>
      </c>
      <c r="M107">
        <v>100</v>
      </c>
      <c r="N107">
        <f>0.029*stand_validation_1cycle[[#This Row],[stand_level_biomass]]</f>
        <v>28.255264641559606</v>
      </c>
      <c r="O107">
        <f>0.213*stand_validation_1cycle[[#This Row],[stand_level_biomass]]</f>
        <v>207.53004719490329</v>
      </c>
      <c r="P107">
        <f>0.571*stand_validation_1cycle[[#This Row],[stand_level_biomass]]</f>
        <v>556.33641759760451</v>
      </c>
      <c r="Q107">
        <f>stand_validation_1cycle[[#This Row],[stock]]</f>
        <v>100</v>
      </c>
      <c r="R107">
        <v>0</v>
      </c>
      <c r="S107">
        <f>stand_validation_1cycle[[#This Row],[aws]]</f>
        <v>567</v>
      </c>
      <c r="T107">
        <f>stand_validation_1cycle[[#This Row],[percent_tree_cover]]*100</f>
        <v>8.3916891142610002</v>
      </c>
    </row>
    <row r="108" spans="1:20" x14ac:dyDescent="0.2">
      <c r="A108">
        <v>1</v>
      </c>
      <c r="B108" t="s">
        <v>126</v>
      </c>
      <c r="C108">
        <v>28.291133333333299</v>
      </c>
      <c r="D108">
        <v>903.93910226181004</v>
      </c>
      <c r="E108">
        <v>7.9909880603938497</v>
      </c>
      <c r="F108">
        <v>27.633774265589999</v>
      </c>
      <c r="G108">
        <v>100</v>
      </c>
      <c r="H108">
        <v>614.16864013671795</v>
      </c>
      <c r="I108">
        <v>7.9619326563308696E-2</v>
      </c>
      <c r="K108" s="1" t="str">
        <f>TEXT(stand_validation_1cycle[[#This Row],[stand_age]], ".0")</f>
        <v>28.3</v>
      </c>
      <c r="L108" s="1" t="str">
        <f t="shared" si="1"/>
        <v>"28.3"</v>
      </c>
      <c r="M108">
        <v>100</v>
      </c>
      <c r="N108">
        <f>0.029*stand_validation_1cycle[[#This Row],[stand_level_biomass]]</f>
        <v>26.214233965592491</v>
      </c>
      <c r="O108">
        <f>0.213*stand_validation_1cycle[[#This Row],[stand_level_biomass]]</f>
        <v>192.53902878176552</v>
      </c>
      <c r="P108">
        <f>0.571*stand_validation_1cycle[[#This Row],[stand_level_biomass]]</f>
        <v>516.14922739149347</v>
      </c>
      <c r="Q108">
        <f>stand_validation_1cycle[[#This Row],[stock]]</f>
        <v>100</v>
      </c>
      <c r="R108">
        <v>0</v>
      </c>
      <c r="S108">
        <f>stand_validation_1cycle[[#This Row],[aws]]</f>
        <v>614.16864013671795</v>
      </c>
      <c r="T108">
        <f>stand_validation_1cycle[[#This Row],[percent_tree_cover]]*100</f>
        <v>7.9619326563308697</v>
      </c>
    </row>
    <row r="109" spans="1:20" x14ac:dyDescent="0.2">
      <c r="A109">
        <v>1</v>
      </c>
      <c r="B109" t="s">
        <v>127</v>
      </c>
      <c r="C109">
        <v>27.442511111111099</v>
      </c>
      <c r="D109">
        <v>780.39785837155603</v>
      </c>
      <c r="E109">
        <v>7.0946830369448897</v>
      </c>
      <c r="F109">
        <v>26.265028065684898</v>
      </c>
      <c r="G109">
        <v>100</v>
      </c>
      <c r="H109">
        <v>526.42596435546795</v>
      </c>
      <c r="I109">
        <v>7.0681015626325103E-2</v>
      </c>
      <c r="K109" s="1" t="str">
        <f>TEXT(stand_validation_1cycle[[#This Row],[stand_age]], ".0")</f>
        <v>27.4</v>
      </c>
      <c r="L109" s="1" t="str">
        <f t="shared" si="1"/>
        <v>"27.4"</v>
      </c>
      <c r="M109">
        <v>100</v>
      </c>
      <c r="N109">
        <f>0.029*stand_validation_1cycle[[#This Row],[stand_level_biomass]]</f>
        <v>22.631537892775125</v>
      </c>
      <c r="O109">
        <f>0.213*stand_validation_1cycle[[#This Row],[stand_level_biomass]]</f>
        <v>166.22474383314142</v>
      </c>
      <c r="P109">
        <f>0.571*stand_validation_1cycle[[#This Row],[stand_level_biomass]]</f>
        <v>445.60717713015845</v>
      </c>
      <c r="Q109">
        <f>stand_validation_1cycle[[#This Row],[stock]]</f>
        <v>100</v>
      </c>
      <c r="R109">
        <v>0</v>
      </c>
      <c r="S109">
        <f>stand_validation_1cycle[[#This Row],[aws]]</f>
        <v>526.42596435546795</v>
      </c>
      <c r="T109">
        <f>stand_validation_1cycle[[#This Row],[percent_tree_cover]]*100</f>
        <v>7.0681015626325099</v>
      </c>
    </row>
    <row r="110" spans="1:20" x14ac:dyDescent="0.2">
      <c r="A110">
        <v>1</v>
      </c>
      <c r="B110" t="s">
        <v>128</v>
      </c>
      <c r="C110">
        <v>27.450711111111101</v>
      </c>
      <c r="D110">
        <v>899.82313585300096</v>
      </c>
      <c r="E110">
        <v>7.9520645128140401</v>
      </c>
      <c r="F110">
        <v>27.483636198900701</v>
      </c>
      <c r="G110">
        <v>100</v>
      </c>
      <c r="H110">
        <v>524.324462890625</v>
      </c>
      <c r="I110">
        <v>7.9243386165035901E-2</v>
      </c>
      <c r="K110" s="1" t="str">
        <f>TEXT(stand_validation_1cycle[[#This Row],[stand_age]], ".0")</f>
        <v>27.5</v>
      </c>
      <c r="L110" s="1" t="str">
        <f t="shared" si="1"/>
        <v>"27.5"</v>
      </c>
      <c r="M110">
        <v>100</v>
      </c>
      <c r="N110">
        <f>0.029*stand_validation_1cycle[[#This Row],[stand_level_biomass]]</f>
        <v>26.094870939737028</v>
      </c>
      <c r="O110">
        <f>0.213*stand_validation_1cycle[[#This Row],[stand_level_biomass]]</f>
        <v>191.66232793668919</v>
      </c>
      <c r="P110">
        <f>0.571*stand_validation_1cycle[[#This Row],[stand_level_biomass]]</f>
        <v>513.79901057206348</v>
      </c>
      <c r="Q110">
        <f>stand_validation_1cycle[[#This Row],[stock]]</f>
        <v>100</v>
      </c>
      <c r="R110">
        <v>0</v>
      </c>
      <c r="S110">
        <f>stand_validation_1cycle[[#This Row],[aws]]</f>
        <v>524.324462890625</v>
      </c>
      <c r="T110">
        <f>stand_validation_1cycle[[#This Row],[percent_tree_cover]]*100</f>
        <v>7.9243386165035901</v>
      </c>
    </row>
    <row r="111" spans="1:20" x14ac:dyDescent="0.2">
      <c r="A111">
        <v>1</v>
      </c>
      <c r="B111" t="s">
        <v>129</v>
      </c>
      <c r="C111">
        <v>26.044344444444398</v>
      </c>
      <c r="D111">
        <v>784.59986832389302</v>
      </c>
      <c r="E111">
        <v>7.0507101645725898</v>
      </c>
      <c r="F111">
        <v>25.767654112087101</v>
      </c>
      <c r="G111">
        <v>100</v>
      </c>
      <c r="H111">
        <v>525.94061279296795</v>
      </c>
      <c r="I111">
        <v>7.0254128838531299E-2</v>
      </c>
      <c r="K111" s="1" t="str">
        <f>TEXT(stand_validation_1cycle[[#This Row],[stand_age]], ".0")</f>
        <v>26.0</v>
      </c>
      <c r="L111" s="1" t="str">
        <f t="shared" si="1"/>
        <v>"26.0"</v>
      </c>
      <c r="M111">
        <v>100</v>
      </c>
      <c r="N111">
        <f>0.029*stand_validation_1cycle[[#This Row],[stand_level_biomass]]</f>
        <v>22.753396181392898</v>
      </c>
      <c r="O111">
        <f>0.213*stand_validation_1cycle[[#This Row],[stand_level_biomass]]</f>
        <v>167.1197719529892</v>
      </c>
      <c r="P111">
        <f>0.571*stand_validation_1cycle[[#This Row],[stand_level_biomass]]</f>
        <v>448.00652481294287</v>
      </c>
      <c r="Q111">
        <f>stand_validation_1cycle[[#This Row],[stock]]</f>
        <v>100</v>
      </c>
      <c r="R111">
        <v>0</v>
      </c>
      <c r="S111">
        <f>stand_validation_1cycle[[#This Row],[aws]]</f>
        <v>525.94061279296795</v>
      </c>
      <c r="T111">
        <f>stand_validation_1cycle[[#This Row],[percent_tree_cover]]*100</f>
        <v>7.0254128838531296</v>
      </c>
    </row>
    <row r="112" spans="1:20" x14ac:dyDescent="0.2">
      <c r="A112">
        <v>1</v>
      </c>
      <c r="B112" t="s">
        <v>130</v>
      </c>
      <c r="C112">
        <v>25.316144444444401</v>
      </c>
      <c r="D112">
        <v>652.85798792489402</v>
      </c>
      <c r="E112">
        <v>6.0828090299464801</v>
      </c>
      <c r="F112">
        <v>24.178990893374198</v>
      </c>
      <c r="G112">
        <v>100</v>
      </c>
      <c r="H112">
        <v>525.3056640625</v>
      </c>
      <c r="I112">
        <v>6.0625672359137503E-2</v>
      </c>
      <c r="K112" s="1" t="str">
        <f>TEXT(stand_validation_1cycle[[#This Row],[stand_age]], ".0")</f>
        <v>25.3</v>
      </c>
      <c r="L112" s="1" t="str">
        <f t="shared" si="1"/>
        <v>"25.3"</v>
      </c>
      <c r="M112">
        <v>100</v>
      </c>
      <c r="N112">
        <f>0.029*stand_validation_1cycle[[#This Row],[stand_level_biomass]]</f>
        <v>18.932881649821926</v>
      </c>
      <c r="O112">
        <f>0.213*stand_validation_1cycle[[#This Row],[stand_level_biomass]]</f>
        <v>139.05875142800241</v>
      </c>
      <c r="P112">
        <f>0.571*stand_validation_1cycle[[#This Row],[stand_level_biomass]]</f>
        <v>372.78191110511443</v>
      </c>
      <c r="Q112">
        <f>stand_validation_1cycle[[#This Row],[stock]]</f>
        <v>100</v>
      </c>
      <c r="R112">
        <v>0</v>
      </c>
      <c r="S112">
        <f>stand_validation_1cycle[[#This Row],[aws]]</f>
        <v>525.3056640625</v>
      </c>
      <c r="T112">
        <f>stand_validation_1cycle[[#This Row],[percent_tree_cover]]*100</f>
        <v>6.0625672359137504</v>
      </c>
    </row>
    <row r="113" spans="1:20" x14ac:dyDescent="0.2">
      <c r="A113">
        <v>1</v>
      </c>
      <c r="B113" t="s">
        <v>131</v>
      </c>
      <c r="C113">
        <v>24.433988888888798</v>
      </c>
      <c r="D113">
        <v>586.50573029797295</v>
      </c>
      <c r="E113">
        <v>5.5615347711124503</v>
      </c>
      <c r="F113">
        <v>23.064941941011401</v>
      </c>
      <c r="G113">
        <v>100</v>
      </c>
      <c r="H113">
        <v>524.11468505859295</v>
      </c>
      <c r="I113">
        <v>5.5430217033015497E-2</v>
      </c>
      <c r="K113" s="1" t="str">
        <f>TEXT(stand_validation_1cycle[[#This Row],[stand_age]], ".0")</f>
        <v>24.4</v>
      </c>
      <c r="L113" s="1" t="str">
        <f t="shared" si="1"/>
        <v>"24.4"</v>
      </c>
      <c r="M113">
        <v>100</v>
      </c>
      <c r="N113">
        <f>0.029*stand_validation_1cycle[[#This Row],[stand_level_biomass]]</f>
        <v>17.008666178641217</v>
      </c>
      <c r="O113">
        <f>0.213*stand_validation_1cycle[[#This Row],[stand_level_biomass]]</f>
        <v>124.92572055346824</v>
      </c>
      <c r="P113">
        <f>0.571*stand_validation_1cycle[[#This Row],[stand_level_biomass]]</f>
        <v>334.8947720001425</v>
      </c>
      <c r="Q113">
        <f>stand_validation_1cycle[[#This Row],[stock]]</f>
        <v>100</v>
      </c>
      <c r="R113">
        <v>0</v>
      </c>
      <c r="S113">
        <f>stand_validation_1cycle[[#This Row],[aws]]</f>
        <v>524.11468505859295</v>
      </c>
      <c r="T113">
        <f>stand_validation_1cycle[[#This Row],[percent_tree_cover]]*100</f>
        <v>5.5430217033015499</v>
      </c>
    </row>
    <row r="114" spans="1:20" x14ac:dyDescent="0.2">
      <c r="A114">
        <v>1</v>
      </c>
      <c r="B114" t="s">
        <v>132</v>
      </c>
      <c r="C114">
        <v>28.2072</v>
      </c>
      <c r="D114">
        <v>864.92332559659906</v>
      </c>
      <c r="E114">
        <v>7.7379194203784198</v>
      </c>
      <c r="F114">
        <v>27.5064554455471</v>
      </c>
      <c r="G114">
        <v>100</v>
      </c>
      <c r="H114">
        <v>609</v>
      </c>
      <c r="I114">
        <v>7.7100231461754501E-2</v>
      </c>
      <c r="K114" s="1" t="str">
        <f>TEXT(stand_validation_1cycle[[#This Row],[stand_age]], ".0")</f>
        <v>28.2</v>
      </c>
      <c r="L114" s="1" t="str">
        <f t="shared" si="1"/>
        <v>"28.2"</v>
      </c>
      <c r="M114">
        <v>100</v>
      </c>
      <c r="N114">
        <f>0.029*stand_validation_1cycle[[#This Row],[stand_level_biomass]]</f>
        <v>25.082776442301373</v>
      </c>
      <c r="O114">
        <f>0.213*stand_validation_1cycle[[#This Row],[stand_level_biomass]]</f>
        <v>184.2286683520756</v>
      </c>
      <c r="P114">
        <f>0.571*stand_validation_1cycle[[#This Row],[stand_level_biomass]]</f>
        <v>493.87121891565801</v>
      </c>
      <c r="Q114">
        <f>stand_validation_1cycle[[#This Row],[stock]]</f>
        <v>100</v>
      </c>
      <c r="R114">
        <v>0</v>
      </c>
      <c r="S114">
        <f>stand_validation_1cycle[[#This Row],[aws]]</f>
        <v>609</v>
      </c>
      <c r="T114">
        <f>stand_validation_1cycle[[#This Row],[percent_tree_cover]]*100</f>
        <v>7.71002314617545</v>
      </c>
    </row>
    <row r="115" spans="1:20" x14ac:dyDescent="0.2">
      <c r="A115">
        <v>1</v>
      </c>
      <c r="B115" t="s">
        <v>133</v>
      </c>
      <c r="C115">
        <v>26.947251461988198</v>
      </c>
      <c r="D115">
        <v>732.33272136086703</v>
      </c>
      <c r="E115">
        <v>6.4031729407963001</v>
      </c>
      <c r="F115">
        <v>25.711582815033001</v>
      </c>
      <c r="G115">
        <v>95</v>
      </c>
      <c r="H115">
        <v>568.90533447265602</v>
      </c>
      <c r="I115">
        <v>6.6975525143362996E-2</v>
      </c>
      <c r="K115" s="1" t="str">
        <f>TEXT(stand_validation_1cycle[[#This Row],[stand_age]], ".0")</f>
        <v>26.9</v>
      </c>
      <c r="L115" s="1" t="str">
        <f t="shared" si="1"/>
        <v>"26.9"</v>
      </c>
      <c r="M115">
        <v>100</v>
      </c>
      <c r="N115">
        <f>0.029*stand_validation_1cycle[[#This Row],[stand_level_biomass]]</f>
        <v>21.237648919465144</v>
      </c>
      <c r="O115">
        <f>0.213*stand_validation_1cycle[[#This Row],[stand_level_biomass]]</f>
        <v>155.98686964986467</v>
      </c>
      <c r="P115">
        <f>0.571*stand_validation_1cycle[[#This Row],[stand_level_biomass]]</f>
        <v>418.16198389705505</v>
      </c>
      <c r="Q115">
        <f>stand_validation_1cycle[[#This Row],[stock]]</f>
        <v>95</v>
      </c>
      <c r="R115">
        <v>0</v>
      </c>
      <c r="S115">
        <f>stand_validation_1cycle[[#This Row],[aws]]</f>
        <v>568.90533447265602</v>
      </c>
      <c r="T115">
        <f>stand_validation_1cycle[[#This Row],[percent_tree_cover]]*100</f>
        <v>6.6975525143362997</v>
      </c>
    </row>
    <row r="116" spans="1:20" x14ac:dyDescent="0.2">
      <c r="A116">
        <v>1</v>
      </c>
      <c r="B116" t="s">
        <v>134</v>
      </c>
      <c r="C116">
        <v>29.261454248366</v>
      </c>
      <c r="D116">
        <v>1118.79830830181</v>
      </c>
      <c r="E116">
        <v>6.4463274282823404</v>
      </c>
      <c r="F116">
        <v>29.1646136953634</v>
      </c>
      <c r="G116">
        <v>68</v>
      </c>
      <c r="H116">
        <v>567.03668212890602</v>
      </c>
      <c r="I116">
        <v>9.1122792501668201E-2</v>
      </c>
      <c r="K116" s="1" t="str">
        <f>TEXT(stand_validation_1cycle[[#This Row],[stand_age]], ".0")</f>
        <v>29.3</v>
      </c>
      <c r="L116" s="1" t="str">
        <f t="shared" si="1"/>
        <v>"29.3"</v>
      </c>
      <c r="M116">
        <v>100</v>
      </c>
      <c r="N116">
        <f>0.029*stand_validation_1cycle[[#This Row],[stand_level_biomass]]</f>
        <v>32.445150940752491</v>
      </c>
      <c r="O116">
        <f>0.213*stand_validation_1cycle[[#This Row],[stand_level_biomass]]</f>
        <v>238.30403966828553</v>
      </c>
      <c r="P116">
        <f>0.571*stand_validation_1cycle[[#This Row],[stand_level_biomass]]</f>
        <v>638.8338340403335</v>
      </c>
      <c r="Q116">
        <f>stand_validation_1cycle[[#This Row],[stock]]</f>
        <v>68</v>
      </c>
      <c r="R116">
        <v>0</v>
      </c>
      <c r="S116">
        <f>stand_validation_1cycle[[#This Row],[aws]]</f>
        <v>567.03668212890602</v>
      </c>
      <c r="T116">
        <f>stand_validation_1cycle[[#This Row],[percent_tree_cover]]*100</f>
        <v>9.1122792501668197</v>
      </c>
    </row>
    <row r="117" spans="1:20" x14ac:dyDescent="0.2">
      <c r="A117">
        <v>1</v>
      </c>
      <c r="B117" t="s">
        <v>135</v>
      </c>
      <c r="C117">
        <v>27.9598428731762</v>
      </c>
      <c r="D117">
        <v>951.81381756101803</v>
      </c>
      <c r="E117">
        <v>8.3221535521848793</v>
      </c>
      <c r="F117">
        <v>27.6871716188239</v>
      </c>
      <c r="G117">
        <v>99</v>
      </c>
      <c r="H117">
        <v>566.54302978515602</v>
      </c>
      <c r="I117">
        <v>8.1711059394057803E-2</v>
      </c>
      <c r="K117" s="1" t="str">
        <f>TEXT(stand_validation_1cycle[[#This Row],[stand_age]], ".0")</f>
        <v>28.0</v>
      </c>
      <c r="L117" s="1" t="str">
        <f t="shared" si="1"/>
        <v>"28.0"</v>
      </c>
      <c r="M117">
        <v>100</v>
      </c>
      <c r="N117">
        <f>0.029*stand_validation_1cycle[[#This Row],[stand_level_biomass]]</f>
        <v>27.602600709269524</v>
      </c>
      <c r="O117">
        <f>0.213*stand_validation_1cycle[[#This Row],[stand_level_biomass]]</f>
        <v>202.73634314049684</v>
      </c>
      <c r="P117">
        <f>0.571*stand_validation_1cycle[[#This Row],[stand_level_biomass]]</f>
        <v>543.48568982734128</v>
      </c>
      <c r="Q117">
        <f>stand_validation_1cycle[[#This Row],[stock]]</f>
        <v>99</v>
      </c>
      <c r="R117">
        <v>0</v>
      </c>
      <c r="S117">
        <f>stand_validation_1cycle[[#This Row],[aws]]</f>
        <v>566.54302978515602</v>
      </c>
      <c r="T117">
        <f>stand_validation_1cycle[[#This Row],[percent_tree_cover]]*100</f>
        <v>8.1711059394057806</v>
      </c>
    </row>
    <row r="118" spans="1:20" x14ac:dyDescent="0.2">
      <c r="A118">
        <v>1</v>
      </c>
      <c r="B118" t="s">
        <v>136</v>
      </c>
      <c r="C118">
        <v>26.528978675645298</v>
      </c>
      <c r="D118">
        <v>737.50481361882896</v>
      </c>
      <c r="E118">
        <v>6.7282193954962999</v>
      </c>
      <c r="F118">
        <v>24.706798131972501</v>
      </c>
      <c r="G118">
        <v>99</v>
      </c>
      <c r="H118">
        <v>568.11755371093705</v>
      </c>
      <c r="I118">
        <v>6.5623252066721302E-2</v>
      </c>
      <c r="K118" s="1" t="str">
        <f>TEXT(stand_validation_1cycle[[#This Row],[stand_age]], ".0")</f>
        <v>26.5</v>
      </c>
      <c r="L118" s="1" t="str">
        <f t="shared" si="1"/>
        <v>"26.5"</v>
      </c>
      <c r="M118">
        <v>100</v>
      </c>
      <c r="N118">
        <f>0.029*stand_validation_1cycle[[#This Row],[stand_level_biomass]]</f>
        <v>21.387639594946041</v>
      </c>
      <c r="O118">
        <f>0.213*stand_validation_1cycle[[#This Row],[stand_level_biomass]]</f>
        <v>157.08852530081057</v>
      </c>
      <c r="P118">
        <f>0.571*stand_validation_1cycle[[#This Row],[stand_level_biomass]]</f>
        <v>421.11524857635129</v>
      </c>
      <c r="Q118">
        <f>stand_validation_1cycle[[#This Row],[stock]]</f>
        <v>99</v>
      </c>
      <c r="R118">
        <v>0</v>
      </c>
      <c r="S118">
        <f>stand_validation_1cycle[[#This Row],[aws]]</f>
        <v>568.11755371093705</v>
      </c>
      <c r="T118">
        <f>stand_validation_1cycle[[#This Row],[percent_tree_cover]]*100</f>
        <v>6.5623252066721305</v>
      </c>
    </row>
    <row r="119" spans="1:20" x14ac:dyDescent="0.2">
      <c r="A119">
        <v>1</v>
      </c>
      <c r="B119" t="s">
        <v>137</v>
      </c>
      <c r="C119">
        <v>27.386780045351401</v>
      </c>
      <c r="D119">
        <v>824.65470175716905</v>
      </c>
      <c r="E119">
        <v>7.4237813607698504</v>
      </c>
      <c r="F119">
        <v>27.7815816301326</v>
      </c>
      <c r="G119">
        <v>98</v>
      </c>
      <c r="H119">
        <v>572.227783203125</v>
      </c>
      <c r="I119">
        <v>7.3613978117473305E-2</v>
      </c>
      <c r="K119" s="1" t="str">
        <f>TEXT(stand_validation_1cycle[[#This Row],[stand_age]], ".0")</f>
        <v>27.4</v>
      </c>
      <c r="L119" s="1" t="str">
        <f t="shared" si="1"/>
        <v>"27.4"</v>
      </c>
      <c r="M119">
        <v>100</v>
      </c>
      <c r="N119">
        <f>0.029*stand_validation_1cycle[[#This Row],[stand_level_biomass]]</f>
        <v>23.914986350957903</v>
      </c>
      <c r="O119">
        <f>0.213*stand_validation_1cycle[[#This Row],[stand_level_biomass]]</f>
        <v>175.651451474277</v>
      </c>
      <c r="P119">
        <f>0.571*stand_validation_1cycle[[#This Row],[stand_level_biomass]]</f>
        <v>470.87783470334347</v>
      </c>
      <c r="Q119">
        <f>stand_validation_1cycle[[#This Row],[stock]]</f>
        <v>98</v>
      </c>
      <c r="R119">
        <v>0</v>
      </c>
      <c r="S119">
        <f>stand_validation_1cycle[[#This Row],[aws]]</f>
        <v>572.227783203125</v>
      </c>
      <c r="T119">
        <f>stand_validation_1cycle[[#This Row],[percent_tree_cover]]*100</f>
        <v>7.3613978117473309</v>
      </c>
    </row>
    <row r="120" spans="1:20" x14ac:dyDescent="0.2">
      <c r="A120">
        <v>1</v>
      </c>
      <c r="B120" t="s">
        <v>138</v>
      </c>
      <c r="C120">
        <v>29.090246913580199</v>
      </c>
      <c r="D120">
        <v>1084.05944716507</v>
      </c>
      <c r="E120">
        <v>9.1454636703276897</v>
      </c>
      <c r="F120">
        <v>29.080280613496299</v>
      </c>
      <c r="G120">
        <v>99</v>
      </c>
      <c r="H120">
        <v>566.54302978515602</v>
      </c>
      <c r="I120">
        <v>9.0893819367135101E-2</v>
      </c>
      <c r="K120" s="1" t="str">
        <f>TEXT(stand_validation_1cycle[[#This Row],[stand_age]], ".0")</f>
        <v>29.1</v>
      </c>
      <c r="L120" s="1" t="str">
        <f t="shared" si="1"/>
        <v>"29.1"</v>
      </c>
      <c r="M120">
        <v>100</v>
      </c>
      <c r="N120">
        <f>0.029*stand_validation_1cycle[[#This Row],[stand_level_biomass]]</f>
        <v>31.437723967787029</v>
      </c>
      <c r="O120">
        <f>0.213*stand_validation_1cycle[[#This Row],[stand_level_biomass]]</f>
        <v>230.90466224615989</v>
      </c>
      <c r="P120">
        <f>0.571*stand_validation_1cycle[[#This Row],[stand_level_biomass]]</f>
        <v>618.99794433125487</v>
      </c>
      <c r="Q120">
        <f>stand_validation_1cycle[[#This Row],[stock]]</f>
        <v>99</v>
      </c>
      <c r="R120">
        <v>0</v>
      </c>
      <c r="S120">
        <f>stand_validation_1cycle[[#This Row],[aws]]</f>
        <v>566.54302978515602</v>
      </c>
      <c r="T120">
        <f>stand_validation_1cycle[[#This Row],[percent_tree_cover]]*100</f>
        <v>9.0893819367135098</v>
      </c>
    </row>
    <row r="121" spans="1:20" x14ac:dyDescent="0.2">
      <c r="A121">
        <v>1</v>
      </c>
      <c r="B121" t="s">
        <v>139</v>
      </c>
      <c r="C121">
        <v>28.1310437710437</v>
      </c>
      <c r="D121">
        <v>769.51559253399796</v>
      </c>
      <c r="E121">
        <v>6.9413340455415398</v>
      </c>
      <c r="F121">
        <v>25.8296515143427</v>
      </c>
      <c r="G121">
        <v>99</v>
      </c>
      <c r="H121">
        <v>566.47930908203102</v>
      </c>
      <c r="I121">
        <v>6.8892441484561001E-2</v>
      </c>
      <c r="K121" s="1" t="str">
        <f>TEXT(stand_validation_1cycle[[#This Row],[stand_age]], ".0")</f>
        <v>28.1</v>
      </c>
      <c r="L121" s="1" t="str">
        <f t="shared" si="1"/>
        <v>"28.1"</v>
      </c>
      <c r="M121">
        <v>100</v>
      </c>
      <c r="N121">
        <f>0.029*stand_validation_1cycle[[#This Row],[stand_level_biomass]]</f>
        <v>22.31595218348594</v>
      </c>
      <c r="O121">
        <f>0.213*stand_validation_1cycle[[#This Row],[stand_level_biomass]]</f>
        <v>163.90682120974157</v>
      </c>
      <c r="P121">
        <f>0.571*stand_validation_1cycle[[#This Row],[stand_level_biomass]]</f>
        <v>439.3934033369128</v>
      </c>
      <c r="Q121">
        <f>stand_validation_1cycle[[#This Row],[stock]]</f>
        <v>99</v>
      </c>
      <c r="R121">
        <v>0</v>
      </c>
      <c r="S121">
        <f>stand_validation_1cycle[[#This Row],[aws]]</f>
        <v>566.47930908203102</v>
      </c>
      <c r="T121">
        <f>stand_validation_1cycle[[#This Row],[percent_tree_cover]]*100</f>
        <v>6.8892441484561004</v>
      </c>
    </row>
    <row r="122" spans="1:20" x14ac:dyDescent="0.2">
      <c r="A122">
        <v>1</v>
      </c>
      <c r="B122" t="s">
        <v>140</v>
      </c>
      <c r="C122">
        <v>27.2035555555555</v>
      </c>
      <c r="D122">
        <v>687.66580261469403</v>
      </c>
      <c r="E122">
        <v>6.3690576007728001</v>
      </c>
      <c r="F122">
        <v>24.896160865793501</v>
      </c>
      <c r="G122">
        <v>100</v>
      </c>
      <c r="H122">
        <v>566.58038330078102</v>
      </c>
      <c r="I122">
        <v>6.34667769109028E-2</v>
      </c>
      <c r="K122" s="1" t="str">
        <f>TEXT(stand_validation_1cycle[[#This Row],[stand_age]], ".0")</f>
        <v>27.2</v>
      </c>
      <c r="L122" s="1" t="str">
        <f t="shared" si="1"/>
        <v>"27.2"</v>
      </c>
      <c r="M122">
        <v>100</v>
      </c>
      <c r="N122">
        <f>0.029*stand_validation_1cycle[[#This Row],[stand_level_biomass]]</f>
        <v>19.942308275826129</v>
      </c>
      <c r="O122">
        <f>0.213*stand_validation_1cycle[[#This Row],[stand_level_biomass]]</f>
        <v>146.47281595692982</v>
      </c>
      <c r="P122">
        <f>0.571*stand_validation_1cycle[[#This Row],[stand_level_biomass]]</f>
        <v>392.65717329299025</v>
      </c>
      <c r="Q122">
        <f>stand_validation_1cycle[[#This Row],[stock]]</f>
        <v>100</v>
      </c>
      <c r="R122">
        <v>0</v>
      </c>
      <c r="S122">
        <f>stand_validation_1cycle[[#This Row],[aws]]</f>
        <v>566.58038330078102</v>
      </c>
      <c r="T122">
        <f>stand_validation_1cycle[[#This Row],[percent_tree_cover]]*100</f>
        <v>6.3466776910902798</v>
      </c>
    </row>
    <row r="123" spans="1:20" x14ac:dyDescent="0.2">
      <c r="A123">
        <v>1</v>
      </c>
      <c r="B123" t="s">
        <v>141</v>
      </c>
      <c r="C123">
        <v>28.9981222222222</v>
      </c>
      <c r="D123">
        <v>1108.7707046855301</v>
      </c>
      <c r="E123">
        <v>9.4041793231379494</v>
      </c>
      <c r="F123">
        <v>29.365806932211399</v>
      </c>
      <c r="G123">
        <v>100</v>
      </c>
      <c r="H123">
        <v>575.36187744140602</v>
      </c>
      <c r="I123">
        <v>9.3680457844730503E-2</v>
      </c>
      <c r="K123" s="1" t="str">
        <f>TEXT(stand_validation_1cycle[[#This Row],[stand_age]], ".0")</f>
        <v>29.0</v>
      </c>
      <c r="L123" s="1" t="str">
        <f t="shared" si="1"/>
        <v>"29.0"</v>
      </c>
      <c r="M123">
        <v>100</v>
      </c>
      <c r="N123">
        <f>0.029*stand_validation_1cycle[[#This Row],[stand_level_biomass]]</f>
        <v>32.154350435880374</v>
      </c>
      <c r="O123">
        <f>0.213*stand_validation_1cycle[[#This Row],[stand_level_biomass]]</f>
        <v>236.16816009801789</v>
      </c>
      <c r="P123">
        <f>0.571*stand_validation_1cycle[[#This Row],[stand_level_biomass]]</f>
        <v>633.10807237543759</v>
      </c>
      <c r="Q123">
        <f>stand_validation_1cycle[[#This Row],[stock]]</f>
        <v>100</v>
      </c>
      <c r="R123">
        <v>0</v>
      </c>
      <c r="S123">
        <f>stand_validation_1cycle[[#This Row],[aws]]</f>
        <v>575.36187744140602</v>
      </c>
      <c r="T123">
        <f>stand_validation_1cycle[[#This Row],[percent_tree_cover]]*100</f>
        <v>9.3680457844730505</v>
      </c>
    </row>
    <row r="124" spans="1:20" x14ac:dyDescent="0.2">
      <c r="A124">
        <v>1</v>
      </c>
      <c r="B124" t="s">
        <v>142</v>
      </c>
      <c r="C124">
        <v>27.747340067340001</v>
      </c>
      <c r="D124">
        <v>910.82527136963495</v>
      </c>
      <c r="E124">
        <v>7.9786117561350398</v>
      </c>
      <c r="F124">
        <v>27.988092591409</v>
      </c>
      <c r="G124">
        <v>99</v>
      </c>
      <c r="H124">
        <v>566.47930908203102</v>
      </c>
      <c r="I124">
        <v>7.9342210527692997E-2</v>
      </c>
      <c r="K124" s="1" t="str">
        <f>TEXT(stand_validation_1cycle[[#This Row],[stand_age]], ".0")</f>
        <v>27.7</v>
      </c>
      <c r="L124" s="1" t="str">
        <f t="shared" si="1"/>
        <v>"27.7"</v>
      </c>
      <c r="M124">
        <v>100</v>
      </c>
      <c r="N124">
        <f>0.029*stand_validation_1cycle[[#This Row],[stand_level_biomass]]</f>
        <v>26.413932869719414</v>
      </c>
      <c r="O124">
        <f>0.213*stand_validation_1cycle[[#This Row],[stand_level_biomass]]</f>
        <v>194.00578280173224</v>
      </c>
      <c r="P124">
        <f>0.571*stand_validation_1cycle[[#This Row],[stand_level_biomass]]</f>
        <v>520.08122995206156</v>
      </c>
      <c r="Q124">
        <f>stand_validation_1cycle[[#This Row],[stock]]</f>
        <v>99</v>
      </c>
      <c r="R124">
        <v>0</v>
      </c>
      <c r="S124">
        <f>stand_validation_1cycle[[#This Row],[aws]]</f>
        <v>566.47930908203102</v>
      </c>
      <c r="T124">
        <f>stand_validation_1cycle[[#This Row],[percent_tree_cover]]*100</f>
        <v>7.9342210527693</v>
      </c>
    </row>
    <row r="125" spans="1:20" x14ac:dyDescent="0.2">
      <c r="A125">
        <v>1</v>
      </c>
      <c r="B125" t="s">
        <v>143</v>
      </c>
      <c r="C125">
        <v>30.753532163742602</v>
      </c>
      <c r="D125">
        <v>1193.78481851222</v>
      </c>
      <c r="E125">
        <v>9.5816643855006696</v>
      </c>
      <c r="F125">
        <v>30.817155718188701</v>
      </c>
      <c r="G125">
        <v>95</v>
      </c>
      <c r="H125">
        <v>572.43273925781205</v>
      </c>
      <c r="I125">
        <v>9.8165388194177097E-2</v>
      </c>
      <c r="K125" s="1" t="str">
        <f>TEXT(stand_validation_1cycle[[#This Row],[stand_age]], ".0")</f>
        <v>30.8</v>
      </c>
      <c r="L125" s="1" t="str">
        <f t="shared" si="1"/>
        <v>"30.8"</v>
      </c>
      <c r="M125">
        <v>100</v>
      </c>
      <c r="N125">
        <f>0.029*stand_validation_1cycle[[#This Row],[stand_level_biomass]]</f>
        <v>34.619759736854384</v>
      </c>
      <c r="O125">
        <f>0.213*stand_validation_1cycle[[#This Row],[stand_level_biomass]]</f>
        <v>254.27616634310286</v>
      </c>
      <c r="P125">
        <f>0.571*stand_validation_1cycle[[#This Row],[stand_level_biomass]]</f>
        <v>681.65113137047751</v>
      </c>
      <c r="Q125">
        <f>stand_validation_1cycle[[#This Row],[stock]]</f>
        <v>95</v>
      </c>
      <c r="R125">
        <v>0</v>
      </c>
      <c r="S125">
        <f>stand_validation_1cycle[[#This Row],[aws]]</f>
        <v>572.43273925781205</v>
      </c>
      <c r="T125">
        <f>stand_validation_1cycle[[#This Row],[percent_tree_cover]]*100</f>
        <v>9.8165388194177101</v>
      </c>
    </row>
    <row r="126" spans="1:20" x14ac:dyDescent="0.2">
      <c r="A126">
        <v>1</v>
      </c>
      <c r="B126" t="s">
        <v>144</v>
      </c>
      <c r="C126">
        <v>24.8852574525745</v>
      </c>
      <c r="D126">
        <v>776.43650204298797</v>
      </c>
      <c r="E126">
        <v>2.89750975396178</v>
      </c>
      <c r="F126">
        <v>25.7179562588937</v>
      </c>
      <c r="G126">
        <v>41</v>
      </c>
      <c r="H126">
        <v>572.43273925781205</v>
      </c>
      <c r="I126">
        <v>7.1390227265408293E-2</v>
      </c>
      <c r="K126" s="1" t="str">
        <f>TEXT(stand_validation_1cycle[[#This Row],[stand_age]], ".0")</f>
        <v>24.9</v>
      </c>
      <c r="L126" s="1" t="str">
        <f t="shared" si="1"/>
        <v>"24.9"</v>
      </c>
      <c r="M126">
        <v>100</v>
      </c>
      <c r="N126">
        <f>0.029*stand_validation_1cycle[[#This Row],[stand_level_biomass]]</f>
        <v>22.516658559246654</v>
      </c>
      <c r="O126">
        <f>0.213*stand_validation_1cycle[[#This Row],[stand_level_biomass]]</f>
        <v>165.38097493515644</v>
      </c>
      <c r="P126">
        <f>0.571*stand_validation_1cycle[[#This Row],[stand_level_biomass]]</f>
        <v>443.34524266654608</v>
      </c>
      <c r="Q126">
        <f>stand_validation_1cycle[[#This Row],[stock]]</f>
        <v>41</v>
      </c>
      <c r="R126">
        <v>0</v>
      </c>
      <c r="S126">
        <f>stand_validation_1cycle[[#This Row],[aws]]</f>
        <v>572.43273925781205</v>
      </c>
      <c r="T126">
        <f>stand_validation_1cycle[[#This Row],[percent_tree_cover]]*100</f>
        <v>7.139022726540829</v>
      </c>
    </row>
    <row r="127" spans="1:20" x14ac:dyDescent="0.2">
      <c r="A127">
        <v>1</v>
      </c>
      <c r="B127" t="s">
        <v>145</v>
      </c>
      <c r="C127">
        <v>24.625851851851799</v>
      </c>
      <c r="D127">
        <v>633.95356920050597</v>
      </c>
      <c r="E127">
        <v>5.5122887354711096</v>
      </c>
      <c r="F127">
        <v>24.385240992426901</v>
      </c>
      <c r="G127">
        <v>90</v>
      </c>
      <c r="H127">
        <v>567.442138671875</v>
      </c>
      <c r="I127">
        <v>5.9773390580867801E-2</v>
      </c>
      <c r="K127" s="1" t="str">
        <f>TEXT(stand_validation_1cycle[[#This Row],[stand_age]], ".0")</f>
        <v>24.6</v>
      </c>
      <c r="L127" s="1" t="str">
        <f t="shared" si="1"/>
        <v>"24.6"</v>
      </c>
      <c r="M127">
        <v>100</v>
      </c>
      <c r="N127">
        <f>0.029*stand_validation_1cycle[[#This Row],[stand_level_biomass]]</f>
        <v>18.384653506814676</v>
      </c>
      <c r="O127">
        <f>0.213*stand_validation_1cycle[[#This Row],[stand_level_biomass]]</f>
        <v>135.03211023970778</v>
      </c>
      <c r="P127">
        <f>0.571*stand_validation_1cycle[[#This Row],[stand_level_biomass]]</f>
        <v>361.98748801348887</v>
      </c>
      <c r="Q127">
        <f>stand_validation_1cycle[[#This Row],[stock]]</f>
        <v>90</v>
      </c>
      <c r="R127">
        <v>0</v>
      </c>
      <c r="S127">
        <f>stand_validation_1cycle[[#This Row],[aws]]</f>
        <v>567.442138671875</v>
      </c>
      <c r="T127">
        <f>stand_validation_1cycle[[#This Row],[percent_tree_cover]]*100</f>
        <v>5.9773390580867805</v>
      </c>
    </row>
    <row r="128" spans="1:20" x14ac:dyDescent="0.2">
      <c r="A128">
        <v>1</v>
      </c>
      <c r="B128" t="s">
        <v>146</v>
      </c>
      <c r="C128">
        <v>26.898243727598501</v>
      </c>
      <c r="D128">
        <v>867.86831847247902</v>
      </c>
      <c r="E128">
        <v>7.0936683025177798</v>
      </c>
      <c r="F128">
        <v>26.116305763553001</v>
      </c>
      <c r="G128">
        <v>93</v>
      </c>
      <c r="H128">
        <v>622.51812744140602</v>
      </c>
      <c r="I128">
        <v>7.4609616272547502E-2</v>
      </c>
      <c r="K128" s="1" t="str">
        <f>TEXT(stand_validation_1cycle[[#This Row],[stand_age]], ".0")</f>
        <v>26.9</v>
      </c>
      <c r="L128" s="1" t="str">
        <f t="shared" si="1"/>
        <v>"26.9"</v>
      </c>
      <c r="M128">
        <v>100</v>
      </c>
      <c r="N128">
        <f>0.029*stand_validation_1cycle[[#This Row],[stand_level_biomass]]</f>
        <v>25.168181235701894</v>
      </c>
      <c r="O128">
        <f>0.213*stand_validation_1cycle[[#This Row],[stand_level_biomass]]</f>
        <v>184.85595183463803</v>
      </c>
      <c r="P128">
        <f>0.571*stand_validation_1cycle[[#This Row],[stand_level_biomass]]</f>
        <v>495.55280984778545</v>
      </c>
      <c r="Q128">
        <f>stand_validation_1cycle[[#This Row],[stock]]</f>
        <v>93</v>
      </c>
      <c r="R128">
        <v>0</v>
      </c>
      <c r="S128">
        <f>stand_validation_1cycle[[#This Row],[aws]]</f>
        <v>622.51812744140602</v>
      </c>
      <c r="T128">
        <f>stand_validation_1cycle[[#This Row],[percent_tree_cover]]*100</f>
        <v>7.4609616272547505</v>
      </c>
    </row>
    <row r="129" spans="1:20" x14ac:dyDescent="0.2">
      <c r="A129">
        <v>1</v>
      </c>
      <c r="B129" t="s">
        <v>147</v>
      </c>
      <c r="C129">
        <v>28.4097392290249</v>
      </c>
      <c r="D129">
        <v>983.61100432000296</v>
      </c>
      <c r="E129">
        <v>8.3393749777136907</v>
      </c>
      <c r="F129">
        <v>27.5606013002871</v>
      </c>
      <c r="G129">
        <v>98</v>
      </c>
      <c r="H129">
        <v>524.61187744140602</v>
      </c>
      <c r="I129">
        <v>8.2731860355948997E-2</v>
      </c>
      <c r="K129" s="1" t="str">
        <f>TEXT(stand_validation_1cycle[[#This Row],[stand_age]], ".0")</f>
        <v>28.4</v>
      </c>
      <c r="L129" s="1" t="str">
        <f t="shared" si="1"/>
        <v>"28.4"</v>
      </c>
      <c r="M129">
        <v>100</v>
      </c>
      <c r="N129">
        <f>0.029*stand_validation_1cycle[[#This Row],[stand_level_biomass]]</f>
        <v>28.524719125280086</v>
      </c>
      <c r="O129">
        <f>0.213*stand_validation_1cycle[[#This Row],[stand_level_biomass]]</f>
        <v>209.50914392016062</v>
      </c>
      <c r="P129">
        <f>0.571*stand_validation_1cycle[[#This Row],[stand_level_biomass]]</f>
        <v>561.64188346672165</v>
      </c>
      <c r="Q129">
        <f>stand_validation_1cycle[[#This Row],[stock]]</f>
        <v>98</v>
      </c>
      <c r="R129">
        <v>0</v>
      </c>
      <c r="S129">
        <f>stand_validation_1cycle[[#This Row],[aws]]</f>
        <v>524.61187744140602</v>
      </c>
      <c r="T129">
        <f>stand_validation_1cycle[[#This Row],[percent_tree_cover]]*100</f>
        <v>8.2731860355949003</v>
      </c>
    </row>
    <row r="130" spans="1:20" x14ac:dyDescent="0.2">
      <c r="A130">
        <v>1</v>
      </c>
      <c r="B130" t="s">
        <v>148</v>
      </c>
      <c r="C130">
        <v>27.3470333333333</v>
      </c>
      <c r="D130">
        <v>756.64018981279196</v>
      </c>
      <c r="E130">
        <v>6.9911730567962502</v>
      </c>
      <c r="F130">
        <v>26.646026588268501</v>
      </c>
      <c r="G130">
        <v>100</v>
      </c>
      <c r="H130">
        <v>525.052978515625</v>
      </c>
      <c r="I130">
        <v>6.9663772080073003E-2</v>
      </c>
      <c r="K130" s="1" t="str">
        <f>TEXT(stand_validation_1cycle[[#This Row],[stand_age]], ".0")</f>
        <v>27.3</v>
      </c>
      <c r="L130" s="1" t="str">
        <f t="shared" si="1"/>
        <v>"27.3"</v>
      </c>
      <c r="M130">
        <v>100</v>
      </c>
      <c r="N130">
        <f>0.029*stand_validation_1cycle[[#This Row],[stand_level_biomass]]</f>
        <v>21.942565504570968</v>
      </c>
      <c r="O130">
        <f>0.213*stand_validation_1cycle[[#This Row],[stand_level_biomass]]</f>
        <v>161.16436043012467</v>
      </c>
      <c r="P130">
        <f>0.571*stand_validation_1cycle[[#This Row],[stand_level_biomass]]</f>
        <v>432.04154838310416</v>
      </c>
      <c r="Q130">
        <f>stand_validation_1cycle[[#This Row],[stock]]</f>
        <v>100</v>
      </c>
      <c r="R130">
        <v>0</v>
      </c>
      <c r="S130">
        <f>stand_validation_1cycle[[#This Row],[aws]]</f>
        <v>525.052978515625</v>
      </c>
      <c r="T130">
        <f>stand_validation_1cycle[[#This Row],[percent_tree_cover]]*100</f>
        <v>6.9663772080072999</v>
      </c>
    </row>
    <row r="131" spans="1:20" x14ac:dyDescent="0.2">
      <c r="A131">
        <v>1</v>
      </c>
      <c r="B131" t="s">
        <v>149</v>
      </c>
      <c r="C131">
        <v>25.637182940516201</v>
      </c>
      <c r="D131">
        <v>776.49684899870101</v>
      </c>
      <c r="E131">
        <v>6.8989358964868499</v>
      </c>
      <c r="F131">
        <v>25.397208309549701</v>
      </c>
      <c r="G131">
        <v>99</v>
      </c>
      <c r="H131">
        <v>525.27410888671795</v>
      </c>
      <c r="I131">
        <v>6.8456638498685302E-2</v>
      </c>
      <c r="K131" s="1" t="str">
        <f>TEXT(stand_validation_1cycle[[#This Row],[stand_age]], ".0")</f>
        <v>25.6</v>
      </c>
      <c r="L131" s="1" t="str">
        <f t="shared" ref="L131:L194" si="2">""""&amp;K131&amp;""""</f>
        <v>"25.6"</v>
      </c>
      <c r="M131">
        <v>100</v>
      </c>
      <c r="N131">
        <f>0.029*stand_validation_1cycle[[#This Row],[stand_level_biomass]]</f>
        <v>22.51840862096233</v>
      </c>
      <c r="O131">
        <f>0.213*stand_validation_1cycle[[#This Row],[stand_level_biomass]]</f>
        <v>165.39382883672332</v>
      </c>
      <c r="P131">
        <f>0.571*stand_validation_1cycle[[#This Row],[stand_level_biomass]]</f>
        <v>443.37970077825827</v>
      </c>
      <c r="Q131">
        <f>stand_validation_1cycle[[#This Row],[stock]]</f>
        <v>99</v>
      </c>
      <c r="R131">
        <v>0</v>
      </c>
      <c r="S131">
        <f>stand_validation_1cycle[[#This Row],[aws]]</f>
        <v>525.27410888671795</v>
      </c>
      <c r="T131">
        <f>stand_validation_1cycle[[#This Row],[percent_tree_cover]]*100</f>
        <v>6.8456638498685303</v>
      </c>
    </row>
    <row r="132" spans="1:20" x14ac:dyDescent="0.2">
      <c r="A132">
        <v>1</v>
      </c>
      <c r="B132" t="s">
        <v>150</v>
      </c>
      <c r="C132">
        <v>27.103153759820401</v>
      </c>
      <c r="D132">
        <v>984.30464957480501</v>
      </c>
      <c r="E132">
        <v>8.3560144232034403</v>
      </c>
      <c r="F132">
        <v>27.2654253860584</v>
      </c>
      <c r="G132">
        <v>99</v>
      </c>
      <c r="H132">
        <v>524.13806152343705</v>
      </c>
      <c r="I132">
        <v>8.3234202317653605E-2</v>
      </c>
      <c r="K132" s="1" t="str">
        <f>TEXT(stand_validation_1cycle[[#This Row],[stand_age]], ".0")</f>
        <v>27.1</v>
      </c>
      <c r="L132" s="1" t="str">
        <f t="shared" si="2"/>
        <v>"27.1"</v>
      </c>
      <c r="M132">
        <v>100</v>
      </c>
      <c r="N132">
        <f>0.029*stand_validation_1cycle[[#This Row],[stand_level_biomass]]</f>
        <v>28.544834837669345</v>
      </c>
      <c r="O132">
        <f>0.213*stand_validation_1cycle[[#This Row],[stand_level_biomass]]</f>
        <v>209.65689035943348</v>
      </c>
      <c r="P132">
        <f>0.571*stand_validation_1cycle[[#This Row],[stand_level_biomass]]</f>
        <v>562.03795490721359</v>
      </c>
      <c r="Q132">
        <f>stand_validation_1cycle[[#This Row],[stock]]</f>
        <v>99</v>
      </c>
      <c r="R132">
        <v>0</v>
      </c>
      <c r="S132">
        <f>stand_validation_1cycle[[#This Row],[aws]]</f>
        <v>524.13806152343705</v>
      </c>
      <c r="T132">
        <f>stand_validation_1cycle[[#This Row],[percent_tree_cover]]*100</f>
        <v>8.3234202317653612</v>
      </c>
    </row>
    <row r="133" spans="1:20" x14ac:dyDescent="0.2">
      <c r="A133">
        <v>1</v>
      </c>
      <c r="B133" t="s">
        <v>151</v>
      </c>
      <c r="C133">
        <v>25.7651927437641</v>
      </c>
      <c r="D133">
        <v>763.21282170998904</v>
      </c>
      <c r="E133">
        <v>6.7781526545306097</v>
      </c>
      <c r="F133">
        <v>25.349661631572801</v>
      </c>
      <c r="G133">
        <v>98</v>
      </c>
      <c r="H133">
        <v>568</v>
      </c>
      <c r="I133">
        <v>6.7153982221940606E-2</v>
      </c>
      <c r="K133" s="1" t="str">
        <f>TEXT(stand_validation_1cycle[[#This Row],[stand_age]], ".0")</f>
        <v>25.8</v>
      </c>
      <c r="L133" s="1" t="str">
        <f t="shared" si="2"/>
        <v>"25.8"</v>
      </c>
      <c r="M133">
        <v>100</v>
      </c>
      <c r="N133">
        <f>0.029*stand_validation_1cycle[[#This Row],[stand_level_biomass]]</f>
        <v>22.133171829589685</v>
      </c>
      <c r="O133">
        <f>0.213*stand_validation_1cycle[[#This Row],[stand_level_biomass]]</f>
        <v>162.56433102422767</v>
      </c>
      <c r="P133">
        <f>0.571*stand_validation_1cycle[[#This Row],[stand_level_biomass]]</f>
        <v>435.79452119640371</v>
      </c>
      <c r="Q133">
        <f>stand_validation_1cycle[[#This Row],[stock]]</f>
        <v>98</v>
      </c>
      <c r="R133">
        <v>0</v>
      </c>
      <c r="S133">
        <f>stand_validation_1cycle[[#This Row],[aws]]</f>
        <v>568</v>
      </c>
      <c r="T133">
        <f>stand_validation_1cycle[[#This Row],[percent_tree_cover]]*100</f>
        <v>6.7153982221940609</v>
      </c>
    </row>
    <row r="134" spans="1:20" x14ac:dyDescent="0.2">
      <c r="A134">
        <v>1</v>
      </c>
      <c r="B134" t="s">
        <v>152</v>
      </c>
      <c r="C134">
        <v>25.358799999999999</v>
      </c>
      <c r="D134">
        <v>708.50584455402497</v>
      </c>
      <c r="E134">
        <v>6.5652516327858104</v>
      </c>
      <c r="F134">
        <v>25.298127665549199</v>
      </c>
      <c r="G134">
        <v>100</v>
      </c>
      <c r="H134">
        <v>524.48748779296795</v>
      </c>
      <c r="I134">
        <v>6.5431203002885505E-2</v>
      </c>
      <c r="K134" s="1" t="str">
        <f>TEXT(stand_validation_1cycle[[#This Row],[stand_age]], ".0")</f>
        <v>25.4</v>
      </c>
      <c r="L134" s="1" t="str">
        <f t="shared" si="2"/>
        <v>"25.4"</v>
      </c>
      <c r="M134">
        <v>100</v>
      </c>
      <c r="N134">
        <f>0.029*stand_validation_1cycle[[#This Row],[stand_level_biomass]]</f>
        <v>20.546669492066727</v>
      </c>
      <c r="O134">
        <f>0.213*stand_validation_1cycle[[#This Row],[stand_level_biomass]]</f>
        <v>150.91174489000733</v>
      </c>
      <c r="P134">
        <f>0.571*stand_validation_1cycle[[#This Row],[stand_level_biomass]]</f>
        <v>404.55683724034822</v>
      </c>
      <c r="Q134">
        <f>stand_validation_1cycle[[#This Row],[stock]]</f>
        <v>100</v>
      </c>
      <c r="R134">
        <v>0</v>
      </c>
      <c r="S134">
        <f>stand_validation_1cycle[[#This Row],[aws]]</f>
        <v>524.48748779296795</v>
      </c>
      <c r="T134">
        <f>stand_validation_1cycle[[#This Row],[percent_tree_cover]]*100</f>
        <v>6.5431203002885505</v>
      </c>
    </row>
    <row r="135" spans="1:20" x14ac:dyDescent="0.2">
      <c r="A135">
        <v>1</v>
      </c>
      <c r="B135" t="s">
        <v>153</v>
      </c>
      <c r="C135">
        <v>24.617077777777698</v>
      </c>
      <c r="D135">
        <v>642.18695862492098</v>
      </c>
      <c r="E135">
        <v>6.0533079041329501</v>
      </c>
      <c r="F135">
        <v>24.3246927321978</v>
      </c>
      <c r="G135">
        <v>100</v>
      </c>
      <c r="H135">
        <v>575.13958740234295</v>
      </c>
      <c r="I135">
        <v>6.0344569030405699E-2</v>
      </c>
      <c r="K135" s="1" t="str">
        <f>TEXT(stand_validation_1cycle[[#This Row],[stand_age]], ".0")</f>
        <v>24.6</v>
      </c>
      <c r="L135" s="1" t="str">
        <f t="shared" si="2"/>
        <v>"24.6"</v>
      </c>
      <c r="M135">
        <v>100</v>
      </c>
      <c r="N135">
        <f>0.029*stand_validation_1cycle[[#This Row],[stand_level_biomass]]</f>
        <v>18.62342180012271</v>
      </c>
      <c r="O135">
        <f>0.213*stand_validation_1cycle[[#This Row],[stand_level_biomass]]</f>
        <v>136.78582218710815</v>
      </c>
      <c r="P135">
        <f>0.571*stand_validation_1cycle[[#This Row],[stand_level_biomass]]</f>
        <v>366.68875337482984</v>
      </c>
      <c r="Q135">
        <f>stand_validation_1cycle[[#This Row],[stock]]</f>
        <v>100</v>
      </c>
      <c r="R135">
        <v>0</v>
      </c>
      <c r="S135">
        <f>stand_validation_1cycle[[#This Row],[aws]]</f>
        <v>575.13958740234295</v>
      </c>
      <c r="T135">
        <f>stand_validation_1cycle[[#This Row],[percent_tree_cover]]*100</f>
        <v>6.0344569030405699</v>
      </c>
    </row>
    <row r="136" spans="1:20" x14ac:dyDescent="0.2">
      <c r="A136">
        <v>1</v>
      </c>
      <c r="B136" t="s">
        <v>154</v>
      </c>
      <c r="C136">
        <v>27.4731088664422</v>
      </c>
      <c r="D136">
        <v>845.147726515268</v>
      </c>
      <c r="E136">
        <v>7.4438482838446598</v>
      </c>
      <c r="F136">
        <v>26.363062962007898</v>
      </c>
      <c r="G136">
        <v>99</v>
      </c>
      <c r="H136">
        <v>524.13806152343705</v>
      </c>
      <c r="I136">
        <v>7.3852316985857105E-2</v>
      </c>
      <c r="K136" s="1" t="str">
        <f>TEXT(stand_validation_1cycle[[#This Row],[stand_age]], ".0")</f>
        <v>27.5</v>
      </c>
      <c r="L136" s="1" t="str">
        <f t="shared" si="2"/>
        <v>"27.5"</v>
      </c>
      <c r="M136">
        <v>100</v>
      </c>
      <c r="N136">
        <f>0.029*stand_validation_1cycle[[#This Row],[stand_level_biomass]]</f>
        <v>24.509284068942772</v>
      </c>
      <c r="O136">
        <f>0.213*stand_validation_1cycle[[#This Row],[stand_level_biomass]]</f>
        <v>180.01646574775208</v>
      </c>
      <c r="P136">
        <f>0.571*stand_validation_1cycle[[#This Row],[stand_level_biomass]]</f>
        <v>482.57935184021801</v>
      </c>
      <c r="Q136">
        <f>stand_validation_1cycle[[#This Row],[stock]]</f>
        <v>99</v>
      </c>
      <c r="R136">
        <v>0</v>
      </c>
      <c r="S136">
        <f>stand_validation_1cycle[[#This Row],[aws]]</f>
        <v>524.13806152343705</v>
      </c>
      <c r="T136">
        <f>stand_validation_1cycle[[#This Row],[percent_tree_cover]]*100</f>
        <v>7.3852316985857103</v>
      </c>
    </row>
    <row r="137" spans="1:20" x14ac:dyDescent="0.2">
      <c r="A137">
        <v>1</v>
      </c>
      <c r="B137" t="s">
        <v>155</v>
      </c>
      <c r="C137">
        <v>26.7565888888888</v>
      </c>
      <c r="D137">
        <v>755.79181431389702</v>
      </c>
      <c r="E137">
        <v>6.9489924630328197</v>
      </c>
      <c r="F137">
        <v>26.1704073322928</v>
      </c>
      <c r="G137">
        <v>100</v>
      </c>
      <c r="H137">
        <v>525.44714355468705</v>
      </c>
      <c r="I137">
        <v>6.9257624034911203E-2</v>
      </c>
      <c r="K137" s="1" t="str">
        <f>TEXT(stand_validation_1cycle[[#This Row],[stand_age]], ".0")</f>
        <v>26.8</v>
      </c>
      <c r="L137" s="1" t="str">
        <f t="shared" si="2"/>
        <v>"26.8"</v>
      </c>
      <c r="M137">
        <v>100</v>
      </c>
      <c r="N137">
        <f>0.029*stand_validation_1cycle[[#This Row],[stand_level_biomass]]</f>
        <v>21.917962615103015</v>
      </c>
      <c r="O137">
        <f>0.213*stand_validation_1cycle[[#This Row],[stand_level_biomass]]</f>
        <v>160.98365644886007</v>
      </c>
      <c r="P137">
        <f>0.571*stand_validation_1cycle[[#This Row],[stand_level_biomass]]</f>
        <v>431.55712597323515</v>
      </c>
      <c r="Q137">
        <f>stand_validation_1cycle[[#This Row],[stock]]</f>
        <v>100</v>
      </c>
      <c r="R137">
        <v>0</v>
      </c>
      <c r="S137">
        <f>stand_validation_1cycle[[#This Row],[aws]]</f>
        <v>525.44714355468705</v>
      </c>
      <c r="T137">
        <f>stand_validation_1cycle[[#This Row],[percent_tree_cover]]*100</f>
        <v>6.9257624034911203</v>
      </c>
    </row>
    <row r="138" spans="1:20" x14ac:dyDescent="0.2">
      <c r="A138">
        <v>1</v>
      </c>
      <c r="B138" t="s">
        <v>156</v>
      </c>
      <c r="C138">
        <v>29.074088888888799</v>
      </c>
      <c r="D138">
        <v>954.302505633902</v>
      </c>
      <c r="E138">
        <v>8.4241807006010205</v>
      </c>
      <c r="F138">
        <v>28.570423712087099</v>
      </c>
      <c r="G138">
        <v>100</v>
      </c>
      <c r="H138">
        <v>526.605712890625</v>
      </c>
      <c r="I138">
        <v>8.3922734964839193E-2</v>
      </c>
      <c r="K138" s="1" t="str">
        <f>TEXT(stand_validation_1cycle[[#This Row],[stand_age]], ".0")</f>
        <v>29.1</v>
      </c>
      <c r="L138" s="1" t="str">
        <f t="shared" si="2"/>
        <v>"29.1"</v>
      </c>
      <c r="M138">
        <v>100</v>
      </c>
      <c r="N138">
        <f>0.029*stand_validation_1cycle[[#This Row],[stand_level_biomass]]</f>
        <v>27.674772663383159</v>
      </c>
      <c r="O138">
        <f>0.213*stand_validation_1cycle[[#This Row],[stand_level_biomass]]</f>
        <v>203.26643370002111</v>
      </c>
      <c r="P138">
        <f>0.571*stand_validation_1cycle[[#This Row],[stand_level_biomass]]</f>
        <v>544.90673071695801</v>
      </c>
      <c r="Q138">
        <f>stand_validation_1cycle[[#This Row],[stock]]</f>
        <v>100</v>
      </c>
      <c r="R138">
        <v>0</v>
      </c>
      <c r="S138">
        <f>stand_validation_1cycle[[#This Row],[aws]]</f>
        <v>526.605712890625</v>
      </c>
      <c r="T138">
        <f>stand_validation_1cycle[[#This Row],[percent_tree_cover]]*100</f>
        <v>8.3922734964839201</v>
      </c>
    </row>
    <row r="139" spans="1:20" x14ac:dyDescent="0.2">
      <c r="A139">
        <v>1</v>
      </c>
      <c r="B139" t="s">
        <v>157</v>
      </c>
      <c r="C139">
        <v>27.460455555555502</v>
      </c>
      <c r="D139">
        <v>868.10541448920696</v>
      </c>
      <c r="E139">
        <v>7.7359307922286904</v>
      </c>
      <c r="F139">
        <v>27.145239769365698</v>
      </c>
      <c r="G139">
        <v>100</v>
      </c>
      <c r="H139">
        <v>524.48864746093705</v>
      </c>
      <c r="I139">
        <v>7.7078968258321195E-2</v>
      </c>
      <c r="K139" s="1" t="str">
        <f>TEXT(stand_validation_1cycle[[#This Row],[stand_age]], ".0")</f>
        <v>27.5</v>
      </c>
      <c r="L139" s="1" t="str">
        <f t="shared" si="2"/>
        <v>"27.5"</v>
      </c>
      <c r="M139">
        <v>100</v>
      </c>
      <c r="N139">
        <f>0.029*stand_validation_1cycle[[#This Row],[stand_level_biomass]]</f>
        <v>25.175057020187005</v>
      </c>
      <c r="O139">
        <f>0.213*stand_validation_1cycle[[#This Row],[stand_level_biomass]]</f>
        <v>184.90645328620107</v>
      </c>
      <c r="P139">
        <f>0.571*stand_validation_1cycle[[#This Row],[stand_level_biomass]]</f>
        <v>495.68819167333714</v>
      </c>
      <c r="Q139">
        <f>stand_validation_1cycle[[#This Row],[stock]]</f>
        <v>100</v>
      </c>
      <c r="R139">
        <v>0</v>
      </c>
      <c r="S139">
        <f>stand_validation_1cycle[[#This Row],[aws]]</f>
        <v>524.48864746093705</v>
      </c>
      <c r="T139">
        <f>stand_validation_1cycle[[#This Row],[percent_tree_cover]]*100</f>
        <v>7.7078968258321199</v>
      </c>
    </row>
    <row r="140" spans="1:20" x14ac:dyDescent="0.2">
      <c r="A140">
        <v>1</v>
      </c>
      <c r="B140" t="s">
        <v>158</v>
      </c>
      <c r="C140">
        <v>27.633546576879901</v>
      </c>
      <c r="D140">
        <v>672.50830347238798</v>
      </c>
      <c r="E140">
        <v>6.3178543529082702</v>
      </c>
      <c r="F140">
        <v>25.399017949238001</v>
      </c>
      <c r="G140">
        <v>99</v>
      </c>
      <c r="H140">
        <v>524.11468505859295</v>
      </c>
      <c r="I140">
        <v>6.2738177630707201E-2</v>
      </c>
      <c r="K140" s="1" t="str">
        <f>TEXT(stand_validation_1cycle[[#This Row],[stand_age]], ".0")</f>
        <v>27.6</v>
      </c>
      <c r="L140" s="1" t="str">
        <f t="shared" si="2"/>
        <v>"27.6"</v>
      </c>
      <c r="M140">
        <v>100</v>
      </c>
      <c r="N140">
        <f>0.029*stand_validation_1cycle[[#This Row],[stand_level_biomass]]</f>
        <v>19.502740800699254</v>
      </c>
      <c r="O140">
        <f>0.213*stand_validation_1cycle[[#This Row],[stand_level_biomass]]</f>
        <v>143.24426863961864</v>
      </c>
      <c r="P140">
        <f>0.571*stand_validation_1cycle[[#This Row],[stand_level_biomass]]</f>
        <v>384.00224128273351</v>
      </c>
      <c r="Q140">
        <f>stand_validation_1cycle[[#This Row],[stock]]</f>
        <v>99</v>
      </c>
      <c r="R140">
        <v>0</v>
      </c>
      <c r="S140">
        <f>stand_validation_1cycle[[#This Row],[aws]]</f>
        <v>524.11468505859295</v>
      </c>
      <c r="T140">
        <f>stand_validation_1cycle[[#This Row],[percent_tree_cover]]*100</f>
        <v>6.2738177630707197</v>
      </c>
    </row>
    <row r="141" spans="1:20" x14ac:dyDescent="0.2">
      <c r="A141">
        <v>1</v>
      </c>
      <c r="B141" t="s">
        <v>159</v>
      </c>
      <c r="C141">
        <v>25.9950286368843</v>
      </c>
      <c r="D141">
        <v>774.322804719283</v>
      </c>
      <c r="E141">
        <v>6.7724993585504798</v>
      </c>
      <c r="F141">
        <v>25.697351338051501</v>
      </c>
      <c r="G141">
        <v>97</v>
      </c>
      <c r="H141">
        <v>611</v>
      </c>
      <c r="I141">
        <v>6.9584184965032894E-2</v>
      </c>
      <c r="K141" s="1" t="str">
        <f>TEXT(stand_validation_1cycle[[#This Row],[stand_age]], ".0")</f>
        <v>26.0</v>
      </c>
      <c r="L141" s="1" t="str">
        <f t="shared" si="2"/>
        <v>"26.0"</v>
      </c>
      <c r="M141">
        <v>100</v>
      </c>
      <c r="N141">
        <f>0.029*stand_validation_1cycle[[#This Row],[stand_level_biomass]]</f>
        <v>22.455361336859209</v>
      </c>
      <c r="O141">
        <f>0.213*stand_validation_1cycle[[#This Row],[stand_level_biomass]]</f>
        <v>164.93075740520729</v>
      </c>
      <c r="P141">
        <f>0.571*stand_validation_1cycle[[#This Row],[stand_level_biomass]]</f>
        <v>442.13832149471057</v>
      </c>
      <c r="Q141">
        <f>stand_validation_1cycle[[#This Row],[stock]]</f>
        <v>97</v>
      </c>
      <c r="R141">
        <v>0</v>
      </c>
      <c r="S141">
        <f>stand_validation_1cycle[[#This Row],[aws]]</f>
        <v>611</v>
      </c>
      <c r="T141">
        <f>stand_validation_1cycle[[#This Row],[percent_tree_cover]]*100</f>
        <v>6.9584184965032891</v>
      </c>
    </row>
    <row r="142" spans="1:20" x14ac:dyDescent="0.2">
      <c r="A142">
        <v>1</v>
      </c>
      <c r="B142" t="s">
        <v>160</v>
      </c>
      <c r="C142">
        <v>26.764656084656</v>
      </c>
      <c r="D142">
        <v>758.02063205411696</v>
      </c>
      <c r="E142">
        <v>4.3629166428030297</v>
      </c>
      <c r="F142">
        <v>25.934487496013599</v>
      </c>
      <c r="G142">
        <v>63</v>
      </c>
      <c r="H142">
        <v>572.17541503906205</v>
      </c>
      <c r="I142">
        <v>6.9480991133485603E-2</v>
      </c>
      <c r="K142" s="1" t="str">
        <f>TEXT(stand_validation_1cycle[[#This Row],[stand_age]], ".0")</f>
        <v>26.8</v>
      </c>
      <c r="L142" s="1" t="str">
        <f t="shared" si="2"/>
        <v>"26.8"</v>
      </c>
      <c r="M142">
        <v>100</v>
      </c>
      <c r="N142">
        <f>0.029*stand_validation_1cycle[[#This Row],[stand_level_biomass]]</f>
        <v>21.982598329569392</v>
      </c>
      <c r="O142">
        <f>0.213*stand_validation_1cycle[[#This Row],[stand_level_biomass]]</f>
        <v>161.4583946275269</v>
      </c>
      <c r="P142">
        <f>0.571*stand_validation_1cycle[[#This Row],[stand_level_biomass]]</f>
        <v>432.82978090290072</v>
      </c>
      <c r="Q142">
        <f>stand_validation_1cycle[[#This Row],[stock]]</f>
        <v>63</v>
      </c>
      <c r="R142">
        <v>0</v>
      </c>
      <c r="S142">
        <f>stand_validation_1cycle[[#This Row],[aws]]</f>
        <v>572.17541503906205</v>
      </c>
      <c r="T142">
        <f>stand_validation_1cycle[[#This Row],[percent_tree_cover]]*100</f>
        <v>6.9480991133485599</v>
      </c>
    </row>
    <row r="143" spans="1:20" x14ac:dyDescent="0.2">
      <c r="A143">
        <v>1</v>
      </c>
      <c r="B143" t="s">
        <v>161</v>
      </c>
      <c r="C143">
        <v>28.0387766554433</v>
      </c>
      <c r="D143">
        <v>869.31508237196601</v>
      </c>
      <c r="E143">
        <v>7.7266960806234701</v>
      </c>
      <c r="F143">
        <v>27.677280959679599</v>
      </c>
      <c r="G143">
        <v>99</v>
      </c>
      <c r="H143">
        <v>569.99407958984295</v>
      </c>
      <c r="I143">
        <v>7.7565662716547398E-2</v>
      </c>
      <c r="K143" s="1" t="str">
        <f>TEXT(stand_validation_1cycle[[#This Row],[stand_age]], ".0")</f>
        <v>28.0</v>
      </c>
      <c r="L143" s="1" t="str">
        <f t="shared" si="2"/>
        <v>"28.0"</v>
      </c>
      <c r="M143">
        <v>100</v>
      </c>
      <c r="N143">
        <f>0.029*stand_validation_1cycle[[#This Row],[stand_level_biomass]]</f>
        <v>25.210137388787015</v>
      </c>
      <c r="O143">
        <f>0.213*stand_validation_1cycle[[#This Row],[stand_level_biomass]]</f>
        <v>185.16411254522876</v>
      </c>
      <c r="P143">
        <f>0.571*stand_validation_1cycle[[#This Row],[stand_level_biomass]]</f>
        <v>496.37891203439256</v>
      </c>
      <c r="Q143">
        <f>stand_validation_1cycle[[#This Row],[stock]]</f>
        <v>99</v>
      </c>
      <c r="R143">
        <v>0</v>
      </c>
      <c r="S143">
        <f>stand_validation_1cycle[[#This Row],[aws]]</f>
        <v>569.99407958984295</v>
      </c>
      <c r="T143">
        <f>stand_validation_1cycle[[#This Row],[percent_tree_cover]]*100</f>
        <v>7.7565662716547399</v>
      </c>
    </row>
    <row r="144" spans="1:20" x14ac:dyDescent="0.2">
      <c r="A144">
        <v>1</v>
      </c>
      <c r="B144" t="s">
        <v>162</v>
      </c>
      <c r="C144">
        <v>26.610711111111101</v>
      </c>
      <c r="D144">
        <v>766.14834220005298</v>
      </c>
      <c r="E144">
        <v>7.00320142966868</v>
      </c>
      <c r="F144">
        <v>26.2213075406314</v>
      </c>
      <c r="G144">
        <v>100</v>
      </c>
      <c r="H144">
        <v>570.841552734375</v>
      </c>
      <c r="I144">
        <v>6.9784751598613803E-2</v>
      </c>
      <c r="K144" s="1" t="str">
        <f>TEXT(stand_validation_1cycle[[#This Row],[stand_age]], ".0")</f>
        <v>26.6</v>
      </c>
      <c r="L144" s="1" t="str">
        <f t="shared" si="2"/>
        <v>"26.6"</v>
      </c>
      <c r="M144">
        <v>100</v>
      </c>
      <c r="N144">
        <f>0.029*stand_validation_1cycle[[#This Row],[stand_level_biomass]]</f>
        <v>22.218301923801537</v>
      </c>
      <c r="O144">
        <f>0.213*stand_validation_1cycle[[#This Row],[stand_level_biomass]]</f>
        <v>163.18959688861128</v>
      </c>
      <c r="P144">
        <f>0.571*stand_validation_1cycle[[#This Row],[stand_level_biomass]]</f>
        <v>437.47070339623019</v>
      </c>
      <c r="Q144">
        <f>stand_validation_1cycle[[#This Row],[stock]]</f>
        <v>100</v>
      </c>
      <c r="R144">
        <v>0</v>
      </c>
      <c r="S144">
        <f>stand_validation_1cycle[[#This Row],[aws]]</f>
        <v>570.841552734375</v>
      </c>
      <c r="T144">
        <f>stand_validation_1cycle[[#This Row],[percent_tree_cover]]*100</f>
        <v>6.9784751598613806</v>
      </c>
    </row>
    <row r="145" spans="1:20" x14ac:dyDescent="0.2">
      <c r="A145">
        <v>1</v>
      </c>
      <c r="B145" t="s">
        <v>163</v>
      </c>
      <c r="C145">
        <v>26.515233333333299</v>
      </c>
      <c r="D145">
        <v>629.159147892389</v>
      </c>
      <c r="E145">
        <v>6.05354430898013</v>
      </c>
      <c r="F145">
        <v>24.795762436285699</v>
      </c>
      <c r="G145">
        <v>100</v>
      </c>
      <c r="H145">
        <v>571.34478759765602</v>
      </c>
      <c r="I145">
        <v>6.03321639397882E-2</v>
      </c>
      <c r="K145" s="1" t="str">
        <f>TEXT(stand_validation_1cycle[[#This Row],[stand_age]], ".0")</f>
        <v>26.5</v>
      </c>
      <c r="L145" s="1" t="str">
        <f t="shared" si="2"/>
        <v>"26.5"</v>
      </c>
      <c r="M145">
        <v>100</v>
      </c>
      <c r="N145">
        <f>0.029*stand_validation_1cycle[[#This Row],[stand_level_biomass]]</f>
        <v>18.245615288879282</v>
      </c>
      <c r="O145">
        <f>0.213*stand_validation_1cycle[[#This Row],[stand_level_biomass]]</f>
        <v>134.01089850107886</v>
      </c>
      <c r="P145">
        <f>0.571*stand_validation_1cycle[[#This Row],[stand_level_biomass]]</f>
        <v>359.24987344655409</v>
      </c>
      <c r="Q145">
        <f>stand_validation_1cycle[[#This Row],[stock]]</f>
        <v>100</v>
      </c>
      <c r="R145">
        <v>0</v>
      </c>
      <c r="S145">
        <f>stand_validation_1cycle[[#This Row],[aws]]</f>
        <v>571.34478759765602</v>
      </c>
      <c r="T145">
        <f>stand_validation_1cycle[[#This Row],[percent_tree_cover]]*100</f>
        <v>6.0332163939788197</v>
      </c>
    </row>
    <row r="146" spans="1:20" x14ac:dyDescent="0.2">
      <c r="A146">
        <v>1</v>
      </c>
      <c r="B146" t="s">
        <v>164</v>
      </c>
      <c r="C146">
        <v>30.001380471380401</v>
      </c>
      <c r="D146">
        <v>1204.9733800722199</v>
      </c>
      <c r="E146">
        <v>10.136153918062901</v>
      </c>
      <c r="F146">
        <v>31.243435456632</v>
      </c>
      <c r="G146">
        <v>99</v>
      </c>
      <c r="H146">
        <v>566.62847900390602</v>
      </c>
      <c r="I146">
        <v>0.100746548127723</v>
      </c>
      <c r="K146" s="1" t="str">
        <f>TEXT(stand_validation_1cycle[[#This Row],[stand_age]], ".0")</f>
        <v>30.0</v>
      </c>
      <c r="L146" s="1" t="str">
        <f t="shared" si="2"/>
        <v>"30.0"</v>
      </c>
      <c r="M146">
        <v>100</v>
      </c>
      <c r="N146">
        <f>0.029*stand_validation_1cycle[[#This Row],[stand_level_biomass]]</f>
        <v>34.944228022094379</v>
      </c>
      <c r="O146">
        <f>0.213*stand_validation_1cycle[[#This Row],[stand_level_biomass]]</f>
        <v>256.65932995538282</v>
      </c>
      <c r="P146">
        <f>0.571*stand_validation_1cycle[[#This Row],[stand_level_biomass]]</f>
        <v>688.03980002123751</v>
      </c>
      <c r="Q146">
        <f>stand_validation_1cycle[[#This Row],[stock]]</f>
        <v>99</v>
      </c>
      <c r="R146">
        <v>0</v>
      </c>
      <c r="S146">
        <f>stand_validation_1cycle[[#This Row],[aws]]</f>
        <v>566.62847900390602</v>
      </c>
      <c r="T146">
        <f>stand_validation_1cycle[[#This Row],[percent_tree_cover]]*100</f>
        <v>10.0746548127723</v>
      </c>
    </row>
    <row r="147" spans="1:20" x14ac:dyDescent="0.2">
      <c r="A147">
        <v>1</v>
      </c>
      <c r="B147" t="s">
        <v>165</v>
      </c>
      <c r="C147">
        <v>28.369922222222201</v>
      </c>
      <c r="D147">
        <v>1021.6836257446799</v>
      </c>
      <c r="E147">
        <v>8.7524158718444092</v>
      </c>
      <c r="F147">
        <v>28.114917845547101</v>
      </c>
      <c r="G147">
        <v>100</v>
      </c>
      <c r="H147">
        <v>566.54302978515602</v>
      </c>
      <c r="I147">
        <v>8.7193193995542595E-2</v>
      </c>
      <c r="K147" s="1" t="str">
        <f>TEXT(stand_validation_1cycle[[#This Row],[stand_age]], ".0")</f>
        <v>28.4</v>
      </c>
      <c r="L147" s="1" t="str">
        <f t="shared" si="2"/>
        <v>"28.4"</v>
      </c>
      <c r="M147">
        <v>100</v>
      </c>
      <c r="N147">
        <f>0.029*stand_validation_1cycle[[#This Row],[stand_level_biomass]]</f>
        <v>29.62882514659572</v>
      </c>
      <c r="O147">
        <f>0.213*stand_validation_1cycle[[#This Row],[stand_level_biomass]]</f>
        <v>217.61861228361681</v>
      </c>
      <c r="P147">
        <f>0.571*stand_validation_1cycle[[#This Row],[stand_level_biomass]]</f>
        <v>583.38135030021215</v>
      </c>
      <c r="Q147">
        <f>stand_validation_1cycle[[#This Row],[stock]]</f>
        <v>100</v>
      </c>
      <c r="R147">
        <v>0</v>
      </c>
      <c r="S147">
        <f>stand_validation_1cycle[[#This Row],[aws]]</f>
        <v>566.54302978515602</v>
      </c>
      <c r="T147">
        <f>stand_validation_1cycle[[#This Row],[percent_tree_cover]]*100</f>
        <v>8.7193193995542586</v>
      </c>
    </row>
    <row r="148" spans="1:20" x14ac:dyDescent="0.2">
      <c r="A148">
        <v>1</v>
      </c>
      <c r="B148" t="s">
        <v>166</v>
      </c>
      <c r="C148">
        <v>27.232850729517299</v>
      </c>
      <c r="D148">
        <v>717.22173018489298</v>
      </c>
      <c r="E148">
        <v>6.4960486298125399</v>
      </c>
      <c r="F148">
        <v>24.9339298981536</v>
      </c>
      <c r="G148">
        <v>99</v>
      </c>
      <c r="H148">
        <v>566.47930908203102</v>
      </c>
      <c r="I148">
        <v>6.4538426719031095E-2</v>
      </c>
      <c r="K148" s="1" t="str">
        <f>TEXT(stand_validation_1cycle[[#This Row],[stand_age]], ".0")</f>
        <v>27.2</v>
      </c>
      <c r="L148" s="1" t="str">
        <f t="shared" si="2"/>
        <v>"27.2"</v>
      </c>
      <c r="M148">
        <v>100</v>
      </c>
      <c r="N148">
        <f>0.029*stand_validation_1cycle[[#This Row],[stand_level_biomass]]</f>
        <v>20.799430175361898</v>
      </c>
      <c r="O148">
        <f>0.213*stand_validation_1cycle[[#This Row],[stand_level_biomass]]</f>
        <v>152.76822852938221</v>
      </c>
      <c r="P148">
        <f>0.571*stand_validation_1cycle[[#This Row],[stand_level_biomass]]</f>
        <v>409.53360793557385</v>
      </c>
      <c r="Q148">
        <f>stand_validation_1cycle[[#This Row],[stock]]</f>
        <v>99</v>
      </c>
      <c r="R148">
        <v>0</v>
      </c>
      <c r="S148">
        <f>stand_validation_1cycle[[#This Row],[aws]]</f>
        <v>566.47930908203102</v>
      </c>
      <c r="T148">
        <f>stand_validation_1cycle[[#This Row],[percent_tree_cover]]*100</f>
        <v>6.453842671903109</v>
      </c>
    </row>
    <row r="149" spans="1:20" x14ac:dyDescent="0.2">
      <c r="A149">
        <v>1</v>
      </c>
      <c r="B149" t="s">
        <v>167</v>
      </c>
      <c r="C149">
        <v>26.540819304152599</v>
      </c>
      <c r="D149">
        <v>795.14282682052306</v>
      </c>
      <c r="E149">
        <v>7.0438277204667497</v>
      </c>
      <c r="F149">
        <v>25.549627069637801</v>
      </c>
      <c r="G149">
        <v>99</v>
      </c>
      <c r="H149">
        <v>567.96417236328102</v>
      </c>
      <c r="I149">
        <v>6.9865652737430506E-2</v>
      </c>
      <c r="K149" s="1" t="str">
        <f>TEXT(stand_validation_1cycle[[#This Row],[stand_age]], ".0")</f>
        <v>26.5</v>
      </c>
      <c r="L149" s="1" t="str">
        <f t="shared" si="2"/>
        <v>"26.5"</v>
      </c>
      <c r="M149">
        <v>100</v>
      </c>
      <c r="N149">
        <f>0.029*stand_validation_1cycle[[#This Row],[stand_level_biomass]]</f>
        <v>23.059141977795171</v>
      </c>
      <c r="O149">
        <f>0.213*stand_validation_1cycle[[#This Row],[stand_level_biomass]]</f>
        <v>169.3654221127714</v>
      </c>
      <c r="P149">
        <f>0.571*stand_validation_1cycle[[#This Row],[stand_level_biomass]]</f>
        <v>454.0265541145186</v>
      </c>
      <c r="Q149">
        <f>stand_validation_1cycle[[#This Row],[stock]]</f>
        <v>99</v>
      </c>
      <c r="R149">
        <v>0</v>
      </c>
      <c r="S149">
        <f>stand_validation_1cycle[[#This Row],[aws]]</f>
        <v>567.96417236328102</v>
      </c>
      <c r="T149">
        <f>stand_validation_1cycle[[#This Row],[percent_tree_cover]]*100</f>
        <v>6.9865652737430501</v>
      </c>
    </row>
    <row r="150" spans="1:20" x14ac:dyDescent="0.2">
      <c r="A150">
        <v>1</v>
      </c>
      <c r="B150" t="s">
        <v>168</v>
      </c>
      <c r="C150">
        <v>26.215211111111099</v>
      </c>
      <c r="D150">
        <v>793.86920447782404</v>
      </c>
      <c r="E150">
        <v>7.15643182594936</v>
      </c>
      <c r="F150">
        <v>26.2498033322385</v>
      </c>
      <c r="G150">
        <v>100</v>
      </c>
      <c r="H150">
        <v>573.15075683593705</v>
      </c>
      <c r="I150">
        <v>7.1314431144139698E-2</v>
      </c>
      <c r="K150" s="1" t="str">
        <f>TEXT(stand_validation_1cycle[[#This Row],[stand_age]], ".0")</f>
        <v>26.2</v>
      </c>
      <c r="L150" s="1" t="str">
        <f t="shared" si="2"/>
        <v>"26.2"</v>
      </c>
      <c r="M150">
        <v>100</v>
      </c>
      <c r="N150">
        <f>0.029*stand_validation_1cycle[[#This Row],[stand_level_biomass]]</f>
        <v>23.0222069298569</v>
      </c>
      <c r="O150">
        <f>0.213*stand_validation_1cycle[[#This Row],[stand_level_biomass]]</f>
        <v>169.09414055377653</v>
      </c>
      <c r="P150">
        <f>0.571*stand_validation_1cycle[[#This Row],[stand_level_biomass]]</f>
        <v>453.29931575683747</v>
      </c>
      <c r="Q150">
        <f>stand_validation_1cycle[[#This Row],[stock]]</f>
        <v>100</v>
      </c>
      <c r="R150">
        <v>0</v>
      </c>
      <c r="S150">
        <f>stand_validation_1cycle[[#This Row],[aws]]</f>
        <v>573.15075683593705</v>
      </c>
      <c r="T150">
        <f>stand_validation_1cycle[[#This Row],[percent_tree_cover]]*100</f>
        <v>7.1314431144139698</v>
      </c>
    </row>
    <row r="151" spans="1:20" x14ac:dyDescent="0.2">
      <c r="A151">
        <v>1</v>
      </c>
      <c r="B151" t="s">
        <v>169</v>
      </c>
      <c r="C151">
        <v>29.756071829405101</v>
      </c>
      <c r="D151">
        <v>1089.3508299617999</v>
      </c>
      <c r="E151">
        <v>9.2392252884722392</v>
      </c>
      <c r="F151">
        <v>29.5493513120757</v>
      </c>
      <c r="G151">
        <v>99</v>
      </c>
      <c r="H151">
        <v>566.47930908203102</v>
      </c>
      <c r="I151">
        <v>9.1862728612332703E-2</v>
      </c>
      <c r="K151" s="1" t="str">
        <f>TEXT(stand_validation_1cycle[[#This Row],[stand_age]], ".0")</f>
        <v>29.8</v>
      </c>
      <c r="L151" s="1" t="str">
        <f t="shared" si="2"/>
        <v>"29.8"</v>
      </c>
      <c r="M151">
        <v>100</v>
      </c>
      <c r="N151">
        <f>0.029*stand_validation_1cycle[[#This Row],[stand_level_biomass]]</f>
        <v>31.591174068892201</v>
      </c>
      <c r="O151">
        <f>0.213*stand_validation_1cycle[[#This Row],[stand_level_biomass]]</f>
        <v>232.03172678186337</v>
      </c>
      <c r="P151">
        <f>0.571*stand_validation_1cycle[[#This Row],[stand_level_biomass]]</f>
        <v>622.01932390818774</v>
      </c>
      <c r="Q151">
        <f>stand_validation_1cycle[[#This Row],[stock]]</f>
        <v>99</v>
      </c>
      <c r="R151">
        <v>0</v>
      </c>
      <c r="S151">
        <f>stand_validation_1cycle[[#This Row],[aws]]</f>
        <v>566.47930908203102</v>
      </c>
      <c r="T151">
        <f>stand_validation_1cycle[[#This Row],[percent_tree_cover]]*100</f>
        <v>9.1862728612332702</v>
      </c>
    </row>
    <row r="152" spans="1:20" x14ac:dyDescent="0.2">
      <c r="A152">
        <v>1</v>
      </c>
      <c r="B152" t="s">
        <v>170</v>
      </c>
      <c r="C152">
        <v>26.265612829324098</v>
      </c>
      <c r="D152">
        <v>787.73690354858604</v>
      </c>
      <c r="E152">
        <v>6.9424705166839802</v>
      </c>
      <c r="F152">
        <v>26.016737662031598</v>
      </c>
      <c r="G152">
        <v>97</v>
      </c>
      <c r="H152">
        <v>570.67364501953102</v>
      </c>
      <c r="I152">
        <v>6.8737851476749698E-2</v>
      </c>
      <c r="K152" s="1" t="str">
        <f>TEXT(stand_validation_1cycle[[#This Row],[stand_age]], ".0")</f>
        <v>26.3</v>
      </c>
      <c r="L152" s="1" t="str">
        <f t="shared" si="2"/>
        <v>"26.3"</v>
      </c>
      <c r="M152">
        <v>100</v>
      </c>
      <c r="N152">
        <f>0.029*stand_validation_1cycle[[#This Row],[stand_level_biomass]]</f>
        <v>22.844370202908998</v>
      </c>
      <c r="O152">
        <f>0.213*stand_validation_1cycle[[#This Row],[stand_level_biomass]]</f>
        <v>167.78796045584883</v>
      </c>
      <c r="P152">
        <f>0.571*stand_validation_1cycle[[#This Row],[stand_level_biomass]]</f>
        <v>449.7977719262426</v>
      </c>
      <c r="Q152">
        <f>stand_validation_1cycle[[#This Row],[stock]]</f>
        <v>97</v>
      </c>
      <c r="R152">
        <v>0</v>
      </c>
      <c r="S152">
        <f>stand_validation_1cycle[[#This Row],[aws]]</f>
        <v>570.67364501953102</v>
      </c>
      <c r="T152">
        <f>stand_validation_1cycle[[#This Row],[percent_tree_cover]]*100</f>
        <v>6.8737851476749698</v>
      </c>
    </row>
    <row r="153" spans="1:20" x14ac:dyDescent="0.2">
      <c r="A153">
        <v>1</v>
      </c>
      <c r="B153" t="s">
        <v>171</v>
      </c>
      <c r="C153">
        <v>27.499503546099199</v>
      </c>
      <c r="D153">
        <v>828.525800855027</v>
      </c>
      <c r="E153">
        <v>7.1139967631810004</v>
      </c>
      <c r="F153">
        <v>27.552441275411802</v>
      </c>
      <c r="G153">
        <v>94</v>
      </c>
      <c r="H153">
        <v>570.73553466796795</v>
      </c>
      <c r="I153">
        <v>7.2941880584687993E-2</v>
      </c>
      <c r="K153" s="1" t="str">
        <f>TEXT(stand_validation_1cycle[[#This Row],[stand_age]], ".0")</f>
        <v>27.5</v>
      </c>
      <c r="L153" s="1" t="str">
        <f t="shared" si="2"/>
        <v>"27.5"</v>
      </c>
      <c r="M153">
        <v>100</v>
      </c>
      <c r="N153">
        <f>0.029*stand_validation_1cycle[[#This Row],[stand_level_biomass]]</f>
        <v>24.027248224795784</v>
      </c>
      <c r="O153">
        <f>0.213*stand_validation_1cycle[[#This Row],[stand_level_biomass]]</f>
        <v>176.47599558212076</v>
      </c>
      <c r="P153">
        <f>0.571*stand_validation_1cycle[[#This Row],[stand_level_biomass]]</f>
        <v>473.08823228822035</v>
      </c>
      <c r="Q153">
        <f>stand_validation_1cycle[[#This Row],[stock]]</f>
        <v>94</v>
      </c>
      <c r="R153">
        <v>0</v>
      </c>
      <c r="S153">
        <f>stand_validation_1cycle[[#This Row],[aws]]</f>
        <v>570.73553466796795</v>
      </c>
      <c r="T153">
        <f>stand_validation_1cycle[[#This Row],[percent_tree_cover]]*100</f>
        <v>7.2941880584687997</v>
      </c>
    </row>
    <row r="154" spans="1:20" x14ac:dyDescent="0.2">
      <c r="A154">
        <v>1</v>
      </c>
      <c r="B154" t="s">
        <v>172</v>
      </c>
      <c r="C154">
        <v>27.722118055555502</v>
      </c>
      <c r="D154">
        <v>973.37583497584603</v>
      </c>
      <c r="E154">
        <v>8.0543335638645104</v>
      </c>
      <c r="F154">
        <v>27.432900415620502</v>
      </c>
      <c r="G154">
        <v>96</v>
      </c>
      <c r="H154">
        <v>566.47930908203102</v>
      </c>
      <c r="I154">
        <v>8.4705722444341894E-2</v>
      </c>
      <c r="K154" s="1" t="str">
        <f>TEXT(stand_validation_1cycle[[#This Row],[stand_age]], ".0")</f>
        <v>27.7</v>
      </c>
      <c r="L154" s="1" t="str">
        <f t="shared" si="2"/>
        <v>"27.7"</v>
      </c>
      <c r="M154">
        <v>100</v>
      </c>
      <c r="N154">
        <f>0.029*stand_validation_1cycle[[#This Row],[stand_level_biomass]]</f>
        <v>28.227899214299537</v>
      </c>
      <c r="O154">
        <f>0.213*stand_validation_1cycle[[#This Row],[stand_level_biomass]]</f>
        <v>207.3290528498552</v>
      </c>
      <c r="P154">
        <f>0.571*stand_validation_1cycle[[#This Row],[stand_level_biomass]]</f>
        <v>555.79760177120806</v>
      </c>
      <c r="Q154">
        <f>stand_validation_1cycle[[#This Row],[stock]]</f>
        <v>96</v>
      </c>
      <c r="R154">
        <v>0</v>
      </c>
      <c r="S154">
        <f>stand_validation_1cycle[[#This Row],[aws]]</f>
        <v>566.47930908203102</v>
      </c>
      <c r="T154">
        <f>stand_validation_1cycle[[#This Row],[percent_tree_cover]]*100</f>
        <v>8.4705722444341891</v>
      </c>
    </row>
    <row r="155" spans="1:20" x14ac:dyDescent="0.2">
      <c r="A155">
        <v>1</v>
      </c>
      <c r="B155" t="s">
        <v>173</v>
      </c>
      <c r="C155">
        <v>27.7070094562647</v>
      </c>
      <c r="D155">
        <v>907.00634504111804</v>
      </c>
      <c r="E155">
        <v>7.49693727269951</v>
      </c>
      <c r="F155">
        <v>27.447900566268999</v>
      </c>
      <c r="G155">
        <v>94</v>
      </c>
      <c r="H155">
        <v>567.84906005859295</v>
      </c>
      <c r="I155">
        <v>7.8851934068168206E-2</v>
      </c>
      <c r="K155" s="1" t="str">
        <f>TEXT(stand_validation_1cycle[[#This Row],[stand_age]], ".0")</f>
        <v>27.7</v>
      </c>
      <c r="L155" s="1" t="str">
        <f t="shared" si="2"/>
        <v>"27.7"</v>
      </c>
      <c r="M155">
        <v>100</v>
      </c>
      <c r="N155">
        <f>0.029*stand_validation_1cycle[[#This Row],[stand_level_biomass]]</f>
        <v>26.303184006192424</v>
      </c>
      <c r="O155">
        <f>0.213*stand_validation_1cycle[[#This Row],[stand_level_biomass]]</f>
        <v>193.19235149375814</v>
      </c>
      <c r="P155">
        <f>0.571*stand_validation_1cycle[[#This Row],[stand_level_biomass]]</f>
        <v>517.90062301847831</v>
      </c>
      <c r="Q155">
        <f>stand_validation_1cycle[[#This Row],[stock]]</f>
        <v>94</v>
      </c>
      <c r="R155">
        <v>0</v>
      </c>
      <c r="S155">
        <f>stand_validation_1cycle[[#This Row],[aws]]</f>
        <v>567.84906005859295</v>
      </c>
      <c r="T155">
        <f>stand_validation_1cycle[[#This Row],[percent_tree_cover]]*100</f>
        <v>7.8851934068168203</v>
      </c>
    </row>
    <row r="156" spans="1:20" x14ac:dyDescent="0.2">
      <c r="A156">
        <v>1</v>
      </c>
      <c r="B156" t="s">
        <v>174</v>
      </c>
      <c r="C156">
        <v>24.573287037037002</v>
      </c>
      <c r="D156">
        <v>441.642203276651</v>
      </c>
      <c r="E156">
        <v>2.2355785380449</v>
      </c>
      <c r="F156">
        <v>22.536682221392802</v>
      </c>
      <c r="G156">
        <v>48</v>
      </c>
      <c r="H156">
        <v>567.84906005859295</v>
      </c>
      <c r="I156">
        <v>5.1270451848470802E-2</v>
      </c>
      <c r="K156" s="1" t="str">
        <f>TEXT(stand_validation_1cycle[[#This Row],[stand_age]], ".0")</f>
        <v>24.6</v>
      </c>
      <c r="L156" s="1" t="str">
        <f t="shared" si="2"/>
        <v>"24.6"</v>
      </c>
      <c r="M156">
        <v>100</v>
      </c>
      <c r="N156">
        <f>0.029*stand_validation_1cycle[[#This Row],[stand_level_biomass]]</f>
        <v>12.80762389502288</v>
      </c>
      <c r="O156">
        <f>0.213*stand_validation_1cycle[[#This Row],[stand_level_biomass]]</f>
        <v>94.069789297926661</v>
      </c>
      <c r="P156">
        <f>0.571*stand_validation_1cycle[[#This Row],[stand_level_biomass]]</f>
        <v>252.17769807096769</v>
      </c>
      <c r="Q156">
        <f>stand_validation_1cycle[[#This Row],[stock]]</f>
        <v>48</v>
      </c>
      <c r="R156">
        <v>0</v>
      </c>
      <c r="S156">
        <f>stand_validation_1cycle[[#This Row],[aws]]</f>
        <v>567.84906005859295</v>
      </c>
      <c r="T156">
        <f>stand_validation_1cycle[[#This Row],[percent_tree_cover]]*100</f>
        <v>5.1270451848470806</v>
      </c>
    </row>
    <row r="157" spans="1:20" x14ac:dyDescent="0.2">
      <c r="A157">
        <v>1</v>
      </c>
      <c r="B157" t="s">
        <v>175</v>
      </c>
      <c r="C157">
        <v>28.577754629629599</v>
      </c>
      <c r="D157">
        <v>891.35576950842403</v>
      </c>
      <c r="E157">
        <v>7.7662173162056298</v>
      </c>
      <c r="F157">
        <v>27.758290434377901</v>
      </c>
      <c r="G157">
        <v>96</v>
      </c>
      <c r="H157">
        <v>569.23651123046795</v>
      </c>
      <c r="I157">
        <v>8.0047297034961801E-2</v>
      </c>
      <c r="K157" s="1" t="str">
        <f>TEXT(stand_validation_1cycle[[#This Row],[stand_age]], ".0")</f>
        <v>28.6</v>
      </c>
      <c r="L157" s="1" t="str">
        <f t="shared" si="2"/>
        <v>"28.6"</v>
      </c>
      <c r="M157">
        <v>100</v>
      </c>
      <c r="N157">
        <f>0.029*stand_validation_1cycle[[#This Row],[stand_level_biomass]]</f>
        <v>25.849317315744297</v>
      </c>
      <c r="O157">
        <f>0.213*stand_validation_1cycle[[#This Row],[stand_level_biomass]]</f>
        <v>189.85877890529432</v>
      </c>
      <c r="P157">
        <f>0.571*stand_validation_1cycle[[#This Row],[stand_level_biomass]]</f>
        <v>508.96414438931009</v>
      </c>
      <c r="Q157">
        <f>stand_validation_1cycle[[#This Row],[stock]]</f>
        <v>96</v>
      </c>
      <c r="R157">
        <v>0</v>
      </c>
      <c r="S157">
        <f>stand_validation_1cycle[[#This Row],[aws]]</f>
        <v>569.23651123046795</v>
      </c>
      <c r="T157">
        <f>stand_validation_1cycle[[#This Row],[percent_tree_cover]]*100</f>
        <v>8.0047297034961797</v>
      </c>
    </row>
    <row r="158" spans="1:20" x14ac:dyDescent="0.2">
      <c r="A158">
        <v>1</v>
      </c>
      <c r="B158" t="s">
        <v>176</v>
      </c>
      <c r="C158">
        <v>26.786455555555499</v>
      </c>
      <c r="D158">
        <v>769.49908172828304</v>
      </c>
      <c r="E158">
        <v>7.1323043943697897</v>
      </c>
      <c r="F158">
        <v>27.129587102255702</v>
      </c>
      <c r="G158">
        <v>100</v>
      </c>
      <c r="H158">
        <v>610.89685058593705</v>
      </c>
      <c r="I158">
        <v>7.1093022622973304E-2</v>
      </c>
      <c r="K158" s="1" t="str">
        <f>TEXT(stand_validation_1cycle[[#This Row],[stand_age]], ".0")</f>
        <v>26.8</v>
      </c>
      <c r="L158" s="1" t="str">
        <f t="shared" si="2"/>
        <v>"26.8"</v>
      </c>
      <c r="M158">
        <v>100</v>
      </c>
      <c r="N158">
        <f>0.029*stand_validation_1cycle[[#This Row],[stand_level_biomass]]</f>
        <v>22.315473370120209</v>
      </c>
      <c r="O158">
        <f>0.213*stand_validation_1cycle[[#This Row],[stand_level_biomass]]</f>
        <v>163.90330440812428</v>
      </c>
      <c r="P158">
        <f>0.571*stand_validation_1cycle[[#This Row],[stand_level_biomass]]</f>
        <v>439.38397566684961</v>
      </c>
      <c r="Q158">
        <f>stand_validation_1cycle[[#This Row],[stock]]</f>
        <v>100</v>
      </c>
      <c r="R158">
        <v>0</v>
      </c>
      <c r="S158">
        <f>stand_validation_1cycle[[#This Row],[aws]]</f>
        <v>610.89685058593705</v>
      </c>
      <c r="T158">
        <f>stand_validation_1cycle[[#This Row],[percent_tree_cover]]*100</f>
        <v>7.1093022622973301</v>
      </c>
    </row>
    <row r="159" spans="1:20" x14ac:dyDescent="0.2">
      <c r="A159">
        <v>1</v>
      </c>
      <c r="B159" t="s">
        <v>177</v>
      </c>
      <c r="C159">
        <v>26.032077777777701</v>
      </c>
      <c r="D159">
        <v>799.171830733055</v>
      </c>
      <c r="E159">
        <v>7.20374185511794</v>
      </c>
      <c r="F159">
        <v>26.106953883352801</v>
      </c>
      <c r="G159">
        <v>100</v>
      </c>
      <c r="H159">
        <v>525.65124511718705</v>
      </c>
      <c r="I159">
        <v>7.1786411757186905E-2</v>
      </c>
      <c r="K159" s="1" t="str">
        <f>TEXT(stand_validation_1cycle[[#This Row],[stand_age]], ".0")</f>
        <v>26.0</v>
      </c>
      <c r="L159" s="1" t="str">
        <f t="shared" si="2"/>
        <v>"26.0"</v>
      </c>
      <c r="M159">
        <v>100</v>
      </c>
      <c r="N159">
        <f>0.029*stand_validation_1cycle[[#This Row],[stand_level_biomass]]</f>
        <v>23.175983091258598</v>
      </c>
      <c r="O159">
        <f>0.213*stand_validation_1cycle[[#This Row],[stand_level_biomass]]</f>
        <v>170.22359994614072</v>
      </c>
      <c r="P159">
        <f>0.571*stand_validation_1cycle[[#This Row],[stand_level_biomass]]</f>
        <v>456.32711534857435</v>
      </c>
      <c r="Q159">
        <f>stand_validation_1cycle[[#This Row],[stock]]</f>
        <v>100</v>
      </c>
      <c r="R159">
        <v>0</v>
      </c>
      <c r="S159">
        <f>stand_validation_1cycle[[#This Row],[aws]]</f>
        <v>525.65124511718705</v>
      </c>
      <c r="T159">
        <f>stand_validation_1cycle[[#This Row],[percent_tree_cover]]*100</f>
        <v>7.1786411757186901</v>
      </c>
    </row>
    <row r="160" spans="1:20" x14ac:dyDescent="0.2">
      <c r="A160">
        <v>1</v>
      </c>
      <c r="B160" t="s">
        <v>178</v>
      </c>
      <c r="C160">
        <v>25.6782222222222</v>
      </c>
      <c r="D160">
        <v>749.94114118242601</v>
      </c>
      <c r="E160">
        <v>6.8541972609052504</v>
      </c>
      <c r="F160">
        <v>25.660330245357098</v>
      </c>
      <c r="G160">
        <v>100</v>
      </c>
      <c r="H160">
        <v>526.63024902343705</v>
      </c>
      <c r="I160">
        <v>6.83176080600882E-2</v>
      </c>
      <c r="K160" s="1" t="str">
        <f>TEXT(stand_validation_1cycle[[#This Row],[stand_age]], ".0")</f>
        <v>25.7</v>
      </c>
      <c r="L160" s="1" t="str">
        <f t="shared" si="2"/>
        <v>"25.7"</v>
      </c>
      <c r="M160">
        <v>100</v>
      </c>
      <c r="N160">
        <f>0.029*stand_validation_1cycle[[#This Row],[stand_level_biomass]]</f>
        <v>21.748293094290354</v>
      </c>
      <c r="O160">
        <f>0.213*stand_validation_1cycle[[#This Row],[stand_level_biomass]]</f>
        <v>159.73746307185672</v>
      </c>
      <c r="P160">
        <f>0.571*stand_validation_1cycle[[#This Row],[stand_level_biomass]]</f>
        <v>428.21639161516521</v>
      </c>
      <c r="Q160">
        <f>stand_validation_1cycle[[#This Row],[stock]]</f>
        <v>100</v>
      </c>
      <c r="R160">
        <v>0</v>
      </c>
      <c r="S160">
        <f>stand_validation_1cycle[[#This Row],[aws]]</f>
        <v>526.63024902343705</v>
      </c>
      <c r="T160">
        <f>stand_validation_1cycle[[#This Row],[percent_tree_cover]]*100</f>
        <v>6.8317608060088197</v>
      </c>
    </row>
    <row r="161" spans="1:20" x14ac:dyDescent="0.2">
      <c r="A161">
        <v>1</v>
      </c>
      <c r="B161" t="s">
        <v>179</v>
      </c>
      <c r="C161">
        <v>27.627777777777698</v>
      </c>
      <c r="D161">
        <v>992.84371268792995</v>
      </c>
      <c r="E161">
        <v>8.3668513470619903</v>
      </c>
      <c r="F161">
        <v>27.179710859053301</v>
      </c>
      <c r="G161">
        <v>99</v>
      </c>
      <c r="H161">
        <v>524.83026123046795</v>
      </c>
      <c r="I161">
        <v>8.3169604089820506E-2</v>
      </c>
      <c r="K161" s="1" t="str">
        <f>TEXT(stand_validation_1cycle[[#This Row],[stand_age]], ".0")</f>
        <v>27.6</v>
      </c>
      <c r="L161" s="1" t="str">
        <f t="shared" si="2"/>
        <v>"27.6"</v>
      </c>
      <c r="M161">
        <v>100</v>
      </c>
      <c r="N161">
        <f>0.029*stand_validation_1cycle[[#This Row],[stand_level_biomass]]</f>
        <v>28.792467667949971</v>
      </c>
      <c r="O161">
        <f>0.213*stand_validation_1cycle[[#This Row],[stand_level_biomass]]</f>
        <v>211.47571080252908</v>
      </c>
      <c r="P161">
        <f>0.571*stand_validation_1cycle[[#This Row],[stand_level_biomass]]</f>
        <v>566.91375994480791</v>
      </c>
      <c r="Q161">
        <f>stand_validation_1cycle[[#This Row],[stock]]</f>
        <v>99</v>
      </c>
      <c r="R161">
        <v>0</v>
      </c>
      <c r="S161">
        <f>stand_validation_1cycle[[#This Row],[aws]]</f>
        <v>524.83026123046795</v>
      </c>
      <c r="T161">
        <f>stand_validation_1cycle[[#This Row],[percent_tree_cover]]*100</f>
        <v>8.3169604089820499</v>
      </c>
    </row>
    <row r="162" spans="1:20" x14ac:dyDescent="0.2">
      <c r="A162">
        <v>1</v>
      </c>
      <c r="B162" t="s">
        <v>180</v>
      </c>
      <c r="C162">
        <v>26.079666666666601</v>
      </c>
      <c r="D162">
        <v>596.44978229604806</v>
      </c>
      <c r="E162">
        <v>5.7506562926640603</v>
      </c>
      <c r="F162">
        <v>24.159082065820702</v>
      </c>
      <c r="G162">
        <v>100</v>
      </c>
      <c r="H162">
        <v>525.49761962890602</v>
      </c>
      <c r="I162">
        <v>5.7309148039819201E-2</v>
      </c>
      <c r="K162" s="1" t="str">
        <f>TEXT(stand_validation_1cycle[[#This Row],[stand_age]], ".0")</f>
        <v>26.1</v>
      </c>
      <c r="L162" s="1" t="str">
        <f t="shared" si="2"/>
        <v>"26.1"</v>
      </c>
      <c r="M162">
        <v>100</v>
      </c>
      <c r="N162">
        <f>0.029*stand_validation_1cycle[[#This Row],[stand_level_biomass]]</f>
        <v>17.297043686585393</v>
      </c>
      <c r="O162">
        <f>0.213*stand_validation_1cycle[[#This Row],[stand_level_biomass]]</f>
        <v>127.04380362905823</v>
      </c>
      <c r="P162">
        <f>0.571*stand_validation_1cycle[[#This Row],[stand_level_biomass]]</f>
        <v>340.57282569104342</v>
      </c>
      <c r="Q162">
        <f>stand_validation_1cycle[[#This Row],[stock]]</f>
        <v>100</v>
      </c>
      <c r="R162">
        <v>0</v>
      </c>
      <c r="S162">
        <f>stand_validation_1cycle[[#This Row],[aws]]</f>
        <v>525.49761962890602</v>
      </c>
      <c r="T162">
        <f>stand_validation_1cycle[[#This Row],[percent_tree_cover]]*100</f>
        <v>5.7309148039819204</v>
      </c>
    </row>
    <row r="163" spans="1:20" x14ac:dyDescent="0.2">
      <c r="A163">
        <v>1</v>
      </c>
      <c r="B163" t="s">
        <v>181</v>
      </c>
      <c r="C163">
        <v>27.413591470258101</v>
      </c>
      <c r="D163">
        <v>960.80321469392004</v>
      </c>
      <c r="E163">
        <v>8.2198350210501108</v>
      </c>
      <c r="F163">
        <v>27.126344914737299</v>
      </c>
      <c r="G163">
        <v>99</v>
      </c>
      <c r="H163">
        <v>524.13806152343705</v>
      </c>
      <c r="I163">
        <v>8.1440270257752995E-2</v>
      </c>
      <c r="K163" s="1" t="str">
        <f>TEXT(stand_validation_1cycle[[#This Row],[stand_age]], ".0")</f>
        <v>27.4</v>
      </c>
      <c r="L163" s="1" t="str">
        <f t="shared" si="2"/>
        <v>"27.4"</v>
      </c>
      <c r="M163">
        <v>100</v>
      </c>
      <c r="N163">
        <f>0.029*stand_validation_1cycle[[#This Row],[stand_level_biomass]]</f>
        <v>27.863293226123684</v>
      </c>
      <c r="O163">
        <f>0.213*stand_validation_1cycle[[#This Row],[stand_level_biomass]]</f>
        <v>204.65108472980495</v>
      </c>
      <c r="P163">
        <f>0.571*stand_validation_1cycle[[#This Row],[stand_level_biomass]]</f>
        <v>548.61863559022834</v>
      </c>
      <c r="Q163">
        <f>stand_validation_1cycle[[#This Row],[stock]]</f>
        <v>99</v>
      </c>
      <c r="R163">
        <v>0</v>
      </c>
      <c r="S163">
        <f>stand_validation_1cycle[[#This Row],[aws]]</f>
        <v>524.13806152343705</v>
      </c>
      <c r="T163">
        <f>stand_validation_1cycle[[#This Row],[percent_tree_cover]]*100</f>
        <v>8.1440270257752996</v>
      </c>
    </row>
    <row r="164" spans="1:20" x14ac:dyDescent="0.2">
      <c r="A164">
        <v>1</v>
      </c>
      <c r="B164" t="s">
        <v>182</v>
      </c>
      <c r="C164">
        <v>28.241043083900198</v>
      </c>
      <c r="D164">
        <v>1037.940533795</v>
      </c>
      <c r="E164">
        <v>8.8553093144347894</v>
      </c>
      <c r="F164">
        <v>28.359482856007201</v>
      </c>
      <c r="G164">
        <v>98</v>
      </c>
      <c r="H164">
        <v>571.18011474609295</v>
      </c>
      <c r="I164">
        <v>8.6514256994433006E-2</v>
      </c>
      <c r="K164" s="1" t="str">
        <f>TEXT(stand_validation_1cycle[[#This Row],[stand_age]], ".0")</f>
        <v>28.2</v>
      </c>
      <c r="L164" s="1" t="str">
        <f t="shared" si="2"/>
        <v>"28.2"</v>
      </c>
      <c r="M164">
        <v>100</v>
      </c>
      <c r="N164">
        <f>0.029*stand_validation_1cycle[[#This Row],[stand_level_biomass]]</f>
        <v>30.100275480055</v>
      </c>
      <c r="O164">
        <f>0.213*stand_validation_1cycle[[#This Row],[stand_level_biomass]]</f>
        <v>221.08133369833499</v>
      </c>
      <c r="P164">
        <f>0.571*stand_validation_1cycle[[#This Row],[stand_level_biomass]]</f>
        <v>592.66404479694495</v>
      </c>
      <c r="Q164">
        <f>stand_validation_1cycle[[#This Row],[stock]]</f>
        <v>98</v>
      </c>
      <c r="R164">
        <v>0</v>
      </c>
      <c r="S164">
        <f>stand_validation_1cycle[[#This Row],[aws]]</f>
        <v>571.18011474609295</v>
      </c>
      <c r="T164">
        <f>stand_validation_1cycle[[#This Row],[percent_tree_cover]]*100</f>
        <v>8.6514256994433012</v>
      </c>
    </row>
    <row r="165" spans="1:20" x14ac:dyDescent="0.2">
      <c r="A165">
        <v>1</v>
      </c>
      <c r="B165" t="s">
        <v>183</v>
      </c>
      <c r="C165">
        <v>27.059444444444399</v>
      </c>
      <c r="D165">
        <v>851.04571053758195</v>
      </c>
      <c r="E165">
        <v>7.4905260674916896</v>
      </c>
      <c r="F165">
        <v>26.165461399036399</v>
      </c>
      <c r="G165">
        <v>100</v>
      </c>
      <c r="H165">
        <v>524.36944580078102</v>
      </c>
      <c r="I165">
        <v>7.4624561918102794E-2</v>
      </c>
      <c r="K165" s="1" t="str">
        <f>TEXT(stand_validation_1cycle[[#This Row],[stand_age]], ".0")</f>
        <v>27.1</v>
      </c>
      <c r="L165" s="1" t="str">
        <f t="shared" si="2"/>
        <v>"27.1"</v>
      </c>
      <c r="M165">
        <v>100</v>
      </c>
      <c r="N165">
        <f>0.029*stand_validation_1cycle[[#This Row],[stand_level_biomass]]</f>
        <v>24.680325605589879</v>
      </c>
      <c r="O165">
        <f>0.213*stand_validation_1cycle[[#This Row],[stand_level_biomass]]</f>
        <v>181.27273634450495</v>
      </c>
      <c r="P165">
        <f>0.571*stand_validation_1cycle[[#This Row],[stand_level_biomass]]</f>
        <v>485.94710071695926</v>
      </c>
      <c r="Q165">
        <f>stand_validation_1cycle[[#This Row],[stock]]</f>
        <v>100</v>
      </c>
      <c r="R165">
        <v>0</v>
      </c>
      <c r="S165">
        <f>stand_validation_1cycle[[#This Row],[aws]]</f>
        <v>524.36944580078102</v>
      </c>
      <c r="T165">
        <f>stand_validation_1cycle[[#This Row],[percent_tree_cover]]*100</f>
        <v>7.4624561918102792</v>
      </c>
    </row>
    <row r="166" spans="1:20" x14ac:dyDescent="0.2">
      <c r="A166">
        <v>1</v>
      </c>
      <c r="B166" t="s">
        <v>184</v>
      </c>
      <c r="C166">
        <v>27.2242888888888</v>
      </c>
      <c r="D166">
        <v>813.05481598932499</v>
      </c>
      <c r="E166">
        <v>7.3371912132552799</v>
      </c>
      <c r="F166">
        <v>26.6419755989414</v>
      </c>
      <c r="G166">
        <v>100</v>
      </c>
      <c r="H166">
        <v>524.46466064453102</v>
      </c>
      <c r="I166">
        <v>7.3116031386743094E-2</v>
      </c>
      <c r="K166" s="1" t="str">
        <f>TEXT(stand_validation_1cycle[[#This Row],[stand_age]], ".0")</f>
        <v>27.2</v>
      </c>
      <c r="L166" s="1" t="str">
        <f t="shared" si="2"/>
        <v>"27.2"</v>
      </c>
      <c r="M166">
        <v>100</v>
      </c>
      <c r="N166">
        <f>0.029*stand_validation_1cycle[[#This Row],[stand_level_biomass]]</f>
        <v>23.578589663690426</v>
      </c>
      <c r="O166">
        <f>0.213*stand_validation_1cycle[[#This Row],[stand_level_biomass]]</f>
        <v>173.18067580572622</v>
      </c>
      <c r="P166">
        <f>0.571*stand_validation_1cycle[[#This Row],[stand_level_biomass]]</f>
        <v>464.25429992990451</v>
      </c>
      <c r="Q166">
        <f>stand_validation_1cycle[[#This Row],[stock]]</f>
        <v>100</v>
      </c>
      <c r="R166">
        <v>0</v>
      </c>
      <c r="S166">
        <f>stand_validation_1cycle[[#This Row],[aws]]</f>
        <v>524.46466064453102</v>
      </c>
      <c r="T166">
        <f>stand_validation_1cycle[[#This Row],[percent_tree_cover]]*100</f>
        <v>7.3116031386743092</v>
      </c>
    </row>
    <row r="167" spans="1:20" x14ac:dyDescent="0.2">
      <c r="A167">
        <v>1</v>
      </c>
      <c r="B167" t="s">
        <v>185</v>
      </c>
      <c r="C167">
        <v>28.491757369614501</v>
      </c>
      <c r="D167">
        <v>1003.64422675906</v>
      </c>
      <c r="E167">
        <v>8.4327517507581806</v>
      </c>
      <c r="F167">
        <v>27.661621708450401</v>
      </c>
      <c r="G167">
        <v>98</v>
      </c>
      <c r="H167">
        <v>524.11468505859295</v>
      </c>
      <c r="I167">
        <v>8.3736146153191804E-2</v>
      </c>
      <c r="K167" s="1" t="str">
        <f>TEXT(stand_validation_1cycle[[#This Row],[stand_age]], ".0")</f>
        <v>28.5</v>
      </c>
      <c r="L167" s="1" t="str">
        <f t="shared" si="2"/>
        <v>"28.5"</v>
      </c>
      <c r="M167">
        <v>100</v>
      </c>
      <c r="N167">
        <f>0.029*stand_validation_1cycle[[#This Row],[stand_level_biomass]]</f>
        <v>29.10568257601274</v>
      </c>
      <c r="O167">
        <f>0.213*stand_validation_1cycle[[#This Row],[stand_level_biomass]]</f>
        <v>213.77622029967978</v>
      </c>
      <c r="P167">
        <f>0.571*stand_validation_1cycle[[#This Row],[stand_level_biomass]]</f>
        <v>573.08085347942324</v>
      </c>
      <c r="Q167">
        <f>stand_validation_1cycle[[#This Row],[stock]]</f>
        <v>98</v>
      </c>
      <c r="R167">
        <v>0</v>
      </c>
      <c r="S167">
        <f>stand_validation_1cycle[[#This Row],[aws]]</f>
        <v>524.11468505859295</v>
      </c>
      <c r="T167">
        <f>stand_validation_1cycle[[#This Row],[percent_tree_cover]]*100</f>
        <v>8.3736146153191804</v>
      </c>
    </row>
    <row r="168" spans="1:20" x14ac:dyDescent="0.2">
      <c r="A168">
        <v>1</v>
      </c>
      <c r="B168" t="s">
        <v>186</v>
      </c>
      <c r="C168">
        <v>29.757199999999902</v>
      </c>
      <c r="D168">
        <v>924.47533704823695</v>
      </c>
      <c r="E168">
        <v>8.1235279274579906</v>
      </c>
      <c r="F168">
        <v>27.667534322108501</v>
      </c>
      <c r="G168">
        <v>100</v>
      </c>
      <c r="H168">
        <v>524.11468505859295</v>
      </c>
      <c r="I168">
        <v>8.0931507567381503E-2</v>
      </c>
      <c r="K168" s="1" t="str">
        <f>TEXT(stand_validation_1cycle[[#This Row],[stand_age]], ".0")</f>
        <v>29.8</v>
      </c>
      <c r="L168" s="1" t="str">
        <f t="shared" si="2"/>
        <v>"29.8"</v>
      </c>
      <c r="M168">
        <v>100</v>
      </c>
      <c r="N168">
        <f>0.029*stand_validation_1cycle[[#This Row],[stand_level_biomass]]</f>
        <v>26.809784774398874</v>
      </c>
      <c r="O168">
        <f>0.213*stand_validation_1cycle[[#This Row],[stand_level_biomass]]</f>
        <v>196.91324679127447</v>
      </c>
      <c r="P168">
        <f>0.571*stand_validation_1cycle[[#This Row],[stand_level_biomass]]</f>
        <v>527.87541745454325</v>
      </c>
      <c r="Q168">
        <f>stand_validation_1cycle[[#This Row],[stock]]</f>
        <v>100</v>
      </c>
      <c r="R168">
        <v>0</v>
      </c>
      <c r="S168">
        <f>stand_validation_1cycle[[#This Row],[aws]]</f>
        <v>524.11468505859295</v>
      </c>
      <c r="T168">
        <f>stand_validation_1cycle[[#This Row],[percent_tree_cover]]*100</f>
        <v>8.0931507567381509</v>
      </c>
    </row>
    <row r="169" spans="1:20" x14ac:dyDescent="0.2">
      <c r="A169">
        <v>1</v>
      </c>
      <c r="B169" t="s">
        <v>187</v>
      </c>
      <c r="C169">
        <v>28.924133333333302</v>
      </c>
      <c r="D169">
        <v>1010.12357704879</v>
      </c>
      <c r="E169">
        <v>8.8233066954708299</v>
      </c>
      <c r="F169">
        <v>29.209322816622802</v>
      </c>
      <c r="G169">
        <v>100</v>
      </c>
      <c r="H169">
        <v>525.01373291015602</v>
      </c>
      <c r="I169">
        <v>8.7909332267927506E-2</v>
      </c>
      <c r="K169" s="1" t="str">
        <f>TEXT(stand_validation_1cycle[[#This Row],[stand_age]], ".0")</f>
        <v>28.9</v>
      </c>
      <c r="L169" s="1" t="str">
        <f t="shared" si="2"/>
        <v>"28.9"</v>
      </c>
      <c r="M169">
        <v>100</v>
      </c>
      <c r="N169">
        <f>0.029*stand_validation_1cycle[[#This Row],[stand_level_biomass]]</f>
        <v>29.293583734414913</v>
      </c>
      <c r="O169">
        <f>0.213*stand_validation_1cycle[[#This Row],[stand_level_biomass]]</f>
        <v>215.15632191139227</v>
      </c>
      <c r="P169">
        <f>0.571*stand_validation_1cycle[[#This Row],[stand_level_biomass]]</f>
        <v>576.78056249485905</v>
      </c>
      <c r="Q169">
        <f>stand_validation_1cycle[[#This Row],[stock]]</f>
        <v>100</v>
      </c>
      <c r="R169">
        <v>0</v>
      </c>
      <c r="S169">
        <f>stand_validation_1cycle[[#This Row],[aws]]</f>
        <v>525.01373291015602</v>
      </c>
      <c r="T169">
        <f>stand_validation_1cycle[[#This Row],[percent_tree_cover]]*100</f>
        <v>8.7909332267927507</v>
      </c>
    </row>
    <row r="170" spans="1:20" x14ac:dyDescent="0.2">
      <c r="A170">
        <v>1</v>
      </c>
      <c r="B170" t="s">
        <v>188</v>
      </c>
      <c r="C170">
        <v>29.3538888888888</v>
      </c>
      <c r="D170">
        <v>710.15224456976205</v>
      </c>
      <c r="E170">
        <v>4.6584266287721396</v>
      </c>
      <c r="F170">
        <v>26.770760726668001</v>
      </c>
      <c r="G170">
        <v>68</v>
      </c>
      <c r="H170">
        <v>616</v>
      </c>
      <c r="I170">
        <v>6.4952619767806599E-2</v>
      </c>
      <c r="K170" s="1" t="str">
        <f>TEXT(stand_validation_1cycle[[#This Row],[stand_age]], ".0")</f>
        <v>29.4</v>
      </c>
      <c r="L170" s="1" t="str">
        <f t="shared" si="2"/>
        <v>"29.4"</v>
      </c>
      <c r="M170">
        <v>100</v>
      </c>
      <c r="N170">
        <f>0.029*stand_validation_1cycle[[#This Row],[stand_level_biomass]]</f>
        <v>20.5944150925231</v>
      </c>
      <c r="O170">
        <f>0.213*stand_validation_1cycle[[#This Row],[stand_level_biomass]]</f>
        <v>151.26242809335932</v>
      </c>
      <c r="P170">
        <f>0.571*stand_validation_1cycle[[#This Row],[stand_level_biomass]]</f>
        <v>405.4969316493341</v>
      </c>
      <c r="Q170">
        <f>stand_validation_1cycle[[#This Row],[stock]]</f>
        <v>68</v>
      </c>
      <c r="R170">
        <v>0</v>
      </c>
      <c r="S170">
        <f>stand_validation_1cycle[[#This Row],[aws]]</f>
        <v>616</v>
      </c>
      <c r="T170">
        <f>stand_validation_1cycle[[#This Row],[percent_tree_cover]]*100</f>
        <v>6.4952619767806601</v>
      </c>
    </row>
    <row r="171" spans="1:20" x14ac:dyDescent="0.2">
      <c r="A171">
        <v>1</v>
      </c>
      <c r="B171" t="s">
        <v>189</v>
      </c>
      <c r="C171">
        <v>26.7689461626574</v>
      </c>
      <c r="D171">
        <v>761.57534710485402</v>
      </c>
      <c r="E171">
        <v>6.7547760635952496</v>
      </c>
      <c r="F171">
        <v>26.179153576665598</v>
      </c>
      <c r="G171">
        <v>97</v>
      </c>
      <c r="H171">
        <v>524.12786865234295</v>
      </c>
      <c r="I171">
        <v>6.9096977584056904E-2</v>
      </c>
      <c r="K171" s="1" t="str">
        <f>TEXT(stand_validation_1cycle[[#This Row],[stand_age]], ".0")</f>
        <v>26.8</v>
      </c>
      <c r="L171" s="1" t="str">
        <f t="shared" si="2"/>
        <v>"26.8"</v>
      </c>
      <c r="M171">
        <v>100</v>
      </c>
      <c r="N171">
        <f>0.029*stand_validation_1cycle[[#This Row],[stand_level_biomass]]</f>
        <v>22.085685066040767</v>
      </c>
      <c r="O171">
        <f>0.213*stand_validation_1cycle[[#This Row],[stand_level_biomass]]</f>
        <v>162.21554893333391</v>
      </c>
      <c r="P171">
        <f>0.571*stand_validation_1cycle[[#This Row],[stand_level_biomass]]</f>
        <v>434.85952319687163</v>
      </c>
      <c r="Q171">
        <f>stand_validation_1cycle[[#This Row],[stock]]</f>
        <v>97</v>
      </c>
      <c r="R171">
        <v>0</v>
      </c>
      <c r="S171">
        <f>stand_validation_1cycle[[#This Row],[aws]]</f>
        <v>524.12786865234295</v>
      </c>
      <c r="T171">
        <f>stand_validation_1cycle[[#This Row],[percent_tree_cover]]*100</f>
        <v>6.9096977584056907</v>
      </c>
    </row>
    <row r="172" spans="1:20" x14ac:dyDescent="0.2">
      <c r="A172">
        <v>1</v>
      </c>
      <c r="B172" t="s">
        <v>190</v>
      </c>
      <c r="C172">
        <v>27.251677777777701</v>
      </c>
      <c r="D172">
        <v>849.083320918151</v>
      </c>
      <c r="E172">
        <v>7.5505736840742497</v>
      </c>
      <c r="F172">
        <v>26.755015407361402</v>
      </c>
      <c r="G172">
        <v>100</v>
      </c>
      <c r="H172">
        <v>524.13714599609295</v>
      </c>
      <c r="I172">
        <v>7.5232510007666495E-2</v>
      </c>
      <c r="K172" s="1" t="str">
        <f>TEXT(stand_validation_1cycle[[#This Row],[stand_age]], ".0")</f>
        <v>27.3</v>
      </c>
      <c r="L172" s="1" t="str">
        <f t="shared" si="2"/>
        <v>"27.3"</v>
      </c>
      <c r="M172">
        <v>100</v>
      </c>
      <c r="N172">
        <f>0.029*stand_validation_1cycle[[#This Row],[stand_level_biomass]]</f>
        <v>24.623416306626382</v>
      </c>
      <c r="O172">
        <f>0.213*stand_validation_1cycle[[#This Row],[stand_level_biomass]]</f>
        <v>180.85474735556616</v>
      </c>
      <c r="P172">
        <f>0.571*stand_validation_1cycle[[#This Row],[stand_level_biomass]]</f>
        <v>484.82657624426417</v>
      </c>
      <c r="Q172">
        <f>stand_validation_1cycle[[#This Row],[stock]]</f>
        <v>100</v>
      </c>
      <c r="R172">
        <v>0</v>
      </c>
      <c r="S172">
        <f>stand_validation_1cycle[[#This Row],[aws]]</f>
        <v>524.13714599609295</v>
      </c>
      <c r="T172">
        <f>stand_validation_1cycle[[#This Row],[percent_tree_cover]]*100</f>
        <v>7.5232510007666491</v>
      </c>
    </row>
    <row r="173" spans="1:20" x14ac:dyDescent="0.2">
      <c r="A173">
        <v>1</v>
      </c>
      <c r="B173" t="s">
        <v>191</v>
      </c>
      <c r="C173">
        <v>26.045866666666601</v>
      </c>
      <c r="D173">
        <v>718.14511107625196</v>
      </c>
      <c r="E173">
        <v>6.5916001703714704</v>
      </c>
      <c r="F173">
        <v>25.085423159914299</v>
      </c>
      <c r="G173">
        <v>100</v>
      </c>
      <c r="H173">
        <v>569.60736083984295</v>
      </c>
      <c r="I173">
        <v>6.5681154631043404E-2</v>
      </c>
      <c r="K173" s="1" t="str">
        <f>TEXT(stand_validation_1cycle[[#This Row],[stand_age]], ".0")</f>
        <v>26.0</v>
      </c>
      <c r="L173" s="1" t="str">
        <f t="shared" si="2"/>
        <v>"26.0"</v>
      </c>
      <c r="M173">
        <v>100</v>
      </c>
      <c r="N173">
        <f>0.029*stand_validation_1cycle[[#This Row],[stand_level_biomass]]</f>
        <v>20.826208221211306</v>
      </c>
      <c r="O173">
        <f>0.213*stand_validation_1cycle[[#This Row],[stand_level_biomass]]</f>
        <v>152.96490865924167</v>
      </c>
      <c r="P173">
        <f>0.571*stand_validation_1cycle[[#This Row],[stand_level_biomass]]</f>
        <v>410.06085842453984</v>
      </c>
      <c r="Q173">
        <f>stand_validation_1cycle[[#This Row],[stock]]</f>
        <v>100</v>
      </c>
      <c r="R173">
        <v>0</v>
      </c>
      <c r="S173">
        <f>stand_validation_1cycle[[#This Row],[aws]]</f>
        <v>569.60736083984295</v>
      </c>
      <c r="T173">
        <f>stand_validation_1cycle[[#This Row],[percent_tree_cover]]*100</f>
        <v>6.5681154631043404</v>
      </c>
    </row>
    <row r="174" spans="1:20" x14ac:dyDescent="0.2">
      <c r="A174">
        <v>1</v>
      </c>
      <c r="B174" t="s">
        <v>192</v>
      </c>
      <c r="C174">
        <v>27.600844444444402</v>
      </c>
      <c r="D174">
        <v>810.17429049655095</v>
      </c>
      <c r="E174">
        <v>7.2529069947484501</v>
      </c>
      <c r="F174">
        <v>26.111690779197101</v>
      </c>
      <c r="G174">
        <v>100</v>
      </c>
      <c r="H174">
        <v>567.50677490234295</v>
      </c>
      <c r="I174">
        <v>7.2260314846911602E-2</v>
      </c>
      <c r="K174" s="1" t="str">
        <f>TEXT(stand_validation_1cycle[[#This Row],[stand_age]], ".0")</f>
        <v>27.6</v>
      </c>
      <c r="L174" s="1" t="str">
        <f t="shared" si="2"/>
        <v>"27.6"</v>
      </c>
      <c r="M174">
        <v>100</v>
      </c>
      <c r="N174">
        <f>0.029*stand_validation_1cycle[[#This Row],[stand_level_biomass]]</f>
        <v>23.495054424399978</v>
      </c>
      <c r="O174">
        <f>0.213*stand_validation_1cycle[[#This Row],[stand_level_biomass]]</f>
        <v>172.56712387576536</v>
      </c>
      <c r="P174">
        <f>0.571*stand_validation_1cycle[[#This Row],[stand_level_biomass]]</f>
        <v>462.60951987353053</v>
      </c>
      <c r="Q174">
        <f>stand_validation_1cycle[[#This Row],[stock]]</f>
        <v>100</v>
      </c>
      <c r="R174">
        <v>0</v>
      </c>
      <c r="S174">
        <f>stand_validation_1cycle[[#This Row],[aws]]</f>
        <v>567.50677490234295</v>
      </c>
      <c r="T174">
        <f>stand_validation_1cycle[[#This Row],[percent_tree_cover]]*100</f>
        <v>7.22603148469116</v>
      </c>
    </row>
    <row r="175" spans="1:20" x14ac:dyDescent="0.2">
      <c r="A175">
        <v>1</v>
      </c>
      <c r="B175" t="s">
        <v>193</v>
      </c>
      <c r="C175">
        <v>25.914242424242399</v>
      </c>
      <c r="D175">
        <v>812.41368783425298</v>
      </c>
      <c r="E175">
        <v>7.2193084467164699</v>
      </c>
      <c r="F175">
        <v>26.300471551227901</v>
      </c>
      <c r="G175">
        <v>99</v>
      </c>
      <c r="H175">
        <v>572.969970703125</v>
      </c>
      <c r="I175">
        <v>7.1832804320653795E-2</v>
      </c>
      <c r="K175" s="1" t="str">
        <f>TEXT(stand_validation_1cycle[[#This Row],[stand_age]], ".0")</f>
        <v>25.9</v>
      </c>
      <c r="L175" s="1" t="str">
        <f t="shared" si="2"/>
        <v>"25.9"</v>
      </c>
      <c r="M175">
        <v>100</v>
      </c>
      <c r="N175">
        <f>0.029*stand_validation_1cycle[[#This Row],[stand_level_biomass]]</f>
        <v>23.559996947193337</v>
      </c>
      <c r="O175">
        <f>0.213*stand_validation_1cycle[[#This Row],[stand_level_biomass]]</f>
        <v>173.04411550869588</v>
      </c>
      <c r="P175">
        <f>0.571*stand_validation_1cycle[[#This Row],[stand_level_biomass]]</f>
        <v>463.88821575335839</v>
      </c>
      <c r="Q175">
        <f>stand_validation_1cycle[[#This Row],[stock]]</f>
        <v>99</v>
      </c>
      <c r="R175">
        <v>0</v>
      </c>
      <c r="S175">
        <f>stand_validation_1cycle[[#This Row],[aws]]</f>
        <v>572.969970703125</v>
      </c>
      <c r="T175">
        <f>stand_validation_1cycle[[#This Row],[percent_tree_cover]]*100</f>
        <v>7.1832804320653798</v>
      </c>
    </row>
    <row r="176" spans="1:20" x14ac:dyDescent="0.2">
      <c r="A176">
        <v>1</v>
      </c>
      <c r="B176" t="s">
        <v>194</v>
      </c>
      <c r="C176">
        <v>29.830355555555499</v>
      </c>
      <c r="D176">
        <v>1236.4597508958</v>
      </c>
      <c r="E176">
        <v>10.263979825350299</v>
      </c>
      <c r="F176">
        <v>30.064607311897099</v>
      </c>
      <c r="G176">
        <v>100</v>
      </c>
      <c r="H176">
        <v>566.54302978515602</v>
      </c>
      <c r="I176">
        <v>0.102222037031684</v>
      </c>
      <c r="K176" s="1" t="str">
        <f>TEXT(stand_validation_1cycle[[#This Row],[stand_age]], ".0")</f>
        <v>29.8</v>
      </c>
      <c r="L176" s="1" t="str">
        <f t="shared" si="2"/>
        <v>"29.8"</v>
      </c>
      <c r="M176">
        <v>100</v>
      </c>
      <c r="N176">
        <f>0.029*stand_validation_1cycle[[#This Row],[stand_level_biomass]]</f>
        <v>35.8573327759782</v>
      </c>
      <c r="O176">
        <f>0.213*stand_validation_1cycle[[#This Row],[stand_level_biomass]]</f>
        <v>263.36592694080537</v>
      </c>
      <c r="P176">
        <f>0.571*stand_validation_1cycle[[#This Row],[stand_level_biomass]]</f>
        <v>706.0185177615017</v>
      </c>
      <c r="Q176">
        <f>stand_validation_1cycle[[#This Row],[stock]]</f>
        <v>100</v>
      </c>
      <c r="R176">
        <v>0</v>
      </c>
      <c r="S176">
        <f>stand_validation_1cycle[[#This Row],[aws]]</f>
        <v>566.54302978515602</v>
      </c>
      <c r="T176">
        <f>stand_validation_1cycle[[#This Row],[percent_tree_cover]]*100</f>
        <v>10.2222037031684</v>
      </c>
    </row>
    <row r="177" spans="1:20" x14ac:dyDescent="0.2">
      <c r="A177">
        <v>1</v>
      </c>
      <c r="B177" t="s">
        <v>195</v>
      </c>
      <c r="C177">
        <v>27.845199999999998</v>
      </c>
      <c r="D177">
        <v>721.76178259311598</v>
      </c>
      <c r="E177">
        <v>6.8289168648218102</v>
      </c>
      <c r="F177">
        <v>26.869235065590001</v>
      </c>
      <c r="G177">
        <v>100</v>
      </c>
      <c r="H177">
        <v>574.49725341796795</v>
      </c>
      <c r="I177">
        <v>6.8060475380845906E-2</v>
      </c>
      <c r="K177" s="1" t="str">
        <f>TEXT(stand_validation_1cycle[[#This Row],[stand_age]], ".0")</f>
        <v>27.8</v>
      </c>
      <c r="L177" s="1" t="str">
        <f t="shared" si="2"/>
        <v>"27.8"</v>
      </c>
      <c r="M177">
        <v>100</v>
      </c>
      <c r="N177">
        <f>0.029*stand_validation_1cycle[[#This Row],[stand_level_biomass]]</f>
        <v>20.931091695200365</v>
      </c>
      <c r="O177">
        <f>0.213*stand_validation_1cycle[[#This Row],[stand_level_biomass]]</f>
        <v>153.7352596923337</v>
      </c>
      <c r="P177">
        <f>0.571*stand_validation_1cycle[[#This Row],[stand_level_biomass]]</f>
        <v>412.1259778606692</v>
      </c>
      <c r="Q177">
        <f>stand_validation_1cycle[[#This Row],[stock]]</f>
        <v>100</v>
      </c>
      <c r="R177">
        <v>0</v>
      </c>
      <c r="S177">
        <f>stand_validation_1cycle[[#This Row],[aws]]</f>
        <v>574.49725341796795</v>
      </c>
      <c r="T177">
        <f>stand_validation_1cycle[[#This Row],[percent_tree_cover]]*100</f>
        <v>6.8060475380845906</v>
      </c>
    </row>
    <row r="178" spans="1:20" x14ac:dyDescent="0.2">
      <c r="A178">
        <v>1</v>
      </c>
      <c r="B178" t="s">
        <v>196</v>
      </c>
      <c r="C178">
        <v>27.170466666666599</v>
      </c>
      <c r="D178">
        <v>783.65157626865096</v>
      </c>
      <c r="E178">
        <v>6.9884830680866097</v>
      </c>
      <c r="F178">
        <v>25.550290665725701</v>
      </c>
      <c r="G178">
        <v>100</v>
      </c>
      <c r="H178">
        <v>567.67980957031205</v>
      </c>
      <c r="I178">
        <v>6.9617756744619994E-2</v>
      </c>
      <c r="K178" s="1" t="str">
        <f>TEXT(stand_validation_1cycle[[#This Row],[stand_age]], ".0")</f>
        <v>27.2</v>
      </c>
      <c r="L178" s="1" t="str">
        <f t="shared" si="2"/>
        <v>"27.2"</v>
      </c>
      <c r="M178">
        <v>100</v>
      </c>
      <c r="N178">
        <f>0.029*stand_validation_1cycle[[#This Row],[stand_level_biomass]]</f>
        <v>22.72589571179088</v>
      </c>
      <c r="O178">
        <f>0.213*stand_validation_1cycle[[#This Row],[stand_level_biomass]]</f>
        <v>166.91778574522266</v>
      </c>
      <c r="P178">
        <f>0.571*stand_validation_1cycle[[#This Row],[stand_level_biomass]]</f>
        <v>447.46505004939968</v>
      </c>
      <c r="Q178">
        <f>stand_validation_1cycle[[#This Row],[stock]]</f>
        <v>100</v>
      </c>
      <c r="R178">
        <v>0</v>
      </c>
      <c r="S178">
        <f>stand_validation_1cycle[[#This Row],[aws]]</f>
        <v>567.67980957031205</v>
      </c>
      <c r="T178">
        <f>stand_validation_1cycle[[#This Row],[percent_tree_cover]]*100</f>
        <v>6.9617756744619994</v>
      </c>
    </row>
    <row r="179" spans="1:20" x14ac:dyDescent="0.2">
      <c r="A179">
        <v>1</v>
      </c>
      <c r="B179" t="s">
        <v>197</v>
      </c>
      <c r="C179">
        <v>25.698988888888799</v>
      </c>
      <c r="D179">
        <v>830.19957779499396</v>
      </c>
      <c r="E179">
        <v>7.2619571377852798</v>
      </c>
      <c r="F179">
        <v>25.428850599009198</v>
      </c>
      <c r="G179">
        <v>100</v>
      </c>
      <c r="H179">
        <v>572.13140869140602</v>
      </c>
      <c r="I179">
        <v>7.2355130099471907E-2</v>
      </c>
      <c r="K179" s="1" t="str">
        <f>TEXT(stand_validation_1cycle[[#This Row],[stand_age]], ".0")</f>
        <v>25.7</v>
      </c>
      <c r="L179" s="1" t="str">
        <f t="shared" si="2"/>
        <v>"25.7"</v>
      </c>
      <c r="M179">
        <v>100</v>
      </c>
      <c r="N179">
        <f>0.029*stand_validation_1cycle[[#This Row],[stand_level_biomass]]</f>
        <v>24.075787756054826</v>
      </c>
      <c r="O179">
        <f>0.213*stand_validation_1cycle[[#This Row],[stand_level_biomass]]</f>
        <v>176.83251007033371</v>
      </c>
      <c r="P179">
        <f>0.571*stand_validation_1cycle[[#This Row],[stand_level_biomass]]</f>
        <v>474.04395892094152</v>
      </c>
      <c r="Q179">
        <f>stand_validation_1cycle[[#This Row],[stock]]</f>
        <v>100</v>
      </c>
      <c r="R179">
        <v>0</v>
      </c>
      <c r="S179">
        <f>stand_validation_1cycle[[#This Row],[aws]]</f>
        <v>572.13140869140602</v>
      </c>
      <c r="T179">
        <f>stand_validation_1cycle[[#This Row],[percent_tree_cover]]*100</f>
        <v>7.2355130099471907</v>
      </c>
    </row>
    <row r="180" spans="1:20" x14ac:dyDescent="0.2">
      <c r="A180">
        <v>1</v>
      </c>
      <c r="B180" t="s">
        <v>198</v>
      </c>
      <c r="C180">
        <v>27.910277777777701</v>
      </c>
      <c r="D180">
        <v>945.88122781808102</v>
      </c>
      <c r="E180">
        <v>8.2043713166109793</v>
      </c>
      <c r="F180">
        <v>27.405485732292799</v>
      </c>
      <c r="G180">
        <v>100</v>
      </c>
      <c r="H180">
        <v>566.47930908203102</v>
      </c>
      <c r="I180">
        <v>8.1734523876056703E-2</v>
      </c>
      <c r="K180" s="1" t="str">
        <f>TEXT(stand_validation_1cycle[[#This Row],[stand_age]], ".0")</f>
        <v>27.9</v>
      </c>
      <c r="L180" s="1" t="str">
        <f t="shared" si="2"/>
        <v>"27.9"</v>
      </c>
      <c r="M180">
        <v>100</v>
      </c>
      <c r="N180">
        <f>0.029*stand_validation_1cycle[[#This Row],[stand_level_biomass]]</f>
        <v>27.430555606724351</v>
      </c>
      <c r="O180">
        <f>0.213*stand_validation_1cycle[[#This Row],[stand_level_biomass]]</f>
        <v>201.47270152525124</v>
      </c>
      <c r="P180">
        <f>0.571*stand_validation_1cycle[[#This Row],[stand_level_biomass]]</f>
        <v>540.09818108412423</v>
      </c>
      <c r="Q180">
        <f>stand_validation_1cycle[[#This Row],[stock]]</f>
        <v>100</v>
      </c>
      <c r="R180">
        <v>0</v>
      </c>
      <c r="S180">
        <f>stand_validation_1cycle[[#This Row],[aws]]</f>
        <v>566.47930908203102</v>
      </c>
      <c r="T180">
        <f>stand_validation_1cycle[[#This Row],[percent_tree_cover]]*100</f>
        <v>8.1734523876056695</v>
      </c>
    </row>
    <row r="181" spans="1:20" x14ac:dyDescent="0.2">
      <c r="A181">
        <v>1</v>
      </c>
      <c r="B181" t="s">
        <v>199</v>
      </c>
      <c r="C181">
        <v>27.5764999999999</v>
      </c>
      <c r="D181">
        <v>864.08035121329794</v>
      </c>
      <c r="E181">
        <v>7.7675485660925903</v>
      </c>
      <c r="F181">
        <v>27.669503798765</v>
      </c>
      <c r="G181">
        <v>100</v>
      </c>
      <c r="H181">
        <v>569.55694580078102</v>
      </c>
      <c r="I181">
        <v>7.7414542004143105E-2</v>
      </c>
      <c r="K181" s="1" t="str">
        <f>TEXT(stand_validation_1cycle[[#This Row],[stand_age]], ".0")</f>
        <v>27.6</v>
      </c>
      <c r="L181" s="1" t="str">
        <f t="shared" si="2"/>
        <v>"27.6"</v>
      </c>
      <c r="M181">
        <v>100</v>
      </c>
      <c r="N181">
        <f>0.029*stand_validation_1cycle[[#This Row],[stand_level_biomass]]</f>
        <v>25.058330185185643</v>
      </c>
      <c r="O181">
        <f>0.213*stand_validation_1cycle[[#This Row],[stand_level_biomass]]</f>
        <v>184.04911480843245</v>
      </c>
      <c r="P181">
        <f>0.571*stand_validation_1cycle[[#This Row],[stand_level_biomass]]</f>
        <v>493.38988054279309</v>
      </c>
      <c r="Q181">
        <f>stand_validation_1cycle[[#This Row],[stock]]</f>
        <v>100</v>
      </c>
      <c r="R181">
        <v>0</v>
      </c>
      <c r="S181">
        <f>stand_validation_1cycle[[#This Row],[aws]]</f>
        <v>569.55694580078102</v>
      </c>
      <c r="T181">
        <f>stand_validation_1cycle[[#This Row],[percent_tree_cover]]*100</f>
        <v>7.7414542004143101</v>
      </c>
    </row>
    <row r="182" spans="1:20" x14ac:dyDescent="0.2">
      <c r="A182">
        <v>1</v>
      </c>
      <c r="B182" t="s">
        <v>200</v>
      </c>
      <c r="C182">
        <v>26.4671777777777</v>
      </c>
      <c r="D182">
        <v>803.53357687365701</v>
      </c>
      <c r="E182">
        <v>7.2959389601210001</v>
      </c>
      <c r="F182">
        <v>26.790110998819198</v>
      </c>
      <c r="G182">
        <v>100</v>
      </c>
      <c r="H182">
        <v>566.57781982421795</v>
      </c>
      <c r="I182">
        <v>7.2715298251237501E-2</v>
      </c>
      <c r="K182" s="1" t="str">
        <f>TEXT(stand_validation_1cycle[[#This Row],[stand_age]], ".0")</f>
        <v>26.5</v>
      </c>
      <c r="L182" s="1" t="str">
        <f t="shared" si="2"/>
        <v>"26.5"</v>
      </c>
      <c r="M182">
        <v>100</v>
      </c>
      <c r="N182">
        <f>0.029*stand_validation_1cycle[[#This Row],[stand_level_biomass]]</f>
        <v>23.302473729336054</v>
      </c>
      <c r="O182">
        <f>0.213*stand_validation_1cycle[[#This Row],[stand_level_biomass]]</f>
        <v>171.15265187408895</v>
      </c>
      <c r="P182">
        <f>0.571*stand_validation_1cycle[[#This Row],[stand_level_biomass]]</f>
        <v>458.81767239485811</v>
      </c>
      <c r="Q182">
        <f>stand_validation_1cycle[[#This Row],[stock]]</f>
        <v>100</v>
      </c>
      <c r="R182">
        <v>0</v>
      </c>
      <c r="S182">
        <f>stand_validation_1cycle[[#This Row],[aws]]</f>
        <v>566.57781982421795</v>
      </c>
      <c r="T182">
        <f>stand_validation_1cycle[[#This Row],[percent_tree_cover]]*100</f>
        <v>7.2715298251237499</v>
      </c>
    </row>
    <row r="183" spans="1:20" x14ac:dyDescent="0.2">
      <c r="A183">
        <v>1</v>
      </c>
      <c r="B183" t="s">
        <v>201</v>
      </c>
      <c r="C183">
        <v>27.546388888888899</v>
      </c>
      <c r="D183">
        <v>758.66555103923497</v>
      </c>
      <c r="E183">
        <v>6.8818872585539896</v>
      </c>
      <c r="F183">
        <v>25.603619665820698</v>
      </c>
      <c r="G183">
        <v>100</v>
      </c>
      <c r="H183">
        <v>572.561279296875</v>
      </c>
      <c r="I183">
        <v>6.8559762532277899E-2</v>
      </c>
      <c r="K183" s="1" t="str">
        <f>TEXT(stand_validation_1cycle[[#This Row],[stand_age]], ".0")</f>
        <v>27.5</v>
      </c>
      <c r="L183" s="1" t="str">
        <f t="shared" si="2"/>
        <v>"27.5"</v>
      </c>
      <c r="M183">
        <v>100</v>
      </c>
      <c r="N183">
        <f>0.029*stand_validation_1cycle[[#This Row],[stand_level_biomass]]</f>
        <v>22.001300980137817</v>
      </c>
      <c r="O183">
        <f>0.213*stand_validation_1cycle[[#This Row],[stand_level_biomass]]</f>
        <v>161.59576237135704</v>
      </c>
      <c r="P183">
        <f>0.571*stand_validation_1cycle[[#This Row],[stand_level_biomass]]</f>
        <v>433.19802964340312</v>
      </c>
      <c r="Q183">
        <f>stand_validation_1cycle[[#This Row],[stock]]</f>
        <v>100</v>
      </c>
      <c r="R183">
        <v>0</v>
      </c>
      <c r="S183">
        <f>stand_validation_1cycle[[#This Row],[aws]]</f>
        <v>572.561279296875</v>
      </c>
      <c r="T183">
        <f>stand_validation_1cycle[[#This Row],[percent_tree_cover]]*100</f>
        <v>6.8559762532277899</v>
      </c>
    </row>
    <row r="184" spans="1:20" x14ac:dyDescent="0.2">
      <c r="A184">
        <v>1</v>
      </c>
      <c r="B184" t="s">
        <v>202</v>
      </c>
      <c r="C184">
        <v>24.940077777777699</v>
      </c>
      <c r="D184">
        <v>724.94199236334305</v>
      </c>
      <c r="E184">
        <v>6.6725103183683503</v>
      </c>
      <c r="F184">
        <v>25.485869132062099</v>
      </c>
      <c r="G184">
        <v>100</v>
      </c>
      <c r="H184">
        <v>571.766357421875</v>
      </c>
      <c r="I184">
        <v>6.6517660025332701E-2</v>
      </c>
      <c r="K184" s="1" t="str">
        <f>TEXT(stand_validation_1cycle[[#This Row],[stand_age]], ".0")</f>
        <v>24.9</v>
      </c>
      <c r="L184" s="1" t="str">
        <f t="shared" si="2"/>
        <v>"24.9"</v>
      </c>
      <c r="M184">
        <v>100</v>
      </c>
      <c r="N184">
        <f>0.029*stand_validation_1cycle[[#This Row],[stand_level_biomass]]</f>
        <v>21.023317778536949</v>
      </c>
      <c r="O184">
        <f>0.213*stand_validation_1cycle[[#This Row],[stand_level_biomass]]</f>
        <v>154.41264437339206</v>
      </c>
      <c r="P184">
        <f>0.571*stand_validation_1cycle[[#This Row],[stand_level_biomass]]</f>
        <v>413.94187763946883</v>
      </c>
      <c r="Q184">
        <f>stand_validation_1cycle[[#This Row],[stock]]</f>
        <v>100</v>
      </c>
      <c r="R184">
        <v>0</v>
      </c>
      <c r="S184">
        <f>stand_validation_1cycle[[#This Row],[aws]]</f>
        <v>571.766357421875</v>
      </c>
      <c r="T184">
        <f>stand_validation_1cycle[[#This Row],[percent_tree_cover]]*100</f>
        <v>6.6517660025332699</v>
      </c>
    </row>
    <row r="185" spans="1:20" x14ac:dyDescent="0.2">
      <c r="A185">
        <v>1</v>
      </c>
      <c r="B185" t="s">
        <v>203</v>
      </c>
      <c r="C185">
        <v>25.471688888888899</v>
      </c>
      <c r="D185">
        <v>847.24021251489398</v>
      </c>
      <c r="E185">
        <v>3.7731375999629799</v>
      </c>
      <c r="F185">
        <v>26.9878934653185</v>
      </c>
      <c r="G185">
        <v>50</v>
      </c>
      <c r="H185">
        <v>571.766357421875</v>
      </c>
      <c r="I185">
        <v>8.1955162815530599E-2</v>
      </c>
      <c r="K185" s="1" t="str">
        <f>TEXT(stand_validation_1cycle[[#This Row],[stand_age]], ".0")</f>
        <v>25.5</v>
      </c>
      <c r="L185" s="1" t="str">
        <f t="shared" si="2"/>
        <v>"25.5"</v>
      </c>
      <c r="M185">
        <v>100</v>
      </c>
      <c r="N185">
        <f>0.029*stand_validation_1cycle[[#This Row],[stand_level_biomass]]</f>
        <v>24.569966162931927</v>
      </c>
      <c r="O185">
        <f>0.213*stand_validation_1cycle[[#This Row],[stand_level_biomass]]</f>
        <v>180.46216526567241</v>
      </c>
      <c r="P185">
        <f>0.571*stand_validation_1cycle[[#This Row],[stand_level_biomass]]</f>
        <v>483.77416134600441</v>
      </c>
      <c r="Q185">
        <f>stand_validation_1cycle[[#This Row],[stock]]</f>
        <v>50</v>
      </c>
      <c r="R185">
        <v>0</v>
      </c>
      <c r="S185">
        <f>stand_validation_1cycle[[#This Row],[aws]]</f>
        <v>571.766357421875</v>
      </c>
      <c r="T185">
        <f>stand_validation_1cycle[[#This Row],[percent_tree_cover]]*100</f>
        <v>8.1955162815530596</v>
      </c>
    </row>
    <row r="186" spans="1:20" x14ac:dyDescent="0.2">
      <c r="A186">
        <v>1</v>
      </c>
      <c r="B186" t="s">
        <v>204</v>
      </c>
      <c r="C186">
        <v>27.2421851851851</v>
      </c>
      <c r="D186">
        <v>724.38819519323295</v>
      </c>
      <c r="E186">
        <v>6.1255888825085796</v>
      </c>
      <c r="F186">
        <v>26.126788188606302</v>
      </c>
      <c r="G186">
        <v>90</v>
      </c>
      <c r="H186">
        <v>566.86529541015602</v>
      </c>
      <c r="I186">
        <v>6.7433818044954297E-2</v>
      </c>
      <c r="K186" s="1" t="str">
        <f>TEXT(stand_validation_1cycle[[#This Row],[stand_age]], ".0")</f>
        <v>27.2</v>
      </c>
      <c r="L186" s="1" t="str">
        <f t="shared" si="2"/>
        <v>"27.2"</v>
      </c>
      <c r="M186">
        <v>100</v>
      </c>
      <c r="N186">
        <f>0.029*stand_validation_1cycle[[#This Row],[stand_level_biomass]]</f>
        <v>21.007257660603756</v>
      </c>
      <c r="O186">
        <f>0.213*stand_validation_1cycle[[#This Row],[stand_level_biomass]]</f>
        <v>154.29468557615863</v>
      </c>
      <c r="P186">
        <f>0.571*stand_validation_1cycle[[#This Row],[stand_level_biomass]]</f>
        <v>413.62565945533595</v>
      </c>
      <c r="Q186">
        <f>stand_validation_1cycle[[#This Row],[stock]]</f>
        <v>90</v>
      </c>
      <c r="R186">
        <v>0</v>
      </c>
      <c r="S186">
        <f>stand_validation_1cycle[[#This Row],[aws]]</f>
        <v>566.86529541015602</v>
      </c>
      <c r="T186">
        <f>stand_validation_1cycle[[#This Row],[percent_tree_cover]]*100</f>
        <v>6.7433818044954297</v>
      </c>
    </row>
    <row r="187" spans="1:20" x14ac:dyDescent="0.2">
      <c r="A187">
        <v>1</v>
      </c>
      <c r="B187" t="s">
        <v>205</v>
      </c>
      <c r="C187">
        <v>25.7951444444444</v>
      </c>
      <c r="D187">
        <v>821.11500495983398</v>
      </c>
      <c r="E187">
        <v>7.2808836627268301</v>
      </c>
      <c r="F187">
        <v>25.853678416812802</v>
      </c>
      <c r="G187">
        <v>100</v>
      </c>
      <c r="H187">
        <v>568.070556640625</v>
      </c>
      <c r="I187">
        <v>7.2790515893385602E-2</v>
      </c>
      <c r="K187" s="1" t="str">
        <f>TEXT(stand_validation_1cycle[[#This Row],[stand_age]], ".0")</f>
        <v>25.8</v>
      </c>
      <c r="L187" s="1" t="str">
        <f t="shared" si="2"/>
        <v>"25.8"</v>
      </c>
      <c r="M187">
        <v>100</v>
      </c>
      <c r="N187">
        <f>0.029*stand_validation_1cycle[[#This Row],[stand_level_biomass]]</f>
        <v>23.812335143835188</v>
      </c>
      <c r="O187">
        <f>0.213*stand_validation_1cycle[[#This Row],[stand_level_biomass]]</f>
        <v>174.89749605644462</v>
      </c>
      <c r="P187">
        <f>0.571*stand_validation_1cycle[[#This Row],[stand_level_biomass]]</f>
        <v>468.85666783206517</v>
      </c>
      <c r="Q187">
        <f>stand_validation_1cycle[[#This Row],[stock]]</f>
        <v>100</v>
      </c>
      <c r="R187">
        <v>0</v>
      </c>
      <c r="S187">
        <f>stand_validation_1cycle[[#This Row],[aws]]</f>
        <v>568.070556640625</v>
      </c>
      <c r="T187">
        <f>stand_validation_1cycle[[#This Row],[percent_tree_cover]]*100</f>
        <v>7.2790515893385601</v>
      </c>
    </row>
    <row r="188" spans="1:20" x14ac:dyDescent="0.2">
      <c r="A188">
        <v>1</v>
      </c>
      <c r="B188" t="s">
        <v>206</v>
      </c>
      <c r="C188">
        <v>25.544811111111098</v>
      </c>
      <c r="D188">
        <v>758.02495439786696</v>
      </c>
      <c r="E188">
        <v>6.9273303962881601</v>
      </c>
      <c r="F188">
        <v>26.104407254618501</v>
      </c>
      <c r="G188">
        <v>100</v>
      </c>
      <c r="H188">
        <v>610.97515869140602</v>
      </c>
      <c r="I188">
        <v>6.9046844818823602E-2</v>
      </c>
      <c r="K188" s="1" t="str">
        <f>TEXT(stand_validation_1cycle[[#This Row],[stand_age]], ".0")</f>
        <v>25.5</v>
      </c>
      <c r="L188" s="1" t="str">
        <f t="shared" si="2"/>
        <v>"25.5"</v>
      </c>
      <c r="M188">
        <v>100</v>
      </c>
      <c r="N188">
        <f>0.029*stand_validation_1cycle[[#This Row],[stand_level_biomass]]</f>
        <v>21.982723677538143</v>
      </c>
      <c r="O188">
        <f>0.213*stand_validation_1cycle[[#This Row],[stand_level_biomass]]</f>
        <v>161.45931528674566</v>
      </c>
      <c r="P188">
        <f>0.571*stand_validation_1cycle[[#This Row],[stand_level_biomass]]</f>
        <v>432.83224896118202</v>
      </c>
      <c r="Q188">
        <f>stand_validation_1cycle[[#This Row],[stock]]</f>
        <v>100</v>
      </c>
      <c r="R188">
        <v>0</v>
      </c>
      <c r="S188">
        <f>stand_validation_1cycle[[#This Row],[aws]]</f>
        <v>610.97515869140602</v>
      </c>
      <c r="T188">
        <f>stand_validation_1cycle[[#This Row],[percent_tree_cover]]*100</f>
        <v>6.9046844818823603</v>
      </c>
    </row>
    <row r="189" spans="1:20" x14ac:dyDescent="0.2">
      <c r="A189">
        <v>1</v>
      </c>
      <c r="B189" t="s">
        <v>207</v>
      </c>
      <c r="C189">
        <v>25.6105666666666</v>
      </c>
      <c r="D189">
        <v>660.236976649138</v>
      </c>
      <c r="E189">
        <v>6.09996448202957</v>
      </c>
      <c r="F189">
        <v>23.8834229506528</v>
      </c>
      <c r="G189">
        <v>100</v>
      </c>
      <c r="H189">
        <v>524.61187744140602</v>
      </c>
      <c r="I189">
        <v>6.0786907675505902E-2</v>
      </c>
      <c r="K189" s="1" t="str">
        <f>TEXT(stand_validation_1cycle[[#This Row],[stand_age]], ".0")</f>
        <v>25.6</v>
      </c>
      <c r="L189" s="1" t="str">
        <f t="shared" si="2"/>
        <v>"25.6"</v>
      </c>
      <c r="M189">
        <v>100</v>
      </c>
      <c r="N189">
        <f>0.029*stand_validation_1cycle[[#This Row],[stand_level_biomass]]</f>
        <v>19.146872322825004</v>
      </c>
      <c r="O189">
        <f>0.213*stand_validation_1cycle[[#This Row],[stand_level_biomass]]</f>
        <v>140.63047602626639</v>
      </c>
      <c r="P189">
        <f>0.571*stand_validation_1cycle[[#This Row],[stand_level_biomass]]</f>
        <v>376.99531366665775</v>
      </c>
      <c r="Q189">
        <f>stand_validation_1cycle[[#This Row],[stock]]</f>
        <v>100</v>
      </c>
      <c r="R189">
        <v>0</v>
      </c>
      <c r="S189">
        <f>stand_validation_1cycle[[#This Row],[aws]]</f>
        <v>524.61187744140602</v>
      </c>
      <c r="T189">
        <f>stand_validation_1cycle[[#This Row],[percent_tree_cover]]*100</f>
        <v>6.0786907675505901</v>
      </c>
    </row>
    <row r="190" spans="1:20" x14ac:dyDescent="0.2">
      <c r="A190">
        <v>1</v>
      </c>
      <c r="B190" t="s">
        <v>208</v>
      </c>
      <c r="C190">
        <v>29.4422888888888</v>
      </c>
      <c r="D190">
        <v>1118.31095250983</v>
      </c>
      <c r="E190">
        <v>9.4787858654754</v>
      </c>
      <c r="F190">
        <v>29.547933121538499</v>
      </c>
      <c r="G190">
        <v>100</v>
      </c>
      <c r="H190">
        <v>525.27777099609295</v>
      </c>
      <c r="I190">
        <v>9.4424015122666405E-2</v>
      </c>
      <c r="K190" s="1" t="str">
        <f>TEXT(stand_validation_1cycle[[#This Row],[stand_age]], ".0")</f>
        <v>29.4</v>
      </c>
      <c r="L190" s="1" t="str">
        <f t="shared" si="2"/>
        <v>"29.4"</v>
      </c>
      <c r="M190">
        <v>100</v>
      </c>
      <c r="N190">
        <f>0.029*stand_validation_1cycle[[#This Row],[stand_level_biomass]]</f>
        <v>32.43101762278507</v>
      </c>
      <c r="O190">
        <f>0.213*stand_validation_1cycle[[#This Row],[stand_level_biomass]]</f>
        <v>238.20023288459379</v>
      </c>
      <c r="P190">
        <f>0.571*stand_validation_1cycle[[#This Row],[stand_level_biomass]]</f>
        <v>638.55555388311291</v>
      </c>
      <c r="Q190">
        <f>stand_validation_1cycle[[#This Row],[stock]]</f>
        <v>100</v>
      </c>
      <c r="R190">
        <v>0</v>
      </c>
      <c r="S190">
        <f>stand_validation_1cycle[[#This Row],[aws]]</f>
        <v>525.27777099609295</v>
      </c>
      <c r="T190">
        <f>stand_validation_1cycle[[#This Row],[percent_tree_cover]]*100</f>
        <v>9.44240151226664</v>
      </c>
    </row>
    <row r="191" spans="1:20" x14ac:dyDescent="0.2">
      <c r="A191">
        <v>1</v>
      </c>
      <c r="B191" t="s">
        <v>209</v>
      </c>
      <c r="C191">
        <v>29.096066666666601</v>
      </c>
      <c r="D191">
        <v>913.68325789119694</v>
      </c>
      <c r="E191">
        <v>8.0537437298438004</v>
      </c>
      <c r="F191">
        <v>27.691917636285702</v>
      </c>
      <c r="G191">
        <v>100</v>
      </c>
      <c r="H191">
        <v>524.65838623046795</v>
      </c>
      <c r="I191">
        <v>8.0233988244166402E-2</v>
      </c>
      <c r="K191" s="1" t="str">
        <f>TEXT(stand_validation_1cycle[[#This Row],[stand_age]], ".0")</f>
        <v>29.1</v>
      </c>
      <c r="L191" s="1" t="str">
        <f t="shared" si="2"/>
        <v>"29.1"</v>
      </c>
      <c r="M191">
        <v>100</v>
      </c>
      <c r="N191">
        <f>0.029*stand_validation_1cycle[[#This Row],[stand_level_biomass]]</f>
        <v>26.496814478844712</v>
      </c>
      <c r="O191">
        <f>0.213*stand_validation_1cycle[[#This Row],[stand_level_biomass]]</f>
        <v>194.61453393082493</v>
      </c>
      <c r="P191">
        <f>0.571*stand_validation_1cycle[[#This Row],[stand_level_biomass]]</f>
        <v>521.71314025587344</v>
      </c>
      <c r="Q191">
        <f>stand_validation_1cycle[[#This Row],[stock]]</f>
        <v>100</v>
      </c>
      <c r="R191">
        <v>0</v>
      </c>
      <c r="S191">
        <f>stand_validation_1cycle[[#This Row],[aws]]</f>
        <v>524.65838623046795</v>
      </c>
      <c r="T191">
        <f>stand_validation_1cycle[[#This Row],[percent_tree_cover]]*100</f>
        <v>8.0233988244166401</v>
      </c>
    </row>
    <row r="192" spans="1:20" x14ac:dyDescent="0.2">
      <c r="A192">
        <v>1</v>
      </c>
      <c r="B192" t="s">
        <v>210</v>
      </c>
      <c r="C192">
        <v>27.192738496071801</v>
      </c>
      <c r="D192">
        <v>905.13549667252096</v>
      </c>
      <c r="E192">
        <v>7.9189434868654098</v>
      </c>
      <c r="F192">
        <v>27.289238517385201</v>
      </c>
      <c r="G192">
        <v>99</v>
      </c>
      <c r="H192">
        <v>524.45562744140602</v>
      </c>
      <c r="I192">
        <v>7.8429216267826798E-2</v>
      </c>
      <c r="K192" s="1" t="str">
        <f>TEXT(stand_validation_1cycle[[#This Row],[stand_age]], ".0")</f>
        <v>27.2</v>
      </c>
      <c r="L192" s="1" t="str">
        <f t="shared" si="2"/>
        <v>"27.2"</v>
      </c>
      <c r="M192">
        <v>100</v>
      </c>
      <c r="N192">
        <f>0.029*stand_validation_1cycle[[#This Row],[stand_level_biomass]]</f>
        <v>26.248929403503109</v>
      </c>
      <c r="O192">
        <f>0.213*stand_validation_1cycle[[#This Row],[stand_level_biomass]]</f>
        <v>192.79386079124697</v>
      </c>
      <c r="P192">
        <f>0.571*stand_validation_1cycle[[#This Row],[stand_level_biomass]]</f>
        <v>516.83236860000943</v>
      </c>
      <c r="Q192">
        <f>stand_validation_1cycle[[#This Row],[stock]]</f>
        <v>99</v>
      </c>
      <c r="R192">
        <v>0</v>
      </c>
      <c r="S192">
        <f>stand_validation_1cycle[[#This Row],[aws]]</f>
        <v>524.45562744140602</v>
      </c>
      <c r="T192">
        <f>stand_validation_1cycle[[#This Row],[percent_tree_cover]]*100</f>
        <v>7.8429216267826796</v>
      </c>
    </row>
    <row r="193" spans="1:20" x14ac:dyDescent="0.2">
      <c r="A193">
        <v>1</v>
      </c>
      <c r="B193" t="s">
        <v>211</v>
      </c>
      <c r="C193">
        <v>28.183011111111099</v>
      </c>
      <c r="D193">
        <v>792.33401687923094</v>
      </c>
      <c r="E193">
        <v>7.23975079011338</v>
      </c>
      <c r="F193">
        <v>26.7072241990635</v>
      </c>
      <c r="G193">
        <v>100</v>
      </c>
      <c r="H193">
        <v>570</v>
      </c>
      <c r="I193">
        <v>7.2137404016369505E-2</v>
      </c>
      <c r="K193" s="1" t="str">
        <f>TEXT(stand_validation_1cycle[[#This Row],[stand_age]], ".0")</f>
        <v>28.2</v>
      </c>
      <c r="L193" s="1" t="str">
        <f t="shared" si="2"/>
        <v>"28.2"</v>
      </c>
      <c r="M193">
        <v>100</v>
      </c>
      <c r="N193">
        <f>0.029*stand_validation_1cycle[[#This Row],[stand_level_biomass]]</f>
        <v>22.9776864894977</v>
      </c>
      <c r="O193">
        <f>0.213*stand_validation_1cycle[[#This Row],[stand_level_biomass]]</f>
        <v>168.76714559527619</v>
      </c>
      <c r="P193">
        <f>0.571*stand_validation_1cycle[[#This Row],[stand_level_biomass]]</f>
        <v>452.42272363804085</v>
      </c>
      <c r="Q193">
        <f>stand_validation_1cycle[[#This Row],[stock]]</f>
        <v>100</v>
      </c>
      <c r="R193">
        <v>0</v>
      </c>
      <c r="S193">
        <f>stand_validation_1cycle[[#This Row],[aws]]</f>
        <v>570</v>
      </c>
      <c r="T193">
        <f>stand_validation_1cycle[[#This Row],[percent_tree_cover]]*100</f>
        <v>7.2137404016369508</v>
      </c>
    </row>
    <row r="194" spans="1:20" x14ac:dyDescent="0.2">
      <c r="A194">
        <v>1</v>
      </c>
      <c r="B194" t="s">
        <v>212</v>
      </c>
      <c r="C194">
        <v>29.449188888888798</v>
      </c>
      <c r="D194">
        <v>1032.3563266618601</v>
      </c>
      <c r="E194">
        <v>8.9531063083428695</v>
      </c>
      <c r="F194">
        <v>29.3394659321707</v>
      </c>
      <c r="G194">
        <v>100</v>
      </c>
      <c r="H194">
        <v>623.14935302734295</v>
      </c>
      <c r="I194">
        <v>8.9197303630313501E-2</v>
      </c>
      <c r="K194" s="1" t="str">
        <f>TEXT(stand_validation_1cycle[[#This Row],[stand_age]], ".0")</f>
        <v>29.4</v>
      </c>
      <c r="L194" s="1" t="str">
        <f t="shared" si="2"/>
        <v>"29.4"</v>
      </c>
      <c r="M194">
        <v>100</v>
      </c>
      <c r="N194">
        <f>0.029*stand_validation_1cycle[[#This Row],[stand_level_biomass]]</f>
        <v>29.938333473193943</v>
      </c>
      <c r="O194">
        <f>0.213*stand_validation_1cycle[[#This Row],[stand_level_biomass]]</f>
        <v>219.8918975789762</v>
      </c>
      <c r="P194">
        <f>0.571*stand_validation_1cycle[[#This Row],[stand_level_biomass]]</f>
        <v>589.47546252392203</v>
      </c>
      <c r="Q194">
        <f>stand_validation_1cycle[[#This Row],[stock]]</f>
        <v>100</v>
      </c>
      <c r="R194">
        <v>0</v>
      </c>
      <c r="S194">
        <f>stand_validation_1cycle[[#This Row],[aws]]</f>
        <v>623.14935302734295</v>
      </c>
      <c r="T194">
        <f>stand_validation_1cycle[[#This Row],[percent_tree_cover]]*100</f>
        <v>8.9197303630313503</v>
      </c>
    </row>
    <row r="195" spans="1:20" x14ac:dyDescent="0.2">
      <c r="A195">
        <v>1</v>
      </c>
      <c r="B195" t="s">
        <v>213</v>
      </c>
      <c r="C195">
        <v>26.376060606060602</v>
      </c>
      <c r="D195">
        <v>916.71701028527002</v>
      </c>
      <c r="E195">
        <v>7.8618481819790604</v>
      </c>
      <c r="F195">
        <v>26.689572928168801</v>
      </c>
      <c r="G195">
        <v>99</v>
      </c>
      <c r="H195">
        <v>524.48822021484295</v>
      </c>
      <c r="I195">
        <v>7.8224689433982295E-2</v>
      </c>
      <c r="K195" s="1" t="str">
        <f>TEXT(stand_validation_1cycle[[#This Row],[stand_age]], ".0")</f>
        <v>26.4</v>
      </c>
      <c r="L195" s="1" t="str">
        <f t="shared" ref="L195:L258" si="3">""""&amp;K195&amp;""""</f>
        <v>"26.4"</v>
      </c>
      <c r="M195">
        <v>100</v>
      </c>
      <c r="N195">
        <f>0.029*stand_validation_1cycle[[#This Row],[stand_level_biomass]]</f>
        <v>26.584793298272832</v>
      </c>
      <c r="O195">
        <f>0.213*stand_validation_1cycle[[#This Row],[stand_level_biomass]]</f>
        <v>195.26072319076252</v>
      </c>
      <c r="P195">
        <f>0.571*stand_validation_1cycle[[#This Row],[stand_level_biomass]]</f>
        <v>523.44541287288916</v>
      </c>
      <c r="Q195">
        <f>stand_validation_1cycle[[#This Row],[stock]]</f>
        <v>99</v>
      </c>
      <c r="R195">
        <v>0</v>
      </c>
      <c r="S195">
        <f>stand_validation_1cycle[[#This Row],[aws]]</f>
        <v>524.48822021484295</v>
      </c>
      <c r="T195">
        <f>stand_validation_1cycle[[#This Row],[percent_tree_cover]]*100</f>
        <v>7.8224689433982295</v>
      </c>
    </row>
    <row r="196" spans="1:20" x14ac:dyDescent="0.2">
      <c r="A196">
        <v>1</v>
      </c>
      <c r="B196" t="s">
        <v>214</v>
      </c>
      <c r="C196">
        <v>29.066399999999899</v>
      </c>
      <c r="D196">
        <v>1071.9106578705</v>
      </c>
      <c r="E196">
        <v>9.23172159441914</v>
      </c>
      <c r="F196">
        <v>29.430933532143499</v>
      </c>
      <c r="G196">
        <v>100</v>
      </c>
      <c r="H196">
        <v>524.13806152343705</v>
      </c>
      <c r="I196">
        <v>9.1965375714244096E-2</v>
      </c>
      <c r="K196" s="1" t="str">
        <f>TEXT(stand_validation_1cycle[[#This Row],[stand_age]], ".0")</f>
        <v>29.1</v>
      </c>
      <c r="L196" s="1" t="str">
        <f t="shared" si="3"/>
        <v>"29.1"</v>
      </c>
      <c r="M196">
        <v>100</v>
      </c>
      <c r="N196">
        <f>0.029*stand_validation_1cycle[[#This Row],[stand_level_biomass]]</f>
        <v>31.085409078244503</v>
      </c>
      <c r="O196">
        <f>0.213*stand_validation_1cycle[[#This Row],[stand_level_biomass]]</f>
        <v>228.31697012641649</v>
      </c>
      <c r="P196">
        <f>0.571*stand_validation_1cycle[[#This Row],[stand_level_biomass]]</f>
        <v>612.06098564405545</v>
      </c>
      <c r="Q196">
        <f>stand_validation_1cycle[[#This Row],[stock]]</f>
        <v>100</v>
      </c>
      <c r="R196">
        <v>0</v>
      </c>
      <c r="S196">
        <f>stand_validation_1cycle[[#This Row],[aws]]</f>
        <v>524.13806152343705</v>
      </c>
      <c r="T196">
        <f>stand_validation_1cycle[[#This Row],[percent_tree_cover]]*100</f>
        <v>9.1965375714244093</v>
      </c>
    </row>
    <row r="197" spans="1:20" x14ac:dyDescent="0.2">
      <c r="A197">
        <v>1</v>
      </c>
      <c r="B197" t="s">
        <v>215</v>
      </c>
      <c r="C197">
        <v>27.737666666666598</v>
      </c>
      <c r="D197">
        <v>879.09470323372796</v>
      </c>
      <c r="E197">
        <v>7.7833138634264598</v>
      </c>
      <c r="F197">
        <v>27.161789332319898</v>
      </c>
      <c r="G197">
        <v>100</v>
      </c>
      <c r="H197">
        <v>569.465087890625</v>
      </c>
      <c r="I197">
        <v>7.7555432138027999E-2</v>
      </c>
      <c r="K197" s="1" t="str">
        <f>TEXT(stand_validation_1cycle[[#This Row],[stand_age]], ".0")</f>
        <v>27.7</v>
      </c>
      <c r="L197" s="1" t="str">
        <f t="shared" si="3"/>
        <v>"27.7"</v>
      </c>
      <c r="M197">
        <v>100</v>
      </c>
      <c r="N197">
        <f>0.029*stand_validation_1cycle[[#This Row],[stand_level_biomass]]</f>
        <v>25.49374639377811</v>
      </c>
      <c r="O197">
        <f>0.213*stand_validation_1cycle[[#This Row],[stand_level_biomass]]</f>
        <v>187.24717178878404</v>
      </c>
      <c r="P197">
        <f>0.571*stand_validation_1cycle[[#This Row],[stand_level_biomass]]</f>
        <v>501.96307554645864</v>
      </c>
      <c r="Q197">
        <f>stand_validation_1cycle[[#This Row],[stock]]</f>
        <v>100</v>
      </c>
      <c r="R197">
        <v>0</v>
      </c>
      <c r="S197">
        <f>stand_validation_1cycle[[#This Row],[aws]]</f>
        <v>569.465087890625</v>
      </c>
      <c r="T197">
        <f>stand_validation_1cycle[[#This Row],[percent_tree_cover]]*100</f>
        <v>7.7555432138027998</v>
      </c>
    </row>
    <row r="198" spans="1:20" x14ac:dyDescent="0.2">
      <c r="A198">
        <v>1</v>
      </c>
      <c r="B198" t="s">
        <v>216</v>
      </c>
      <c r="C198">
        <v>25.609122222222201</v>
      </c>
      <c r="D198">
        <v>819.36752221297195</v>
      </c>
      <c r="E198">
        <v>7.2702478007981002</v>
      </c>
      <c r="F198">
        <v>25.7263258655085</v>
      </c>
      <c r="G198">
        <v>100</v>
      </c>
      <c r="H198">
        <v>525.68347167968705</v>
      </c>
      <c r="I198">
        <v>7.2444827709549506E-2</v>
      </c>
      <c r="K198" s="1" t="str">
        <f>TEXT(stand_validation_1cycle[[#This Row],[stand_age]], ".0")</f>
        <v>25.6</v>
      </c>
      <c r="L198" s="1" t="str">
        <f t="shared" si="3"/>
        <v>"25.6"</v>
      </c>
      <c r="M198">
        <v>100</v>
      </c>
      <c r="N198">
        <f>0.029*stand_validation_1cycle[[#This Row],[stand_level_biomass]]</f>
        <v>23.761658144176188</v>
      </c>
      <c r="O198">
        <f>0.213*stand_validation_1cycle[[#This Row],[stand_level_biomass]]</f>
        <v>174.52528223136301</v>
      </c>
      <c r="P198">
        <f>0.571*stand_validation_1cycle[[#This Row],[stand_level_biomass]]</f>
        <v>467.85885518360692</v>
      </c>
      <c r="Q198">
        <f>stand_validation_1cycle[[#This Row],[stock]]</f>
        <v>100</v>
      </c>
      <c r="R198">
        <v>0</v>
      </c>
      <c r="S198">
        <f>stand_validation_1cycle[[#This Row],[aws]]</f>
        <v>525.68347167968705</v>
      </c>
      <c r="T198">
        <f>stand_validation_1cycle[[#This Row],[percent_tree_cover]]*100</f>
        <v>7.2444827709549502</v>
      </c>
    </row>
    <row r="199" spans="1:20" x14ac:dyDescent="0.2">
      <c r="A199">
        <v>1</v>
      </c>
      <c r="B199" t="s">
        <v>217</v>
      </c>
      <c r="C199">
        <v>27.3985185185185</v>
      </c>
      <c r="D199">
        <v>800.61842426908697</v>
      </c>
      <c r="E199">
        <v>7.2091155493518997</v>
      </c>
      <c r="F199">
        <v>26.228471514191899</v>
      </c>
      <c r="G199">
        <v>99</v>
      </c>
      <c r="H199">
        <v>525.08581542968705</v>
      </c>
      <c r="I199">
        <v>7.1526289576447605E-2</v>
      </c>
      <c r="K199" s="1" t="str">
        <f>TEXT(stand_validation_1cycle[[#This Row],[stand_age]], ".0")</f>
        <v>27.4</v>
      </c>
      <c r="L199" s="1" t="str">
        <f t="shared" si="3"/>
        <v>"27.4"</v>
      </c>
      <c r="M199">
        <v>100</v>
      </c>
      <c r="N199">
        <f>0.029*stand_validation_1cycle[[#This Row],[stand_level_biomass]]</f>
        <v>23.217934303803524</v>
      </c>
      <c r="O199">
        <f>0.213*stand_validation_1cycle[[#This Row],[stand_level_biomass]]</f>
        <v>170.53172436931553</v>
      </c>
      <c r="P199">
        <f>0.571*stand_validation_1cycle[[#This Row],[stand_level_biomass]]</f>
        <v>457.1531202576486</v>
      </c>
      <c r="Q199">
        <f>stand_validation_1cycle[[#This Row],[stock]]</f>
        <v>99</v>
      </c>
      <c r="R199">
        <v>0</v>
      </c>
      <c r="S199">
        <f>stand_validation_1cycle[[#This Row],[aws]]</f>
        <v>525.08581542968705</v>
      </c>
      <c r="T199">
        <f>stand_validation_1cycle[[#This Row],[percent_tree_cover]]*100</f>
        <v>7.1526289576447608</v>
      </c>
    </row>
    <row r="200" spans="1:20" x14ac:dyDescent="0.2">
      <c r="A200">
        <v>1</v>
      </c>
      <c r="B200" t="s">
        <v>218</v>
      </c>
      <c r="C200">
        <v>26.125988888888799</v>
      </c>
      <c r="D200">
        <v>742.63630878549702</v>
      </c>
      <c r="E200">
        <v>6.7466848917159297</v>
      </c>
      <c r="F200">
        <v>25.235968740821399</v>
      </c>
      <c r="G200">
        <v>100</v>
      </c>
      <c r="H200">
        <v>526.57269287109295</v>
      </c>
      <c r="I200">
        <v>6.7226542877019194E-2</v>
      </c>
      <c r="K200" s="1" t="str">
        <f>TEXT(stand_validation_1cycle[[#This Row],[stand_age]], ".0")</f>
        <v>26.1</v>
      </c>
      <c r="L200" s="1" t="str">
        <f t="shared" si="3"/>
        <v>"26.1"</v>
      </c>
      <c r="M200">
        <v>100</v>
      </c>
      <c r="N200">
        <f>0.029*stand_validation_1cycle[[#This Row],[stand_level_biomass]]</f>
        <v>21.536452954779413</v>
      </c>
      <c r="O200">
        <f>0.213*stand_validation_1cycle[[#This Row],[stand_level_biomass]]</f>
        <v>158.18153377131085</v>
      </c>
      <c r="P200">
        <f>0.571*stand_validation_1cycle[[#This Row],[stand_level_biomass]]</f>
        <v>424.04533231651874</v>
      </c>
      <c r="Q200">
        <f>stand_validation_1cycle[[#This Row],[stock]]</f>
        <v>100</v>
      </c>
      <c r="R200">
        <v>0</v>
      </c>
      <c r="S200">
        <f>stand_validation_1cycle[[#This Row],[aws]]</f>
        <v>526.57269287109295</v>
      </c>
      <c r="T200">
        <f>stand_validation_1cycle[[#This Row],[percent_tree_cover]]*100</f>
        <v>6.7226542877019195</v>
      </c>
    </row>
    <row r="201" spans="1:20" x14ac:dyDescent="0.2">
      <c r="A201">
        <v>1</v>
      </c>
      <c r="B201" t="s">
        <v>219</v>
      </c>
      <c r="C201">
        <v>28.506344444444402</v>
      </c>
      <c r="D201">
        <v>880.42314340993801</v>
      </c>
      <c r="E201">
        <v>7.8656872082017504</v>
      </c>
      <c r="F201">
        <v>27.755857712277098</v>
      </c>
      <c r="G201">
        <v>100</v>
      </c>
      <c r="H201">
        <v>524.11468505859295</v>
      </c>
      <c r="I201">
        <v>7.8372337742901602E-2</v>
      </c>
      <c r="K201" s="1" t="str">
        <f>TEXT(stand_validation_1cycle[[#This Row],[stand_age]], ".0")</f>
        <v>28.5</v>
      </c>
      <c r="L201" s="1" t="str">
        <f t="shared" si="3"/>
        <v>"28.5"</v>
      </c>
      <c r="M201">
        <v>100</v>
      </c>
      <c r="N201">
        <f>0.029*stand_validation_1cycle[[#This Row],[stand_level_biomass]]</f>
        <v>25.532271158888204</v>
      </c>
      <c r="O201">
        <f>0.213*stand_validation_1cycle[[#This Row],[stand_level_biomass]]</f>
        <v>187.5301295463168</v>
      </c>
      <c r="P201">
        <f>0.571*stand_validation_1cycle[[#This Row],[stand_level_biomass]]</f>
        <v>502.72161488707457</v>
      </c>
      <c r="Q201">
        <f>stand_validation_1cycle[[#This Row],[stock]]</f>
        <v>100</v>
      </c>
      <c r="R201">
        <v>0</v>
      </c>
      <c r="S201">
        <f>stand_validation_1cycle[[#This Row],[aws]]</f>
        <v>524.11468505859295</v>
      </c>
      <c r="T201">
        <f>stand_validation_1cycle[[#This Row],[percent_tree_cover]]*100</f>
        <v>7.8372337742901603</v>
      </c>
    </row>
    <row r="202" spans="1:20" x14ac:dyDescent="0.2">
      <c r="A202">
        <v>1</v>
      </c>
      <c r="B202" t="s">
        <v>220</v>
      </c>
      <c r="C202">
        <v>27.470354609929</v>
      </c>
      <c r="D202">
        <v>835.38772589836901</v>
      </c>
      <c r="E202">
        <v>7.0592018895152497</v>
      </c>
      <c r="F202">
        <v>26.849324070898099</v>
      </c>
      <c r="G202">
        <v>94</v>
      </c>
      <c r="H202">
        <v>524.11468505859295</v>
      </c>
      <c r="I202">
        <v>7.4649767720389795E-2</v>
      </c>
      <c r="K202" s="1" t="str">
        <f>TEXT(stand_validation_1cycle[[#This Row],[stand_age]], ".0")</f>
        <v>27.5</v>
      </c>
      <c r="L202" s="1" t="str">
        <f t="shared" si="3"/>
        <v>"27.5"</v>
      </c>
      <c r="M202">
        <v>100</v>
      </c>
      <c r="N202">
        <f>0.029*stand_validation_1cycle[[#This Row],[stand_level_biomass]]</f>
        <v>24.226244051052703</v>
      </c>
      <c r="O202">
        <f>0.213*stand_validation_1cycle[[#This Row],[stand_level_biomass]]</f>
        <v>177.93758561635261</v>
      </c>
      <c r="P202">
        <f>0.571*stand_validation_1cycle[[#This Row],[stand_level_biomass]]</f>
        <v>477.00639148796864</v>
      </c>
      <c r="Q202">
        <f>stand_validation_1cycle[[#This Row],[stock]]</f>
        <v>94</v>
      </c>
      <c r="R202">
        <v>0</v>
      </c>
      <c r="S202">
        <f>stand_validation_1cycle[[#This Row],[aws]]</f>
        <v>524.11468505859295</v>
      </c>
      <c r="T202">
        <f>stand_validation_1cycle[[#This Row],[percent_tree_cover]]*100</f>
        <v>7.4649767720389795</v>
      </c>
    </row>
    <row r="203" spans="1:20" x14ac:dyDescent="0.2">
      <c r="A203">
        <v>1</v>
      </c>
      <c r="B203" t="s">
        <v>221</v>
      </c>
      <c r="C203">
        <v>26.9234871794871</v>
      </c>
      <c r="D203">
        <v>859.04597230576098</v>
      </c>
      <c r="E203">
        <v>4.9596189704534197</v>
      </c>
      <c r="F203">
        <v>26.9025801881516</v>
      </c>
      <c r="G203">
        <v>65</v>
      </c>
      <c r="H203">
        <v>618</v>
      </c>
      <c r="I203">
        <v>7.6158506707576498E-2</v>
      </c>
      <c r="K203" s="1" t="str">
        <f>TEXT(stand_validation_1cycle[[#This Row],[stand_age]], ".0")</f>
        <v>26.9</v>
      </c>
      <c r="L203" s="1" t="str">
        <f t="shared" si="3"/>
        <v>"26.9"</v>
      </c>
      <c r="M203">
        <v>100</v>
      </c>
      <c r="N203">
        <f>0.029*stand_validation_1cycle[[#This Row],[stand_level_biomass]]</f>
        <v>24.91233319686707</v>
      </c>
      <c r="O203">
        <f>0.213*stand_validation_1cycle[[#This Row],[stand_level_biomass]]</f>
        <v>182.97679210112707</v>
      </c>
      <c r="P203">
        <f>0.571*stand_validation_1cycle[[#This Row],[stand_level_biomass]]</f>
        <v>490.51525018658947</v>
      </c>
      <c r="Q203">
        <f>stand_validation_1cycle[[#This Row],[stock]]</f>
        <v>65</v>
      </c>
      <c r="R203">
        <v>0</v>
      </c>
      <c r="S203">
        <f>stand_validation_1cycle[[#This Row],[aws]]</f>
        <v>618</v>
      </c>
      <c r="T203">
        <f>stand_validation_1cycle[[#This Row],[percent_tree_cover]]*100</f>
        <v>7.6158506707576494</v>
      </c>
    </row>
    <row r="204" spans="1:20" x14ac:dyDescent="0.2">
      <c r="A204">
        <v>1</v>
      </c>
      <c r="B204" t="s">
        <v>222</v>
      </c>
      <c r="C204">
        <v>29.282599999999999</v>
      </c>
      <c r="D204">
        <v>1037.32542666633</v>
      </c>
      <c r="E204">
        <v>8.9662287408569199</v>
      </c>
      <c r="F204">
        <v>29.422328302445699</v>
      </c>
      <c r="G204">
        <v>100</v>
      </c>
      <c r="H204">
        <v>524.135009765625</v>
      </c>
      <c r="I204">
        <v>8.9332943318121E-2</v>
      </c>
      <c r="K204" s="1" t="str">
        <f>TEXT(stand_validation_1cycle[[#This Row],[stand_age]], ".0")</f>
        <v>29.3</v>
      </c>
      <c r="L204" s="1" t="str">
        <f t="shared" si="3"/>
        <v>"29.3"</v>
      </c>
      <c r="M204">
        <v>100</v>
      </c>
      <c r="N204">
        <f>0.029*stand_validation_1cycle[[#This Row],[stand_level_biomass]]</f>
        <v>30.082437373323572</v>
      </c>
      <c r="O204">
        <f>0.213*stand_validation_1cycle[[#This Row],[stand_level_biomass]]</f>
        <v>220.9503158799283</v>
      </c>
      <c r="P204">
        <f>0.571*stand_validation_1cycle[[#This Row],[stand_level_biomass]]</f>
        <v>592.31281862647438</v>
      </c>
      <c r="Q204">
        <f>stand_validation_1cycle[[#This Row],[stock]]</f>
        <v>100</v>
      </c>
      <c r="R204">
        <v>0</v>
      </c>
      <c r="S204">
        <f>stand_validation_1cycle[[#This Row],[aws]]</f>
        <v>524.135009765625</v>
      </c>
      <c r="T204">
        <f>stand_validation_1cycle[[#This Row],[percent_tree_cover]]*100</f>
        <v>8.9332943318120996</v>
      </c>
    </row>
    <row r="205" spans="1:20" x14ac:dyDescent="0.2">
      <c r="A205">
        <v>1</v>
      </c>
      <c r="B205" t="s">
        <v>223</v>
      </c>
      <c r="C205">
        <v>27.239376417233501</v>
      </c>
      <c r="D205">
        <v>910.96998846049905</v>
      </c>
      <c r="E205">
        <v>7.8968808670574102</v>
      </c>
      <c r="F205">
        <v>27.497158850919799</v>
      </c>
      <c r="G205">
        <v>98</v>
      </c>
      <c r="H205">
        <v>524.13714599609295</v>
      </c>
      <c r="I205">
        <v>7.8377071257959605E-2</v>
      </c>
      <c r="K205" s="1" t="str">
        <f>TEXT(stand_validation_1cycle[[#This Row],[stand_age]], ".0")</f>
        <v>27.2</v>
      </c>
      <c r="L205" s="1" t="str">
        <f t="shared" si="3"/>
        <v>"27.2"</v>
      </c>
      <c r="M205">
        <v>100</v>
      </c>
      <c r="N205">
        <f>0.029*stand_validation_1cycle[[#This Row],[stand_level_biomass]]</f>
        <v>26.418129665354474</v>
      </c>
      <c r="O205">
        <f>0.213*stand_validation_1cycle[[#This Row],[stand_level_biomass]]</f>
        <v>194.0366075420863</v>
      </c>
      <c r="P205">
        <f>0.571*stand_validation_1cycle[[#This Row],[stand_level_biomass]]</f>
        <v>520.16386341094494</v>
      </c>
      <c r="Q205">
        <f>stand_validation_1cycle[[#This Row],[stock]]</f>
        <v>98</v>
      </c>
      <c r="R205">
        <v>0</v>
      </c>
      <c r="S205">
        <f>stand_validation_1cycle[[#This Row],[aws]]</f>
        <v>524.13714599609295</v>
      </c>
      <c r="T205">
        <f>stand_validation_1cycle[[#This Row],[percent_tree_cover]]*100</f>
        <v>7.8377071257959603</v>
      </c>
    </row>
    <row r="206" spans="1:20" x14ac:dyDescent="0.2">
      <c r="A206">
        <v>1</v>
      </c>
      <c r="B206" t="s">
        <v>224</v>
      </c>
      <c r="C206">
        <v>26.892008978675602</v>
      </c>
      <c r="D206">
        <v>680.25230646048396</v>
      </c>
      <c r="E206">
        <v>6.2939813903336397</v>
      </c>
      <c r="F206">
        <v>24.8260695894588</v>
      </c>
      <c r="G206">
        <v>99</v>
      </c>
      <c r="H206">
        <v>566.54302978515602</v>
      </c>
      <c r="I206">
        <v>6.2351337452769398E-2</v>
      </c>
      <c r="K206" s="1" t="str">
        <f>TEXT(stand_validation_1cycle[[#This Row],[stand_age]], ".0")</f>
        <v>26.9</v>
      </c>
      <c r="L206" s="1" t="str">
        <f t="shared" si="3"/>
        <v>"26.9"</v>
      </c>
      <c r="M206">
        <v>100</v>
      </c>
      <c r="N206">
        <f>0.029*stand_validation_1cycle[[#This Row],[stand_level_biomass]]</f>
        <v>19.727316887354036</v>
      </c>
      <c r="O206">
        <f>0.213*stand_validation_1cycle[[#This Row],[stand_level_biomass]]</f>
        <v>144.89374127608309</v>
      </c>
      <c r="P206">
        <f>0.571*stand_validation_1cycle[[#This Row],[stand_level_biomass]]</f>
        <v>388.42406698893632</v>
      </c>
      <c r="Q206">
        <f>stand_validation_1cycle[[#This Row],[stock]]</f>
        <v>99</v>
      </c>
      <c r="R206">
        <v>0</v>
      </c>
      <c r="S206">
        <f>stand_validation_1cycle[[#This Row],[aws]]</f>
        <v>566.54302978515602</v>
      </c>
      <c r="T206">
        <f>stand_validation_1cycle[[#This Row],[percent_tree_cover]]*100</f>
        <v>6.23513374527694</v>
      </c>
    </row>
    <row r="207" spans="1:20" x14ac:dyDescent="0.2">
      <c r="A207">
        <v>1</v>
      </c>
      <c r="B207" t="s">
        <v>225</v>
      </c>
      <c r="C207">
        <v>29.633711111111101</v>
      </c>
      <c r="D207">
        <v>1251.7265945823799</v>
      </c>
      <c r="E207">
        <v>10.364724418565601</v>
      </c>
      <c r="F207">
        <v>30.439566340441399</v>
      </c>
      <c r="G207">
        <v>100</v>
      </c>
      <c r="H207">
        <v>567.91680908203102</v>
      </c>
      <c r="I207">
        <v>0.10324966113105701</v>
      </c>
      <c r="K207" s="1" t="str">
        <f>TEXT(stand_validation_1cycle[[#This Row],[stand_age]], ".0")</f>
        <v>29.6</v>
      </c>
      <c r="L207" s="1" t="str">
        <f t="shared" si="3"/>
        <v>"29.6"</v>
      </c>
      <c r="M207">
        <v>100</v>
      </c>
      <c r="N207">
        <f>0.029*stand_validation_1cycle[[#This Row],[stand_level_biomass]]</f>
        <v>36.300071242889018</v>
      </c>
      <c r="O207">
        <f>0.213*stand_validation_1cycle[[#This Row],[stand_level_biomass]]</f>
        <v>266.61776464604691</v>
      </c>
      <c r="P207">
        <f>0.571*stand_validation_1cycle[[#This Row],[stand_level_biomass]]</f>
        <v>714.73588550653892</v>
      </c>
      <c r="Q207">
        <f>stand_validation_1cycle[[#This Row],[stock]]</f>
        <v>100</v>
      </c>
      <c r="R207">
        <v>0</v>
      </c>
      <c r="S207">
        <f>stand_validation_1cycle[[#This Row],[aws]]</f>
        <v>567.91680908203102</v>
      </c>
      <c r="T207">
        <f>stand_validation_1cycle[[#This Row],[percent_tree_cover]]*100</f>
        <v>10.324966113105701</v>
      </c>
    </row>
    <row r="208" spans="1:20" x14ac:dyDescent="0.2">
      <c r="A208">
        <v>1</v>
      </c>
      <c r="B208" t="s">
        <v>226</v>
      </c>
      <c r="C208">
        <v>28.022311111111101</v>
      </c>
      <c r="D208">
        <v>823.93432773980498</v>
      </c>
      <c r="E208">
        <v>7.4667591336691199</v>
      </c>
      <c r="F208">
        <v>27.322800074091401</v>
      </c>
      <c r="G208">
        <v>100</v>
      </c>
      <c r="H208">
        <v>571.41296386718705</v>
      </c>
      <c r="I208">
        <v>7.4406131544808699E-2</v>
      </c>
      <c r="K208" s="1" t="str">
        <f>TEXT(stand_validation_1cycle[[#This Row],[stand_age]], ".0")</f>
        <v>28.0</v>
      </c>
      <c r="L208" s="1" t="str">
        <f t="shared" si="3"/>
        <v>"28.0"</v>
      </c>
      <c r="M208">
        <v>100</v>
      </c>
      <c r="N208">
        <f>0.029*stand_validation_1cycle[[#This Row],[stand_level_biomass]]</f>
        <v>23.894095504454345</v>
      </c>
      <c r="O208">
        <f>0.213*stand_validation_1cycle[[#This Row],[stand_level_biomass]]</f>
        <v>175.49801180857847</v>
      </c>
      <c r="P208">
        <f>0.571*stand_validation_1cycle[[#This Row],[stand_level_biomass]]</f>
        <v>470.4665011394286</v>
      </c>
      <c r="Q208">
        <f>stand_validation_1cycle[[#This Row],[stock]]</f>
        <v>100</v>
      </c>
      <c r="R208">
        <v>0</v>
      </c>
      <c r="S208">
        <f>stand_validation_1cycle[[#This Row],[aws]]</f>
        <v>571.41296386718705</v>
      </c>
      <c r="T208">
        <f>stand_validation_1cycle[[#This Row],[percent_tree_cover]]*100</f>
        <v>7.4406131544808698</v>
      </c>
    </row>
    <row r="209" spans="1:20" x14ac:dyDescent="0.2">
      <c r="A209">
        <v>1</v>
      </c>
      <c r="B209" t="s">
        <v>227</v>
      </c>
      <c r="C209">
        <v>26.722388888888801</v>
      </c>
      <c r="D209">
        <v>637.08965712912902</v>
      </c>
      <c r="E209">
        <v>6.1227685177038103</v>
      </c>
      <c r="F209">
        <v>25.1033780933742</v>
      </c>
      <c r="G209">
        <v>100</v>
      </c>
      <c r="H209">
        <v>566.54302978515602</v>
      </c>
      <c r="I209">
        <v>6.1011638838318297E-2</v>
      </c>
      <c r="K209" s="1" t="str">
        <f>TEXT(stand_validation_1cycle[[#This Row],[stand_age]], ".0")</f>
        <v>26.7</v>
      </c>
      <c r="L209" s="1" t="str">
        <f t="shared" si="3"/>
        <v>"26.7"</v>
      </c>
      <c r="M209">
        <v>100</v>
      </c>
      <c r="N209">
        <f>0.029*stand_validation_1cycle[[#This Row],[stand_level_biomass]]</f>
        <v>18.475600056744742</v>
      </c>
      <c r="O209">
        <f>0.213*stand_validation_1cycle[[#This Row],[stand_level_biomass]]</f>
        <v>135.70009696850448</v>
      </c>
      <c r="P209">
        <f>0.571*stand_validation_1cycle[[#This Row],[stand_level_biomass]]</f>
        <v>363.77819422073264</v>
      </c>
      <c r="Q209">
        <f>stand_validation_1cycle[[#This Row],[stock]]</f>
        <v>100</v>
      </c>
      <c r="R209">
        <v>0</v>
      </c>
      <c r="S209">
        <f>stand_validation_1cycle[[#This Row],[aws]]</f>
        <v>566.54302978515602</v>
      </c>
      <c r="T209">
        <f>stand_validation_1cycle[[#This Row],[percent_tree_cover]]*100</f>
        <v>6.1011638838318296</v>
      </c>
    </row>
    <row r="210" spans="1:20" x14ac:dyDescent="0.2">
      <c r="A210">
        <v>1</v>
      </c>
      <c r="B210" t="s">
        <v>228</v>
      </c>
      <c r="C210">
        <v>26.732677777777699</v>
      </c>
      <c r="D210">
        <v>755.297809367323</v>
      </c>
      <c r="E210">
        <v>6.7922442683782904</v>
      </c>
      <c r="F210">
        <v>24.976778465793501</v>
      </c>
      <c r="G210">
        <v>100</v>
      </c>
      <c r="H210">
        <v>570.08685302734295</v>
      </c>
      <c r="I210">
        <v>6.76762197999035E-2</v>
      </c>
      <c r="K210" s="1" t="str">
        <f>TEXT(stand_validation_1cycle[[#This Row],[stand_age]], ".0")</f>
        <v>26.7</v>
      </c>
      <c r="L210" s="1" t="str">
        <f t="shared" si="3"/>
        <v>"26.7"</v>
      </c>
      <c r="M210">
        <v>100</v>
      </c>
      <c r="N210">
        <f>0.029*stand_validation_1cycle[[#This Row],[stand_level_biomass]]</f>
        <v>21.903636471652369</v>
      </c>
      <c r="O210">
        <f>0.213*stand_validation_1cycle[[#This Row],[stand_level_biomass]]</f>
        <v>160.8784333952398</v>
      </c>
      <c r="P210">
        <f>0.571*stand_validation_1cycle[[#This Row],[stand_level_biomass]]</f>
        <v>431.2750491487414</v>
      </c>
      <c r="Q210">
        <f>stand_validation_1cycle[[#This Row],[stock]]</f>
        <v>100</v>
      </c>
      <c r="R210">
        <v>0</v>
      </c>
      <c r="S210">
        <f>stand_validation_1cycle[[#This Row],[aws]]</f>
        <v>570.08685302734295</v>
      </c>
      <c r="T210">
        <f>stand_validation_1cycle[[#This Row],[percent_tree_cover]]*100</f>
        <v>6.7676219799903503</v>
      </c>
    </row>
    <row r="211" spans="1:20" x14ac:dyDescent="0.2">
      <c r="A211">
        <v>1</v>
      </c>
      <c r="B211" t="s">
        <v>229</v>
      </c>
      <c r="C211">
        <v>27.327530864197499</v>
      </c>
      <c r="D211">
        <v>875.64901730766996</v>
      </c>
      <c r="E211">
        <v>7.7062152527165599</v>
      </c>
      <c r="F211">
        <v>26.935824847484099</v>
      </c>
      <c r="G211">
        <v>99</v>
      </c>
      <c r="H211">
        <v>567.62072753906205</v>
      </c>
      <c r="I211">
        <v>7.6464544109954499E-2</v>
      </c>
      <c r="K211" s="1" t="str">
        <f>TEXT(stand_validation_1cycle[[#This Row],[stand_age]], ".0")</f>
        <v>27.3</v>
      </c>
      <c r="L211" s="1" t="str">
        <f t="shared" si="3"/>
        <v>"27.3"</v>
      </c>
      <c r="M211">
        <v>100</v>
      </c>
      <c r="N211">
        <f>0.029*stand_validation_1cycle[[#This Row],[stand_level_biomass]]</f>
        <v>25.393821501922432</v>
      </c>
      <c r="O211">
        <f>0.213*stand_validation_1cycle[[#This Row],[stand_level_biomass]]</f>
        <v>186.51324068653369</v>
      </c>
      <c r="P211">
        <f>0.571*stand_validation_1cycle[[#This Row],[stand_level_biomass]]</f>
        <v>499.9955888826795</v>
      </c>
      <c r="Q211">
        <f>stand_validation_1cycle[[#This Row],[stock]]</f>
        <v>99</v>
      </c>
      <c r="R211">
        <v>0</v>
      </c>
      <c r="S211">
        <f>stand_validation_1cycle[[#This Row],[aws]]</f>
        <v>567.62072753906205</v>
      </c>
      <c r="T211">
        <f>stand_validation_1cycle[[#This Row],[percent_tree_cover]]*100</f>
        <v>7.6464544109954495</v>
      </c>
    </row>
    <row r="212" spans="1:20" x14ac:dyDescent="0.2">
      <c r="A212">
        <v>1</v>
      </c>
      <c r="B212" t="s">
        <v>230</v>
      </c>
      <c r="C212">
        <v>26.2471888888888</v>
      </c>
      <c r="D212">
        <v>748.43213342170395</v>
      </c>
      <c r="E212">
        <v>6.9217682064949804</v>
      </c>
      <c r="F212">
        <v>26.3173891321707</v>
      </c>
      <c r="G212">
        <v>100</v>
      </c>
      <c r="H212">
        <v>566.55694580078102</v>
      </c>
      <c r="I212">
        <v>6.8994932305243103E-2</v>
      </c>
      <c r="K212" s="1" t="str">
        <f>TEXT(stand_validation_1cycle[[#This Row],[stand_age]], ".0")</f>
        <v>26.2</v>
      </c>
      <c r="L212" s="1" t="str">
        <f t="shared" si="3"/>
        <v>"26.2"</v>
      </c>
      <c r="M212">
        <v>100</v>
      </c>
      <c r="N212">
        <f>0.029*stand_validation_1cycle[[#This Row],[stand_level_biomass]]</f>
        <v>21.704531869229417</v>
      </c>
      <c r="O212">
        <f>0.213*stand_validation_1cycle[[#This Row],[stand_level_biomass]]</f>
        <v>159.41604441882293</v>
      </c>
      <c r="P212">
        <f>0.571*stand_validation_1cycle[[#This Row],[stand_level_biomass]]</f>
        <v>427.35474818379294</v>
      </c>
      <c r="Q212">
        <f>stand_validation_1cycle[[#This Row],[stock]]</f>
        <v>100</v>
      </c>
      <c r="R212">
        <v>0</v>
      </c>
      <c r="S212">
        <f>stand_validation_1cycle[[#This Row],[aws]]</f>
        <v>566.55694580078102</v>
      </c>
      <c r="T212">
        <f>stand_validation_1cycle[[#This Row],[percent_tree_cover]]*100</f>
        <v>6.8994932305243104</v>
      </c>
    </row>
    <row r="213" spans="1:20" x14ac:dyDescent="0.2">
      <c r="A213">
        <v>1</v>
      </c>
      <c r="B213" t="s">
        <v>231</v>
      </c>
      <c r="C213">
        <v>27.695452462772</v>
      </c>
      <c r="D213">
        <v>763.93512195789697</v>
      </c>
      <c r="E213">
        <v>6.8861613953592</v>
      </c>
      <c r="F213">
        <v>26.2643172499263</v>
      </c>
      <c r="G213">
        <v>97</v>
      </c>
      <c r="H213">
        <v>566.47930908203102</v>
      </c>
      <c r="I213">
        <v>6.7759185041561504E-2</v>
      </c>
      <c r="K213" s="1" t="str">
        <f>TEXT(stand_validation_1cycle[[#This Row],[stand_age]], ".0")</f>
        <v>27.7</v>
      </c>
      <c r="L213" s="1" t="str">
        <f t="shared" si="3"/>
        <v>"27.7"</v>
      </c>
      <c r="M213">
        <v>100</v>
      </c>
      <c r="N213">
        <f>0.029*stand_validation_1cycle[[#This Row],[stand_level_biomass]]</f>
        <v>22.154118536779013</v>
      </c>
      <c r="O213">
        <f>0.213*stand_validation_1cycle[[#This Row],[stand_level_biomass]]</f>
        <v>162.71818097703206</v>
      </c>
      <c r="P213">
        <f>0.571*stand_validation_1cycle[[#This Row],[stand_level_biomass]]</f>
        <v>436.20695463795914</v>
      </c>
      <c r="Q213">
        <f>stand_validation_1cycle[[#This Row],[stock]]</f>
        <v>97</v>
      </c>
      <c r="R213">
        <v>0</v>
      </c>
      <c r="S213">
        <f>stand_validation_1cycle[[#This Row],[aws]]</f>
        <v>566.47930908203102</v>
      </c>
      <c r="T213">
        <f>stand_validation_1cycle[[#This Row],[percent_tree_cover]]*100</f>
        <v>6.7759185041561505</v>
      </c>
    </row>
    <row r="214" spans="1:20" x14ac:dyDescent="0.2">
      <c r="A214">
        <v>1</v>
      </c>
      <c r="B214" t="s">
        <v>232</v>
      </c>
      <c r="C214">
        <v>28.5104222222222</v>
      </c>
      <c r="D214">
        <v>844.39752981173797</v>
      </c>
      <c r="E214">
        <v>7.6276118191255797</v>
      </c>
      <c r="F214">
        <v>27.543566132265699</v>
      </c>
      <c r="G214">
        <v>100</v>
      </c>
      <c r="H214">
        <v>568.951416015625</v>
      </c>
      <c r="I214">
        <v>7.60062610725558E-2</v>
      </c>
      <c r="K214" s="1" t="str">
        <f>TEXT(stand_validation_1cycle[[#This Row],[stand_age]], ".0")</f>
        <v>28.5</v>
      </c>
      <c r="L214" s="1" t="str">
        <f t="shared" si="3"/>
        <v>"28.5"</v>
      </c>
      <c r="M214">
        <v>100</v>
      </c>
      <c r="N214">
        <f>0.029*stand_validation_1cycle[[#This Row],[stand_level_biomass]]</f>
        <v>24.487528364540402</v>
      </c>
      <c r="O214">
        <f>0.213*stand_validation_1cycle[[#This Row],[stand_level_biomass]]</f>
        <v>179.85667384990018</v>
      </c>
      <c r="P214">
        <f>0.571*stand_validation_1cycle[[#This Row],[stand_level_biomass]]</f>
        <v>482.15098952250236</v>
      </c>
      <c r="Q214">
        <f>stand_validation_1cycle[[#This Row],[stock]]</f>
        <v>100</v>
      </c>
      <c r="R214">
        <v>0</v>
      </c>
      <c r="S214">
        <f>stand_validation_1cycle[[#This Row],[aws]]</f>
        <v>568.951416015625</v>
      </c>
      <c r="T214">
        <f>stand_validation_1cycle[[#This Row],[percent_tree_cover]]*100</f>
        <v>7.6006261072555796</v>
      </c>
    </row>
    <row r="215" spans="1:20" x14ac:dyDescent="0.2">
      <c r="A215">
        <v>1</v>
      </c>
      <c r="B215" t="s">
        <v>233</v>
      </c>
      <c r="C215">
        <v>27.2561840628507</v>
      </c>
      <c r="D215">
        <v>843.42563546090105</v>
      </c>
      <c r="E215">
        <v>7.5865567009303003</v>
      </c>
      <c r="F215">
        <v>26.6066204029574</v>
      </c>
      <c r="G215">
        <v>99</v>
      </c>
      <c r="H215">
        <v>570.31646728515602</v>
      </c>
      <c r="I215">
        <v>7.4381316050240801E-2</v>
      </c>
      <c r="K215" s="1" t="str">
        <f>TEXT(stand_validation_1cycle[[#This Row],[stand_age]], ".0")</f>
        <v>27.3</v>
      </c>
      <c r="L215" s="1" t="str">
        <f t="shared" si="3"/>
        <v>"27.3"</v>
      </c>
      <c r="M215">
        <v>100</v>
      </c>
      <c r="N215">
        <f>0.029*stand_validation_1cycle[[#This Row],[stand_level_biomass]]</f>
        <v>24.459343428366132</v>
      </c>
      <c r="O215">
        <f>0.213*stand_validation_1cycle[[#This Row],[stand_level_biomass]]</f>
        <v>179.64966035317192</v>
      </c>
      <c r="P215">
        <f>0.571*stand_validation_1cycle[[#This Row],[stand_level_biomass]]</f>
        <v>481.59603784817443</v>
      </c>
      <c r="Q215">
        <f>stand_validation_1cycle[[#This Row],[stock]]</f>
        <v>99</v>
      </c>
      <c r="R215">
        <v>0</v>
      </c>
      <c r="S215">
        <f>stand_validation_1cycle[[#This Row],[aws]]</f>
        <v>570.31646728515602</v>
      </c>
      <c r="T215">
        <f>stand_validation_1cycle[[#This Row],[percent_tree_cover]]*100</f>
        <v>7.43813160502408</v>
      </c>
    </row>
    <row r="216" spans="1:20" x14ac:dyDescent="0.2">
      <c r="A216">
        <v>1</v>
      </c>
      <c r="B216" t="s">
        <v>234</v>
      </c>
      <c r="C216">
        <v>28.268044444444399</v>
      </c>
      <c r="D216">
        <v>800.37702830248304</v>
      </c>
      <c r="E216">
        <v>7.4076343599285597</v>
      </c>
      <c r="F216">
        <v>27.638089798954901</v>
      </c>
      <c r="G216">
        <v>100</v>
      </c>
      <c r="H216">
        <v>570.52093505859295</v>
      </c>
      <c r="I216">
        <v>7.3816476291589203E-2</v>
      </c>
      <c r="K216" s="1" t="str">
        <f>TEXT(stand_validation_1cycle[[#This Row],[stand_age]], ".0")</f>
        <v>28.3</v>
      </c>
      <c r="L216" s="1" t="str">
        <f t="shared" si="3"/>
        <v>"28.3"</v>
      </c>
      <c r="M216">
        <v>100</v>
      </c>
      <c r="N216">
        <f>0.029*stand_validation_1cycle[[#This Row],[stand_level_biomass]]</f>
        <v>23.210933820772009</v>
      </c>
      <c r="O216">
        <f>0.213*stand_validation_1cycle[[#This Row],[stand_level_biomass]]</f>
        <v>170.48030702842888</v>
      </c>
      <c r="P216">
        <f>0.571*stand_validation_1cycle[[#This Row],[stand_level_biomass]]</f>
        <v>457.01528316071779</v>
      </c>
      <c r="Q216">
        <f>stand_validation_1cycle[[#This Row],[stock]]</f>
        <v>100</v>
      </c>
      <c r="R216">
        <v>0</v>
      </c>
      <c r="S216">
        <f>stand_validation_1cycle[[#This Row],[aws]]</f>
        <v>570.52093505859295</v>
      </c>
      <c r="T216">
        <f>stand_validation_1cycle[[#This Row],[percent_tree_cover]]*100</f>
        <v>7.3816476291589206</v>
      </c>
    </row>
    <row r="217" spans="1:20" x14ac:dyDescent="0.2">
      <c r="A217">
        <v>1</v>
      </c>
      <c r="B217" t="s">
        <v>235</v>
      </c>
      <c r="C217">
        <v>29.1330045351473</v>
      </c>
      <c r="D217">
        <v>1068.43433676073</v>
      </c>
      <c r="E217">
        <v>9.0219550967444508</v>
      </c>
      <c r="F217">
        <v>29.116609862832998</v>
      </c>
      <c r="G217">
        <v>98</v>
      </c>
      <c r="H217">
        <v>566.635009765625</v>
      </c>
      <c r="I217">
        <v>8.9435998238343806E-2</v>
      </c>
      <c r="K217" s="1" t="str">
        <f>TEXT(stand_validation_1cycle[[#This Row],[stand_age]], ".0")</f>
        <v>29.1</v>
      </c>
      <c r="L217" s="1" t="str">
        <f t="shared" si="3"/>
        <v>"29.1"</v>
      </c>
      <c r="M217">
        <v>100</v>
      </c>
      <c r="N217">
        <f>0.029*stand_validation_1cycle[[#This Row],[stand_level_biomass]]</f>
        <v>30.984595766061172</v>
      </c>
      <c r="O217">
        <f>0.213*stand_validation_1cycle[[#This Row],[stand_level_biomass]]</f>
        <v>227.57651373003549</v>
      </c>
      <c r="P217">
        <f>0.571*stand_validation_1cycle[[#This Row],[stand_level_biomass]]</f>
        <v>610.07600629037677</v>
      </c>
      <c r="Q217">
        <f>stand_validation_1cycle[[#This Row],[stock]]</f>
        <v>98</v>
      </c>
      <c r="R217">
        <v>0</v>
      </c>
      <c r="S217">
        <f>stand_validation_1cycle[[#This Row],[aws]]</f>
        <v>566.635009765625</v>
      </c>
      <c r="T217">
        <f>stand_validation_1cycle[[#This Row],[percent_tree_cover]]*100</f>
        <v>8.943599823834381</v>
      </c>
    </row>
    <row r="218" spans="1:20" x14ac:dyDescent="0.2">
      <c r="A218">
        <v>1</v>
      </c>
      <c r="B218" t="s">
        <v>236</v>
      </c>
      <c r="C218">
        <v>26.299244444444401</v>
      </c>
      <c r="D218">
        <v>815.40023405615</v>
      </c>
      <c r="E218">
        <v>3.7150471956036202</v>
      </c>
      <c r="F218">
        <v>27.1959101320485</v>
      </c>
      <c r="G218">
        <v>50</v>
      </c>
      <c r="H218">
        <v>566.635009765625</v>
      </c>
      <c r="I218">
        <v>8.0683623610663197E-2</v>
      </c>
      <c r="K218" s="1" t="str">
        <f>TEXT(stand_validation_1cycle[[#This Row],[stand_age]], ".0")</f>
        <v>26.3</v>
      </c>
      <c r="L218" s="1" t="str">
        <f t="shared" si="3"/>
        <v>"26.3"</v>
      </c>
      <c r="M218">
        <v>100</v>
      </c>
      <c r="N218">
        <f>0.029*stand_validation_1cycle[[#This Row],[stand_level_biomass]]</f>
        <v>23.64660678762835</v>
      </c>
      <c r="O218">
        <f>0.213*stand_validation_1cycle[[#This Row],[stand_level_biomass]]</f>
        <v>173.68024985395994</v>
      </c>
      <c r="P218">
        <f>0.571*stand_validation_1cycle[[#This Row],[stand_level_biomass]]</f>
        <v>465.59353364606159</v>
      </c>
      <c r="Q218">
        <f>stand_validation_1cycle[[#This Row],[stock]]</f>
        <v>50</v>
      </c>
      <c r="R218">
        <v>0</v>
      </c>
      <c r="S218">
        <f>stand_validation_1cycle[[#This Row],[aws]]</f>
        <v>566.635009765625</v>
      </c>
      <c r="T218">
        <f>stand_validation_1cycle[[#This Row],[percent_tree_cover]]*100</f>
        <v>8.0683623610663204</v>
      </c>
    </row>
    <row r="219" spans="1:20" x14ac:dyDescent="0.2">
      <c r="A219">
        <v>1</v>
      </c>
      <c r="B219" t="s">
        <v>237</v>
      </c>
      <c r="C219">
        <v>24.863320707070699</v>
      </c>
      <c r="D219">
        <v>644.91155838228701</v>
      </c>
      <c r="E219">
        <v>5.2422044442456599</v>
      </c>
      <c r="F219">
        <v>23.411745084842501</v>
      </c>
      <c r="G219">
        <v>88</v>
      </c>
      <c r="H219">
        <v>604</v>
      </c>
      <c r="I219">
        <v>5.7653614210196102E-2</v>
      </c>
      <c r="K219" s="1" t="str">
        <f>TEXT(stand_validation_1cycle[[#This Row],[stand_age]], ".0")</f>
        <v>24.9</v>
      </c>
      <c r="L219" s="1" t="str">
        <f t="shared" si="3"/>
        <v>"24.9"</v>
      </c>
      <c r="M219">
        <v>100</v>
      </c>
      <c r="N219">
        <f>0.029*stand_validation_1cycle[[#This Row],[stand_level_biomass]]</f>
        <v>18.702435193086323</v>
      </c>
      <c r="O219">
        <f>0.213*stand_validation_1cycle[[#This Row],[stand_level_biomass]]</f>
        <v>137.36616193542713</v>
      </c>
      <c r="P219">
        <f>0.571*stand_validation_1cycle[[#This Row],[stand_level_biomass]]</f>
        <v>368.24449983628585</v>
      </c>
      <c r="Q219">
        <f>stand_validation_1cycle[[#This Row],[stock]]</f>
        <v>88</v>
      </c>
      <c r="R219">
        <v>0</v>
      </c>
      <c r="S219">
        <f>stand_validation_1cycle[[#This Row],[aws]]</f>
        <v>604</v>
      </c>
      <c r="T219">
        <f>stand_validation_1cycle[[#This Row],[percent_tree_cover]]*100</f>
        <v>5.7653614210196107</v>
      </c>
    </row>
    <row r="220" spans="1:20" x14ac:dyDescent="0.2">
      <c r="A220">
        <v>1</v>
      </c>
      <c r="B220" t="s">
        <v>238</v>
      </c>
      <c r="C220">
        <v>26.980655555555501</v>
      </c>
      <c r="D220">
        <v>704.71437852554595</v>
      </c>
      <c r="E220">
        <v>6.65366626023396</v>
      </c>
      <c r="F220">
        <v>26.1611892170028</v>
      </c>
      <c r="G220">
        <v>100</v>
      </c>
      <c r="H220">
        <v>591</v>
      </c>
      <c r="I220">
        <v>6.6486759694397796E-2</v>
      </c>
      <c r="K220" s="1" t="str">
        <f>TEXT(stand_validation_1cycle[[#This Row],[stand_age]], ".0")</f>
        <v>27.0</v>
      </c>
      <c r="L220" s="1" t="str">
        <f t="shared" si="3"/>
        <v>"27.0"</v>
      </c>
      <c r="M220">
        <v>100</v>
      </c>
      <c r="N220">
        <f>0.029*stand_validation_1cycle[[#This Row],[stand_level_biomass]]</f>
        <v>20.436716977240835</v>
      </c>
      <c r="O220">
        <f>0.213*stand_validation_1cycle[[#This Row],[stand_level_biomass]]</f>
        <v>150.10416262594129</v>
      </c>
      <c r="P220">
        <f>0.571*stand_validation_1cycle[[#This Row],[stand_level_biomass]]</f>
        <v>402.3919101380867</v>
      </c>
      <c r="Q220">
        <f>stand_validation_1cycle[[#This Row],[stock]]</f>
        <v>100</v>
      </c>
      <c r="R220">
        <v>0</v>
      </c>
      <c r="S220">
        <f>stand_validation_1cycle[[#This Row],[aws]]</f>
        <v>591</v>
      </c>
      <c r="T220">
        <f>stand_validation_1cycle[[#This Row],[percent_tree_cover]]*100</f>
        <v>6.6486759694397799</v>
      </c>
    </row>
    <row r="221" spans="1:20" x14ac:dyDescent="0.2">
      <c r="A221">
        <v>1</v>
      </c>
      <c r="B221" t="s">
        <v>239</v>
      </c>
      <c r="C221">
        <v>29.9033583021223</v>
      </c>
      <c r="D221">
        <v>917.29307154918195</v>
      </c>
      <c r="E221">
        <v>7.1949948757721804</v>
      </c>
      <c r="F221">
        <v>27.595657761934099</v>
      </c>
      <c r="G221">
        <v>89</v>
      </c>
      <c r="H221">
        <v>586</v>
      </c>
      <c r="I221">
        <v>8.1036637157508307E-2</v>
      </c>
      <c r="K221" s="1" t="str">
        <f>TEXT(stand_validation_1cycle[[#This Row],[stand_age]], ".0")</f>
        <v>29.9</v>
      </c>
      <c r="L221" s="1" t="str">
        <f t="shared" si="3"/>
        <v>"29.9"</v>
      </c>
      <c r="M221">
        <v>100</v>
      </c>
      <c r="N221">
        <f>0.029*stand_validation_1cycle[[#This Row],[stand_level_biomass]]</f>
        <v>26.601499074926277</v>
      </c>
      <c r="O221">
        <f>0.213*stand_validation_1cycle[[#This Row],[stand_level_biomass]]</f>
        <v>195.38342423997574</v>
      </c>
      <c r="P221">
        <f>0.571*stand_validation_1cycle[[#This Row],[stand_level_biomass]]</f>
        <v>523.77434385458287</v>
      </c>
      <c r="Q221">
        <f>stand_validation_1cycle[[#This Row],[stock]]</f>
        <v>89</v>
      </c>
      <c r="R221">
        <v>0</v>
      </c>
      <c r="S221">
        <f>stand_validation_1cycle[[#This Row],[aws]]</f>
        <v>586</v>
      </c>
      <c r="T221">
        <f>stand_validation_1cycle[[#This Row],[percent_tree_cover]]*100</f>
        <v>8.1036637157508302</v>
      </c>
    </row>
    <row r="222" spans="1:20" x14ac:dyDescent="0.2">
      <c r="A222">
        <v>1</v>
      </c>
      <c r="B222" t="s">
        <v>240</v>
      </c>
      <c r="C222">
        <v>27.3463589743589</v>
      </c>
      <c r="D222">
        <v>999.83287874856205</v>
      </c>
      <c r="E222">
        <v>5.5736888076910196</v>
      </c>
      <c r="F222">
        <v>27.7605598220043</v>
      </c>
      <c r="G222">
        <v>65</v>
      </c>
      <c r="H222">
        <v>589</v>
      </c>
      <c r="I222">
        <v>8.3338405724950201E-2</v>
      </c>
      <c r="K222" s="1" t="str">
        <f>TEXT(stand_validation_1cycle[[#This Row],[stand_age]], ".0")</f>
        <v>27.3</v>
      </c>
      <c r="L222" s="1" t="str">
        <f t="shared" si="3"/>
        <v>"27.3"</v>
      </c>
      <c r="M222">
        <v>100</v>
      </c>
      <c r="N222">
        <f>0.029*stand_validation_1cycle[[#This Row],[stand_level_biomass]]</f>
        <v>28.9951534837083</v>
      </c>
      <c r="O222">
        <f>0.213*stand_validation_1cycle[[#This Row],[stand_level_biomass]]</f>
        <v>212.96440317344371</v>
      </c>
      <c r="P222">
        <f>0.571*stand_validation_1cycle[[#This Row],[stand_level_biomass]]</f>
        <v>570.90457376542884</v>
      </c>
      <c r="Q222">
        <f>stand_validation_1cycle[[#This Row],[stock]]</f>
        <v>65</v>
      </c>
      <c r="R222">
        <v>0</v>
      </c>
      <c r="S222">
        <f>stand_validation_1cycle[[#This Row],[aws]]</f>
        <v>589</v>
      </c>
      <c r="T222">
        <f>stand_validation_1cycle[[#This Row],[percent_tree_cover]]*100</f>
        <v>8.3338405724950206</v>
      </c>
    </row>
    <row r="223" spans="1:20" x14ac:dyDescent="0.2">
      <c r="A223">
        <v>1</v>
      </c>
      <c r="B223" t="s">
        <v>241</v>
      </c>
      <c r="C223">
        <v>27.023490338164201</v>
      </c>
      <c r="D223">
        <v>725.49968113309205</v>
      </c>
      <c r="E223">
        <v>6.25238120581297</v>
      </c>
      <c r="F223">
        <v>25.388362068701799</v>
      </c>
      <c r="G223">
        <v>92</v>
      </c>
      <c r="H223">
        <v>586</v>
      </c>
      <c r="I223">
        <v>6.4533236522560503E-2</v>
      </c>
      <c r="K223" s="1" t="str">
        <f>TEXT(stand_validation_1cycle[[#This Row],[stand_age]], ".0")</f>
        <v>27.0</v>
      </c>
      <c r="L223" s="1" t="str">
        <f t="shared" si="3"/>
        <v>"27.0"</v>
      </c>
      <c r="M223">
        <v>100</v>
      </c>
      <c r="N223">
        <f>0.029*stand_validation_1cycle[[#This Row],[stand_level_biomass]]</f>
        <v>21.03949075285967</v>
      </c>
      <c r="O223">
        <f>0.213*stand_validation_1cycle[[#This Row],[stand_level_biomass]]</f>
        <v>154.53143208134861</v>
      </c>
      <c r="P223">
        <f>0.571*stand_validation_1cycle[[#This Row],[stand_level_biomass]]</f>
        <v>414.26031792699553</v>
      </c>
      <c r="Q223">
        <f>stand_validation_1cycle[[#This Row],[stock]]</f>
        <v>92</v>
      </c>
      <c r="R223">
        <v>0</v>
      </c>
      <c r="S223">
        <f>stand_validation_1cycle[[#This Row],[aws]]</f>
        <v>586</v>
      </c>
      <c r="T223">
        <f>stand_validation_1cycle[[#This Row],[percent_tree_cover]]*100</f>
        <v>6.4533236522560502</v>
      </c>
    </row>
    <row r="224" spans="1:20" x14ac:dyDescent="0.2">
      <c r="A224">
        <v>1</v>
      </c>
      <c r="B224" t="s">
        <v>242</v>
      </c>
      <c r="C224">
        <v>29.560933333333299</v>
      </c>
      <c r="D224">
        <v>927.43517054769302</v>
      </c>
      <c r="E224">
        <v>8.23343968803648</v>
      </c>
      <c r="F224">
        <v>28.4117661884585</v>
      </c>
      <c r="G224">
        <v>100</v>
      </c>
      <c r="H224">
        <v>577</v>
      </c>
      <c r="I224">
        <v>8.2026053773011601E-2</v>
      </c>
      <c r="K224" s="1" t="str">
        <f>TEXT(stand_validation_1cycle[[#This Row],[stand_age]], ".0")</f>
        <v>29.6</v>
      </c>
      <c r="L224" s="1" t="str">
        <f t="shared" si="3"/>
        <v>"29.6"</v>
      </c>
      <c r="M224">
        <v>100</v>
      </c>
      <c r="N224">
        <f>0.029*stand_validation_1cycle[[#This Row],[stand_level_biomass]]</f>
        <v>26.895619945883098</v>
      </c>
      <c r="O224">
        <f>0.213*stand_validation_1cycle[[#This Row],[stand_level_biomass]]</f>
        <v>197.5436913266586</v>
      </c>
      <c r="P224">
        <f>0.571*stand_validation_1cycle[[#This Row],[stand_level_biomass]]</f>
        <v>529.56548238273263</v>
      </c>
      <c r="Q224">
        <f>stand_validation_1cycle[[#This Row],[stock]]</f>
        <v>100</v>
      </c>
      <c r="R224">
        <v>0</v>
      </c>
      <c r="S224">
        <f>stand_validation_1cycle[[#This Row],[aws]]</f>
        <v>577</v>
      </c>
      <c r="T224">
        <f>stand_validation_1cycle[[#This Row],[percent_tree_cover]]*100</f>
        <v>8.2026053773011594</v>
      </c>
    </row>
    <row r="225" spans="1:20" x14ac:dyDescent="0.2">
      <c r="A225">
        <v>1</v>
      </c>
      <c r="B225" t="s">
        <v>243</v>
      </c>
      <c r="C225">
        <v>28.143041526374802</v>
      </c>
      <c r="D225">
        <v>922.50955225417295</v>
      </c>
      <c r="E225">
        <v>7.9867037134125196</v>
      </c>
      <c r="F225">
        <v>27.1357073189264</v>
      </c>
      <c r="G225">
        <v>99</v>
      </c>
      <c r="H225">
        <v>576</v>
      </c>
      <c r="I225">
        <v>7.9348864034562497E-2</v>
      </c>
      <c r="K225" s="1" t="str">
        <f>TEXT(stand_validation_1cycle[[#This Row],[stand_age]], ".0")</f>
        <v>28.1</v>
      </c>
      <c r="L225" s="1" t="str">
        <f t="shared" si="3"/>
        <v>"28.1"</v>
      </c>
      <c r="M225">
        <v>100</v>
      </c>
      <c r="N225">
        <f>0.029*stand_validation_1cycle[[#This Row],[stand_level_biomass]]</f>
        <v>26.752777015371016</v>
      </c>
      <c r="O225">
        <f>0.213*stand_validation_1cycle[[#This Row],[stand_level_biomass]]</f>
        <v>196.49453463013884</v>
      </c>
      <c r="P225">
        <f>0.571*stand_validation_1cycle[[#This Row],[stand_level_biomass]]</f>
        <v>526.75295433713268</v>
      </c>
      <c r="Q225">
        <f>stand_validation_1cycle[[#This Row],[stock]]</f>
        <v>99</v>
      </c>
      <c r="R225">
        <v>0</v>
      </c>
      <c r="S225">
        <f>stand_validation_1cycle[[#This Row],[aws]]</f>
        <v>576</v>
      </c>
      <c r="T225">
        <f>stand_validation_1cycle[[#This Row],[percent_tree_cover]]*100</f>
        <v>7.9348864034562494</v>
      </c>
    </row>
    <row r="226" spans="1:20" x14ac:dyDescent="0.2">
      <c r="A226">
        <v>1</v>
      </c>
      <c r="B226" t="s">
        <v>244</v>
      </c>
      <c r="C226">
        <v>26.677227833894499</v>
      </c>
      <c r="D226">
        <v>800.62225389564503</v>
      </c>
      <c r="E226">
        <v>7.1617717480623</v>
      </c>
      <c r="F226">
        <v>26.325879460191899</v>
      </c>
      <c r="G226">
        <v>99</v>
      </c>
      <c r="H226">
        <v>579</v>
      </c>
      <c r="I226">
        <v>7.1135759199093596E-2</v>
      </c>
      <c r="K226" s="1" t="str">
        <f>TEXT(stand_validation_1cycle[[#This Row],[stand_age]], ".0")</f>
        <v>26.7</v>
      </c>
      <c r="L226" s="1" t="str">
        <f t="shared" si="3"/>
        <v>"26.7"</v>
      </c>
      <c r="M226">
        <v>100</v>
      </c>
      <c r="N226">
        <f>0.029*stand_validation_1cycle[[#This Row],[stand_level_biomass]]</f>
        <v>23.218045362973708</v>
      </c>
      <c r="O226">
        <f>0.213*stand_validation_1cycle[[#This Row],[stand_level_biomass]]</f>
        <v>170.53254007977239</v>
      </c>
      <c r="P226">
        <f>0.571*stand_validation_1cycle[[#This Row],[stand_level_biomass]]</f>
        <v>457.15530697441329</v>
      </c>
      <c r="Q226">
        <f>stand_validation_1cycle[[#This Row],[stock]]</f>
        <v>99</v>
      </c>
      <c r="R226">
        <v>0</v>
      </c>
      <c r="S226">
        <f>stand_validation_1cycle[[#This Row],[aws]]</f>
        <v>579</v>
      </c>
      <c r="T226">
        <f>stand_validation_1cycle[[#This Row],[percent_tree_cover]]*100</f>
        <v>7.1135759199093593</v>
      </c>
    </row>
    <row r="227" spans="1:20" x14ac:dyDescent="0.2">
      <c r="A227">
        <v>1</v>
      </c>
      <c r="B227" t="s">
        <v>245</v>
      </c>
      <c r="C227">
        <v>27.563308080808</v>
      </c>
      <c r="D227">
        <v>897.92888759786001</v>
      </c>
      <c r="E227">
        <v>6.9852645064130101</v>
      </c>
      <c r="F227">
        <v>27.4397599230754</v>
      </c>
      <c r="G227">
        <v>88</v>
      </c>
      <c r="H227">
        <v>575</v>
      </c>
      <c r="I227">
        <v>7.9640117895746806E-2</v>
      </c>
      <c r="K227" s="1" t="str">
        <f>TEXT(stand_validation_1cycle[[#This Row],[stand_age]], ".0")</f>
        <v>27.6</v>
      </c>
      <c r="L227" s="1" t="str">
        <f t="shared" si="3"/>
        <v>"27.6"</v>
      </c>
      <c r="M227">
        <v>100</v>
      </c>
      <c r="N227">
        <f>0.029*stand_validation_1cycle[[#This Row],[stand_level_biomass]]</f>
        <v>26.03993774033794</v>
      </c>
      <c r="O227">
        <f>0.213*stand_validation_1cycle[[#This Row],[stand_level_biomass]]</f>
        <v>191.25885305834419</v>
      </c>
      <c r="P227">
        <f>0.571*stand_validation_1cycle[[#This Row],[stand_level_biomass]]</f>
        <v>512.71739481837801</v>
      </c>
      <c r="Q227">
        <f>stand_validation_1cycle[[#This Row],[stock]]</f>
        <v>88</v>
      </c>
      <c r="R227">
        <v>0</v>
      </c>
      <c r="S227">
        <f>stand_validation_1cycle[[#This Row],[aws]]</f>
        <v>575</v>
      </c>
      <c r="T227">
        <f>stand_validation_1cycle[[#This Row],[percent_tree_cover]]*100</f>
        <v>7.9640117895746805</v>
      </c>
    </row>
    <row r="228" spans="1:20" x14ac:dyDescent="0.2">
      <c r="A228">
        <v>1</v>
      </c>
      <c r="B228" t="s">
        <v>246</v>
      </c>
      <c r="C228">
        <v>29.1013194444444</v>
      </c>
      <c r="D228">
        <v>996.00139152090401</v>
      </c>
      <c r="E228">
        <v>5.4409816508180899</v>
      </c>
      <c r="F228">
        <v>27.232983853480999</v>
      </c>
      <c r="G228">
        <v>64</v>
      </c>
      <c r="H228">
        <v>576</v>
      </c>
      <c r="I228">
        <v>8.4232454160383594E-2</v>
      </c>
      <c r="K228" s="1" t="str">
        <f>TEXT(stand_validation_1cycle[[#This Row],[stand_age]], ".0")</f>
        <v>29.1</v>
      </c>
      <c r="L228" s="1" t="str">
        <f t="shared" si="3"/>
        <v>"29.1"</v>
      </c>
      <c r="M228">
        <v>100</v>
      </c>
      <c r="N228">
        <f>0.029*stand_validation_1cycle[[#This Row],[stand_level_biomass]]</f>
        <v>28.884040354106219</v>
      </c>
      <c r="O228">
        <f>0.213*stand_validation_1cycle[[#This Row],[stand_level_biomass]]</f>
        <v>212.14829639395253</v>
      </c>
      <c r="P228">
        <f>0.571*stand_validation_1cycle[[#This Row],[stand_level_biomass]]</f>
        <v>568.71679455843616</v>
      </c>
      <c r="Q228">
        <f>stand_validation_1cycle[[#This Row],[stock]]</f>
        <v>64</v>
      </c>
      <c r="R228">
        <v>0</v>
      </c>
      <c r="S228">
        <f>stand_validation_1cycle[[#This Row],[aws]]</f>
        <v>576</v>
      </c>
      <c r="T228">
        <f>stand_validation_1cycle[[#This Row],[percent_tree_cover]]*100</f>
        <v>8.423245416038359</v>
      </c>
    </row>
    <row r="229" spans="1:20" x14ac:dyDescent="0.2">
      <c r="A229">
        <v>1</v>
      </c>
      <c r="B229" t="s">
        <v>247</v>
      </c>
      <c r="C229">
        <v>26.961771771771701</v>
      </c>
      <c r="D229">
        <v>810.75072201144098</v>
      </c>
      <c r="E229">
        <v>5.3693015020374597</v>
      </c>
      <c r="F229">
        <v>25.875754773808801</v>
      </c>
      <c r="G229">
        <v>74</v>
      </c>
      <c r="H229">
        <v>579</v>
      </c>
      <c r="I229">
        <v>6.8480347071421602E-2</v>
      </c>
      <c r="K229" s="1" t="str">
        <f>TEXT(stand_validation_1cycle[[#This Row],[stand_age]], ".0")</f>
        <v>27.0</v>
      </c>
      <c r="L229" s="1" t="str">
        <f t="shared" si="3"/>
        <v>"27.0"</v>
      </c>
      <c r="M229">
        <v>100</v>
      </c>
      <c r="N229">
        <f>0.029*stand_validation_1cycle[[#This Row],[stand_level_biomass]]</f>
        <v>23.511770938331789</v>
      </c>
      <c r="O229">
        <f>0.213*stand_validation_1cycle[[#This Row],[stand_level_biomass]]</f>
        <v>172.68990378843694</v>
      </c>
      <c r="P229">
        <f>0.571*stand_validation_1cycle[[#This Row],[stand_level_biomass]]</f>
        <v>462.93866226853277</v>
      </c>
      <c r="Q229">
        <f>stand_validation_1cycle[[#This Row],[stock]]</f>
        <v>74</v>
      </c>
      <c r="R229">
        <v>0</v>
      </c>
      <c r="S229">
        <f>stand_validation_1cycle[[#This Row],[aws]]</f>
        <v>579</v>
      </c>
      <c r="T229">
        <f>stand_validation_1cycle[[#This Row],[percent_tree_cover]]*100</f>
        <v>6.8480347071421601</v>
      </c>
    </row>
    <row r="230" spans="1:20" x14ac:dyDescent="0.2">
      <c r="A230">
        <v>1</v>
      </c>
      <c r="B230" t="s">
        <v>248</v>
      </c>
      <c r="C230">
        <v>26.229472502805798</v>
      </c>
      <c r="D230">
        <v>629.40368637445204</v>
      </c>
      <c r="E230">
        <v>6.0045959392427104</v>
      </c>
      <c r="F230">
        <v>24.9689081471702</v>
      </c>
      <c r="G230">
        <v>99</v>
      </c>
      <c r="H230">
        <v>581</v>
      </c>
      <c r="I230">
        <v>5.9634781702111103E-2</v>
      </c>
      <c r="K230" s="1" t="str">
        <f>TEXT(stand_validation_1cycle[[#This Row],[stand_age]], ".0")</f>
        <v>26.2</v>
      </c>
      <c r="L230" s="1" t="str">
        <f t="shared" si="3"/>
        <v>"26.2"</v>
      </c>
      <c r="M230">
        <v>100</v>
      </c>
      <c r="N230">
        <f>0.029*stand_validation_1cycle[[#This Row],[stand_level_biomass]]</f>
        <v>18.25270690485911</v>
      </c>
      <c r="O230">
        <f>0.213*stand_validation_1cycle[[#This Row],[stand_level_biomass]]</f>
        <v>134.06298519775828</v>
      </c>
      <c r="P230">
        <f>0.571*stand_validation_1cycle[[#This Row],[stand_level_biomass]]</f>
        <v>359.38950491981205</v>
      </c>
      <c r="Q230">
        <f>stand_validation_1cycle[[#This Row],[stock]]</f>
        <v>99</v>
      </c>
      <c r="R230">
        <v>0</v>
      </c>
      <c r="S230">
        <f>stand_validation_1cycle[[#This Row],[aws]]</f>
        <v>581</v>
      </c>
      <c r="T230">
        <f>stand_validation_1cycle[[#This Row],[percent_tree_cover]]*100</f>
        <v>5.9634781702111104</v>
      </c>
    </row>
    <row r="231" spans="1:20" x14ac:dyDescent="0.2">
      <c r="A231">
        <v>1</v>
      </c>
      <c r="B231" t="s">
        <v>249</v>
      </c>
      <c r="C231">
        <v>27.208577777777698</v>
      </c>
      <c r="D231">
        <v>884.92231799779097</v>
      </c>
      <c r="E231">
        <v>7.7514031360476299</v>
      </c>
      <c r="F231">
        <v>26.615071065644202</v>
      </c>
      <c r="G231">
        <v>100</v>
      </c>
      <c r="H231">
        <v>570</v>
      </c>
      <c r="I231">
        <v>7.7234626482774502E-2</v>
      </c>
      <c r="K231" s="1" t="str">
        <f>TEXT(stand_validation_1cycle[[#This Row],[stand_age]], ".0")</f>
        <v>27.2</v>
      </c>
      <c r="L231" s="1" t="str">
        <f t="shared" si="3"/>
        <v>"27.2"</v>
      </c>
      <c r="M231">
        <v>100</v>
      </c>
      <c r="N231">
        <f>0.029*stand_validation_1cycle[[#This Row],[stand_level_biomass]]</f>
        <v>25.662747221935941</v>
      </c>
      <c r="O231">
        <f>0.213*stand_validation_1cycle[[#This Row],[stand_level_biomass]]</f>
        <v>188.48845373352947</v>
      </c>
      <c r="P231">
        <f>0.571*stand_validation_1cycle[[#This Row],[stand_level_biomass]]</f>
        <v>505.2906435767386</v>
      </c>
      <c r="Q231">
        <f>stand_validation_1cycle[[#This Row],[stock]]</f>
        <v>100</v>
      </c>
      <c r="R231">
        <v>0</v>
      </c>
      <c r="S231">
        <f>stand_validation_1cycle[[#This Row],[aws]]</f>
        <v>570</v>
      </c>
      <c r="T231">
        <f>stand_validation_1cycle[[#This Row],[percent_tree_cover]]*100</f>
        <v>7.72346264827745</v>
      </c>
    </row>
    <row r="232" spans="1:20" x14ac:dyDescent="0.2">
      <c r="A232">
        <v>1</v>
      </c>
      <c r="B232" t="s">
        <v>250</v>
      </c>
      <c r="C232">
        <v>25.653388888888799</v>
      </c>
      <c r="D232">
        <v>658.44196509965298</v>
      </c>
      <c r="E232">
        <v>6.1683624518853604</v>
      </c>
      <c r="F232">
        <v>24.471790865712101</v>
      </c>
      <c r="G232">
        <v>100</v>
      </c>
      <c r="H232">
        <v>572</v>
      </c>
      <c r="I232">
        <v>6.1475794183338303E-2</v>
      </c>
      <c r="K232" s="1" t="str">
        <f>TEXT(stand_validation_1cycle[[#This Row],[stand_age]], ".0")</f>
        <v>25.7</v>
      </c>
      <c r="L232" s="1" t="str">
        <f t="shared" si="3"/>
        <v>"25.7"</v>
      </c>
      <c r="M232">
        <v>100</v>
      </c>
      <c r="N232">
        <f>0.029*stand_validation_1cycle[[#This Row],[stand_level_biomass]]</f>
        <v>19.094816987889939</v>
      </c>
      <c r="O232">
        <f>0.213*stand_validation_1cycle[[#This Row],[stand_level_biomass]]</f>
        <v>140.24813856622609</v>
      </c>
      <c r="P232">
        <f>0.571*stand_validation_1cycle[[#This Row],[stand_level_biomass]]</f>
        <v>375.97036207190183</v>
      </c>
      <c r="Q232">
        <f>stand_validation_1cycle[[#This Row],[stock]]</f>
        <v>100</v>
      </c>
      <c r="R232">
        <v>0</v>
      </c>
      <c r="S232">
        <f>stand_validation_1cycle[[#This Row],[aws]]</f>
        <v>572</v>
      </c>
      <c r="T232">
        <f>stand_validation_1cycle[[#This Row],[percent_tree_cover]]*100</f>
        <v>6.1475794183338301</v>
      </c>
    </row>
    <row r="233" spans="1:20" x14ac:dyDescent="0.2">
      <c r="A233">
        <v>1</v>
      </c>
      <c r="B233" t="s">
        <v>251</v>
      </c>
      <c r="C233">
        <v>28.276222222222199</v>
      </c>
      <c r="D233">
        <v>1015.08456426499</v>
      </c>
      <c r="E233">
        <v>8.7582686589580501</v>
      </c>
      <c r="F233">
        <v>28.563143198859901</v>
      </c>
      <c r="G233">
        <v>100</v>
      </c>
      <c r="H233">
        <v>582</v>
      </c>
      <c r="I233">
        <v>8.7260302329918105E-2</v>
      </c>
      <c r="K233" s="1" t="str">
        <f>TEXT(stand_validation_1cycle[[#This Row],[stand_age]], ".0")</f>
        <v>28.3</v>
      </c>
      <c r="L233" s="1" t="str">
        <f t="shared" si="3"/>
        <v>"28.3"</v>
      </c>
      <c r="M233">
        <v>100</v>
      </c>
      <c r="N233">
        <f>0.029*stand_validation_1cycle[[#This Row],[stand_level_biomass]]</f>
        <v>29.437452363684713</v>
      </c>
      <c r="O233">
        <f>0.213*stand_validation_1cycle[[#This Row],[stand_level_biomass]]</f>
        <v>216.21301218844286</v>
      </c>
      <c r="P233">
        <f>0.571*stand_validation_1cycle[[#This Row],[stand_level_biomass]]</f>
        <v>579.61328619530923</v>
      </c>
      <c r="Q233">
        <f>stand_validation_1cycle[[#This Row],[stock]]</f>
        <v>100</v>
      </c>
      <c r="R233">
        <v>0</v>
      </c>
      <c r="S233">
        <f>stand_validation_1cycle[[#This Row],[aws]]</f>
        <v>582</v>
      </c>
      <c r="T233">
        <f>stand_validation_1cycle[[#This Row],[percent_tree_cover]]*100</f>
        <v>8.7260302329918105</v>
      </c>
    </row>
    <row r="234" spans="1:20" x14ac:dyDescent="0.2">
      <c r="A234">
        <v>1</v>
      </c>
      <c r="B234" t="s">
        <v>252</v>
      </c>
      <c r="C234">
        <v>27.689211111111099</v>
      </c>
      <c r="D234">
        <v>942.33702616944197</v>
      </c>
      <c r="E234">
        <v>8.1837396922566903</v>
      </c>
      <c r="F234">
        <v>27.696060473901401</v>
      </c>
      <c r="G234">
        <v>100</v>
      </c>
      <c r="H234">
        <v>580</v>
      </c>
      <c r="I234">
        <v>8.1540666333909301E-2</v>
      </c>
      <c r="K234" s="1" t="str">
        <f>TEXT(stand_validation_1cycle[[#This Row],[stand_age]], ".0")</f>
        <v>27.7</v>
      </c>
      <c r="L234" s="1" t="str">
        <f t="shared" si="3"/>
        <v>"27.7"</v>
      </c>
      <c r="M234">
        <v>100</v>
      </c>
      <c r="N234">
        <f>0.029*stand_validation_1cycle[[#This Row],[stand_level_biomass]]</f>
        <v>27.327773758913818</v>
      </c>
      <c r="O234">
        <f>0.213*stand_validation_1cycle[[#This Row],[stand_level_biomass]]</f>
        <v>200.71778657409112</v>
      </c>
      <c r="P234">
        <f>0.571*stand_validation_1cycle[[#This Row],[stand_level_biomass]]</f>
        <v>538.07444194275126</v>
      </c>
      <c r="Q234">
        <f>stand_validation_1cycle[[#This Row],[stock]]</f>
        <v>100</v>
      </c>
      <c r="R234">
        <v>0</v>
      </c>
      <c r="S234">
        <f>stand_validation_1cycle[[#This Row],[aws]]</f>
        <v>580</v>
      </c>
      <c r="T234">
        <f>stand_validation_1cycle[[#This Row],[percent_tree_cover]]*100</f>
        <v>8.1540666333909293</v>
      </c>
    </row>
    <row r="235" spans="1:20" x14ac:dyDescent="0.2">
      <c r="A235">
        <v>1</v>
      </c>
      <c r="B235" t="s">
        <v>253</v>
      </c>
      <c r="C235">
        <v>28.4686555555555</v>
      </c>
      <c r="D235">
        <v>1004.06807068671</v>
      </c>
      <c r="E235">
        <v>8.7541720221377695</v>
      </c>
      <c r="F235">
        <v>28.926755426074202</v>
      </c>
      <c r="G235">
        <v>100</v>
      </c>
      <c r="H235">
        <v>588</v>
      </c>
      <c r="I235">
        <v>8.72241878690556E-2</v>
      </c>
      <c r="K235" s="1" t="str">
        <f>TEXT(stand_validation_1cycle[[#This Row],[stand_age]], ".0")</f>
        <v>28.5</v>
      </c>
      <c r="L235" s="1" t="str">
        <f t="shared" si="3"/>
        <v>"28.5"</v>
      </c>
      <c r="M235">
        <v>100</v>
      </c>
      <c r="N235">
        <f>0.029*stand_validation_1cycle[[#This Row],[stand_level_biomass]]</f>
        <v>29.117974049914594</v>
      </c>
      <c r="O235">
        <f>0.213*stand_validation_1cycle[[#This Row],[stand_level_biomass]]</f>
        <v>213.86649905626922</v>
      </c>
      <c r="P235">
        <f>0.571*stand_validation_1cycle[[#This Row],[stand_level_biomass]]</f>
        <v>573.32286836211142</v>
      </c>
      <c r="Q235">
        <f>stand_validation_1cycle[[#This Row],[stock]]</f>
        <v>100</v>
      </c>
      <c r="R235">
        <v>0</v>
      </c>
      <c r="S235">
        <f>stand_validation_1cycle[[#This Row],[aws]]</f>
        <v>588</v>
      </c>
      <c r="T235">
        <f>stand_validation_1cycle[[#This Row],[percent_tree_cover]]*100</f>
        <v>8.7224187869055605</v>
      </c>
    </row>
    <row r="236" spans="1:20" x14ac:dyDescent="0.2">
      <c r="A236">
        <v>1</v>
      </c>
      <c r="B236" t="s">
        <v>254</v>
      </c>
      <c r="C236">
        <v>26.637561327561301</v>
      </c>
      <c r="D236">
        <v>799.34702568062505</v>
      </c>
      <c r="E236">
        <v>5.60102380536991</v>
      </c>
      <c r="F236">
        <v>26.3164866027439</v>
      </c>
      <c r="G236">
        <v>77</v>
      </c>
      <c r="H236">
        <v>605</v>
      </c>
      <c r="I236">
        <v>7.2918464034931296E-2</v>
      </c>
      <c r="K236" s="1" t="str">
        <f>TEXT(stand_validation_1cycle[[#This Row],[stand_age]], ".0")</f>
        <v>26.6</v>
      </c>
      <c r="L236" s="1" t="str">
        <f t="shared" si="3"/>
        <v>"26.6"</v>
      </c>
      <c r="M236">
        <v>100</v>
      </c>
      <c r="N236">
        <f>0.029*stand_validation_1cycle[[#This Row],[stand_level_biomass]]</f>
        <v>23.181063744738129</v>
      </c>
      <c r="O236">
        <f>0.213*stand_validation_1cycle[[#This Row],[stand_level_biomass]]</f>
        <v>170.26091646997313</v>
      </c>
      <c r="P236">
        <f>0.571*stand_validation_1cycle[[#This Row],[stand_level_biomass]]</f>
        <v>456.42715166363689</v>
      </c>
      <c r="Q236">
        <f>stand_validation_1cycle[[#This Row],[stock]]</f>
        <v>77</v>
      </c>
      <c r="R236">
        <v>0</v>
      </c>
      <c r="S236">
        <f>stand_validation_1cycle[[#This Row],[aws]]</f>
        <v>605</v>
      </c>
      <c r="T236">
        <f>stand_validation_1cycle[[#This Row],[percent_tree_cover]]*100</f>
        <v>7.2918464034931301</v>
      </c>
    </row>
    <row r="237" spans="1:20" x14ac:dyDescent="0.2">
      <c r="A237">
        <v>1</v>
      </c>
      <c r="B237" t="s">
        <v>255</v>
      </c>
      <c r="C237">
        <v>28.802553191489299</v>
      </c>
      <c r="D237">
        <v>1114.2377430475899</v>
      </c>
      <c r="E237">
        <v>8.7555582498961702</v>
      </c>
      <c r="F237">
        <v>28.3105965531003</v>
      </c>
      <c r="G237">
        <v>94</v>
      </c>
      <c r="H237">
        <v>605</v>
      </c>
      <c r="I237">
        <v>9.3792779404518606E-2</v>
      </c>
      <c r="K237" s="1" t="str">
        <f>TEXT(stand_validation_1cycle[[#This Row],[stand_age]], ".0")</f>
        <v>28.8</v>
      </c>
      <c r="L237" s="1" t="str">
        <f t="shared" si="3"/>
        <v>"28.8"</v>
      </c>
      <c r="M237">
        <v>100</v>
      </c>
      <c r="N237">
        <f>0.029*stand_validation_1cycle[[#This Row],[stand_level_biomass]]</f>
        <v>32.312894548380108</v>
      </c>
      <c r="O237">
        <f>0.213*stand_validation_1cycle[[#This Row],[stand_level_biomass]]</f>
        <v>237.33263926913665</v>
      </c>
      <c r="P237">
        <f>0.571*stand_validation_1cycle[[#This Row],[stand_level_biomass]]</f>
        <v>636.22975128017379</v>
      </c>
      <c r="Q237">
        <f>stand_validation_1cycle[[#This Row],[stock]]</f>
        <v>94</v>
      </c>
      <c r="R237">
        <v>0</v>
      </c>
      <c r="S237">
        <f>stand_validation_1cycle[[#This Row],[aws]]</f>
        <v>605</v>
      </c>
      <c r="T237">
        <f>stand_validation_1cycle[[#This Row],[percent_tree_cover]]*100</f>
        <v>9.3792779404518605</v>
      </c>
    </row>
    <row r="238" spans="1:20" x14ac:dyDescent="0.2">
      <c r="A238">
        <v>1</v>
      </c>
      <c r="B238" t="s">
        <v>256</v>
      </c>
      <c r="C238">
        <v>26.442133333333299</v>
      </c>
      <c r="D238">
        <v>747.76941143250201</v>
      </c>
      <c r="E238">
        <v>6.8740050025861299</v>
      </c>
      <c r="F238">
        <v>26.024517178817099</v>
      </c>
      <c r="G238">
        <v>100</v>
      </c>
      <c r="H238">
        <v>616</v>
      </c>
      <c r="I238">
        <v>6.8509050384477799E-2</v>
      </c>
      <c r="K238" s="1" t="str">
        <f>TEXT(stand_validation_1cycle[[#This Row],[stand_age]], ".0")</f>
        <v>26.4</v>
      </c>
      <c r="L238" s="1" t="str">
        <f t="shared" si="3"/>
        <v>"26.4"</v>
      </c>
      <c r="M238">
        <v>100</v>
      </c>
      <c r="N238">
        <f>0.029*stand_validation_1cycle[[#This Row],[stand_level_biomass]]</f>
        <v>21.685312931542558</v>
      </c>
      <c r="O238">
        <f>0.213*stand_validation_1cycle[[#This Row],[stand_level_biomass]]</f>
        <v>159.27488463512293</v>
      </c>
      <c r="P238">
        <f>0.571*stand_validation_1cycle[[#This Row],[stand_level_biomass]]</f>
        <v>426.97633392795859</v>
      </c>
      <c r="Q238">
        <f>stand_validation_1cycle[[#This Row],[stock]]</f>
        <v>100</v>
      </c>
      <c r="R238">
        <v>0</v>
      </c>
      <c r="S238">
        <f>stand_validation_1cycle[[#This Row],[aws]]</f>
        <v>616</v>
      </c>
      <c r="T238">
        <f>stand_validation_1cycle[[#This Row],[percent_tree_cover]]*100</f>
        <v>6.8509050384477801</v>
      </c>
    </row>
    <row r="239" spans="1:20" x14ac:dyDescent="0.2">
      <c r="A239">
        <v>1</v>
      </c>
      <c r="B239" t="s">
        <v>257</v>
      </c>
      <c r="C239">
        <v>28.048686868686801</v>
      </c>
      <c r="D239">
        <v>844.91698815233804</v>
      </c>
      <c r="E239">
        <v>7.5102379905966403</v>
      </c>
      <c r="F239">
        <v>26.936121364103901</v>
      </c>
      <c r="G239">
        <v>99</v>
      </c>
      <c r="H239">
        <v>622</v>
      </c>
      <c r="I239">
        <v>7.4486410598790104E-2</v>
      </c>
      <c r="K239" s="1" t="str">
        <f>TEXT(stand_validation_1cycle[[#This Row],[stand_age]], ".0")</f>
        <v>28.0</v>
      </c>
      <c r="L239" s="1" t="str">
        <f t="shared" si="3"/>
        <v>"28.0"</v>
      </c>
      <c r="M239">
        <v>100</v>
      </c>
      <c r="N239">
        <f>0.029*stand_validation_1cycle[[#This Row],[stand_level_biomass]]</f>
        <v>24.502592656417804</v>
      </c>
      <c r="O239">
        <f>0.213*stand_validation_1cycle[[#This Row],[stand_level_biomass]]</f>
        <v>179.96731847644799</v>
      </c>
      <c r="P239">
        <f>0.571*stand_validation_1cycle[[#This Row],[stand_level_biomass]]</f>
        <v>482.44760023498498</v>
      </c>
      <c r="Q239">
        <f>stand_validation_1cycle[[#This Row],[stock]]</f>
        <v>99</v>
      </c>
      <c r="R239">
        <v>0</v>
      </c>
      <c r="S239">
        <f>stand_validation_1cycle[[#This Row],[aws]]</f>
        <v>622</v>
      </c>
      <c r="T239">
        <f>stand_validation_1cycle[[#This Row],[percent_tree_cover]]*100</f>
        <v>7.4486410598790105</v>
      </c>
    </row>
    <row r="240" spans="1:20" x14ac:dyDescent="0.2">
      <c r="A240">
        <v>1</v>
      </c>
      <c r="B240" t="s">
        <v>258</v>
      </c>
      <c r="C240">
        <v>29.6659034792368</v>
      </c>
      <c r="D240">
        <v>1061.4094507488501</v>
      </c>
      <c r="E240">
        <v>9.0752844174373095</v>
      </c>
      <c r="F240">
        <v>29.6457422584906</v>
      </c>
      <c r="G240">
        <v>99</v>
      </c>
      <c r="H240">
        <v>615</v>
      </c>
      <c r="I240">
        <v>9.0331354128917601E-2</v>
      </c>
      <c r="K240" s="1" t="str">
        <f>TEXT(stand_validation_1cycle[[#This Row],[stand_age]], ".0")</f>
        <v>29.7</v>
      </c>
      <c r="L240" s="1" t="str">
        <f t="shared" si="3"/>
        <v>"29.7"</v>
      </c>
      <c r="M240">
        <v>100</v>
      </c>
      <c r="N240">
        <f>0.029*stand_validation_1cycle[[#This Row],[stand_level_biomass]]</f>
        <v>30.780874071716653</v>
      </c>
      <c r="O240">
        <f>0.213*stand_validation_1cycle[[#This Row],[stand_level_biomass]]</f>
        <v>226.08021300950506</v>
      </c>
      <c r="P240">
        <f>0.571*stand_validation_1cycle[[#This Row],[stand_level_biomass]]</f>
        <v>606.06479637759332</v>
      </c>
      <c r="Q240">
        <f>stand_validation_1cycle[[#This Row],[stock]]</f>
        <v>99</v>
      </c>
      <c r="R240">
        <v>0</v>
      </c>
      <c r="S240">
        <f>stand_validation_1cycle[[#This Row],[aws]]</f>
        <v>615</v>
      </c>
      <c r="T240">
        <f>stand_validation_1cycle[[#This Row],[percent_tree_cover]]*100</f>
        <v>9.0331354128917596</v>
      </c>
    </row>
    <row r="241" spans="1:20" x14ac:dyDescent="0.2">
      <c r="A241">
        <v>1</v>
      </c>
      <c r="B241" t="s">
        <v>259</v>
      </c>
      <c r="C241">
        <v>28.872144444444402</v>
      </c>
      <c r="D241">
        <v>1016.26935381803</v>
      </c>
      <c r="E241">
        <v>8.6971269827338897</v>
      </c>
      <c r="F241">
        <v>28.094164912277101</v>
      </c>
      <c r="G241">
        <v>100</v>
      </c>
      <c r="H241">
        <v>596</v>
      </c>
      <c r="I241">
        <v>8.6632788228198698E-2</v>
      </c>
      <c r="K241" s="1" t="str">
        <f>TEXT(stand_validation_1cycle[[#This Row],[stand_age]], ".0")</f>
        <v>28.9</v>
      </c>
      <c r="L241" s="1" t="str">
        <f t="shared" si="3"/>
        <v>"28.9"</v>
      </c>
      <c r="M241">
        <v>100</v>
      </c>
      <c r="N241">
        <f>0.029*stand_validation_1cycle[[#This Row],[stand_level_biomass]]</f>
        <v>29.471811260722873</v>
      </c>
      <c r="O241">
        <f>0.213*stand_validation_1cycle[[#This Row],[stand_level_biomass]]</f>
        <v>216.46537236324039</v>
      </c>
      <c r="P241">
        <f>0.571*stand_validation_1cycle[[#This Row],[stand_level_biomass]]</f>
        <v>580.28980103009508</v>
      </c>
      <c r="Q241">
        <f>stand_validation_1cycle[[#This Row],[stock]]</f>
        <v>100</v>
      </c>
      <c r="R241">
        <v>0</v>
      </c>
      <c r="S241">
        <f>stand_validation_1cycle[[#This Row],[aws]]</f>
        <v>596</v>
      </c>
      <c r="T241">
        <f>stand_validation_1cycle[[#This Row],[percent_tree_cover]]*100</f>
        <v>8.6632788228198692</v>
      </c>
    </row>
    <row r="242" spans="1:20" x14ac:dyDescent="0.2">
      <c r="A242">
        <v>1</v>
      </c>
      <c r="B242" t="s">
        <v>260</v>
      </c>
      <c r="C242">
        <v>25.761755555555499</v>
      </c>
      <c r="D242">
        <v>698.78902247443295</v>
      </c>
      <c r="E242">
        <v>6.3798552547231901</v>
      </c>
      <c r="F242">
        <v>24.324280874471398</v>
      </c>
      <c r="G242">
        <v>100</v>
      </c>
      <c r="H242">
        <v>606</v>
      </c>
      <c r="I242">
        <v>6.3571408806528701E-2</v>
      </c>
      <c r="K242" s="1" t="str">
        <f>TEXT(stand_validation_1cycle[[#This Row],[stand_age]], ".0")</f>
        <v>25.8</v>
      </c>
      <c r="L242" s="1" t="str">
        <f t="shared" si="3"/>
        <v>"25.8"</v>
      </c>
      <c r="M242">
        <v>100</v>
      </c>
      <c r="N242">
        <f>0.029*stand_validation_1cycle[[#This Row],[stand_level_biomass]]</f>
        <v>20.264881651758557</v>
      </c>
      <c r="O242">
        <f>0.213*stand_validation_1cycle[[#This Row],[stand_level_biomass]]</f>
        <v>148.84206178705421</v>
      </c>
      <c r="P242">
        <f>0.571*stand_validation_1cycle[[#This Row],[stand_level_biomass]]</f>
        <v>399.00853183290116</v>
      </c>
      <c r="Q242">
        <f>stand_validation_1cycle[[#This Row],[stock]]</f>
        <v>100</v>
      </c>
      <c r="R242">
        <v>0</v>
      </c>
      <c r="S242">
        <f>stand_validation_1cycle[[#This Row],[aws]]</f>
        <v>606</v>
      </c>
      <c r="T242">
        <f>stand_validation_1cycle[[#This Row],[percent_tree_cover]]*100</f>
        <v>6.35714088065287</v>
      </c>
    </row>
    <row r="243" spans="1:20" x14ac:dyDescent="0.2">
      <c r="A243">
        <v>1</v>
      </c>
      <c r="B243" t="s">
        <v>261</v>
      </c>
      <c r="C243">
        <v>31.0303928170595</v>
      </c>
      <c r="D243">
        <v>1134.7132143534</v>
      </c>
      <c r="E243">
        <v>9.5176528643874505</v>
      </c>
      <c r="F243">
        <v>29.8811450293001</v>
      </c>
      <c r="G243">
        <v>99</v>
      </c>
      <c r="H243">
        <v>616</v>
      </c>
      <c r="I243">
        <v>9.4786852400808294E-2</v>
      </c>
      <c r="K243" s="1" t="str">
        <f>TEXT(stand_validation_1cycle[[#This Row],[stand_age]], ".0")</f>
        <v>31.0</v>
      </c>
      <c r="L243" s="1" t="str">
        <f t="shared" si="3"/>
        <v>"31.0"</v>
      </c>
      <c r="M243">
        <v>100</v>
      </c>
      <c r="N243">
        <f>0.029*stand_validation_1cycle[[#This Row],[stand_level_biomass]]</f>
        <v>32.906683216248602</v>
      </c>
      <c r="O243">
        <f>0.213*stand_validation_1cycle[[#This Row],[stand_level_biomass]]</f>
        <v>241.69391465727418</v>
      </c>
      <c r="P243">
        <f>0.571*stand_validation_1cycle[[#This Row],[stand_level_biomass]]</f>
        <v>647.92124539579129</v>
      </c>
      <c r="Q243">
        <f>stand_validation_1cycle[[#This Row],[stock]]</f>
        <v>99</v>
      </c>
      <c r="R243">
        <v>0</v>
      </c>
      <c r="S243">
        <f>stand_validation_1cycle[[#This Row],[aws]]</f>
        <v>616</v>
      </c>
      <c r="T243">
        <f>stand_validation_1cycle[[#This Row],[percent_tree_cover]]*100</f>
        <v>9.4786852400808286</v>
      </c>
    </row>
    <row r="244" spans="1:20" x14ac:dyDescent="0.2">
      <c r="A244">
        <v>1</v>
      </c>
      <c r="B244" t="s">
        <v>262</v>
      </c>
      <c r="C244">
        <v>26.1042666666666</v>
      </c>
      <c r="D244">
        <v>723.17020573040804</v>
      </c>
      <c r="E244">
        <v>6.7375365739086801</v>
      </c>
      <c r="F244">
        <v>25.959085532143501</v>
      </c>
      <c r="G244">
        <v>100</v>
      </c>
      <c r="H244">
        <v>624</v>
      </c>
      <c r="I244">
        <v>6.7158431638089502E-2</v>
      </c>
      <c r="K244" s="1" t="str">
        <f>TEXT(stand_validation_1cycle[[#This Row],[stand_age]], ".0")</f>
        <v>26.1</v>
      </c>
      <c r="L244" s="1" t="str">
        <f t="shared" si="3"/>
        <v>"26.1"</v>
      </c>
      <c r="M244">
        <v>100</v>
      </c>
      <c r="N244">
        <f>0.029*stand_validation_1cycle[[#This Row],[stand_level_biomass]]</f>
        <v>20.971935966181835</v>
      </c>
      <c r="O244">
        <f>0.213*stand_validation_1cycle[[#This Row],[stand_level_biomass]]</f>
        <v>154.03525382057691</v>
      </c>
      <c r="P244">
        <f>0.571*stand_validation_1cycle[[#This Row],[stand_level_biomass]]</f>
        <v>412.93018747206298</v>
      </c>
      <c r="Q244">
        <f>stand_validation_1cycle[[#This Row],[stock]]</f>
        <v>100</v>
      </c>
      <c r="R244">
        <v>0</v>
      </c>
      <c r="S244">
        <f>stand_validation_1cycle[[#This Row],[aws]]</f>
        <v>624</v>
      </c>
      <c r="T244">
        <f>stand_validation_1cycle[[#This Row],[percent_tree_cover]]*100</f>
        <v>6.71584316380895</v>
      </c>
    </row>
    <row r="245" spans="1:20" x14ac:dyDescent="0.2">
      <c r="A245">
        <v>1</v>
      </c>
      <c r="B245" t="s">
        <v>263</v>
      </c>
      <c r="C245">
        <v>26.996588103254702</v>
      </c>
      <c r="D245">
        <v>777.07793161467998</v>
      </c>
      <c r="E245">
        <v>7.0253308083205699</v>
      </c>
      <c r="F245">
        <v>26.241120604977599</v>
      </c>
      <c r="G245">
        <v>99</v>
      </c>
      <c r="H245">
        <v>639</v>
      </c>
      <c r="I245">
        <v>6.98917023865398E-2</v>
      </c>
      <c r="K245" s="1" t="str">
        <f>TEXT(stand_validation_1cycle[[#This Row],[stand_age]], ".0")</f>
        <v>27.0</v>
      </c>
      <c r="L245" s="1" t="str">
        <f t="shared" si="3"/>
        <v>"27.0"</v>
      </c>
      <c r="M245">
        <v>100</v>
      </c>
      <c r="N245">
        <f>0.029*stand_validation_1cycle[[#This Row],[stand_level_biomass]]</f>
        <v>22.53526001682572</v>
      </c>
      <c r="O245">
        <f>0.213*stand_validation_1cycle[[#This Row],[stand_level_biomass]]</f>
        <v>165.51759943392682</v>
      </c>
      <c r="P245">
        <f>0.571*stand_validation_1cycle[[#This Row],[stand_level_biomass]]</f>
        <v>443.71149895198221</v>
      </c>
      <c r="Q245">
        <f>stand_validation_1cycle[[#This Row],[stock]]</f>
        <v>99</v>
      </c>
      <c r="R245">
        <v>0</v>
      </c>
      <c r="S245">
        <f>stand_validation_1cycle[[#This Row],[aws]]</f>
        <v>639</v>
      </c>
      <c r="T245">
        <f>stand_validation_1cycle[[#This Row],[percent_tree_cover]]*100</f>
        <v>6.9891702386539798</v>
      </c>
    </row>
    <row r="246" spans="1:20" x14ac:dyDescent="0.2">
      <c r="A246">
        <v>1</v>
      </c>
      <c r="B246" t="s">
        <v>264</v>
      </c>
      <c r="C246">
        <v>28.1172789115646</v>
      </c>
      <c r="D246">
        <v>826.70727702253805</v>
      </c>
      <c r="E246">
        <v>7.3710096727730203</v>
      </c>
      <c r="F246">
        <v>27.304331631586699</v>
      </c>
      <c r="G246">
        <v>98</v>
      </c>
      <c r="H246">
        <v>642</v>
      </c>
      <c r="I246">
        <v>7.3123439367312207E-2</v>
      </c>
      <c r="K246" s="1" t="str">
        <f>TEXT(stand_validation_1cycle[[#This Row],[stand_age]], ".0")</f>
        <v>28.1</v>
      </c>
      <c r="L246" s="1" t="str">
        <f t="shared" si="3"/>
        <v>"28.1"</v>
      </c>
      <c r="M246">
        <v>100</v>
      </c>
      <c r="N246">
        <f>0.029*stand_validation_1cycle[[#This Row],[stand_level_biomass]]</f>
        <v>23.974511033653606</v>
      </c>
      <c r="O246">
        <f>0.213*stand_validation_1cycle[[#This Row],[stand_level_biomass]]</f>
        <v>176.08865000580059</v>
      </c>
      <c r="P246">
        <f>0.571*stand_validation_1cycle[[#This Row],[stand_level_biomass]]</f>
        <v>472.04985517986921</v>
      </c>
      <c r="Q246">
        <f>stand_validation_1cycle[[#This Row],[stock]]</f>
        <v>98</v>
      </c>
      <c r="R246">
        <v>0</v>
      </c>
      <c r="S246">
        <f>stand_validation_1cycle[[#This Row],[aws]]</f>
        <v>642</v>
      </c>
      <c r="T246">
        <f>stand_validation_1cycle[[#This Row],[percent_tree_cover]]*100</f>
        <v>7.3123439367312209</v>
      </c>
    </row>
    <row r="247" spans="1:20" x14ac:dyDescent="0.2">
      <c r="A247">
        <v>1</v>
      </c>
      <c r="B247" t="s">
        <v>265</v>
      </c>
      <c r="C247">
        <v>24.299588888888898</v>
      </c>
      <c r="D247">
        <v>736.26780926978404</v>
      </c>
      <c r="E247">
        <v>6.7178607791192402</v>
      </c>
      <c r="F247">
        <v>25.235881065400001</v>
      </c>
      <c r="G247">
        <v>100</v>
      </c>
      <c r="H247">
        <v>623</v>
      </c>
      <c r="I247">
        <v>6.6971850891867898E-2</v>
      </c>
      <c r="K247" s="1" t="str">
        <f>TEXT(stand_validation_1cycle[[#This Row],[stand_age]], ".0")</f>
        <v>24.3</v>
      </c>
      <c r="L247" s="1" t="str">
        <f t="shared" si="3"/>
        <v>"24.3"</v>
      </c>
      <c r="M247">
        <v>100</v>
      </c>
      <c r="N247">
        <f>0.029*stand_validation_1cycle[[#This Row],[stand_level_biomass]]</f>
        <v>21.351766468823737</v>
      </c>
      <c r="O247">
        <f>0.213*stand_validation_1cycle[[#This Row],[stand_level_biomass]]</f>
        <v>156.825043374464</v>
      </c>
      <c r="P247">
        <f>0.571*stand_validation_1cycle[[#This Row],[stand_level_biomass]]</f>
        <v>420.40891909304668</v>
      </c>
      <c r="Q247">
        <f>stand_validation_1cycle[[#This Row],[stock]]</f>
        <v>100</v>
      </c>
      <c r="R247">
        <v>0</v>
      </c>
      <c r="S247">
        <f>stand_validation_1cycle[[#This Row],[aws]]</f>
        <v>623</v>
      </c>
      <c r="T247">
        <f>stand_validation_1cycle[[#This Row],[percent_tree_cover]]*100</f>
        <v>6.6971850891867897</v>
      </c>
    </row>
    <row r="248" spans="1:20" x14ac:dyDescent="0.2">
      <c r="A248">
        <v>1</v>
      </c>
      <c r="B248" t="s">
        <v>266</v>
      </c>
      <c r="C248">
        <v>26.145688888888799</v>
      </c>
      <c r="D248">
        <v>732.58221020442897</v>
      </c>
      <c r="E248">
        <v>6.7087533020164898</v>
      </c>
      <c r="F248">
        <v>25.253574465630699</v>
      </c>
      <c r="G248">
        <v>100</v>
      </c>
      <c r="H248">
        <v>600</v>
      </c>
      <c r="I248">
        <v>6.6858066063095203E-2</v>
      </c>
      <c r="K248" s="1" t="str">
        <f>TEXT(stand_validation_1cycle[[#This Row],[stand_age]], ".0")</f>
        <v>26.1</v>
      </c>
      <c r="L248" s="1" t="str">
        <f t="shared" si="3"/>
        <v>"26.1"</v>
      </c>
      <c r="M248">
        <v>100</v>
      </c>
      <c r="N248">
        <f>0.029*stand_validation_1cycle[[#This Row],[stand_level_biomass]]</f>
        <v>21.244884095928441</v>
      </c>
      <c r="O248">
        <f>0.213*stand_validation_1cycle[[#This Row],[stand_level_biomass]]</f>
        <v>156.04001077354337</v>
      </c>
      <c r="P248">
        <f>0.571*stand_validation_1cycle[[#This Row],[stand_level_biomass]]</f>
        <v>418.30444202672891</v>
      </c>
      <c r="Q248">
        <f>stand_validation_1cycle[[#This Row],[stock]]</f>
        <v>100</v>
      </c>
      <c r="R248">
        <v>0</v>
      </c>
      <c r="S248">
        <f>stand_validation_1cycle[[#This Row],[aws]]</f>
        <v>600</v>
      </c>
      <c r="T248">
        <f>stand_validation_1cycle[[#This Row],[percent_tree_cover]]*100</f>
        <v>6.6858066063095203</v>
      </c>
    </row>
    <row r="249" spans="1:20" x14ac:dyDescent="0.2">
      <c r="A249">
        <v>1</v>
      </c>
      <c r="B249" t="s">
        <v>267</v>
      </c>
      <c r="C249">
        <v>26.355975056689299</v>
      </c>
      <c r="D249">
        <v>834.26715653217104</v>
      </c>
      <c r="E249">
        <v>7.2601570051947704</v>
      </c>
      <c r="F249">
        <v>25.733416665646502</v>
      </c>
      <c r="G249">
        <v>98</v>
      </c>
      <c r="H249">
        <v>573</v>
      </c>
      <c r="I249">
        <v>7.1820048128310499E-2</v>
      </c>
      <c r="K249" s="1" t="str">
        <f>TEXT(stand_validation_1cycle[[#This Row],[stand_age]], ".0")</f>
        <v>26.4</v>
      </c>
      <c r="L249" s="1" t="str">
        <f t="shared" si="3"/>
        <v>"26.4"</v>
      </c>
      <c r="M249">
        <v>100</v>
      </c>
      <c r="N249">
        <f>0.029*stand_validation_1cycle[[#This Row],[stand_level_biomass]]</f>
        <v>24.193747539432962</v>
      </c>
      <c r="O249">
        <f>0.213*stand_validation_1cycle[[#This Row],[stand_level_biomass]]</f>
        <v>177.69890434135243</v>
      </c>
      <c r="P249">
        <f>0.571*stand_validation_1cycle[[#This Row],[stand_level_biomass]]</f>
        <v>476.36654637986965</v>
      </c>
      <c r="Q249">
        <f>stand_validation_1cycle[[#This Row],[stock]]</f>
        <v>98</v>
      </c>
      <c r="R249">
        <v>0</v>
      </c>
      <c r="S249">
        <f>stand_validation_1cycle[[#This Row],[aws]]</f>
        <v>573</v>
      </c>
      <c r="T249">
        <f>stand_validation_1cycle[[#This Row],[percent_tree_cover]]*100</f>
        <v>7.1820048128310496</v>
      </c>
    </row>
    <row r="250" spans="1:20" x14ac:dyDescent="0.2">
      <c r="A250">
        <v>1</v>
      </c>
      <c r="B250" t="s">
        <v>268</v>
      </c>
      <c r="C250">
        <v>26.952233560090701</v>
      </c>
      <c r="D250">
        <v>762.59522895423697</v>
      </c>
      <c r="E250">
        <v>6.9724813659055496</v>
      </c>
      <c r="F250">
        <v>26.746710543031298</v>
      </c>
      <c r="G250">
        <v>98</v>
      </c>
      <c r="H250">
        <v>560</v>
      </c>
      <c r="I250">
        <v>6.8960694900608993E-2</v>
      </c>
      <c r="K250" s="1" t="str">
        <f>TEXT(stand_validation_1cycle[[#This Row],[stand_age]], ".0")</f>
        <v>27.0</v>
      </c>
      <c r="L250" s="1" t="str">
        <f t="shared" si="3"/>
        <v>"27.0"</v>
      </c>
      <c r="M250">
        <v>100</v>
      </c>
      <c r="N250">
        <f>0.029*stand_validation_1cycle[[#This Row],[stand_level_biomass]]</f>
        <v>22.115261639672873</v>
      </c>
      <c r="O250">
        <f>0.213*stand_validation_1cycle[[#This Row],[stand_level_biomass]]</f>
        <v>162.43278376725246</v>
      </c>
      <c r="P250">
        <f>0.571*stand_validation_1cycle[[#This Row],[stand_level_biomass]]</f>
        <v>435.44187573286928</v>
      </c>
      <c r="Q250">
        <f>stand_validation_1cycle[[#This Row],[stock]]</f>
        <v>98</v>
      </c>
      <c r="R250">
        <v>0</v>
      </c>
      <c r="S250">
        <f>stand_validation_1cycle[[#This Row],[aws]]</f>
        <v>560</v>
      </c>
      <c r="T250">
        <f>stand_validation_1cycle[[#This Row],[percent_tree_cover]]*100</f>
        <v>6.8960694900608992</v>
      </c>
    </row>
    <row r="251" spans="1:20" x14ac:dyDescent="0.2">
      <c r="A251">
        <v>1</v>
      </c>
      <c r="B251" t="s">
        <v>269</v>
      </c>
      <c r="C251">
        <v>29.392622222222201</v>
      </c>
      <c r="D251">
        <v>1186.12520627037</v>
      </c>
      <c r="E251">
        <v>9.7830546117627204</v>
      </c>
      <c r="F251">
        <v>28.814906665725701</v>
      </c>
      <c r="G251">
        <v>100</v>
      </c>
      <c r="H251">
        <v>547</v>
      </c>
      <c r="I251">
        <v>9.7427711348161694E-2</v>
      </c>
      <c r="K251" s="1" t="str">
        <f>TEXT(stand_validation_1cycle[[#This Row],[stand_age]], ".0")</f>
        <v>29.4</v>
      </c>
      <c r="L251" s="1" t="str">
        <f t="shared" si="3"/>
        <v>"29.4"</v>
      </c>
      <c r="M251">
        <v>100</v>
      </c>
      <c r="N251">
        <f>0.029*stand_validation_1cycle[[#This Row],[stand_level_biomass]]</f>
        <v>34.397630981840734</v>
      </c>
      <c r="O251">
        <f>0.213*stand_validation_1cycle[[#This Row],[stand_level_biomass]]</f>
        <v>252.64466893558881</v>
      </c>
      <c r="P251">
        <f>0.571*stand_validation_1cycle[[#This Row],[stand_level_biomass]]</f>
        <v>677.27749278038118</v>
      </c>
      <c r="Q251">
        <f>stand_validation_1cycle[[#This Row],[stock]]</f>
        <v>100</v>
      </c>
      <c r="R251">
        <v>0</v>
      </c>
      <c r="S251">
        <f>stand_validation_1cycle[[#This Row],[aws]]</f>
        <v>547</v>
      </c>
      <c r="T251">
        <f>stand_validation_1cycle[[#This Row],[percent_tree_cover]]*100</f>
        <v>9.7427711348161701</v>
      </c>
    </row>
    <row r="252" spans="1:20" x14ac:dyDescent="0.2">
      <c r="A252">
        <v>1</v>
      </c>
      <c r="B252" t="s">
        <v>270</v>
      </c>
      <c r="C252">
        <v>26.7903555555555</v>
      </c>
      <c r="D252">
        <v>843.78180430974203</v>
      </c>
      <c r="E252">
        <v>3.7205693300904699</v>
      </c>
      <c r="F252">
        <v>26.209014532347101</v>
      </c>
      <c r="G252">
        <v>50</v>
      </c>
      <c r="H252">
        <v>547</v>
      </c>
      <c r="I252">
        <v>8.0770791280834503E-2</v>
      </c>
      <c r="K252" s="1" t="str">
        <f>TEXT(stand_validation_1cycle[[#This Row],[stand_age]], ".0")</f>
        <v>26.8</v>
      </c>
      <c r="L252" s="1" t="str">
        <f t="shared" si="3"/>
        <v>"26.8"</v>
      </c>
      <c r="M252">
        <v>100</v>
      </c>
      <c r="N252">
        <f>0.029*stand_validation_1cycle[[#This Row],[stand_level_biomass]]</f>
        <v>24.469672324982518</v>
      </c>
      <c r="O252">
        <f>0.213*stand_validation_1cycle[[#This Row],[stand_level_biomass]]</f>
        <v>179.72552431797504</v>
      </c>
      <c r="P252">
        <f>0.571*stand_validation_1cycle[[#This Row],[stand_level_biomass]]</f>
        <v>481.79941026086266</v>
      </c>
      <c r="Q252">
        <f>stand_validation_1cycle[[#This Row],[stock]]</f>
        <v>50</v>
      </c>
      <c r="R252">
        <v>0</v>
      </c>
      <c r="S252">
        <f>stand_validation_1cycle[[#This Row],[aws]]</f>
        <v>547</v>
      </c>
      <c r="T252">
        <f>stand_validation_1cycle[[#This Row],[percent_tree_cover]]*100</f>
        <v>8.0770791280834509</v>
      </c>
    </row>
    <row r="253" spans="1:20" x14ac:dyDescent="0.2">
      <c r="A253">
        <v>1</v>
      </c>
      <c r="B253" t="s">
        <v>271</v>
      </c>
      <c r="C253">
        <v>25.343950617283902</v>
      </c>
      <c r="D253">
        <v>729.856457122042</v>
      </c>
      <c r="E253">
        <v>6.08926971523859</v>
      </c>
      <c r="F253">
        <v>25.7761315954507</v>
      </c>
      <c r="G253">
        <v>90</v>
      </c>
      <c r="H253">
        <v>566.86529541015602</v>
      </c>
      <c r="I253">
        <v>6.6458668214313996E-2</v>
      </c>
      <c r="K253" s="1" t="str">
        <f>TEXT(stand_validation_1cycle[[#This Row],[stand_age]], ".0")</f>
        <v>25.3</v>
      </c>
      <c r="L253" s="1" t="str">
        <f t="shared" si="3"/>
        <v>"25.3"</v>
      </c>
      <c r="M253">
        <v>100</v>
      </c>
      <c r="N253">
        <f>0.029*stand_validation_1cycle[[#This Row],[stand_level_biomass]]</f>
        <v>21.16583725653922</v>
      </c>
      <c r="O253">
        <f>0.213*stand_validation_1cycle[[#This Row],[stand_level_biomass]]</f>
        <v>155.45942536699494</v>
      </c>
      <c r="P253">
        <f>0.571*stand_validation_1cycle[[#This Row],[stand_level_biomass]]</f>
        <v>416.74803701668594</v>
      </c>
      <c r="Q253">
        <f>stand_validation_1cycle[[#This Row],[stock]]</f>
        <v>90</v>
      </c>
      <c r="R253">
        <v>0</v>
      </c>
      <c r="S253">
        <f>stand_validation_1cycle[[#This Row],[aws]]</f>
        <v>566.86529541015602</v>
      </c>
      <c r="T253">
        <f>stand_validation_1cycle[[#This Row],[percent_tree_cover]]*100</f>
        <v>6.6458668214313992</v>
      </c>
    </row>
    <row r="254" spans="1:20" x14ac:dyDescent="0.2">
      <c r="A254">
        <v>1</v>
      </c>
      <c r="B254" t="s">
        <v>272</v>
      </c>
      <c r="C254">
        <v>29.058499999999999</v>
      </c>
      <c r="D254">
        <v>1029.7988958108001</v>
      </c>
      <c r="E254">
        <v>8.8272611752235299</v>
      </c>
      <c r="F254">
        <v>28.750026588268501</v>
      </c>
      <c r="G254">
        <v>100</v>
      </c>
      <c r="H254">
        <v>568.80560302734295</v>
      </c>
      <c r="I254">
        <v>8.8107752654635996E-2</v>
      </c>
      <c r="K254" s="1" t="str">
        <f>TEXT(stand_validation_1cycle[[#This Row],[stand_age]], ".0")</f>
        <v>29.1</v>
      </c>
      <c r="L254" s="1" t="str">
        <f t="shared" si="3"/>
        <v>"29.1"</v>
      </c>
      <c r="M254">
        <v>100</v>
      </c>
      <c r="N254">
        <f>0.029*stand_validation_1cycle[[#This Row],[stand_level_biomass]]</f>
        <v>29.864167978513205</v>
      </c>
      <c r="O254">
        <f>0.213*stand_validation_1cycle[[#This Row],[stand_level_biomass]]</f>
        <v>219.34716480770041</v>
      </c>
      <c r="P254">
        <f>0.571*stand_validation_1cycle[[#This Row],[stand_level_biomass]]</f>
        <v>588.01516950796679</v>
      </c>
      <c r="Q254">
        <f>stand_validation_1cycle[[#This Row],[stock]]</f>
        <v>100</v>
      </c>
      <c r="R254">
        <v>0</v>
      </c>
      <c r="S254">
        <f>stand_validation_1cycle[[#This Row],[aws]]</f>
        <v>568.80560302734295</v>
      </c>
      <c r="T254">
        <f>stand_validation_1cycle[[#This Row],[percent_tree_cover]]*100</f>
        <v>8.8107752654635991</v>
      </c>
    </row>
    <row r="255" spans="1:20" x14ac:dyDescent="0.2">
      <c r="A255">
        <v>1</v>
      </c>
      <c r="B255" t="s">
        <v>273</v>
      </c>
      <c r="C255">
        <v>27.575288888888799</v>
      </c>
      <c r="D255">
        <v>889.08391098096695</v>
      </c>
      <c r="E255">
        <v>7.7251708373901504</v>
      </c>
      <c r="F255">
        <v>26.296018741011402</v>
      </c>
      <c r="G255">
        <v>100</v>
      </c>
      <c r="H255">
        <v>568.759765625</v>
      </c>
      <c r="I255">
        <v>7.6955882771831602E-2</v>
      </c>
      <c r="K255" s="1" t="str">
        <f>TEXT(stand_validation_1cycle[[#This Row],[stand_age]], ".0")</f>
        <v>27.6</v>
      </c>
      <c r="L255" s="1" t="str">
        <f t="shared" si="3"/>
        <v>"27.6"</v>
      </c>
      <c r="M255">
        <v>100</v>
      </c>
      <c r="N255">
        <f>0.029*stand_validation_1cycle[[#This Row],[stand_level_biomass]]</f>
        <v>25.783433418448041</v>
      </c>
      <c r="O255">
        <f>0.213*stand_validation_1cycle[[#This Row],[stand_level_biomass]]</f>
        <v>189.37487303894596</v>
      </c>
      <c r="P255">
        <f>0.571*stand_validation_1cycle[[#This Row],[stand_level_biomass]]</f>
        <v>507.66691317013209</v>
      </c>
      <c r="Q255">
        <f>stand_validation_1cycle[[#This Row],[stock]]</f>
        <v>100</v>
      </c>
      <c r="R255">
        <v>0</v>
      </c>
      <c r="S255">
        <f>stand_validation_1cycle[[#This Row],[aws]]</f>
        <v>568.759765625</v>
      </c>
      <c r="T255">
        <f>stand_validation_1cycle[[#This Row],[percent_tree_cover]]*100</f>
        <v>7.6955882771831599</v>
      </c>
    </row>
    <row r="256" spans="1:20" x14ac:dyDescent="0.2">
      <c r="A256">
        <v>1</v>
      </c>
      <c r="B256" t="s">
        <v>274</v>
      </c>
      <c r="C256">
        <v>28.751750841750798</v>
      </c>
      <c r="D256">
        <v>1055.5243800395399</v>
      </c>
      <c r="E256">
        <v>9.0294752841589894</v>
      </c>
      <c r="F256">
        <v>29.416845480883101</v>
      </c>
      <c r="G256">
        <v>99</v>
      </c>
      <c r="H256">
        <v>566.86529541015602</v>
      </c>
      <c r="I256">
        <v>8.9676939906807404E-2</v>
      </c>
      <c r="K256" s="1" t="str">
        <f>TEXT(stand_validation_1cycle[[#This Row],[stand_age]], ".0")</f>
        <v>28.8</v>
      </c>
      <c r="L256" s="1" t="str">
        <f t="shared" si="3"/>
        <v>"28.8"</v>
      </c>
      <c r="M256">
        <v>100</v>
      </c>
      <c r="N256">
        <f>0.029*stand_validation_1cycle[[#This Row],[stand_level_biomass]]</f>
        <v>30.610207021146657</v>
      </c>
      <c r="O256">
        <f>0.213*stand_validation_1cycle[[#This Row],[stand_level_biomass]]</f>
        <v>224.82669294842199</v>
      </c>
      <c r="P256">
        <f>0.571*stand_validation_1cycle[[#This Row],[stand_level_biomass]]</f>
        <v>602.70442100257719</v>
      </c>
      <c r="Q256">
        <f>stand_validation_1cycle[[#This Row],[stock]]</f>
        <v>99</v>
      </c>
      <c r="R256">
        <v>0</v>
      </c>
      <c r="S256">
        <f>stand_validation_1cycle[[#This Row],[aws]]</f>
        <v>566.86529541015602</v>
      </c>
      <c r="T256">
        <f>stand_validation_1cycle[[#This Row],[percent_tree_cover]]*100</f>
        <v>8.9676939906807398</v>
      </c>
    </row>
    <row r="257" spans="1:20" x14ac:dyDescent="0.2">
      <c r="A257">
        <v>1</v>
      </c>
      <c r="B257" t="s">
        <v>275</v>
      </c>
      <c r="C257">
        <v>30.075040091638002</v>
      </c>
      <c r="D257">
        <v>947.15672808192005</v>
      </c>
      <c r="E257">
        <v>8.1937315276914404</v>
      </c>
      <c r="F257">
        <v>29.062328500564</v>
      </c>
      <c r="G257">
        <v>97</v>
      </c>
      <c r="H257">
        <v>682.698486328125</v>
      </c>
      <c r="I257">
        <v>8.3798337559962605E-2</v>
      </c>
      <c r="K257" s="1" t="str">
        <f>TEXT(stand_validation_1cycle[[#This Row],[stand_age]], ".0")</f>
        <v>30.1</v>
      </c>
      <c r="L257" s="1" t="str">
        <f t="shared" si="3"/>
        <v>"30.1"</v>
      </c>
      <c r="M257">
        <v>100</v>
      </c>
      <c r="N257">
        <f>0.029*stand_validation_1cycle[[#This Row],[stand_level_biomass]]</f>
        <v>27.467545114375682</v>
      </c>
      <c r="O257">
        <f>0.213*stand_validation_1cycle[[#This Row],[stand_level_biomass]]</f>
        <v>201.74438308144897</v>
      </c>
      <c r="P257">
        <f>0.571*stand_validation_1cycle[[#This Row],[stand_level_biomass]]</f>
        <v>540.82649173477625</v>
      </c>
      <c r="Q257">
        <f>stand_validation_1cycle[[#This Row],[stock]]</f>
        <v>97</v>
      </c>
      <c r="R257">
        <v>0</v>
      </c>
      <c r="S257">
        <f>stand_validation_1cycle[[#This Row],[aws]]</f>
        <v>682.698486328125</v>
      </c>
      <c r="T257">
        <f>stand_validation_1cycle[[#This Row],[percent_tree_cover]]*100</f>
        <v>8.3798337559962608</v>
      </c>
    </row>
    <row r="258" spans="1:20" x14ac:dyDescent="0.2">
      <c r="A258">
        <v>1</v>
      </c>
      <c r="B258" t="s">
        <v>276</v>
      </c>
      <c r="C258">
        <v>25.1853333333333</v>
      </c>
      <c r="D258">
        <v>800.74131302554599</v>
      </c>
      <c r="E258">
        <v>4.9843731497673804</v>
      </c>
      <c r="F258">
        <v>25.499167045357101</v>
      </c>
      <c r="G258">
        <v>70</v>
      </c>
      <c r="H258">
        <v>566.86529541015602</v>
      </c>
      <c r="I258">
        <v>6.9627360379557496E-2</v>
      </c>
      <c r="K258" s="1" t="str">
        <f>TEXT(stand_validation_1cycle[[#This Row],[stand_age]], ".0")</f>
        <v>25.2</v>
      </c>
      <c r="L258" s="1" t="str">
        <f t="shared" si="3"/>
        <v>"25.2"</v>
      </c>
      <c r="M258">
        <v>100</v>
      </c>
      <c r="N258">
        <f>0.029*stand_validation_1cycle[[#This Row],[stand_level_biomass]]</f>
        <v>23.221498077740836</v>
      </c>
      <c r="O258">
        <f>0.213*stand_validation_1cycle[[#This Row],[stand_level_biomass]]</f>
        <v>170.5578996744413</v>
      </c>
      <c r="P258">
        <f>0.571*stand_validation_1cycle[[#This Row],[stand_level_biomass]]</f>
        <v>457.2232897375867</v>
      </c>
      <c r="Q258">
        <f>stand_validation_1cycle[[#This Row],[stock]]</f>
        <v>70</v>
      </c>
      <c r="R258">
        <v>0</v>
      </c>
      <c r="S258">
        <f>stand_validation_1cycle[[#This Row],[aws]]</f>
        <v>566.86529541015602</v>
      </c>
      <c r="T258">
        <f>stand_validation_1cycle[[#This Row],[percent_tree_cover]]*100</f>
        <v>6.9627360379557492</v>
      </c>
    </row>
    <row r="259" spans="1:20" x14ac:dyDescent="0.2">
      <c r="A259">
        <v>1</v>
      </c>
      <c r="B259" t="s">
        <v>277</v>
      </c>
      <c r="C259">
        <v>30.2428507295174</v>
      </c>
      <c r="D259">
        <v>1082.12564793054</v>
      </c>
      <c r="E259">
        <v>9.1310343352697494</v>
      </c>
      <c r="F259">
        <v>28.943933600838299</v>
      </c>
      <c r="G259">
        <v>99</v>
      </c>
      <c r="H259">
        <v>524.61187744140602</v>
      </c>
      <c r="I259">
        <v>9.0747909702830296E-2</v>
      </c>
      <c r="K259" s="1" t="str">
        <f>TEXT(stand_validation_1cycle[[#This Row],[stand_age]], ".0")</f>
        <v>30.2</v>
      </c>
      <c r="L259" s="1" t="str">
        <f t="shared" ref="L259:L322" si="4">""""&amp;K259&amp;""""</f>
        <v>"30.2"</v>
      </c>
      <c r="M259">
        <v>100</v>
      </c>
      <c r="N259">
        <f>0.029*stand_validation_1cycle[[#This Row],[stand_level_biomass]]</f>
        <v>31.381643789985663</v>
      </c>
      <c r="O259">
        <f>0.213*stand_validation_1cycle[[#This Row],[stand_level_biomass]]</f>
        <v>230.49276300920502</v>
      </c>
      <c r="P259">
        <f>0.571*stand_validation_1cycle[[#This Row],[stand_level_biomass]]</f>
        <v>617.8937449683383</v>
      </c>
      <c r="Q259">
        <f>stand_validation_1cycle[[#This Row],[stock]]</f>
        <v>99</v>
      </c>
      <c r="R259">
        <v>0</v>
      </c>
      <c r="S259">
        <f>stand_validation_1cycle[[#This Row],[aws]]</f>
        <v>524.61187744140602</v>
      </c>
      <c r="T259">
        <f>stand_validation_1cycle[[#This Row],[percent_tree_cover]]*100</f>
        <v>9.0747909702830292</v>
      </c>
    </row>
    <row r="260" spans="1:20" x14ac:dyDescent="0.2">
      <c r="A260">
        <v>1</v>
      </c>
      <c r="B260" t="s">
        <v>278</v>
      </c>
      <c r="C260">
        <v>27.377766666666599</v>
      </c>
      <c r="D260">
        <v>757.41031922604805</v>
      </c>
      <c r="E260">
        <v>6.8614001474617696</v>
      </c>
      <c r="F260">
        <v>25.5085689126571</v>
      </c>
      <c r="G260">
        <v>100</v>
      </c>
      <c r="H260">
        <v>524.87518310546795</v>
      </c>
      <c r="I260">
        <v>6.8354498610673595E-2</v>
      </c>
      <c r="K260" s="1" t="str">
        <f>TEXT(stand_validation_1cycle[[#This Row],[stand_age]], ".0")</f>
        <v>27.4</v>
      </c>
      <c r="L260" s="1" t="str">
        <f t="shared" si="4"/>
        <v>"27.4"</v>
      </c>
      <c r="M260">
        <v>100</v>
      </c>
      <c r="N260">
        <f>0.029*stand_validation_1cycle[[#This Row],[stand_level_biomass]]</f>
        <v>21.964899257555395</v>
      </c>
      <c r="O260">
        <f>0.213*stand_validation_1cycle[[#This Row],[stand_level_biomass]]</f>
        <v>161.32839799514824</v>
      </c>
      <c r="P260">
        <f>0.571*stand_validation_1cycle[[#This Row],[stand_level_biomass]]</f>
        <v>432.4812922780734</v>
      </c>
      <c r="Q260">
        <f>stand_validation_1cycle[[#This Row],[stock]]</f>
        <v>100</v>
      </c>
      <c r="R260">
        <v>0</v>
      </c>
      <c r="S260">
        <f>stand_validation_1cycle[[#This Row],[aws]]</f>
        <v>524.87518310546795</v>
      </c>
      <c r="T260">
        <f>stand_validation_1cycle[[#This Row],[percent_tree_cover]]*100</f>
        <v>6.8354498610673593</v>
      </c>
    </row>
    <row r="261" spans="1:20" x14ac:dyDescent="0.2">
      <c r="A261">
        <v>1</v>
      </c>
      <c r="B261" t="s">
        <v>279</v>
      </c>
      <c r="C261">
        <v>25.7062777777777</v>
      </c>
      <c r="D261">
        <v>718.31279386445397</v>
      </c>
      <c r="E261">
        <v>6.7021339662953698</v>
      </c>
      <c r="F261">
        <v>25.873467998751401</v>
      </c>
      <c r="G261">
        <v>100</v>
      </c>
      <c r="H261">
        <v>525.14465332031205</v>
      </c>
      <c r="I261">
        <v>6.6806867316282006E-2</v>
      </c>
      <c r="K261" s="1" t="str">
        <f>TEXT(stand_validation_1cycle[[#This Row],[stand_age]], ".0")</f>
        <v>25.7</v>
      </c>
      <c r="L261" s="1" t="str">
        <f t="shared" si="4"/>
        <v>"25.7"</v>
      </c>
      <c r="M261">
        <v>100</v>
      </c>
      <c r="N261">
        <f>0.029*stand_validation_1cycle[[#This Row],[stand_level_biomass]]</f>
        <v>20.831071022069167</v>
      </c>
      <c r="O261">
        <f>0.213*stand_validation_1cycle[[#This Row],[stand_level_biomass]]</f>
        <v>153.00062509312869</v>
      </c>
      <c r="P261">
        <f>0.571*stand_validation_1cycle[[#This Row],[stand_level_biomass]]</f>
        <v>410.15660529660317</v>
      </c>
      <c r="Q261">
        <f>stand_validation_1cycle[[#This Row],[stock]]</f>
        <v>100</v>
      </c>
      <c r="R261">
        <v>0</v>
      </c>
      <c r="S261">
        <f>stand_validation_1cycle[[#This Row],[aws]]</f>
        <v>525.14465332031205</v>
      </c>
      <c r="T261">
        <f>stand_validation_1cycle[[#This Row],[percent_tree_cover]]*100</f>
        <v>6.6806867316282004</v>
      </c>
    </row>
    <row r="262" spans="1:20" x14ac:dyDescent="0.2">
      <c r="A262">
        <v>1</v>
      </c>
      <c r="B262" t="s">
        <v>280</v>
      </c>
      <c r="C262">
        <v>31.0636825396825</v>
      </c>
      <c r="D262">
        <v>1246.1680895791701</v>
      </c>
      <c r="E262">
        <v>7.29300000019356</v>
      </c>
      <c r="F262">
        <v>30.767889332312201</v>
      </c>
      <c r="G262">
        <v>70</v>
      </c>
      <c r="H262">
        <v>586</v>
      </c>
      <c r="I262">
        <v>0.104690773121574</v>
      </c>
      <c r="K262" s="1" t="str">
        <f>TEXT(stand_validation_1cycle[[#This Row],[stand_age]], ".0")</f>
        <v>31.1</v>
      </c>
      <c r="L262" s="1" t="str">
        <f t="shared" si="4"/>
        <v>"31.1"</v>
      </c>
      <c r="M262">
        <v>100</v>
      </c>
      <c r="N262">
        <f>0.029*stand_validation_1cycle[[#This Row],[stand_level_biomass]]</f>
        <v>36.138874597795933</v>
      </c>
      <c r="O262">
        <f>0.213*stand_validation_1cycle[[#This Row],[stand_level_biomass]]</f>
        <v>265.43380308036325</v>
      </c>
      <c r="P262">
        <f>0.571*stand_validation_1cycle[[#This Row],[stand_level_biomass]]</f>
        <v>711.56197914970608</v>
      </c>
      <c r="Q262">
        <f>stand_validation_1cycle[[#This Row],[stock]]</f>
        <v>70</v>
      </c>
      <c r="R262">
        <v>0</v>
      </c>
      <c r="S262">
        <f>stand_validation_1cycle[[#This Row],[aws]]</f>
        <v>586</v>
      </c>
      <c r="T262">
        <f>stand_validation_1cycle[[#This Row],[percent_tree_cover]]*100</f>
        <v>10.469077312157401</v>
      </c>
    </row>
    <row r="263" spans="1:20" x14ac:dyDescent="0.2">
      <c r="A263">
        <v>1</v>
      </c>
      <c r="B263" t="s">
        <v>281</v>
      </c>
      <c r="C263">
        <v>27.2800444444444</v>
      </c>
      <c r="D263">
        <v>914.99779689640502</v>
      </c>
      <c r="E263">
        <v>8.0817172562295294</v>
      </c>
      <c r="F263">
        <v>27.784606065440698</v>
      </c>
      <c r="G263">
        <v>100</v>
      </c>
      <c r="H263">
        <v>597.22180175781205</v>
      </c>
      <c r="I263">
        <v>8.0533537802572497E-2</v>
      </c>
      <c r="K263" s="1" t="str">
        <f>TEXT(stand_validation_1cycle[[#This Row],[stand_age]], ".0")</f>
        <v>27.3</v>
      </c>
      <c r="L263" s="1" t="str">
        <f t="shared" si="4"/>
        <v>"27.3"</v>
      </c>
      <c r="M263">
        <v>100</v>
      </c>
      <c r="N263">
        <f>0.029*stand_validation_1cycle[[#This Row],[stand_level_biomass]]</f>
        <v>26.534936109995748</v>
      </c>
      <c r="O263">
        <f>0.213*stand_validation_1cycle[[#This Row],[stand_level_biomass]]</f>
        <v>194.89453073893426</v>
      </c>
      <c r="P263">
        <f>0.571*stand_validation_1cycle[[#This Row],[stand_level_biomass]]</f>
        <v>522.46374202784727</v>
      </c>
      <c r="Q263">
        <f>stand_validation_1cycle[[#This Row],[stock]]</f>
        <v>100</v>
      </c>
      <c r="R263">
        <v>0</v>
      </c>
      <c r="S263">
        <f>stand_validation_1cycle[[#This Row],[aws]]</f>
        <v>597.22180175781205</v>
      </c>
      <c r="T263">
        <f>stand_validation_1cycle[[#This Row],[percent_tree_cover]]*100</f>
        <v>8.0533537802572503</v>
      </c>
    </row>
    <row r="264" spans="1:20" x14ac:dyDescent="0.2">
      <c r="A264">
        <v>1</v>
      </c>
      <c r="B264" t="s">
        <v>282</v>
      </c>
      <c r="C264">
        <v>26.4051851851851</v>
      </c>
      <c r="D264">
        <v>927.02744263214504</v>
      </c>
      <c r="E264">
        <v>5.4497129222005798</v>
      </c>
      <c r="F264">
        <v>25.828874201954399</v>
      </c>
      <c r="G264">
        <v>69</v>
      </c>
      <c r="H264">
        <v>566.73394775390602</v>
      </c>
      <c r="I264">
        <v>8.0797566584752303E-2</v>
      </c>
      <c r="K264" s="1" t="str">
        <f>TEXT(stand_validation_1cycle[[#This Row],[stand_age]], ".0")</f>
        <v>26.4</v>
      </c>
      <c r="L264" s="1" t="str">
        <f t="shared" si="4"/>
        <v>"26.4"</v>
      </c>
      <c r="M264">
        <v>100</v>
      </c>
      <c r="N264">
        <f>0.029*stand_validation_1cycle[[#This Row],[stand_level_biomass]]</f>
        <v>26.883795836332208</v>
      </c>
      <c r="O264">
        <f>0.213*stand_validation_1cycle[[#This Row],[stand_level_biomass]]</f>
        <v>197.45684528064689</v>
      </c>
      <c r="P264">
        <f>0.571*stand_validation_1cycle[[#This Row],[stand_level_biomass]]</f>
        <v>529.33266974295475</v>
      </c>
      <c r="Q264">
        <f>stand_validation_1cycle[[#This Row],[stock]]</f>
        <v>69</v>
      </c>
      <c r="R264">
        <v>0</v>
      </c>
      <c r="S264">
        <f>stand_validation_1cycle[[#This Row],[aws]]</f>
        <v>566.73394775390602</v>
      </c>
      <c r="T264">
        <f>stand_validation_1cycle[[#This Row],[percent_tree_cover]]*100</f>
        <v>8.0797566584752296</v>
      </c>
    </row>
    <row r="265" spans="1:20" x14ac:dyDescent="0.2">
      <c r="A265">
        <v>1</v>
      </c>
      <c r="B265" t="s">
        <v>283</v>
      </c>
      <c r="C265">
        <v>27.259147640791401</v>
      </c>
      <c r="D265">
        <v>778.73716417391199</v>
      </c>
      <c r="E265">
        <v>5.19898633950839</v>
      </c>
      <c r="F265">
        <v>26.442104473819899</v>
      </c>
      <c r="G265">
        <v>73</v>
      </c>
      <c r="H265">
        <v>567.40270996093705</v>
      </c>
      <c r="I265">
        <v>7.3271856579508299E-2</v>
      </c>
      <c r="K265" s="1" t="str">
        <f>TEXT(stand_validation_1cycle[[#This Row],[stand_age]], ".0")</f>
        <v>27.3</v>
      </c>
      <c r="L265" s="1" t="str">
        <f t="shared" si="4"/>
        <v>"27.3"</v>
      </c>
      <c r="M265">
        <v>100</v>
      </c>
      <c r="N265">
        <f>0.029*stand_validation_1cycle[[#This Row],[stand_level_biomass]]</f>
        <v>22.583377761043447</v>
      </c>
      <c r="O265">
        <f>0.213*stand_validation_1cycle[[#This Row],[stand_level_biomass]]</f>
        <v>165.87101596904324</v>
      </c>
      <c r="P265">
        <f>0.571*stand_validation_1cycle[[#This Row],[stand_level_biomass]]</f>
        <v>444.65892074330372</v>
      </c>
      <c r="Q265">
        <f>stand_validation_1cycle[[#This Row],[stock]]</f>
        <v>73</v>
      </c>
      <c r="R265">
        <v>0</v>
      </c>
      <c r="S265">
        <f>stand_validation_1cycle[[#This Row],[aws]]</f>
        <v>567.40270996093705</v>
      </c>
      <c r="T265">
        <f>stand_validation_1cycle[[#This Row],[percent_tree_cover]]*100</f>
        <v>7.3271856579508299</v>
      </c>
    </row>
    <row r="266" spans="1:20" x14ac:dyDescent="0.2">
      <c r="A266">
        <v>1</v>
      </c>
      <c r="B266" t="s">
        <v>284</v>
      </c>
      <c r="C266">
        <v>25.5477398989898</v>
      </c>
      <c r="D266">
        <v>714.49089533804397</v>
      </c>
      <c r="E266">
        <v>5.7469327199714</v>
      </c>
      <c r="F266">
        <v>24.653090908103799</v>
      </c>
      <c r="G266">
        <v>88</v>
      </c>
      <c r="H266">
        <v>566.73394775390602</v>
      </c>
      <c r="I266">
        <v>6.4950503289995201E-2</v>
      </c>
      <c r="K266" s="1" t="str">
        <f>TEXT(stand_validation_1cycle[[#This Row],[stand_age]], ".0")</f>
        <v>25.5</v>
      </c>
      <c r="L266" s="1" t="str">
        <f t="shared" si="4"/>
        <v>"25.5"</v>
      </c>
      <c r="M266">
        <v>100</v>
      </c>
      <c r="N266">
        <f>0.029*stand_validation_1cycle[[#This Row],[stand_level_biomass]]</f>
        <v>20.720235964803276</v>
      </c>
      <c r="O266">
        <f>0.213*stand_validation_1cycle[[#This Row],[stand_level_biomass]]</f>
        <v>152.18656070700337</v>
      </c>
      <c r="P266">
        <f>0.571*stand_validation_1cycle[[#This Row],[stand_level_biomass]]</f>
        <v>407.97430123802309</v>
      </c>
      <c r="Q266">
        <f>stand_validation_1cycle[[#This Row],[stock]]</f>
        <v>88</v>
      </c>
      <c r="R266">
        <v>0</v>
      </c>
      <c r="S266">
        <f>stand_validation_1cycle[[#This Row],[aws]]</f>
        <v>566.73394775390602</v>
      </c>
      <c r="T266">
        <f>stand_validation_1cycle[[#This Row],[percent_tree_cover]]*100</f>
        <v>6.4950503289995201</v>
      </c>
    </row>
    <row r="267" spans="1:20" x14ac:dyDescent="0.2">
      <c r="A267">
        <v>1</v>
      </c>
      <c r="B267" t="s">
        <v>285</v>
      </c>
      <c r="C267">
        <v>29.036522222222199</v>
      </c>
      <c r="D267">
        <v>994.76872927923296</v>
      </c>
      <c r="E267">
        <v>8.6987001352551694</v>
      </c>
      <c r="F267">
        <v>29.096479465508502</v>
      </c>
      <c r="G267">
        <v>100</v>
      </c>
      <c r="H267">
        <v>525.29486083984295</v>
      </c>
      <c r="I267">
        <v>8.6667369221423707E-2</v>
      </c>
      <c r="K267" s="1" t="str">
        <f>TEXT(stand_validation_1cycle[[#This Row],[stand_age]], ".0")</f>
        <v>29.0</v>
      </c>
      <c r="L267" s="1" t="str">
        <f t="shared" si="4"/>
        <v>"29.0"</v>
      </c>
      <c r="M267">
        <v>100</v>
      </c>
      <c r="N267">
        <f>0.029*stand_validation_1cycle[[#This Row],[stand_level_biomass]]</f>
        <v>28.848293149097756</v>
      </c>
      <c r="O267">
        <f>0.213*stand_validation_1cycle[[#This Row],[stand_level_biomass]]</f>
        <v>211.8857393364766</v>
      </c>
      <c r="P267">
        <f>0.571*stand_validation_1cycle[[#This Row],[stand_level_biomass]]</f>
        <v>568.01294441844198</v>
      </c>
      <c r="Q267">
        <f>stand_validation_1cycle[[#This Row],[stock]]</f>
        <v>100</v>
      </c>
      <c r="R267">
        <v>0</v>
      </c>
      <c r="S267">
        <f>stand_validation_1cycle[[#This Row],[aws]]</f>
        <v>525.29486083984295</v>
      </c>
      <c r="T267">
        <f>stand_validation_1cycle[[#This Row],[percent_tree_cover]]*100</f>
        <v>8.6667369221423698</v>
      </c>
    </row>
    <row r="268" spans="1:20" x14ac:dyDescent="0.2">
      <c r="A268">
        <v>1</v>
      </c>
      <c r="B268" t="s">
        <v>286</v>
      </c>
      <c r="C268">
        <v>26.660761548064901</v>
      </c>
      <c r="D268">
        <v>792.44953423619199</v>
      </c>
      <c r="E268">
        <v>6.3595613515791696</v>
      </c>
      <c r="F268">
        <v>26.085043250982299</v>
      </c>
      <c r="G268">
        <v>89</v>
      </c>
      <c r="H268">
        <v>524.84826660156205</v>
      </c>
      <c r="I268">
        <v>7.0568116466639505E-2</v>
      </c>
      <c r="K268" s="1" t="str">
        <f>TEXT(stand_validation_1cycle[[#This Row],[stand_age]], ".0")</f>
        <v>26.7</v>
      </c>
      <c r="L268" s="1" t="str">
        <f t="shared" si="4"/>
        <v>"26.7"</v>
      </c>
      <c r="M268">
        <v>100</v>
      </c>
      <c r="N268">
        <f>0.029*stand_validation_1cycle[[#This Row],[stand_level_biomass]]</f>
        <v>22.981036492849569</v>
      </c>
      <c r="O268">
        <f>0.213*stand_validation_1cycle[[#This Row],[stand_level_biomass]]</f>
        <v>168.7917507923089</v>
      </c>
      <c r="P268">
        <f>0.571*stand_validation_1cycle[[#This Row],[stand_level_biomass]]</f>
        <v>452.48868404886559</v>
      </c>
      <c r="Q268">
        <f>stand_validation_1cycle[[#This Row],[stock]]</f>
        <v>89</v>
      </c>
      <c r="R268">
        <v>0</v>
      </c>
      <c r="S268">
        <f>stand_validation_1cycle[[#This Row],[aws]]</f>
        <v>524.84826660156205</v>
      </c>
      <c r="T268">
        <f>stand_validation_1cycle[[#This Row],[percent_tree_cover]]*100</f>
        <v>7.0568116466639506</v>
      </c>
    </row>
    <row r="269" spans="1:20" x14ac:dyDescent="0.2">
      <c r="A269">
        <v>1</v>
      </c>
      <c r="B269" t="s">
        <v>287</v>
      </c>
      <c r="C269">
        <v>30.548495726495702</v>
      </c>
      <c r="D269">
        <v>1191.1735344163001</v>
      </c>
      <c r="E269">
        <v>6.5246009946446897</v>
      </c>
      <c r="F269">
        <v>30.048770576694501</v>
      </c>
      <c r="G269">
        <v>65</v>
      </c>
      <c r="H269">
        <v>525.27258300781205</v>
      </c>
      <c r="I269">
        <v>9.3538350121685598E-2</v>
      </c>
      <c r="K269" s="1" t="str">
        <f>TEXT(stand_validation_1cycle[[#This Row],[stand_age]], ".0")</f>
        <v>30.5</v>
      </c>
      <c r="L269" s="1" t="str">
        <f t="shared" si="4"/>
        <v>"30.5"</v>
      </c>
      <c r="M269">
        <v>100</v>
      </c>
      <c r="N269">
        <f>0.029*stand_validation_1cycle[[#This Row],[stand_level_biomass]]</f>
        <v>34.544032498072703</v>
      </c>
      <c r="O269">
        <f>0.213*stand_validation_1cycle[[#This Row],[stand_level_biomass]]</f>
        <v>253.7199628306719</v>
      </c>
      <c r="P269">
        <f>0.571*stand_validation_1cycle[[#This Row],[stand_level_biomass]]</f>
        <v>680.16008815170733</v>
      </c>
      <c r="Q269">
        <f>stand_validation_1cycle[[#This Row],[stock]]</f>
        <v>65</v>
      </c>
      <c r="R269">
        <v>0</v>
      </c>
      <c r="S269">
        <f>stand_validation_1cycle[[#This Row],[aws]]</f>
        <v>525.27258300781205</v>
      </c>
      <c r="T269">
        <f>stand_validation_1cycle[[#This Row],[percent_tree_cover]]*100</f>
        <v>9.3538350121685596</v>
      </c>
    </row>
    <row r="270" spans="1:20" x14ac:dyDescent="0.2">
      <c r="A270">
        <v>1</v>
      </c>
      <c r="B270" t="s">
        <v>288</v>
      </c>
      <c r="C270">
        <v>25.330759259259199</v>
      </c>
      <c r="D270">
        <v>709.03418340640303</v>
      </c>
      <c r="E270">
        <v>3.8834326348452102</v>
      </c>
      <c r="F270">
        <v>24.6966792044642</v>
      </c>
      <c r="G270">
        <v>60</v>
      </c>
      <c r="H270">
        <v>524.29278564453102</v>
      </c>
      <c r="I270">
        <v>6.4324152332288706E-2</v>
      </c>
      <c r="K270" s="1" t="str">
        <f>TEXT(stand_validation_1cycle[[#This Row],[stand_age]], ".0")</f>
        <v>25.3</v>
      </c>
      <c r="L270" s="1" t="str">
        <f t="shared" si="4"/>
        <v>"25.3"</v>
      </c>
      <c r="M270">
        <v>100</v>
      </c>
      <c r="N270">
        <f>0.029*stand_validation_1cycle[[#This Row],[stand_level_biomass]]</f>
        <v>20.56199131878569</v>
      </c>
      <c r="O270">
        <f>0.213*stand_validation_1cycle[[#This Row],[stand_level_biomass]]</f>
        <v>151.02428106556386</v>
      </c>
      <c r="P270">
        <f>0.571*stand_validation_1cycle[[#This Row],[stand_level_biomass]]</f>
        <v>404.85851872505611</v>
      </c>
      <c r="Q270">
        <f>stand_validation_1cycle[[#This Row],[stock]]</f>
        <v>60</v>
      </c>
      <c r="R270">
        <v>0</v>
      </c>
      <c r="S270">
        <f>stand_validation_1cycle[[#This Row],[aws]]</f>
        <v>524.29278564453102</v>
      </c>
      <c r="T270">
        <f>stand_validation_1cycle[[#This Row],[percent_tree_cover]]*100</f>
        <v>6.4324152332288707</v>
      </c>
    </row>
    <row r="271" spans="1:20" x14ac:dyDescent="0.2">
      <c r="A271">
        <v>1</v>
      </c>
      <c r="B271" t="s">
        <v>289</v>
      </c>
      <c r="C271">
        <v>28.036899999999999</v>
      </c>
      <c r="D271">
        <v>845.77497967978297</v>
      </c>
      <c r="E271">
        <v>7.5180990408140902</v>
      </c>
      <c r="F271">
        <v>26.7271102648299</v>
      </c>
      <c r="G271">
        <v>100</v>
      </c>
      <c r="H271">
        <v>619</v>
      </c>
      <c r="I271">
        <v>7.4895088309340205E-2</v>
      </c>
      <c r="K271" s="1" t="str">
        <f>TEXT(stand_validation_1cycle[[#This Row],[stand_age]], ".0")</f>
        <v>28.0</v>
      </c>
      <c r="L271" s="1" t="str">
        <f t="shared" si="4"/>
        <v>"28.0"</v>
      </c>
      <c r="M271">
        <v>100</v>
      </c>
      <c r="N271">
        <f>0.029*stand_validation_1cycle[[#This Row],[stand_level_biomass]]</f>
        <v>24.527474410713708</v>
      </c>
      <c r="O271">
        <f>0.213*stand_validation_1cycle[[#This Row],[stand_level_biomass]]</f>
        <v>180.15007067179377</v>
      </c>
      <c r="P271">
        <f>0.571*stand_validation_1cycle[[#This Row],[stand_level_biomass]]</f>
        <v>482.93751339715601</v>
      </c>
      <c r="Q271">
        <f>stand_validation_1cycle[[#This Row],[stock]]</f>
        <v>100</v>
      </c>
      <c r="R271">
        <v>0</v>
      </c>
      <c r="S271">
        <f>stand_validation_1cycle[[#This Row],[aws]]</f>
        <v>619</v>
      </c>
      <c r="T271">
        <f>stand_validation_1cycle[[#This Row],[percent_tree_cover]]*100</f>
        <v>7.4895088309340201</v>
      </c>
    </row>
    <row r="272" spans="1:20" x14ac:dyDescent="0.2">
      <c r="A272">
        <v>1</v>
      </c>
      <c r="B272" t="s">
        <v>290</v>
      </c>
      <c r="C272">
        <v>28.537700000000001</v>
      </c>
      <c r="D272">
        <v>932.23575169017795</v>
      </c>
      <c r="E272">
        <v>8.1662347379908908</v>
      </c>
      <c r="F272">
        <v>27.56819879791</v>
      </c>
      <c r="G272">
        <v>100</v>
      </c>
      <c r="H272">
        <v>566.54302978515602</v>
      </c>
      <c r="I272">
        <v>8.1356855002731807E-2</v>
      </c>
      <c r="K272" s="1" t="str">
        <f>TEXT(stand_validation_1cycle[[#This Row],[stand_age]], ".0")</f>
        <v>28.5</v>
      </c>
      <c r="L272" s="1" t="str">
        <f t="shared" si="4"/>
        <v>"28.5"</v>
      </c>
      <c r="M272">
        <v>100</v>
      </c>
      <c r="N272">
        <f>0.029*stand_validation_1cycle[[#This Row],[stand_level_biomass]]</f>
        <v>27.03483679901516</v>
      </c>
      <c r="O272">
        <f>0.213*stand_validation_1cycle[[#This Row],[stand_level_biomass]]</f>
        <v>198.5662151100079</v>
      </c>
      <c r="P272">
        <f>0.571*stand_validation_1cycle[[#This Row],[stand_level_biomass]]</f>
        <v>532.3066142150916</v>
      </c>
      <c r="Q272">
        <f>stand_validation_1cycle[[#This Row],[stock]]</f>
        <v>100</v>
      </c>
      <c r="R272">
        <v>0</v>
      </c>
      <c r="S272">
        <f>stand_validation_1cycle[[#This Row],[aws]]</f>
        <v>566.54302978515602</v>
      </c>
      <c r="T272">
        <f>stand_validation_1cycle[[#This Row],[percent_tree_cover]]*100</f>
        <v>8.1356855002731798</v>
      </c>
    </row>
    <row r="273" spans="1:20" x14ac:dyDescent="0.2">
      <c r="A273">
        <v>1</v>
      </c>
      <c r="B273" t="s">
        <v>291</v>
      </c>
      <c r="C273">
        <v>27.715869809203099</v>
      </c>
      <c r="D273">
        <v>939.669738165892</v>
      </c>
      <c r="E273">
        <v>8.0636994369630308</v>
      </c>
      <c r="F273">
        <v>27.252493331222201</v>
      </c>
      <c r="G273">
        <v>99</v>
      </c>
      <c r="H273">
        <v>570.80963134765602</v>
      </c>
      <c r="I273">
        <v>8.0249286392591102E-2</v>
      </c>
      <c r="K273" s="1" t="str">
        <f>TEXT(stand_validation_1cycle[[#This Row],[stand_age]], ".0")</f>
        <v>27.7</v>
      </c>
      <c r="L273" s="1" t="str">
        <f t="shared" si="4"/>
        <v>"27.7"</v>
      </c>
      <c r="M273">
        <v>100</v>
      </c>
      <c r="N273">
        <f>0.029*stand_validation_1cycle[[#This Row],[stand_level_biomass]]</f>
        <v>27.25042240681087</v>
      </c>
      <c r="O273">
        <f>0.213*stand_validation_1cycle[[#This Row],[stand_level_biomass]]</f>
        <v>200.149654229335</v>
      </c>
      <c r="P273">
        <f>0.571*stand_validation_1cycle[[#This Row],[stand_level_biomass]]</f>
        <v>536.55142049272433</v>
      </c>
      <c r="Q273">
        <f>stand_validation_1cycle[[#This Row],[stock]]</f>
        <v>99</v>
      </c>
      <c r="R273">
        <v>0</v>
      </c>
      <c r="S273">
        <f>stand_validation_1cycle[[#This Row],[aws]]</f>
        <v>570.80963134765602</v>
      </c>
      <c r="T273">
        <f>stand_validation_1cycle[[#This Row],[percent_tree_cover]]*100</f>
        <v>8.0249286392591106</v>
      </c>
    </row>
    <row r="274" spans="1:20" x14ac:dyDescent="0.2">
      <c r="A274">
        <v>1</v>
      </c>
      <c r="B274" t="s">
        <v>292</v>
      </c>
      <c r="C274">
        <v>29.081425364758701</v>
      </c>
      <c r="D274">
        <v>859.62090741838597</v>
      </c>
      <c r="E274">
        <v>7.7441311344527302</v>
      </c>
      <c r="F274">
        <v>27.867404403953799</v>
      </c>
      <c r="G274">
        <v>99</v>
      </c>
      <c r="H274">
        <v>566.54302978515602</v>
      </c>
      <c r="I274">
        <v>7.6641915173108199E-2</v>
      </c>
      <c r="K274" s="1" t="str">
        <f>TEXT(stand_validation_1cycle[[#This Row],[stand_age]], ".0")</f>
        <v>29.1</v>
      </c>
      <c r="L274" s="1" t="str">
        <f t="shared" si="4"/>
        <v>"29.1"</v>
      </c>
      <c r="M274">
        <v>100</v>
      </c>
      <c r="N274">
        <f>0.029*stand_validation_1cycle[[#This Row],[stand_level_biomass]]</f>
        <v>24.929006315133194</v>
      </c>
      <c r="O274">
        <f>0.213*stand_validation_1cycle[[#This Row],[stand_level_biomass]]</f>
        <v>183.09925328011622</v>
      </c>
      <c r="P274">
        <f>0.571*stand_validation_1cycle[[#This Row],[stand_level_biomass]]</f>
        <v>490.84353813589837</v>
      </c>
      <c r="Q274">
        <f>stand_validation_1cycle[[#This Row],[stock]]</f>
        <v>99</v>
      </c>
      <c r="R274">
        <v>0</v>
      </c>
      <c r="S274">
        <f>stand_validation_1cycle[[#This Row],[aws]]</f>
        <v>566.54302978515602</v>
      </c>
      <c r="T274">
        <f>stand_validation_1cycle[[#This Row],[percent_tree_cover]]*100</f>
        <v>7.6641915173108197</v>
      </c>
    </row>
    <row r="275" spans="1:20" x14ac:dyDescent="0.2">
      <c r="A275">
        <v>1</v>
      </c>
      <c r="B275" t="s">
        <v>293</v>
      </c>
      <c r="C275">
        <v>29.362822222222199</v>
      </c>
      <c r="D275">
        <v>1079.0403343052999</v>
      </c>
      <c r="E275">
        <v>9.2451974561067107</v>
      </c>
      <c r="F275">
        <v>29.589562245357101</v>
      </c>
      <c r="G275">
        <v>100</v>
      </c>
      <c r="H275">
        <v>567.49822998046795</v>
      </c>
      <c r="I275">
        <v>9.2107032253511703E-2</v>
      </c>
      <c r="K275" s="1" t="str">
        <f>TEXT(stand_validation_1cycle[[#This Row],[stand_age]], ".0")</f>
        <v>29.4</v>
      </c>
      <c r="L275" s="1" t="str">
        <f t="shared" si="4"/>
        <v>"29.4"</v>
      </c>
      <c r="M275">
        <v>100</v>
      </c>
      <c r="N275">
        <f>0.029*stand_validation_1cycle[[#This Row],[stand_level_biomass]]</f>
        <v>31.292169694853698</v>
      </c>
      <c r="O275">
        <f>0.213*stand_validation_1cycle[[#This Row],[stand_level_biomass]]</f>
        <v>229.83559120702887</v>
      </c>
      <c r="P275">
        <f>0.571*stand_validation_1cycle[[#This Row],[stand_level_biomass]]</f>
        <v>616.1320308883262</v>
      </c>
      <c r="Q275">
        <f>stand_validation_1cycle[[#This Row],[stock]]</f>
        <v>100</v>
      </c>
      <c r="R275">
        <v>0</v>
      </c>
      <c r="S275">
        <f>stand_validation_1cycle[[#This Row],[aws]]</f>
        <v>567.49822998046795</v>
      </c>
      <c r="T275">
        <f>stand_validation_1cycle[[#This Row],[percent_tree_cover]]*100</f>
        <v>9.2107032253511711</v>
      </c>
    </row>
    <row r="276" spans="1:20" x14ac:dyDescent="0.2">
      <c r="A276">
        <v>1</v>
      </c>
      <c r="B276" t="s">
        <v>294</v>
      </c>
      <c r="C276">
        <v>24.7101333333333</v>
      </c>
      <c r="D276">
        <v>619.07169009685902</v>
      </c>
      <c r="E276">
        <v>5.9063873966970002</v>
      </c>
      <c r="F276">
        <v>24.175754664639999</v>
      </c>
      <c r="G276">
        <v>100</v>
      </c>
      <c r="H276">
        <v>525.41851806640602</v>
      </c>
      <c r="I276">
        <v>5.8866161916817997E-2</v>
      </c>
      <c r="K276" s="1" t="str">
        <f>TEXT(stand_validation_1cycle[[#This Row],[stand_age]], ".0")</f>
        <v>24.7</v>
      </c>
      <c r="L276" s="1" t="str">
        <f t="shared" si="4"/>
        <v>"24.7"</v>
      </c>
      <c r="M276">
        <v>100</v>
      </c>
      <c r="N276">
        <f>0.029*stand_validation_1cycle[[#This Row],[stand_level_biomass]]</f>
        <v>17.953079012808914</v>
      </c>
      <c r="O276">
        <f>0.213*stand_validation_1cycle[[#This Row],[stand_level_biomass]]</f>
        <v>131.86226999063098</v>
      </c>
      <c r="P276">
        <f>0.571*stand_validation_1cycle[[#This Row],[stand_level_biomass]]</f>
        <v>353.48993504530648</v>
      </c>
      <c r="Q276">
        <f>stand_validation_1cycle[[#This Row],[stock]]</f>
        <v>100</v>
      </c>
      <c r="R276">
        <v>0</v>
      </c>
      <c r="S276">
        <f>stand_validation_1cycle[[#This Row],[aws]]</f>
        <v>525.41851806640602</v>
      </c>
      <c r="T276">
        <f>stand_validation_1cycle[[#This Row],[percent_tree_cover]]*100</f>
        <v>5.8866161916817994</v>
      </c>
    </row>
    <row r="277" spans="1:20" x14ac:dyDescent="0.2">
      <c r="A277">
        <v>1</v>
      </c>
      <c r="B277" t="s">
        <v>295</v>
      </c>
      <c r="C277">
        <v>29.301299999999902</v>
      </c>
      <c r="D277">
        <v>1010.67071140902</v>
      </c>
      <c r="E277">
        <v>8.8705648883606205</v>
      </c>
      <c r="F277">
        <v>29.718054988078499</v>
      </c>
      <c r="G277">
        <v>100</v>
      </c>
      <c r="H277">
        <v>524.40496826171795</v>
      </c>
      <c r="I277">
        <v>8.8387706596465804E-2</v>
      </c>
      <c r="K277" s="1" t="str">
        <f>TEXT(stand_validation_1cycle[[#This Row],[stand_age]], ".0")</f>
        <v>29.3</v>
      </c>
      <c r="L277" s="1" t="str">
        <f t="shared" si="4"/>
        <v>"29.3"</v>
      </c>
      <c r="M277">
        <v>100</v>
      </c>
      <c r="N277">
        <f>0.029*stand_validation_1cycle[[#This Row],[stand_level_biomass]]</f>
        <v>29.30945063086158</v>
      </c>
      <c r="O277">
        <f>0.213*stand_validation_1cycle[[#This Row],[stand_level_biomass]]</f>
        <v>215.27286153012125</v>
      </c>
      <c r="P277">
        <f>0.571*stand_validation_1cycle[[#This Row],[stand_level_biomass]]</f>
        <v>577.09297621455039</v>
      </c>
      <c r="Q277">
        <f>stand_validation_1cycle[[#This Row],[stock]]</f>
        <v>100</v>
      </c>
      <c r="R277">
        <v>0</v>
      </c>
      <c r="S277">
        <f>stand_validation_1cycle[[#This Row],[aws]]</f>
        <v>524.40496826171795</v>
      </c>
      <c r="T277">
        <f>stand_validation_1cycle[[#This Row],[percent_tree_cover]]*100</f>
        <v>8.8387706596465812</v>
      </c>
    </row>
    <row r="278" spans="1:20" x14ac:dyDescent="0.2">
      <c r="A278">
        <v>1</v>
      </c>
      <c r="B278" t="s">
        <v>296</v>
      </c>
      <c r="C278">
        <v>27.2522666666666</v>
      </c>
      <c r="D278">
        <v>961.72804769588402</v>
      </c>
      <c r="E278">
        <v>8.3376942256440199</v>
      </c>
      <c r="F278">
        <v>27.870913265440699</v>
      </c>
      <c r="G278">
        <v>100</v>
      </c>
      <c r="H278">
        <v>524.23400878906205</v>
      </c>
      <c r="I278">
        <v>8.3084957898199904E-2</v>
      </c>
      <c r="K278" s="1" t="str">
        <f>TEXT(stand_validation_1cycle[[#This Row],[stand_age]], ".0")</f>
        <v>27.3</v>
      </c>
      <c r="L278" s="1" t="str">
        <f t="shared" si="4"/>
        <v>"27.3"</v>
      </c>
      <c r="M278">
        <v>100</v>
      </c>
      <c r="N278">
        <f>0.029*stand_validation_1cycle[[#This Row],[stand_level_biomass]]</f>
        <v>27.890113383180637</v>
      </c>
      <c r="O278">
        <f>0.213*stand_validation_1cycle[[#This Row],[stand_level_biomass]]</f>
        <v>204.8480741592233</v>
      </c>
      <c r="P278">
        <f>0.571*stand_validation_1cycle[[#This Row],[stand_level_biomass]]</f>
        <v>549.1467152343497</v>
      </c>
      <c r="Q278">
        <f>stand_validation_1cycle[[#This Row],[stock]]</f>
        <v>100</v>
      </c>
      <c r="R278">
        <v>0</v>
      </c>
      <c r="S278">
        <f>stand_validation_1cycle[[#This Row],[aws]]</f>
        <v>524.23400878906205</v>
      </c>
      <c r="T278">
        <f>stand_validation_1cycle[[#This Row],[percent_tree_cover]]*100</f>
        <v>8.3084957898199896</v>
      </c>
    </row>
    <row r="279" spans="1:20" x14ac:dyDescent="0.2">
      <c r="A279">
        <v>1</v>
      </c>
      <c r="B279" t="s">
        <v>297</v>
      </c>
      <c r="C279">
        <v>24.869319727891099</v>
      </c>
      <c r="D279">
        <v>683.20144512022</v>
      </c>
      <c r="E279">
        <v>6.2155546713294303</v>
      </c>
      <c r="F279">
        <v>24.151745849306099</v>
      </c>
      <c r="G279">
        <v>98</v>
      </c>
      <c r="H279">
        <v>566.67572021484295</v>
      </c>
      <c r="I279">
        <v>6.1145336601430199E-2</v>
      </c>
      <c r="K279" s="1" t="str">
        <f>TEXT(stand_validation_1cycle[[#This Row],[stand_age]], ".0")</f>
        <v>24.9</v>
      </c>
      <c r="L279" s="1" t="str">
        <f t="shared" si="4"/>
        <v>"24.9"</v>
      </c>
      <c r="M279">
        <v>100</v>
      </c>
      <c r="N279">
        <f>0.029*stand_validation_1cycle[[#This Row],[stand_level_biomass]]</f>
        <v>19.81284190848638</v>
      </c>
      <c r="O279">
        <f>0.213*stand_validation_1cycle[[#This Row],[stand_level_biomass]]</f>
        <v>145.52190781060685</v>
      </c>
      <c r="P279">
        <f>0.571*stand_validation_1cycle[[#This Row],[stand_level_biomass]]</f>
        <v>390.10802516364561</v>
      </c>
      <c r="Q279">
        <f>stand_validation_1cycle[[#This Row],[stock]]</f>
        <v>98</v>
      </c>
      <c r="R279">
        <v>0</v>
      </c>
      <c r="S279">
        <f>stand_validation_1cycle[[#This Row],[aws]]</f>
        <v>566.67572021484295</v>
      </c>
      <c r="T279">
        <f>stand_validation_1cycle[[#This Row],[percent_tree_cover]]*100</f>
        <v>6.11453366014302</v>
      </c>
    </row>
    <row r="280" spans="1:20" x14ac:dyDescent="0.2">
      <c r="A280">
        <v>1</v>
      </c>
      <c r="B280" t="s">
        <v>298</v>
      </c>
      <c r="C280">
        <v>25.755873015873</v>
      </c>
      <c r="D280">
        <v>872.92684548332704</v>
      </c>
      <c r="E280">
        <v>7.5647304859694797</v>
      </c>
      <c r="F280">
        <v>26.697990883088899</v>
      </c>
      <c r="G280">
        <v>98</v>
      </c>
      <c r="H280">
        <v>568.43499755859295</v>
      </c>
      <c r="I280">
        <v>7.5113999741636697E-2</v>
      </c>
      <c r="K280" s="1" t="str">
        <f>TEXT(stand_validation_1cycle[[#This Row],[stand_age]], ".0")</f>
        <v>25.8</v>
      </c>
      <c r="L280" s="1" t="str">
        <f t="shared" si="4"/>
        <v>"25.8"</v>
      </c>
      <c r="M280">
        <v>100</v>
      </c>
      <c r="N280">
        <f>0.029*stand_validation_1cycle[[#This Row],[stand_level_biomass]]</f>
        <v>25.314878519016485</v>
      </c>
      <c r="O280">
        <f>0.213*stand_validation_1cycle[[#This Row],[stand_level_biomass]]</f>
        <v>185.93341808794867</v>
      </c>
      <c r="P280">
        <f>0.571*stand_validation_1cycle[[#This Row],[stand_level_biomass]]</f>
        <v>498.44122877097971</v>
      </c>
      <c r="Q280">
        <f>stand_validation_1cycle[[#This Row],[stock]]</f>
        <v>98</v>
      </c>
      <c r="R280">
        <v>0</v>
      </c>
      <c r="S280">
        <f>stand_validation_1cycle[[#This Row],[aws]]</f>
        <v>568.43499755859295</v>
      </c>
      <c r="T280">
        <f>stand_validation_1cycle[[#This Row],[percent_tree_cover]]*100</f>
        <v>7.5113999741636697</v>
      </c>
    </row>
    <row r="281" spans="1:20" x14ac:dyDescent="0.2">
      <c r="A281">
        <v>1</v>
      </c>
      <c r="B281" t="s">
        <v>299</v>
      </c>
      <c r="C281">
        <v>29.500411111111099</v>
      </c>
      <c r="D281">
        <v>1024.4966213263001</v>
      </c>
      <c r="E281">
        <v>8.7837289112209103</v>
      </c>
      <c r="F281">
        <v>28.258873999104299</v>
      </c>
      <c r="G281">
        <v>100</v>
      </c>
      <c r="H281">
        <v>566.47930908203102</v>
      </c>
      <c r="I281">
        <v>8.7486538610749703E-2</v>
      </c>
      <c r="K281" s="1" t="str">
        <f>TEXT(stand_validation_1cycle[[#This Row],[stand_age]], ".0")</f>
        <v>29.5</v>
      </c>
      <c r="L281" s="1" t="str">
        <f t="shared" si="4"/>
        <v>"29.5"</v>
      </c>
      <c r="M281">
        <v>100</v>
      </c>
      <c r="N281">
        <f>0.029*stand_validation_1cycle[[#This Row],[stand_level_biomass]]</f>
        <v>29.710402018462705</v>
      </c>
      <c r="O281">
        <f>0.213*stand_validation_1cycle[[#This Row],[stand_level_biomass]]</f>
        <v>218.21778034250192</v>
      </c>
      <c r="P281">
        <f>0.571*stand_validation_1cycle[[#This Row],[stand_level_biomass]]</f>
        <v>584.98757077731727</v>
      </c>
      <c r="Q281">
        <f>stand_validation_1cycle[[#This Row],[stock]]</f>
        <v>100</v>
      </c>
      <c r="R281">
        <v>0</v>
      </c>
      <c r="S281">
        <f>stand_validation_1cycle[[#This Row],[aws]]</f>
        <v>566.47930908203102</v>
      </c>
      <c r="T281">
        <f>stand_validation_1cycle[[#This Row],[percent_tree_cover]]*100</f>
        <v>8.7486538610749705</v>
      </c>
    </row>
    <row r="282" spans="1:20" x14ac:dyDescent="0.2">
      <c r="A282">
        <v>1</v>
      </c>
      <c r="B282" t="s">
        <v>300</v>
      </c>
      <c r="C282">
        <v>27.3821768707483</v>
      </c>
      <c r="D282">
        <v>643.59505334945197</v>
      </c>
      <c r="E282">
        <v>5.9980920570516201</v>
      </c>
      <c r="F282">
        <v>24.838360543460599</v>
      </c>
      <c r="G282">
        <v>98</v>
      </c>
      <c r="H282">
        <v>569.20416259765602</v>
      </c>
      <c r="I282">
        <v>5.96728659578094E-2</v>
      </c>
      <c r="K282" s="1" t="str">
        <f>TEXT(stand_validation_1cycle[[#This Row],[stand_age]], ".0")</f>
        <v>27.4</v>
      </c>
      <c r="L282" s="1" t="str">
        <f t="shared" si="4"/>
        <v>"27.4"</v>
      </c>
      <c r="M282">
        <v>100</v>
      </c>
      <c r="N282">
        <f>0.029*stand_validation_1cycle[[#This Row],[stand_level_biomass]]</f>
        <v>18.664256547134109</v>
      </c>
      <c r="O282">
        <f>0.213*stand_validation_1cycle[[#This Row],[stand_level_biomass]]</f>
        <v>137.08574636343326</v>
      </c>
      <c r="P282">
        <f>0.571*stand_validation_1cycle[[#This Row],[stand_level_biomass]]</f>
        <v>367.49277546253705</v>
      </c>
      <c r="Q282">
        <f>stand_validation_1cycle[[#This Row],[stock]]</f>
        <v>98</v>
      </c>
      <c r="R282">
        <v>0</v>
      </c>
      <c r="S282">
        <f>stand_validation_1cycle[[#This Row],[aws]]</f>
        <v>569.20416259765602</v>
      </c>
      <c r="T282">
        <f>stand_validation_1cycle[[#This Row],[percent_tree_cover]]*100</f>
        <v>5.9672865957809398</v>
      </c>
    </row>
    <row r="283" spans="1:20" x14ac:dyDescent="0.2">
      <c r="A283">
        <v>1</v>
      </c>
      <c r="B283" t="s">
        <v>301</v>
      </c>
      <c r="C283">
        <v>30.6495888888888</v>
      </c>
      <c r="D283">
        <v>842.62193909124301</v>
      </c>
      <c r="E283">
        <v>7.6754472796654598</v>
      </c>
      <c r="F283">
        <v>27.943264265888502</v>
      </c>
      <c r="G283">
        <v>100</v>
      </c>
      <c r="H283">
        <v>566.64453125</v>
      </c>
      <c r="I283">
        <v>7.6453856475707405E-2</v>
      </c>
      <c r="K283" s="1" t="str">
        <f>TEXT(stand_validation_1cycle[[#This Row],[stand_age]], ".0")</f>
        <v>30.6</v>
      </c>
      <c r="L283" s="1" t="str">
        <f t="shared" si="4"/>
        <v>"30.6"</v>
      </c>
      <c r="M283">
        <v>100</v>
      </c>
      <c r="N283">
        <f>0.029*stand_validation_1cycle[[#This Row],[stand_level_biomass]]</f>
        <v>24.43603623364605</v>
      </c>
      <c r="O283">
        <f>0.213*stand_validation_1cycle[[#This Row],[stand_level_biomass]]</f>
        <v>179.47847302643476</v>
      </c>
      <c r="P283">
        <f>0.571*stand_validation_1cycle[[#This Row],[stand_level_biomass]]</f>
        <v>481.13712722109972</v>
      </c>
      <c r="Q283">
        <f>stand_validation_1cycle[[#This Row],[stock]]</f>
        <v>100</v>
      </c>
      <c r="R283">
        <v>0</v>
      </c>
      <c r="S283">
        <f>stand_validation_1cycle[[#This Row],[aws]]</f>
        <v>566.64453125</v>
      </c>
      <c r="T283">
        <f>stand_validation_1cycle[[#This Row],[percent_tree_cover]]*100</f>
        <v>7.6453856475707402</v>
      </c>
    </row>
    <row r="284" spans="1:20" x14ac:dyDescent="0.2">
      <c r="A284">
        <v>1</v>
      </c>
      <c r="B284" t="s">
        <v>302</v>
      </c>
      <c r="C284">
        <v>28.524333333333299</v>
      </c>
      <c r="D284">
        <v>927.76551516547102</v>
      </c>
      <c r="E284">
        <v>8.1046713029529798</v>
      </c>
      <c r="F284">
        <v>27.737886399022798</v>
      </c>
      <c r="G284">
        <v>100</v>
      </c>
      <c r="H284">
        <v>568.170166015625</v>
      </c>
      <c r="I284">
        <v>8.0750728904535898E-2</v>
      </c>
      <c r="K284" s="1" t="str">
        <f>TEXT(stand_validation_1cycle[[#This Row],[stand_age]], ".0")</f>
        <v>28.5</v>
      </c>
      <c r="L284" s="1" t="str">
        <f t="shared" si="4"/>
        <v>"28.5"</v>
      </c>
      <c r="M284">
        <v>100</v>
      </c>
      <c r="N284">
        <f>0.029*stand_validation_1cycle[[#This Row],[stand_level_biomass]]</f>
        <v>26.90519993979866</v>
      </c>
      <c r="O284">
        <f>0.213*stand_validation_1cycle[[#This Row],[stand_level_biomass]]</f>
        <v>197.61405473024533</v>
      </c>
      <c r="P284">
        <f>0.571*stand_validation_1cycle[[#This Row],[stand_level_biomass]]</f>
        <v>529.75410915948396</v>
      </c>
      <c r="Q284">
        <f>stand_validation_1cycle[[#This Row],[stock]]</f>
        <v>100</v>
      </c>
      <c r="R284">
        <v>0</v>
      </c>
      <c r="S284">
        <f>stand_validation_1cycle[[#This Row],[aws]]</f>
        <v>568.170166015625</v>
      </c>
      <c r="T284">
        <f>stand_validation_1cycle[[#This Row],[percent_tree_cover]]*100</f>
        <v>8.0750728904535904</v>
      </c>
    </row>
    <row r="285" spans="1:20" x14ac:dyDescent="0.2">
      <c r="A285">
        <v>1</v>
      </c>
      <c r="B285" t="s">
        <v>303</v>
      </c>
      <c r="C285">
        <v>31.5643310657596</v>
      </c>
      <c r="D285">
        <v>1133.53914265308</v>
      </c>
      <c r="E285">
        <v>4.7345859032786199</v>
      </c>
      <c r="F285">
        <v>30.755148162240499</v>
      </c>
      <c r="G285">
        <v>49</v>
      </c>
      <c r="H285">
        <v>568.51654052734295</v>
      </c>
      <c r="I285">
        <v>9.6550784839169707E-2</v>
      </c>
      <c r="K285" s="1" t="str">
        <f>TEXT(stand_validation_1cycle[[#This Row],[stand_age]], ".0")</f>
        <v>31.6</v>
      </c>
      <c r="L285" s="1" t="str">
        <f t="shared" si="4"/>
        <v>"31.6"</v>
      </c>
      <c r="M285">
        <v>100</v>
      </c>
      <c r="N285">
        <f>0.029*stand_validation_1cycle[[#This Row],[stand_level_biomass]]</f>
        <v>32.872635136939323</v>
      </c>
      <c r="O285">
        <f>0.213*stand_validation_1cycle[[#This Row],[stand_level_biomass]]</f>
        <v>241.44383738510604</v>
      </c>
      <c r="P285">
        <f>0.571*stand_validation_1cycle[[#This Row],[stand_level_biomass]]</f>
        <v>647.25085045490869</v>
      </c>
      <c r="Q285">
        <f>stand_validation_1cycle[[#This Row],[stock]]</f>
        <v>49</v>
      </c>
      <c r="R285">
        <v>0</v>
      </c>
      <c r="S285">
        <f>stand_validation_1cycle[[#This Row],[aws]]</f>
        <v>568.51654052734295</v>
      </c>
      <c r="T285">
        <f>stand_validation_1cycle[[#This Row],[percent_tree_cover]]*100</f>
        <v>9.6550784839169701</v>
      </c>
    </row>
    <row r="286" spans="1:20" x14ac:dyDescent="0.2">
      <c r="A286">
        <v>1</v>
      </c>
      <c r="B286" t="s">
        <v>304</v>
      </c>
      <c r="C286">
        <v>20.588611111111099</v>
      </c>
      <c r="D286">
        <v>502.52670150469402</v>
      </c>
      <c r="E286">
        <v>0.204484695025832</v>
      </c>
      <c r="F286">
        <v>23.057263331750001</v>
      </c>
      <c r="G286">
        <v>4</v>
      </c>
      <c r="H286">
        <v>547</v>
      </c>
      <c r="I286">
        <v>5.8390397231583999E-2</v>
      </c>
      <c r="K286" s="1" t="str">
        <f>TEXT(stand_validation_1cycle[[#This Row],[stand_age]], ".0")</f>
        <v>20.6</v>
      </c>
      <c r="L286" s="1" t="str">
        <f t="shared" si="4"/>
        <v>"20.6"</v>
      </c>
      <c r="M286">
        <v>100</v>
      </c>
      <c r="N286">
        <f>0.029*stand_validation_1cycle[[#This Row],[stand_level_biomass]]</f>
        <v>14.573274343636127</v>
      </c>
      <c r="O286">
        <f>0.213*stand_validation_1cycle[[#This Row],[stand_level_biomass]]</f>
        <v>107.03818742049982</v>
      </c>
      <c r="P286">
        <f>0.571*stand_validation_1cycle[[#This Row],[stand_level_biomass]]</f>
        <v>286.94274655918025</v>
      </c>
      <c r="Q286">
        <f>stand_validation_1cycle[[#This Row],[stock]]</f>
        <v>4</v>
      </c>
      <c r="R286">
        <v>0</v>
      </c>
      <c r="S286">
        <f>stand_validation_1cycle[[#This Row],[aws]]</f>
        <v>547</v>
      </c>
      <c r="T286">
        <f>stand_validation_1cycle[[#This Row],[percent_tree_cover]]*100</f>
        <v>5.8390397231583995</v>
      </c>
    </row>
    <row r="287" spans="1:20" x14ac:dyDescent="0.2">
      <c r="A287">
        <v>1</v>
      </c>
      <c r="B287" t="s">
        <v>305</v>
      </c>
      <c r="C287">
        <v>22.198271604938199</v>
      </c>
      <c r="D287">
        <v>292.576715467214</v>
      </c>
      <c r="E287">
        <v>0.30664221953710202</v>
      </c>
      <c r="F287">
        <v>19.250467088841202</v>
      </c>
      <c r="G287">
        <v>9</v>
      </c>
      <c r="H287">
        <v>566.86529541015602</v>
      </c>
      <c r="I287">
        <v>3.7776480673491299E-2</v>
      </c>
      <c r="K287" s="1" t="str">
        <f>TEXT(stand_validation_1cycle[[#This Row],[stand_age]], ".0")</f>
        <v>22.2</v>
      </c>
      <c r="L287" s="1" t="str">
        <f t="shared" si="4"/>
        <v>"22.2"</v>
      </c>
      <c r="M287">
        <v>100</v>
      </c>
      <c r="N287">
        <f>0.029*stand_validation_1cycle[[#This Row],[stand_level_biomass]]</f>
        <v>8.4847247485492066</v>
      </c>
      <c r="O287">
        <f>0.213*stand_validation_1cycle[[#This Row],[stand_level_biomass]]</f>
        <v>62.318840394516577</v>
      </c>
      <c r="P287">
        <f>0.571*stand_validation_1cycle[[#This Row],[stand_level_biomass]]</f>
        <v>167.06130453177917</v>
      </c>
      <c r="Q287">
        <f>stand_validation_1cycle[[#This Row],[stock]]</f>
        <v>9</v>
      </c>
      <c r="R287">
        <v>0</v>
      </c>
      <c r="S287">
        <f>stand_validation_1cycle[[#This Row],[aws]]</f>
        <v>566.86529541015602</v>
      </c>
      <c r="T287">
        <f>stand_validation_1cycle[[#This Row],[percent_tree_cover]]*100</f>
        <v>3.7776480673491299</v>
      </c>
    </row>
    <row r="288" spans="1:20" x14ac:dyDescent="0.2">
      <c r="A288">
        <v>1</v>
      </c>
      <c r="B288" t="s">
        <v>306</v>
      </c>
      <c r="C288">
        <v>32.218055555555502</v>
      </c>
      <c r="D288">
        <v>1251.4948781028299</v>
      </c>
      <c r="E288">
        <v>0.84171906569467903</v>
      </c>
      <c r="F288">
        <v>32.239615236285701</v>
      </c>
      <c r="G288">
        <v>8</v>
      </c>
      <c r="H288">
        <v>568.80560302734295</v>
      </c>
      <c r="I288">
        <v>0.102236571165131</v>
      </c>
      <c r="K288" s="1" t="str">
        <f>TEXT(stand_validation_1cycle[[#This Row],[stand_age]], ".0")</f>
        <v>32.2</v>
      </c>
      <c r="L288" s="1" t="str">
        <f t="shared" si="4"/>
        <v>"32.2"</v>
      </c>
      <c r="M288">
        <v>100</v>
      </c>
      <c r="N288">
        <f>0.029*stand_validation_1cycle[[#This Row],[stand_level_biomass]]</f>
        <v>36.293351464982074</v>
      </c>
      <c r="O288">
        <f>0.213*stand_validation_1cycle[[#This Row],[stand_level_biomass]]</f>
        <v>266.56840903590279</v>
      </c>
      <c r="P288">
        <f>0.571*stand_validation_1cycle[[#This Row],[stand_level_biomass]]</f>
        <v>714.60357539671588</v>
      </c>
      <c r="Q288">
        <f>stand_validation_1cycle[[#This Row],[stock]]</f>
        <v>8</v>
      </c>
      <c r="R288">
        <v>0</v>
      </c>
      <c r="S288">
        <f>stand_validation_1cycle[[#This Row],[aws]]</f>
        <v>568.80560302734295</v>
      </c>
      <c r="T288">
        <f>stand_validation_1cycle[[#This Row],[percent_tree_cover]]*100</f>
        <v>10.223657116513101</v>
      </c>
    </row>
    <row r="289" spans="1:20" x14ac:dyDescent="0.2">
      <c r="A289">
        <v>1</v>
      </c>
      <c r="B289" t="s">
        <v>307</v>
      </c>
      <c r="C289">
        <v>24.913801169590599</v>
      </c>
      <c r="D289">
        <v>577.590179826341</v>
      </c>
      <c r="E289">
        <v>5.2410067120464801</v>
      </c>
      <c r="F289">
        <v>23.014099527203001</v>
      </c>
      <c r="G289">
        <v>95</v>
      </c>
      <c r="H289">
        <v>566.86529541015602</v>
      </c>
      <c r="I289">
        <v>5.39422367498366E-2</v>
      </c>
      <c r="K289" s="1" t="str">
        <f>TEXT(stand_validation_1cycle[[#This Row],[stand_age]], ".0")</f>
        <v>24.9</v>
      </c>
      <c r="L289" s="1" t="str">
        <f t="shared" si="4"/>
        <v>"24.9"</v>
      </c>
      <c r="M289">
        <v>100</v>
      </c>
      <c r="N289">
        <f>0.029*stand_validation_1cycle[[#This Row],[stand_level_biomass]]</f>
        <v>16.750115214963891</v>
      </c>
      <c r="O289">
        <f>0.213*stand_validation_1cycle[[#This Row],[stand_level_biomass]]</f>
        <v>123.02670830301064</v>
      </c>
      <c r="P289">
        <f>0.571*stand_validation_1cycle[[#This Row],[stand_level_biomass]]</f>
        <v>329.80399268084068</v>
      </c>
      <c r="Q289">
        <f>stand_validation_1cycle[[#This Row],[stock]]</f>
        <v>95</v>
      </c>
      <c r="R289">
        <v>0</v>
      </c>
      <c r="S289">
        <f>stand_validation_1cycle[[#This Row],[aws]]</f>
        <v>566.86529541015602</v>
      </c>
      <c r="T289">
        <f>stand_validation_1cycle[[#This Row],[percent_tree_cover]]*100</f>
        <v>5.3942236749836603</v>
      </c>
    </row>
    <row r="290" spans="1:20" x14ac:dyDescent="0.2">
      <c r="A290">
        <v>1</v>
      </c>
      <c r="B290" t="s">
        <v>308</v>
      </c>
      <c r="C290">
        <v>26.584859708193001</v>
      </c>
      <c r="D290">
        <v>898.43099674964901</v>
      </c>
      <c r="E290">
        <v>7.7353087568832803</v>
      </c>
      <c r="F290">
        <v>26.113835380256798</v>
      </c>
      <c r="G290">
        <v>99</v>
      </c>
      <c r="H290">
        <v>567.865234375</v>
      </c>
      <c r="I290">
        <v>7.6599834099455893E-2</v>
      </c>
      <c r="K290" s="1" t="str">
        <f>TEXT(stand_validation_1cycle[[#This Row],[stand_age]], ".0")</f>
        <v>26.6</v>
      </c>
      <c r="L290" s="1" t="str">
        <f t="shared" si="4"/>
        <v>"26.6"</v>
      </c>
      <c r="M290">
        <v>100</v>
      </c>
      <c r="N290">
        <f>0.029*stand_validation_1cycle[[#This Row],[stand_level_biomass]]</f>
        <v>26.054498905739823</v>
      </c>
      <c r="O290">
        <f>0.213*stand_validation_1cycle[[#This Row],[stand_level_biomass]]</f>
        <v>191.36580230767524</v>
      </c>
      <c r="P290">
        <f>0.571*stand_validation_1cycle[[#This Row],[stand_level_biomass]]</f>
        <v>513.00409914404952</v>
      </c>
      <c r="Q290">
        <f>stand_validation_1cycle[[#This Row],[stock]]</f>
        <v>99</v>
      </c>
      <c r="R290">
        <v>0</v>
      </c>
      <c r="S290">
        <f>stand_validation_1cycle[[#This Row],[aws]]</f>
        <v>567.865234375</v>
      </c>
      <c r="T290">
        <f>stand_validation_1cycle[[#This Row],[percent_tree_cover]]*100</f>
        <v>7.659983409945589</v>
      </c>
    </row>
    <row r="291" spans="1:20" x14ac:dyDescent="0.2">
      <c r="A291">
        <v>1</v>
      </c>
      <c r="B291" t="s">
        <v>309</v>
      </c>
      <c r="C291">
        <v>26.852888888888799</v>
      </c>
      <c r="D291">
        <v>739.31508014650399</v>
      </c>
      <c r="E291">
        <v>6.9004925556467098</v>
      </c>
      <c r="F291">
        <v>26.5637385500828</v>
      </c>
      <c r="G291">
        <v>100</v>
      </c>
      <c r="H291">
        <v>702.51220703125</v>
      </c>
      <c r="I291">
        <v>6.8775780764960201E-2</v>
      </c>
      <c r="K291" s="1" t="str">
        <f>TEXT(stand_validation_1cycle[[#This Row],[stand_age]], ".0")</f>
        <v>26.9</v>
      </c>
      <c r="L291" s="1" t="str">
        <f t="shared" si="4"/>
        <v>"26.9"</v>
      </c>
      <c r="M291">
        <v>100</v>
      </c>
      <c r="N291">
        <f>0.029*stand_validation_1cycle[[#This Row],[stand_level_biomass]]</f>
        <v>21.440137324248617</v>
      </c>
      <c r="O291">
        <f>0.213*stand_validation_1cycle[[#This Row],[stand_level_biomass]]</f>
        <v>157.47411207120535</v>
      </c>
      <c r="P291">
        <f>0.571*stand_validation_1cycle[[#This Row],[stand_level_biomass]]</f>
        <v>422.14891076365376</v>
      </c>
      <c r="Q291">
        <f>stand_validation_1cycle[[#This Row],[stock]]</f>
        <v>100</v>
      </c>
      <c r="R291">
        <v>0</v>
      </c>
      <c r="S291">
        <f>stand_validation_1cycle[[#This Row],[aws]]</f>
        <v>702.51220703125</v>
      </c>
      <c r="T291">
        <f>stand_validation_1cycle[[#This Row],[percent_tree_cover]]*100</f>
        <v>6.8775780764960199</v>
      </c>
    </row>
    <row r="292" spans="1:20" x14ac:dyDescent="0.2">
      <c r="A292">
        <v>1</v>
      </c>
      <c r="B292" t="s">
        <v>310</v>
      </c>
      <c r="C292">
        <v>25.4650673400673</v>
      </c>
      <c r="D292">
        <v>718.83397854351597</v>
      </c>
      <c r="E292">
        <v>4.4727490781670198</v>
      </c>
      <c r="F292">
        <v>25.966798525794299</v>
      </c>
      <c r="G292">
        <v>66</v>
      </c>
      <c r="H292">
        <v>571.80236816406205</v>
      </c>
      <c r="I292">
        <v>6.4316122041565199E-2</v>
      </c>
      <c r="K292" s="1" t="str">
        <f>TEXT(stand_validation_1cycle[[#This Row],[stand_age]], ".0")</f>
        <v>25.5</v>
      </c>
      <c r="L292" s="1" t="str">
        <f t="shared" si="4"/>
        <v>"25.5"</v>
      </c>
      <c r="M292">
        <v>100</v>
      </c>
      <c r="N292">
        <f>0.029*stand_validation_1cycle[[#This Row],[stand_level_biomass]]</f>
        <v>20.846185377761966</v>
      </c>
      <c r="O292">
        <f>0.213*stand_validation_1cycle[[#This Row],[stand_level_biomass]]</f>
        <v>153.1116374297689</v>
      </c>
      <c r="P292">
        <f>0.571*stand_validation_1cycle[[#This Row],[stand_level_biomass]]</f>
        <v>410.4542017483476</v>
      </c>
      <c r="Q292">
        <f>stand_validation_1cycle[[#This Row],[stock]]</f>
        <v>66</v>
      </c>
      <c r="R292">
        <v>0</v>
      </c>
      <c r="S292">
        <f>stand_validation_1cycle[[#This Row],[aws]]</f>
        <v>571.80236816406205</v>
      </c>
      <c r="T292">
        <f>stand_validation_1cycle[[#This Row],[percent_tree_cover]]*100</f>
        <v>6.4316122041565196</v>
      </c>
    </row>
    <row r="293" spans="1:20" x14ac:dyDescent="0.2">
      <c r="A293">
        <v>1</v>
      </c>
      <c r="B293" t="s">
        <v>311</v>
      </c>
      <c r="C293">
        <v>27.003662131519199</v>
      </c>
      <c r="D293">
        <v>769.35627722184495</v>
      </c>
      <c r="E293">
        <v>6.9284597988471202</v>
      </c>
      <c r="F293">
        <v>26.4297313487026</v>
      </c>
      <c r="G293">
        <v>98</v>
      </c>
      <c r="H293">
        <v>524.61187744140602</v>
      </c>
      <c r="I293">
        <v>7.0571815521434794E-2</v>
      </c>
      <c r="K293" s="1" t="str">
        <f>TEXT(stand_validation_1cycle[[#This Row],[stand_age]], ".0")</f>
        <v>27.0</v>
      </c>
      <c r="L293" s="1" t="str">
        <f t="shared" si="4"/>
        <v>"27.0"</v>
      </c>
      <c r="M293">
        <v>100</v>
      </c>
      <c r="N293">
        <f>0.029*stand_validation_1cycle[[#This Row],[stand_level_biomass]]</f>
        <v>22.311332039433506</v>
      </c>
      <c r="O293">
        <f>0.213*stand_validation_1cycle[[#This Row],[stand_level_biomass]]</f>
        <v>163.87288704825298</v>
      </c>
      <c r="P293">
        <f>0.571*stand_validation_1cycle[[#This Row],[stand_level_biomass]]</f>
        <v>439.3024342936734</v>
      </c>
      <c r="Q293">
        <f>stand_validation_1cycle[[#This Row],[stock]]</f>
        <v>98</v>
      </c>
      <c r="R293">
        <v>0</v>
      </c>
      <c r="S293">
        <f>stand_validation_1cycle[[#This Row],[aws]]</f>
        <v>524.61187744140602</v>
      </c>
      <c r="T293">
        <f>stand_validation_1cycle[[#This Row],[percent_tree_cover]]*100</f>
        <v>7.0571815521434793</v>
      </c>
    </row>
    <row r="294" spans="1:20" x14ac:dyDescent="0.2">
      <c r="A294">
        <v>1</v>
      </c>
      <c r="B294" t="s">
        <v>312</v>
      </c>
      <c r="C294">
        <v>25.263086419753002</v>
      </c>
      <c r="D294">
        <v>642.61122055635894</v>
      </c>
      <c r="E294">
        <v>4.3947441179765496</v>
      </c>
      <c r="F294">
        <v>24.364166664555501</v>
      </c>
      <c r="G294">
        <v>72</v>
      </c>
      <c r="H294">
        <v>525.72888183593705</v>
      </c>
      <c r="I294">
        <v>6.1388366205153998E-2</v>
      </c>
      <c r="K294" s="1" t="str">
        <f>TEXT(stand_validation_1cycle[[#This Row],[stand_age]], ".0")</f>
        <v>25.3</v>
      </c>
      <c r="L294" s="1" t="str">
        <f t="shared" si="4"/>
        <v>"25.3"</v>
      </c>
      <c r="M294">
        <v>100</v>
      </c>
      <c r="N294">
        <f>0.029*stand_validation_1cycle[[#This Row],[stand_level_biomass]]</f>
        <v>18.635725396134411</v>
      </c>
      <c r="O294">
        <f>0.213*stand_validation_1cycle[[#This Row],[stand_level_biomass]]</f>
        <v>136.87618997850444</v>
      </c>
      <c r="P294">
        <f>0.571*stand_validation_1cycle[[#This Row],[stand_level_biomass]]</f>
        <v>366.93100693768093</v>
      </c>
      <c r="Q294">
        <f>stand_validation_1cycle[[#This Row],[stock]]</f>
        <v>72</v>
      </c>
      <c r="R294">
        <v>0</v>
      </c>
      <c r="S294">
        <f>stand_validation_1cycle[[#This Row],[aws]]</f>
        <v>525.72888183593705</v>
      </c>
      <c r="T294">
        <f>stand_validation_1cycle[[#This Row],[percent_tree_cover]]*100</f>
        <v>6.1388366205153995</v>
      </c>
    </row>
    <row r="295" spans="1:20" x14ac:dyDescent="0.2">
      <c r="A295">
        <v>1</v>
      </c>
      <c r="B295" t="s">
        <v>313</v>
      </c>
      <c r="C295">
        <v>28.513912363067199</v>
      </c>
      <c r="D295">
        <v>1108.6127144683901</v>
      </c>
      <c r="E295">
        <v>6.6630910381947199</v>
      </c>
      <c r="F295">
        <v>29.1399861020885</v>
      </c>
      <c r="G295">
        <v>71</v>
      </c>
      <c r="H295">
        <v>524.13806152343705</v>
      </c>
      <c r="I295">
        <v>9.5137037472448893E-2</v>
      </c>
      <c r="K295" s="1" t="str">
        <f>TEXT(stand_validation_1cycle[[#This Row],[stand_age]], ".0")</f>
        <v>28.5</v>
      </c>
      <c r="L295" s="1" t="str">
        <f t="shared" si="4"/>
        <v>"28.5"</v>
      </c>
      <c r="M295">
        <v>100</v>
      </c>
      <c r="N295">
        <f>0.029*stand_validation_1cycle[[#This Row],[stand_level_biomass]]</f>
        <v>32.149768719583314</v>
      </c>
      <c r="O295">
        <f>0.213*stand_validation_1cycle[[#This Row],[stand_level_biomass]]</f>
        <v>236.13450818176707</v>
      </c>
      <c r="P295">
        <f>0.571*stand_validation_1cycle[[#This Row],[stand_level_biomass]]</f>
        <v>633.01785996145065</v>
      </c>
      <c r="Q295">
        <f>stand_validation_1cycle[[#This Row],[stock]]</f>
        <v>71</v>
      </c>
      <c r="R295">
        <v>0</v>
      </c>
      <c r="S295">
        <f>stand_validation_1cycle[[#This Row],[aws]]</f>
        <v>524.13806152343705</v>
      </c>
      <c r="T295">
        <f>stand_validation_1cycle[[#This Row],[percent_tree_cover]]*100</f>
        <v>9.5137037472448895</v>
      </c>
    </row>
    <row r="296" spans="1:20" x14ac:dyDescent="0.2">
      <c r="A296">
        <v>1</v>
      </c>
      <c r="B296" t="s">
        <v>314</v>
      </c>
      <c r="C296">
        <v>29.002316118935799</v>
      </c>
      <c r="D296">
        <v>1049.9350758739999</v>
      </c>
      <c r="E296">
        <v>6.5107198675048004</v>
      </c>
      <c r="F296">
        <v>29.8060253507746</v>
      </c>
      <c r="G296">
        <v>71</v>
      </c>
      <c r="H296">
        <v>595</v>
      </c>
      <c r="I296">
        <v>8.7971622592884893E-2</v>
      </c>
      <c r="K296" s="1" t="str">
        <f>TEXT(stand_validation_1cycle[[#This Row],[stand_age]], ".0")</f>
        <v>29.0</v>
      </c>
      <c r="L296" s="1" t="str">
        <f t="shared" si="4"/>
        <v>"29.0"</v>
      </c>
      <c r="M296">
        <v>100</v>
      </c>
      <c r="N296">
        <f>0.029*stand_validation_1cycle[[#This Row],[stand_level_biomass]]</f>
        <v>30.448117200346001</v>
      </c>
      <c r="O296">
        <f>0.213*stand_validation_1cycle[[#This Row],[stand_level_biomass]]</f>
        <v>223.636171161162</v>
      </c>
      <c r="P296">
        <f>0.571*stand_validation_1cycle[[#This Row],[stand_level_biomass]]</f>
        <v>599.51292832405397</v>
      </c>
      <c r="Q296">
        <f>stand_validation_1cycle[[#This Row],[stock]]</f>
        <v>71</v>
      </c>
      <c r="R296">
        <v>0</v>
      </c>
      <c r="S296">
        <f>stand_validation_1cycle[[#This Row],[aws]]</f>
        <v>595</v>
      </c>
      <c r="T296">
        <f>stand_validation_1cycle[[#This Row],[percent_tree_cover]]*100</f>
        <v>8.7971622592884895</v>
      </c>
    </row>
    <row r="297" spans="1:20" x14ac:dyDescent="0.2">
      <c r="A297">
        <v>1</v>
      </c>
      <c r="B297" t="s">
        <v>315</v>
      </c>
      <c r="C297">
        <v>28.8522446689113</v>
      </c>
      <c r="D297">
        <v>879.29823632233604</v>
      </c>
      <c r="E297">
        <v>7.7115960155339902</v>
      </c>
      <c r="F297">
        <v>27.119200874538901</v>
      </c>
      <c r="G297">
        <v>99</v>
      </c>
      <c r="H297">
        <v>597.22180175781205</v>
      </c>
      <c r="I297">
        <v>7.6511387866330494E-2</v>
      </c>
      <c r="K297" s="1" t="str">
        <f>TEXT(stand_validation_1cycle[[#This Row],[stand_age]], ".0")</f>
        <v>28.9</v>
      </c>
      <c r="L297" s="1" t="str">
        <f t="shared" si="4"/>
        <v>"28.9"</v>
      </c>
      <c r="M297">
        <v>100</v>
      </c>
      <c r="N297">
        <f>0.029*stand_validation_1cycle[[#This Row],[stand_level_biomass]]</f>
        <v>25.499648853347747</v>
      </c>
      <c r="O297">
        <f>0.213*stand_validation_1cycle[[#This Row],[stand_level_biomass]]</f>
        <v>187.29052433665757</v>
      </c>
      <c r="P297">
        <f>0.571*stand_validation_1cycle[[#This Row],[stand_level_biomass]]</f>
        <v>502.07929294005385</v>
      </c>
      <c r="Q297">
        <f>stand_validation_1cycle[[#This Row],[stock]]</f>
        <v>99</v>
      </c>
      <c r="R297">
        <v>0</v>
      </c>
      <c r="S297">
        <f>stand_validation_1cycle[[#This Row],[aws]]</f>
        <v>597.22180175781205</v>
      </c>
      <c r="T297">
        <f>stand_validation_1cycle[[#This Row],[percent_tree_cover]]*100</f>
        <v>7.6511387866330498</v>
      </c>
    </row>
    <row r="298" spans="1:20" x14ac:dyDescent="0.2">
      <c r="A298">
        <v>1</v>
      </c>
      <c r="B298" t="s">
        <v>316</v>
      </c>
      <c r="C298">
        <v>27.049599999999899</v>
      </c>
      <c r="D298">
        <v>684.13696467985596</v>
      </c>
      <c r="E298">
        <v>6.3741595472422299</v>
      </c>
      <c r="F298">
        <v>24.994766065875002</v>
      </c>
      <c r="G298">
        <v>100</v>
      </c>
      <c r="H298">
        <v>566.73394775390602</v>
      </c>
      <c r="I298">
        <v>6.3503788228948699E-2</v>
      </c>
      <c r="K298" s="1" t="str">
        <f>TEXT(stand_validation_1cycle[[#This Row],[stand_age]], ".0")</f>
        <v>27.0</v>
      </c>
      <c r="L298" s="1" t="str">
        <f t="shared" si="4"/>
        <v>"27.0"</v>
      </c>
      <c r="M298">
        <v>100</v>
      </c>
      <c r="N298">
        <f>0.029*stand_validation_1cycle[[#This Row],[stand_level_biomass]]</f>
        <v>19.839971975715823</v>
      </c>
      <c r="O298">
        <f>0.213*stand_validation_1cycle[[#This Row],[stand_level_biomass]]</f>
        <v>145.72117347680933</v>
      </c>
      <c r="P298">
        <f>0.571*stand_validation_1cycle[[#This Row],[stand_level_biomass]]</f>
        <v>390.6422068321977</v>
      </c>
      <c r="Q298">
        <f>stand_validation_1cycle[[#This Row],[stock]]</f>
        <v>100</v>
      </c>
      <c r="R298">
        <v>0</v>
      </c>
      <c r="S298">
        <f>stand_validation_1cycle[[#This Row],[aws]]</f>
        <v>566.73394775390602</v>
      </c>
      <c r="T298">
        <f>stand_validation_1cycle[[#This Row],[percent_tree_cover]]*100</f>
        <v>6.3503788228948697</v>
      </c>
    </row>
    <row r="299" spans="1:20" x14ac:dyDescent="0.2">
      <c r="A299">
        <v>1</v>
      </c>
      <c r="B299" t="s">
        <v>317</v>
      </c>
      <c r="C299">
        <v>26.315238095238001</v>
      </c>
      <c r="D299">
        <v>843.78351900012603</v>
      </c>
      <c r="E299">
        <v>6.8536168516625002</v>
      </c>
      <c r="F299">
        <v>26.727209669076899</v>
      </c>
      <c r="G299">
        <v>91</v>
      </c>
      <c r="H299">
        <v>574.59332275390602</v>
      </c>
      <c r="I299">
        <v>7.3724750629795402E-2</v>
      </c>
      <c r="K299" s="1" t="str">
        <f>TEXT(stand_validation_1cycle[[#This Row],[stand_age]], ".0")</f>
        <v>26.3</v>
      </c>
      <c r="L299" s="1" t="str">
        <f t="shared" si="4"/>
        <v>"26.3"</v>
      </c>
      <c r="M299">
        <v>100</v>
      </c>
      <c r="N299">
        <f>0.029*stand_validation_1cycle[[#This Row],[stand_level_biomass]]</f>
        <v>24.469722051003657</v>
      </c>
      <c r="O299">
        <f>0.213*stand_validation_1cycle[[#This Row],[stand_level_biomass]]</f>
        <v>179.72588954702684</v>
      </c>
      <c r="P299">
        <f>0.571*stand_validation_1cycle[[#This Row],[stand_level_biomass]]</f>
        <v>481.80038934907191</v>
      </c>
      <c r="Q299">
        <f>stand_validation_1cycle[[#This Row],[stock]]</f>
        <v>91</v>
      </c>
      <c r="R299">
        <v>0</v>
      </c>
      <c r="S299">
        <f>stand_validation_1cycle[[#This Row],[aws]]</f>
        <v>574.59332275390602</v>
      </c>
      <c r="T299">
        <f>stand_validation_1cycle[[#This Row],[percent_tree_cover]]*100</f>
        <v>7.3724750629795404</v>
      </c>
    </row>
    <row r="300" spans="1:20" x14ac:dyDescent="0.2">
      <c r="A300">
        <v>1</v>
      </c>
      <c r="B300" t="s">
        <v>318</v>
      </c>
      <c r="C300">
        <v>30.5338888888889</v>
      </c>
      <c r="D300">
        <v>1186.2507486736999</v>
      </c>
      <c r="E300">
        <v>8.0326950590647499</v>
      </c>
      <c r="F300">
        <v>30.796551248761599</v>
      </c>
      <c r="G300">
        <v>80</v>
      </c>
      <c r="H300">
        <v>566.73394775390602</v>
      </c>
      <c r="I300">
        <v>9.7838477413485503E-2</v>
      </c>
      <c r="K300" s="1" t="str">
        <f>TEXT(stand_validation_1cycle[[#This Row],[stand_age]], ".0")</f>
        <v>30.5</v>
      </c>
      <c r="L300" s="1" t="str">
        <f t="shared" si="4"/>
        <v>"30.5"</v>
      </c>
      <c r="M300">
        <v>100</v>
      </c>
      <c r="N300">
        <f>0.029*stand_validation_1cycle[[#This Row],[stand_level_biomass]]</f>
        <v>34.401271711537298</v>
      </c>
      <c r="O300">
        <f>0.213*stand_validation_1cycle[[#This Row],[stand_level_biomass]]</f>
        <v>252.67140946749808</v>
      </c>
      <c r="P300">
        <f>0.571*stand_validation_1cycle[[#This Row],[stand_level_biomass]]</f>
        <v>677.34917749268266</v>
      </c>
      <c r="Q300">
        <f>stand_validation_1cycle[[#This Row],[stock]]</f>
        <v>80</v>
      </c>
      <c r="R300">
        <v>0</v>
      </c>
      <c r="S300">
        <f>stand_validation_1cycle[[#This Row],[aws]]</f>
        <v>566.73394775390602</v>
      </c>
      <c r="T300">
        <f>stand_validation_1cycle[[#This Row],[percent_tree_cover]]*100</f>
        <v>9.7838477413485503</v>
      </c>
    </row>
    <row r="301" spans="1:20" x14ac:dyDescent="0.2">
      <c r="A301">
        <v>1</v>
      </c>
      <c r="B301" t="s">
        <v>319</v>
      </c>
      <c r="C301">
        <v>30.0025033467202</v>
      </c>
      <c r="D301">
        <v>1232.9109460379</v>
      </c>
      <c r="E301">
        <v>8.6006062608413192</v>
      </c>
      <c r="F301">
        <v>31.168239757744399</v>
      </c>
      <c r="G301">
        <v>83</v>
      </c>
      <c r="H301">
        <v>566.73394775390602</v>
      </c>
      <c r="I301">
        <v>0.10514324089409301</v>
      </c>
      <c r="K301" s="1" t="str">
        <f>TEXT(stand_validation_1cycle[[#This Row],[stand_age]], ".0")</f>
        <v>30.0</v>
      </c>
      <c r="L301" s="1" t="str">
        <f t="shared" si="4"/>
        <v>"30.0"</v>
      </c>
      <c r="M301">
        <v>100</v>
      </c>
      <c r="N301">
        <f>0.029*stand_validation_1cycle[[#This Row],[stand_level_biomass]]</f>
        <v>35.7544174350991</v>
      </c>
      <c r="O301">
        <f>0.213*stand_validation_1cycle[[#This Row],[stand_level_biomass]]</f>
        <v>262.61003150607269</v>
      </c>
      <c r="P301">
        <f>0.571*stand_validation_1cycle[[#This Row],[stand_level_biomass]]</f>
        <v>703.99215018764085</v>
      </c>
      <c r="Q301">
        <f>stand_validation_1cycle[[#This Row],[stock]]</f>
        <v>83</v>
      </c>
      <c r="R301">
        <v>0</v>
      </c>
      <c r="S301">
        <f>stand_validation_1cycle[[#This Row],[aws]]</f>
        <v>566.73394775390602</v>
      </c>
      <c r="T301">
        <f>stand_validation_1cycle[[#This Row],[percent_tree_cover]]*100</f>
        <v>10.514324089409302</v>
      </c>
    </row>
    <row r="302" spans="1:20" x14ac:dyDescent="0.2">
      <c r="A302">
        <v>1</v>
      </c>
      <c r="B302" t="s">
        <v>320</v>
      </c>
      <c r="C302">
        <v>26.690610328638499</v>
      </c>
      <c r="D302">
        <v>875.24338675280603</v>
      </c>
      <c r="E302">
        <v>5.4424102900772997</v>
      </c>
      <c r="F302">
        <v>26.2280373698853</v>
      </c>
      <c r="G302">
        <v>71</v>
      </c>
      <c r="H302">
        <v>526.40606689453102</v>
      </c>
      <c r="I302">
        <v>7.9208165452847104E-2</v>
      </c>
      <c r="K302" s="1" t="str">
        <f>TEXT(stand_validation_1cycle[[#This Row],[stand_age]], ".0")</f>
        <v>26.7</v>
      </c>
      <c r="L302" s="1" t="str">
        <f t="shared" si="4"/>
        <v>"26.7"</v>
      </c>
      <c r="M302">
        <v>100</v>
      </c>
      <c r="N302">
        <f>0.029*stand_validation_1cycle[[#This Row],[stand_level_biomass]]</f>
        <v>25.382058215831375</v>
      </c>
      <c r="O302">
        <f>0.213*stand_validation_1cycle[[#This Row],[stand_level_biomass]]</f>
        <v>186.42684137834769</v>
      </c>
      <c r="P302">
        <f>0.571*stand_validation_1cycle[[#This Row],[stand_level_biomass]]</f>
        <v>499.7639738358522</v>
      </c>
      <c r="Q302">
        <f>stand_validation_1cycle[[#This Row],[stock]]</f>
        <v>71</v>
      </c>
      <c r="R302">
        <v>0</v>
      </c>
      <c r="S302">
        <f>stand_validation_1cycle[[#This Row],[aws]]</f>
        <v>526.40606689453102</v>
      </c>
      <c r="T302">
        <f>stand_validation_1cycle[[#This Row],[percent_tree_cover]]*100</f>
        <v>7.9208165452847101</v>
      </c>
    </row>
    <row r="303" spans="1:20" x14ac:dyDescent="0.2">
      <c r="A303">
        <v>1</v>
      </c>
      <c r="B303" t="s">
        <v>321</v>
      </c>
      <c r="C303">
        <v>26.4211396011396</v>
      </c>
      <c r="D303">
        <v>711.16955605021803</v>
      </c>
      <c r="E303">
        <v>5.13141853551131</v>
      </c>
      <c r="F303">
        <v>25.144317531617201</v>
      </c>
      <c r="G303">
        <v>78</v>
      </c>
      <c r="H303">
        <v>524.11468505859295</v>
      </c>
      <c r="I303">
        <v>6.6990527400872302E-2</v>
      </c>
      <c r="K303" s="1" t="str">
        <f>TEXT(stand_validation_1cycle[[#This Row],[stand_age]], ".0")</f>
        <v>26.4</v>
      </c>
      <c r="L303" s="1" t="str">
        <f t="shared" si="4"/>
        <v>"26.4"</v>
      </c>
      <c r="M303">
        <v>100</v>
      </c>
      <c r="N303">
        <f>0.029*stand_validation_1cycle[[#This Row],[stand_level_biomass]]</f>
        <v>20.623917125456323</v>
      </c>
      <c r="O303">
        <f>0.213*stand_validation_1cycle[[#This Row],[stand_level_biomass]]</f>
        <v>151.47911543869643</v>
      </c>
      <c r="P303">
        <f>0.571*stand_validation_1cycle[[#This Row],[stand_level_biomass]]</f>
        <v>406.07781650467444</v>
      </c>
      <c r="Q303">
        <f>stand_validation_1cycle[[#This Row],[stock]]</f>
        <v>78</v>
      </c>
      <c r="R303">
        <v>0</v>
      </c>
      <c r="S303">
        <f>stand_validation_1cycle[[#This Row],[aws]]</f>
        <v>524.11468505859295</v>
      </c>
      <c r="T303">
        <f>stand_validation_1cycle[[#This Row],[percent_tree_cover]]*100</f>
        <v>6.6990527400872306</v>
      </c>
    </row>
    <row r="304" spans="1:20" x14ac:dyDescent="0.2">
      <c r="A304">
        <v>1</v>
      </c>
      <c r="B304" t="s">
        <v>322</v>
      </c>
      <c r="C304">
        <v>30.7126444444444</v>
      </c>
      <c r="D304">
        <v>1047.1753908517101</v>
      </c>
      <c r="E304">
        <v>9.0384484581758002</v>
      </c>
      <c r="F304">
        <v>29.221706055188498</v>
      </c>
      <c r="G304">
        <v>100</v>
      </c>
      <c r="H304">
        <v>524.11468505859295</v>
      </c>
      <c r="I304">
        <v>9.0046256368921496E-2</v>
      </c>
      <c r="K304" s="1" t="str">
        <f>TEXT(stand_validation_1cycle[[#This Row],[stand_age]], ".0")</f>
        <v>30.7</v>
      </c>
      <c r="L304" s="1" t="str">
        <f t="shared" si="4"/>
        <v>"30.7"</v>
      </c>
      <c r="M304">
        <v>100</v>
      </c>
      <c r="N304">
        <f>0.029*stand_validation_1cycle[[#This Row],[stand_level_biomass]]</f>
        <v>30.368086334699594</v>
      </c>
      <c r="O304">
        <f>0.213*stand_validation_1cycle[[#This Row],[stand_level_biomass]]</f>
        <v>223.04835825141424</v>
      </c>
      <c r="P304">
        <f>0.571*stand_validation_1cycle[[#This Row],[stand_level_biomass]]</f>
        <v>597.93714817632645</v>
      </c>
      <c r="Q304">
        <f>stand_validation_1cycle[[#This Row],[stock]]</f>
        <v>100</v>
      </c>
      <c r="R304">
        <v>0</v>
      </c>
      <c r="S304">
        <f>stand_validation_1cycle[[#This Row],[aws]]</f>
        <v>524.11468505859295</v>
      </c>
      <c r="T304">
        <f>stand_validation_1cycle[[#This Row],[percent_tree_cover]]*100</f>
        <v>9.0046256368921505</v>
      </c>
    </row>
    <row r="305" spans="1:20" x14ac:dyDescent="0.2">
      <c r="A305">
        <v>1</v>
      </c>
      <c r="B305" t="s">
        <v>323</v>
      </c>
      <c r="C305">
        <v>27.1358854166666</v>
      </c>
      <c r="D305">
        <v>735.93159328646698</v>
      </c>
      <c r="E305">
        <v>4.3540267209915298</v>
      </c>
      <c r="F305">
        <v>25.643633718386099</v>
      </c>
      <c r="G305">
        <v>64</v>
      </c>
      <c r="H305">
        <v>524.388916015625</v>
      </c>
      <c r="I305">
        <v>6.1909980224654902E-2</v>
      </c>
      <c r="K305" s="1" t="str">
        <f>TEXT(stand_validation_1cycle[[#This Row],[stand_age]], ".0")</f>
        <v>27.1</v>
      </c>
      <c r="L305" s="1" t="str">
        <f t="shared" si="4"/>
        <v>"27.1"</v>
      </c>
      <c r="M305">
        <v>100</v>
      </c>
      <c r="N305">
        <f>0.029*stand_validation_1cycle[[#This Row],[stand_level_biomass]]</f>
        <v>21.342016205307544</v>
      </c>
      <c r="O305">
        <f>0.213*stand_validation_1cycle[[#This Row],[stand_level_biomass]]</f>
        <v>156.75342937001747</v>
      </c>
      <c r="P305">
        <f>0.571*stand_validation_1cycle[[#This Row],[stand_level_biomass]]</f>
        <v>420.21693976657264</v>
      </c>
      <c r="Q305">
        <f>stand_validation_1cycle[[#This Row],[stock]]</f>
        <v>64</v>
      </c>
      <c r="R305">
        <v>0</v>
      </c>
      <c r="S305">
        <f>stand_validation_1cycle[[#This Row],[aws]]</f>
        <v>524.388916015625</v>
      </c>
      <c r="T305">
        <f>stand_validation_1cycle[[#This Row],[percent_tree_cover]]*100</f>
        <v>6.1909980224654904</v>
      </c>
    </row>
    <row r="306" spans="1:20" x14ac:dyDescent="0.2">
      <c r="A306">
        <v>1</v>
      </c>
      <c r="B306" t="s">
        <v>324</v>
      </c>
      <c r="C306">
        <v>27.993311111111101</v>
      </c>
      <c r="D306">
        <v>1080.1070247891701</v>
      </c>
      <c r="E306">
        <v>9.1769298623460394</v>
      </c>
      <c r="F306">
        <v>28.8923471213485</v>
      </c>
      <c r="G306">
        <v>100</v>
      </c>
      <c r="H306">
        <v>623</v>
      </c>
      <c r="I306">
        <v>9.1426202065602299E-2</v>
      </c>
      <c r="K306" s="1" t="str">
        <f>TEXT(stand_validation_1cycle[[#This Row],[stand_age]], ".0")</f>
        <v>28.0</v>
      </c>
      <c r="L306" s="1" t="str">
        <f t="shared" si="4"/>
        <v>"28.0"</v>
      </c>
      <c r="M306">
        <v>100</v>
      </c>
      <c r="N306">
        <f>0.029*stand_validation_1cycle[[#This Row],[stand_level_biomass]]</f>
        <v>31.323103718885932</v>
      </c>
      <c r="O306">
        <f>0.213*stand_validation_1cycle[[#This Row],[stand_level_biomass]]</f>
        <v>230.06279628009321</v>
      </c>
      <c r="P306">
        <f>0.571*stand_validation_1cycle[[#This Row],[stand_level_biomass]]</f>
        <v>616.74111115461608</v>
      </c>
      <c r="Q306">
        <f>stand_validation_1cycle[[#This Row],[stock]]</f>
        <v>100</v>
      </c>
      <c r="R306">
        <v>0</v>
      </c>
      <c r="S306">
        <f>stand_validation_1cycle[[#This Row],[aws]]</f>
        <v>623</v>
      </c>
      <c r="T306">
        <f>stand_validation_1cycle[[#This Row],[percent_tree_cover]]*100</f>
        <v>9.1426202065602293</v>
      </c>
    </row>
    <row r="307" spans="1:20" x14ac:dyDescent="0.2">
      <c r="A307">
        <v>1</v>
      </c>
      <c r="B307" t="s">
        <v>325</v>
      </c>
      <c r="C307">
        <v>28.445147392290199</v>
      </c>
      <c r="D307">
        <v>990.71444133013597</v>
      </c>
      <c r="E307">
        <v>8.4688808516726297</v>
      </c>
      <c r="F307">
        <v>28.5341590453571</v>
      </c>
      <c r="G307">
        <v>98</v>
      </c>
      <c r="H307">
        <v>566.54302978515602</v>
      </c>
      <c r="I307">
        <v>8.3926467750675596E-2</v>
      </c>
      <c r="K307" s="1" t="str">
        <f>TEXT(stand_validation_1cycle[[#This Row],[stand_age]], ".0")</f>
        <v>28.4</v>
      </c>
      <c r="L307" s="1" t="str">
        <f t="shared" si="4"/>
        <v>"28.4"</v>
      </c>
      <c r="M307">
        <v>100</v>
      </c>
      <c r="N307">
        <f>0.029*stand_validation_1cycle[[#This Row],[stand_level_biomass]]</f>
        <v>28.730718798573946</v>
      </c>
      <c r="O307">
        <f>0.213*stand_validation_1cycle[[#This Row],[stand_level_biomass]]</f>
        <v>211.02217600331895</v>
      </c>
      <c r="P307">
        <f>0.571*stand_validation_1cycle[[#This Row],[stand_level_biomass]]</f>
        <v>565.69794599950762</v>
      </c>
      <c r="Q307">
        <f>stand_validation_1cycle[[#This Row],[stock]]</f>
        <v>98</v>
      </c>
      <c r="R307">
        <v>0</v>
      </c>
      <c r="S307">
        <f>stand_validation_1cycle[[#This Row],[aws]]</f>
        <v>566.54302978515602</v>
      </c>
      <c r="T307">
        <f>stand_validation_1cycle[[#This Row],[percent_tree_cover]]*100</f>
        <v>8.3926467750675595</v>
      </c>
    </row>
    <row r="308" spans="1:20" x14ac:dyDescent="0.2">
      <c r="A308">
        <v>1</v>
      </c>
      <c r="B308" t="s">
        <v>326</v>
      </c>
      <c r="C308">
        <v>26.121133557800199</v>
      </c>
      <c r="D308">
        <v>776.08851332532402</v>
      </c>
      <c r="E308">
        <v>7.1387886416067996</v>
      </c>
      <c r="F308">
        <v>27.127926711906198</v>
      </c>
      <c r="G308">
        <v>99</v>
      </c>
      <c r="H308">
        <v>569.97125244140602</v>
      </c>
      <c r="I308">
        <v>7.0875310998858798E-2</v>
      </c>
      <c r="K308" s="1" t="str">
        <f>TEXT(stand_validation_1cycle[[#This Row],[stand_age]], ".0")</f>
        <v>26.1</v>
      </c>
      <c r="L308" s="1" t="str">
        <f t="shared" si="4"/>
        <v>"26.1"</v>
      </c>
      <c r="M308">
        <v>100</v>
      </c>
      <c r="N308">
        <f>0.029*stand_validation_1cycle[[#This Row],[stand_level_biomass]]</f>
        <v>22.506566886434399</v>
      </c>
      <c r="O308">
        <f>0.213*stand_validation_1cycle[[#This Row],[stand_level_biomass]]</f>
        <v>165.30685333829402</v>
      </c>
      <c r="P308">
        <f>0.571*stand_validation_1cycle[[#This Row],[stand_level_biomass]]</f>
        <v>443.14654110875995</v>
      </c>
      <c r="Q308">
        <f>stand_validation_1cycle[[#This Row],[stock]]</f>
        <v>99</v>
      </c>
      <c r="R308">
        <v>0</v>
      </c>
      <c r="S308">
        <f>stand_validation_1cycle[[#This Row],[aws]]</f>
        <v>569.97125244140602</v>
      </c>
      <c r="T308">
        <f>stand_validation_1cycle[[#This Row],[percent_tree_cover]]*100</f>
        <v>7.0875310998858794</v>
      </c>
    </row>
    <row r="309" spans="1:20" x14ac:dyDescent="0.2">
      <c r="A309">
        <v>1</v>
      </c>
      <c r="B309" t="s">
        <v>327</v>
      </c>
      <c r="C309">
        <v>26.479499999999899</v>
      </c>
      <c r="D309">
        <v>675.21264926133097</v>
      </c>
      <c r="E309">
        <v>6.4132605948069799</v>
      </c>
      <c r="F309">
        <v>25.4052042837328</v>
      </c>
      <c r="G309">
        <v>100</v>
      </c>
      <c r="H309">
        <v>574.6630859375</v>
      </c>
      <c r="I309">
        <v>6.3914975530667495E-2</v>
      </c>
      <c r="K309" s="1" t="str">
        <f>TEXT(stand_validation_1cycle[[#This Row],[stand_age]], ".0")</f>
        <v>26.5</v>
      </c>
      <c r="L309" s="1" t="str">
        <f t="shared" si="4"/>
        <v>"26.5"</v>
      </c>
      <c r="M309">
        <v>100</v>
      </c>
      <c r="N309">
        <f>0.029*stand_validation_1cycle[[#This Row],[stand_level_biomass]]</f>
        <v>19.581166828578599</v>
      </c>
      <c r="O309">
        <f>0.213*stand_validation_1cycle[[#This Row],[stand_level_biomass]]</f>
        <v>143.8202942926635</v>
      </c>
      <c r="P309">
        <f>0.571*stand_validation_1cycle[[#This Row],[stand_level_biomass]]</f>
        <v>385.54642272821997</v>
      </c>
      <c r="Q309">
        <f>stand_validation_1cycle[[#This Row],[stock]]</f>
        <v>100</v>
      </c>
      <c r="R309">
        <v>0</v>
      </c>
      <c r="S309">
        <f>stand_validation_1cycle[[#This Row],[aws]]</f>
        <v>574.6630859375</v>
      </c>
      <c r="T309">
        <f>stand_validation_1cycle[[#This Row],[percent_tree_cover]]*100</f>
        <v>6.391497553066749</v>
      </c>
    </row>
    <row r="310" spans="1:20" x14ac:dyDescent="0.2">
      <c r="A310">
        <v>1</v>
      </c>
      <c r="B310" t="s">
        <v>328</v>
      </c>
      <c r="C310">
        <v>27.1642444444444</v>
      </c>
      <c r="D310">
        <v>758.89087721088799</v>
      </c>
      <c r="E310">
        <v>6.9536773630774897</v>
      </c>
      <c r="F310">
        <v>26.085972283732801</v>
      </c>
      <c r="G310">
        <v>100</v>
      </c>
      <c r="H310">
        <v>567.54870605468705</v>
      </c>
      <c r="I310">
        <v>6.9289496905449402E-2</v>
      </c>
      <c r="K310" s="1" t="str">
        <f>TEXT(stand_validation_1cycle[[#This Row],[stand_age]], ".0")</f>
        <v>27.2</v>
      </c>
      <c r="L310" s="1" t="str">
        <f t="shared" si="4"/>
        <v>"27.2"</v>
      </c>
      <c r="M310">
        <v>100</v>
      </c>
      <c r="N310">
        <f>0.029*stand_validation_1cycle[[#This Row],[stand_level_biomass]]</f>
        <v>22.007835439115752</v>
      </c>
      <c r="O310">
        <f>0.213*stand_validation_1cycle[[#This Row],[stand_level_biomass]]</f>
        <v>161.64375684591914</v>
      </c>
      <c r="P310">
        <f>0.571*stand_validation_1cycle[[#This Row],[stand_level_biomass]]</f>
        <v>433.32669088741699</v>
      </c>
      <c r="Q310">
        <f>stand_validation_1cycle[[#This Row],[stock]]</f>
        <v>100</v>
      </c>
      <c r="R310">
        <v>0</v>
      </c>
      <c r="S310">
        <f>stand_validation_1cycle[[#This Row],[aws]]</f>
        <v>567.54870605468705</v>
      </c>
      <c r="T310">
        <f>stand_validation_1cycle[[#This Row],[percent_tree_cover]]*100</f>
        <v>6.9289496905449406</v>
      </c>
    </row>
    <row r="311" spans="1:20" x14ac:dyDescent="0.2">
      <c r="A311">
        <v>1</v>
      </c>
      <c r="B311" t="s">
        <v>329</v>
      </c>
      <c r="C311">
        <v>26.120999999999999</v>
      </c>
      <c r="D311">
        <v>651.949714040907</v>
      </c>
      <c r="E311">
        <v>6.17308740723636</v>
      </c>
      <c r="F311">
        <v>24.9368222266442</v>
      </c>
      <c r="G311">
        <v>100</v>
      </c>
      <c r="H311">
        <v>524.56597900390602</v>
      </c>
      <c r="I311">
        <v>6.1527407736387103E-2</v>
      </c>
      <c r="K311" s="1" t="str">
        <f>TEXT(stand_validation_1cycle[[#This Row],[stand_age]], ".0")</f>
        <v>26.1</v>
      </c>
      <c r="L311" s="1" t="str">
        <f t="shared" si="4"/>
        <v>"26.1"</v>
      </c>
      <c r="M311">
        <v>100</v>
      </c>
      <c r="N311">
        <f>0.029*stand_validation_1cycle[[#This Row],[stand_level_biomass]]</f>
        <v>18.906541707186303</v>
      </c>
      <c r="O311">
        <f>0.213*stand_validation_1cycle[[#This Row],[stand_level_biomass]]</f>
        <v>138.86528909071319</v>
      </c>
      <c r="P311">
        <f>0.571*stand_validation_1cycle[[#This Row],[stand_level_biomass]]</f>
        <v>372.26328671735786</v>
      </c>
      <c r="Q311">
        <f>stand_validation_1cycle[[#This Row],[stock]]</f>
        <v>100</v>
      </c>
      <c r="R311">
        <v>0</v>
      </c>
      <c r="S311">
        <f>stand_validation_1cycle[[#This Row],[aws]]</f>
        <v>524.56597900390602</v>
      </c>
      <c r="T311">
        <f>stand_validation_1cycle[[#This Row],[percent_tree_cover]]*100</f>
        <v>6.1527407736387101</v>
      </c>
    </row>
    <row r="312" spans="1:20" x14ac:dyDescent="0.2">
      <c r="A312">
        <v>1</v>
      </c>
      <c r="B312" t="s">
        <v>330</v>
      </c>
      <c r="C312">
        <v>27.8889999999999</v>
      </c>
      <c r="D312">
        <v>873.44974603728997</v>
      </c>
      <c r="E312">
        <v>7.8152575775281603</v>
      </c>
      <c r="F312">
        <v>27.6799331215385</v>
      </c>
      <c r="G312">
        <v>100</v>
      </c>
      <c r="H312">
        <v>525.92626953125</v>
      </c>
      <c r="I312">
        <v>7.7878138272421807E-2</v>
      </c>
      <c r="K312" s="1" t="str">
        <f>TEXT(stand_validation_1cycle[[#This Row],[stand_age]], ".0")</f>
        <v>27.9</v>
      </c>
      <c r="L312" s="1" t="str">
        <f t="shared" si="4"/>
        <v>"27.9"</v>
      </c>
      <c r="M312">
        <v>100</v>
      </c>
      <c r="N312">
        <f>0.029*stand_validation_1cycle[[#This Row],[stand_level_biomass]]</f>
        <v>25.330042635081412</v>
      </c>
      <c r="O312">
        <f>0.213*stand_validation_1cycle[[#This Row],[stand_level_biomass]]</f>
        <v>186.04479590594275</v>
      </c>
      <c r="P312">
        <f>0.571*stand_validation_1cycle[[#This Row],[stand_level_biomass]]</f>
        <v>498.73980498729253</v>
      </c>
      <c r="Q312">
        <f>stand_validation_1cycle[[#This Row],[stock]]</f>
        <v>100</v>
      </c>
      <c r="R312">
        <v>0</v>
      </c>
      <c r="S312">
        <f>stand_validation_1cycle[[#This Row],[aws]]</f>
        <v>525.92626953125</v>
      </c>
      <c r="T312">
        <f>stand_validation_1cycle[[#This Row],[percent_tree_cover]]*100</f>
        <v>7.7878138272421804</v>
      </c>
    </row>
    <row r="313" spans="1:20" x14ac:dyDescent="0.2">
      <c r="A313">
        <v>1</v>
      </c>
      <c r="B313" t="s">
        <v>331</v>
      </c>
      <c r="C313">
        <v>26.1227444444444</v>
      </c>
      <c r="D313">
        <v>759.30090892208102</v>
      </c>
      <c r="E313">
        <v>6.8998524561435399</v>
      </c>
      <c r="F313">
        <v>25.547028532265699</v>
      </c>
      <c r="G313">
        <v>100</v>
      </c>
      <c r="H313">
        <v>523.526123046875</v>
      </c>
      <c r="I313">
        <v>6.8758989665349907E-2</v>
      </c>
      <c r="K313" s="1" t="str">
        <f>TEXT(stand_validation_1cycle[[#This Row],[stand_age]], ".0")</f>
        <v>26.1</v>
      </c>
      <c r="L313" s="1" t="str">
        <f t="shared" si="4"/>
        <v>"26.1"</v>
      </c>
      <c r="M313">
        <v>100</v>
      </c>
      <c r="N313">
        <f>0.029*stand_validation_1cycle[[#This Row],[stand_level_biomass]]</f>
        <v>22.01972635874035</v>
      </c>
      <c r="O313">
        <f>0.213*stand_validation_1cycle[[#This Row],[stand_level_biomass]]</f>
        <v>161.73109360040326</v>
      </c>
      <c r="P313">
        <f>0.571*stand_validation_1cycle[[#This Row],[stand_level_biomass]]</f>
        <v>433.56081899450822</v>
      </c>
      <c r="Q313">
        <f>stand_validation_1cycle[[#This Row],[stock]]</f>
        <v>100</v>
      </c>
      <c r="R313">
        <v>0</v>
      </c>
      <c r="S313">
        <f>stand_validation_1cycle[[#This Row],[aws]]</f>
        <v>523.526123046875</v>
      </c>
      <c r="T313">
        <f>stand_validation_1cycle[[#This Row],[percent_tree_cover]]*100</f>
        <v>6.875898966534991</v>
      </c>
    </row>
    <row r="314" spans="1:20" x14ac:dyDescent="0.2">
      <c r="A314">
        <v>1</v>
      </c>
      <c r="B314" t="s">
        <v>332</v>
      </c>
      <c r="C314">
        <v>26.7113444444444</v>
      </c>
      <c r="D314">
        <v>887.06134063742195</v>
      </c>
      <c r="E314">
        <v>7.9017731122172101</v>
      </c>
      <c r="F314">
        <v>27.572229265386401</v>
      </c>
      <c r="G314">
        <v>100</v>
      </c>
      <c r="H314">
        <v>570.70788574218705</v>
      </c>
      <c r="I314">
        <v>7.8752052704830003E-2</v>
      </c>
      <c r="K314" s="1" t="str">
        <f>TEXT(stand_validation_1cycle[[#This Row],[stand_age]], ".0")</f>
        <v>26.7</v>
      </c>
      <c r="L314" s="1" t="str">
        <f t="shared" si="4"/>
        <v>"26.7"</v>
      </c>
      <c r="M314">
        <v>100</v>
      </c>
      <c r="N314">
        <f>0.029*stand_validation_1cycle[[#This Row],[stand_level_biomass]]</f>
        <v>25.724778878485239</v>
      </c>
      <c r="O314">
        <f>0.213*stand_validation_1cycle[[#This Row],[stand_level_biomass]]</f>
        <v>188.94406555577086</v>
      </c>
      <c r="P314">
        <f>0.571*stand_validation_1cycle[[#This Row],[stand_level_biomass]]</f>
        <v>506.51202550396789</v>
      </c>
      <c r="Q314">
        <f>stand_validation_1cycle[[#This Row],[stock]]</f>
        <v>100</v>
      </c>
      <c r="R314">
        <v>0</v>
      </c>
      <c r="S314">
        <f>stand_validation_1cycle[[#This Row],[aws]]</f>
        <v>570.70788574218705</v>
      </c>
      <c r="T314">
        <f>stand_validation_1cycle[[#This Row],[percent_tree_cover]]*100</f>
        <v>7.8752052704830007</v>
      </c>
    </row>
    <row r="315" spans="1:20" x14ac:dyDescent="0.2">
      <c r="A315">
        <v>1</v>
      </c>
      <c r="B315" t="s">
        <v>333</v>
      </c>
      <c r="C315">
        <v>26.720875420875402</v>
      </c>
      <c r="D315">
        <v>702.75503174345704</v>
      </c>
      <c r="E315">
        <v>6.3979311934537799</v>
      </c>
      <c r="F315">
        <v>24.677424578251799</v>
      </c>
      <c r="G315">
        <v>99</v>
      </c>
      <c r="H315">
        <v>570.58404541015602</v>
      </c>
      <c r="I315">
        <v>6.3629643074277806E-2</v>
      </c>
      <c r="K315" s="1" t="str">
        <f>TEXT(stand_validation_1cycle[[#This Row],[stand_age]], ".0")</f>
        <v>26.7</v>
      </c>
      <c r="L315" s="1" t="str">
        <f t="shared" si="4"/>
        <v>"26.7"</v>
      </c>
      <c r="M315">
        <v>100</v>
      </c>
      <c r="N315">
        <f>0.029*stand_validation_1cycle[[#This Row],[stand_level_biomass]]</f>
        <v>20.379895920560255</v>
      </c>
      <c r="O315">
        <f>0.213*stand_validation_1cycle[[#This Row],[stand_level_biomass]]</f>
        <v>149.68682176135636</v>
      </c>
      <c r="P315">
        <f>0.571*stand_validation_1cycle[[#This Row],[stand_level_biomass]]</f>
        <v>401.27312312551396</v>
      </c>
      <c r="Q315">
        <f>stand_validation_1cycle[[#This Row],[stock]]</f>
        <v>99</v>
      </c>
      <c r="R315">
        <v>0</v>
      </c>
      <c r="S315">
        <f>stand_validation_1cycle[[#This Row],[aws]]</f>
        <v>570.58404541015602</v>
      </c>
      <c r="T315">
        <f>stand_validation_1cycle[[#This Row],[percent_tree_cover]]*100</f>
        <v>6.3629643074277809</v>
      </c>
    </row>
    <row r="316" spans="1:20" x14ac:dyDescent="0.2">
      <c r="A316">
        <v>1</v>
      </c>
      <c r="B316" t="s">
        <v>334</v>
      </c>
      <c r="C316">
        <v>26.392133333333302</v>
      </c>
      <c r="D316">
        <v>768.72233825287196</v>
      </c>
      <c r="E316">
        <v>6.9854184444530398</v>
      </c>
      <c r="F316">
        <v>25.883064332279201</v>
      </c>
      <c r="G316">
        <v>100</v>
      </c>
      <c r="H316">
        <v>566.47930908203102</v>
      </c>
      <c r="I316">
        <v>6.9611893679780601E-2</v>
      </c>
      <c r="K316" s="1" t="str">
        <f>TEXT(stand_validation_1cycle[[#This Row],[stand_age]], ".0")</f>
        <v>26.4</v>
      </c>
      <c r="L316" s="1" t="str">
        <f t="shared" si="4"/>
        <v>"26.4"</v>
      </c>
      <c r="M316">
        <v>100</v>
      </c>
      <c r="N316">
        <f>0.029*stand_validation_1cycle[[#This Row],[stand_level_biomass]]</f>
        <v>22.292947809333288</v>
      </c>
      <c r="O316">
        <f>0.213*stand_validation_1cycle[[#This Row],[stand_level_biomass]]</f>
        <v>163.73785804786172</v>
      </c>
      <c r="P316">
        <f>0.571*stand_validation_1cycle[[#This Row],[stand_level_biomass]]</f>
        <v>438.94045514238985</v>
      </c>
      <c r="Q316">
        <f>stand_validation_1cycle[[#This Row],[stock]]</f>
        <v>100</v>
      </c>
      <c r="R316">
        <v>0</v>
      </c>
      <c r="S316">
        <f>stand_validation_1cycle[[#This Row],[aws]]</f>
        <v>566.47930908203102</v>
      </c>
      <c r="T316">
        <f>stand_validation_1cycle[[#This Row],[percent_tree_cover]]*100</f>
        <v>6.9611893679780596</v>
      </c>
    </row>
    <row r="317" spans="1:20" x14ac:dyDescent="0.2">
      <c r="A317">
        <v>1</v>
      </c>
      <c r="B317" t="s">
        <v>335</v>
      </c>
      <c r="C317">
        <v>27.7096296296296</v>
      </c>
      <c r="D317">
        <v>1058.5792699733499</v>
      </c>
      <c r="E317">
        <v>8.8977490895921303</v>
      </c>
      <c r="F317">
        <v>28.386437776585101</v>
      </c>
      <c r="G317">
        <v>99</v>
      </c>
      <c r="H317">
        <v>572.07946777343705</v>
      </c>
      <c r="I317">
        <v>8.8644813011536705E-2</v>
      </c>
      <c r="K317" s="1" t="str">
        <f>TEXT(stand_validation_1cycle[[#This Row],[stand_age]], ".0")</f>
        <v>27.7</v>
      </c>
      <c r="L317" s="1" t="str">
        <f t="shared" si="4"/>
        <v>"27.7"</v>
      </c>
      <c r="M317">
        <v>100</v>
      </c>
      <c r="N317">
        <f>0.029*stand_validation_1cycle[[#This Row],[stand_level_biomass]]</f>
        <v>30.698798829227151</v>
      </c>
      <c r="O317">
        <f>0.213*stand_validation_1cycle[[#This Row],[stand_level_biomass]]</f>
        <v>225.47738450432354</v>
      </c>
      <c r="P317">
        <f>0.571*stand_validation_1cycle[[#This Row],[stand_level_biomass]]</f>
        <v>604.4487631547828</v>
      </c>
      <c r="Q317">
        <f>stand_validation_1cycle[[#This Row],[stock]]</f>
        <v>99</v>
      </c>
      <c r="R317">
        <v>0</v>
      </c>
      <c r="S317">
        <f>stand_validation_1cycle[[#This Row],[aws]]</f>
        <v>572.07946777343705</v>
      </c>
      <c r="T317">
        <f>stand_validation_1cycle[[#This Row],[percent_tree_cover]]*100</f>
        <v>8.8644813011536705</v>
      </c>
    </row>
    <row r="318" spans="1:20" x14ac:dyDescent="0.2">
      <c r="A318">
        <v>1</v>
      </c>
      <c r="B318" t="s">
        <v>336</v>
      </c>
      <c r="C318">
        <v>27.3120089786756</v>
      </c>
      <c r="D318">
        <v>798.41306557255996</v>
      </c>
      <c r="E318">
        <v>7.1646950000264704</v>
      </c>
      <c r="F318">
        <v>26.545319325575701</v>
      </c>
      <c r="G318">
        <v>99</v>
      </c>
      <c r="H318">
        <v>573.31896972656205</v>
      </c>
      <c r="I318">
        <v>7.1314707015685805E-2</v>
      </c>
      <c r="K318" s="1" t="str">
        <f>TEXT(stand_validation_1cycle[[#This Row],[stand_age]], ".0")</f>
        <v>27.3</v>
      </c>
      <c r="L318" s="1" t="str">
        <f t="shared" si="4"/>
        <v>"27.3"</v>
      </c>
      <c r="M318">
        <v>100</v>
      </c>
      <c r="N318">
        <f>0.029*stand_validation_1cycle[[#This Row],[stand_level_biomass]]</f>
        <v>23.153978901604241</v>
      </c>
      <c r="O318">
        <f>0.213*stand_validation_1cycle[[#This Row],[stand_level_biomass]]</f>
        <v>170.06198296695527</v>
      </c>
      <c r="P318">
        <f>0.571*stand_validation_1cycle[[#This Row],[stand_level_biomass]]</f>
        <v>455.89386044193168</v>
      </c>
      <c r="Q318">
        <f>stand_validation_1cycle[[#This Row],[stock]]</f>
        <v>99</v>
      </c>
      <c r="R318">
        <v>0</v>
      </c>
      <c r="S318">
        <f>stand_validation_1cycle[[#This Row],[aws]]</f>
        <v>573.31896972656205</v>
      </c>
      <c r="T318">
        <f>stand_validation_1cycle[[#This Row],[percent_tree_cover]]*100</f>
        <v>7.1314707015685803</v>
      </c>
    </row>
    <row r="319" spans="1:20" x14ac:dyDescent="0.2">
      <c r="A319">
        <v>1</v>
      </c>
      <c r="B319" t="s">
        <v>337</v>
      </c>
      <c r="C319">
        <v>28.335966183574801</v>
      </c>
      <c r="D319">
        <v>643.57428229312598</v>
      </c>
      <c r="E319">
        <v>2.8223063090201501</v>
      </c>
      <c r="F319">
        <v>24.755121448704902</v>
      </c>
      <c r="G319">
        <v>46</v>
      </c>
      <c r="H319">
        <v>400</v>
      </c>
      <c r="I319">
        <v>5.85868626049868E-2</v>
      </c>
      <c r="K319" s="1" t="str">
        <f>TEXT(stand_validation_1cycle[[#This Row],[stand_age]], ".0")</f>
        <v>28.3</v>
      </c>
      <c r="L319" s="1" t="str">
        <f t="shared" si="4"/>
        <v>"28.3"</v>
      </c>
      <c r="M319">
        <v>100</v>
      </c>
      <c r="N319">
        <f>0.029*stand_validation_1cycle[[#This Row],[stand_level_biomass]]</f>
        <v>18.663654186500654</v>
      </c>
      <c r="O319">
        <f>0.213*stand_validation_1cycle[[#This Row],[stand_level_biomass]]</f>
        <v>137.08132212843583</v>
      </c>
      <c r="P319">
        <f>0.571*stand_validation_1cycle[[#This Row],[stand_level_biomass]]</f>
        <v>367.48091518937491</v>
      </c>
      <c r="Q319">
        <f>stand_validation_1cycle[[#This Row],[stock]]</f>
        <v>46</v>
      </c>
      <c r="R319">
        <v>0</v>
      </c>
      <c r="S319">
        <f>stand_validation_1cycle[[#This Row],[aws]]</f>
        <v>400</v>
      </c>
      <c r="T319">
        <f>stand_validation_1cycle[[#This Row],[percent_tree_cover]]*100</f>
        <v>5.85868626049868</v>
      </c>
    </row>
    <row r="320" spans="1:20" x14ac:dyDescent="0.2">
      <c r="A320">
        <v>1</v>
      </c>
      <c r="B320" t="s">
        <v>338</v>
      </c>
      <c r="C320">
        <v>33.923999999999999</v>
      </c>
      <c r="D320">
        <v>547.97480216647295</v>
      </c>
      <c r="E320">
        <v>0.29045045100049999</v>
      </c>
      <c r="F320">
        <v>26.216147999728499</v>
      </c>
      <c r="G320">
        <v>5</v>
      </c>
      <c r="H320">
        <v>568.170166015625</v>
      </c>
      <c r="I320">
        <v>7.9088794111863994E-2</v>
      </c>
      <c r="K320" s="1" t="str">
        <f>TEXT(stand_validation_1cycle[[#This Row],[stand_age]], ".0")</f>
        <v>33.9</v>
      </c>
      <c r="L320" s="1" t="str">
        <f t="shared" si="4"/>
        <v>"33.9"</v>
      </c>
      <c r="M320">
        <v>100</v>
      </c>
      <c r="N320">
        <f>0.029*stand_validation_1cycle[[#This Row],[stand_level_biomass]]</f>
        <v>15.891269262827716</v>
      </c>
      <c r="O320">
        <f>0.213*stand_validation_1cycle[[#This Row],[stand_level_biomass]]</f>
        <v>116.71863286145873</v>
      </c>
      <c r="P320">
        <f>0.571*stand_validation_1cycle[[#This Row],[stand_level_biomass]]</f>
        <v>312.89361203705602</v>
      </c>
      <c r="Q320">
        <f>stand_validation_1cycle[[#This Row],[stock]]</f>
        <v>5</v>
      </c>
      <c r="R320">
        <v>0</v>
      </c>
      <c r="S320">
        <f>stand_validation_1cycle[[#This Row],[aws]]</f>
        <v>568.170166015625</v>
      </c>
      <c r="T320">
        <f>stand_validation_1cycle[[#This Row],[percent_tree_cover]]*100</f>
        <v>7.9088794111863994</v>
      </c>
    </row>
    <row r="321" spans="1:20" x14ac:dyDescent="0.2">
      <c r="A321">
        <v>1</v>
      </c>
      <c r="B321" t="s">
        <v>339</v>
      </c>
      <c r="C321">
        <v>29.430740740740699</v>
      </c>
      <c r="D321">
        <v>798.71256590899702</v>
      </c>
      <c r="E321">
        <v>0.65259047555959304</v>
      </c>
      <c r="F321">
        <v>27.361517246365</v>
      </c>
      <c r="G321">
        <v>9</v>
      </c>
      <c r="H321">
        <v>566.86529541015602</v>
      </c>
      <c r="I321">
        <v>7.6970963447788796E-2</v>
      </c>
      <c r="K321" s="1" t="str">
        <f>TEXT(stand_validation_1cycle[[#This Row],[stand_age]], ".0")</f>
        <v>29.4</v>
      </c>
      <c r="L321" s="1" t="str">
        <f t="shared" si="4"/>
        <v>"29.4"</v>
      </c>
      <c r="M321">
        <v>100</v>
      </c>
      <c r="N321">
        <f>0.029*stand_validation_1cycle[[#This Row],[stand_level_biomass]]</f>
        <v>23.162664411360915</v>
      </c>
      <c r="O321">
        <f>0.213*stand_validation_1cycle[[#This Row],[stand_level_biomass]]</f>
        <v>170.12577653861635</v>
      </c>
      <c r="P321">
        <f>0.571*stand_validation_1cycle[[#This Row],[stand_level_biomass]]</f>
        <v>456.06487513403727</v>
      </c>
      <c r="Q321">
        <f>stand_validation_1cycle[[#This Row],[stock]]</f>
        <v>9</v>
      </c>
      <c r="R321">
        <v>0</v>
      </c>
      <c r="S321">
        <f>stand_validation_1cycle[[#This Row],[aws]]</f>
        <v>566.86529541015602</v>
      </c>
      <c r="T321">
        <f>stand_validation_1cycle[[#This Row],[percent_tree_cover]]*100</f>
        <v>7.6970963447788794</v>
      </c>
    </row>
    <row r="322" spans="1:20" x14ac:dyDescent="0.2">
      <c r="A322">
        <v>1</v>
      </c>
      <c r="B322" t="s">
        <v>340</v>
      </c>
      <c r="C322">
        <v>27.4543853427895</v>
      </c>
      <c r="D322">
        <v>915.15515394623003</v>
      </c>
      <c r="E322">
        <v>7.5777492459259603</v>
      </c>
      <c r="F322">
        <v>27.761992885199</v>
      </c>
      <c r="G322">
        <v>94</v>
      </c>
      <c r="H322">
        <v>571.20886230468705</v>
      </c>
      <c r="I322">
        <v>7.9182850107289093E-2</v>
      </c>
      <c r="K322" s="1" t="str">
        <f>TEXT(stand_validation_1cycle[[#This Row],[stand_age]], ".0")</f>
        <v>27.5</v>
      </c>
      <c r="L322" s="1" t="str">
        <f t="shared" si="4"/>
        <v>"27.5"</v>
      </c>
      <c r="M322">
        <v>100</v>
      </c>
      <c r="N322">
        <f>0.029*stand_validation_1cycle[[#This Row],[stand_level_biomass]]</f>
        <v>26.539499464440674</v>
      </c>
      <c r="O322">
        <f>0.213*stand_validation_1cycle[[#This Row],[stand_level_biomass]]</f>
        <v>194.928047790547</v>
      </c>
      <c r="P322">
        <f>0.571*stand_validation_1cycle[[#This Row],[stand_level_biomass]]</f>
        <v>522.55359290329727</v>
      </c>
      <c r="Q322">
        <f>stand_validation_1cycle[[#This Row],[stock]]</f>
        <v>94</v>
      </c>
      <c r="R322">
        <v>0</v>
      </c>
      <c r="S322">
        <f>stand_validation_1cycle[[#This Row],[aws]]</f>
        <v>571.20886230468705</v>
      </c>
      <c r="T322">
        <f>stand_validation_1cycle[[#This Row],[percent_tree_cover]]*100</f>
        <v>7.9182850107289093</v>
      </c>
    </row>
    <row r="323" spans="1:20" x14ac:dyDescent="0.2">
      <c r="A323">
        <v>1</v>
      </c>
      <c r="B323" t="s">
        <v>341</v>
      </c>
      <c r="C323">
        <v>27.214298540965199</v>
      </c>
      <c r="D323">
        <v>834.95874229557899</v>
      </c>
      <c r="E323">
        <v>7.3946745048343399</v>
      </c>
      <c r="F323">
        <v>26.453974428013002</v>
      </c>
      <c r="G323">
        <v>99</v>
      </c>
      <c r="H323">
        <v>632.17858886718705</v>
      </c>
      <c r="I323">
        <v>7.3411059609093193E-2</v>
      </c>
      <c r="K323" s="1" t="str">
        <f>TEXT(stand_validation_1cycle[[#This Row],[stand_age]], ".0")</f>
        <v>27.2</v>
      </c>
      <c r="L323" s="1" t="str">
        <f t="shared" ref="L323:L386" si="5">""""&amp;K323&amp;""""</f>
        <v>"27.2"</v>
      </c>
      <c r="M323">
        <v>100</v>
      </c>
      <c r="N323">
        <f>0.029*stand_validation_1cycle[[#This Row],[stand_level_biomass]]</f>
        <v>24.213803526571791</v>
      </c>
      <c r="O323">
        <f>0.213*stand_validation_1cycle[[#This Row],[stand_level_biomass]]</f>
        <v>177.84621210895833</v>
      </c>
      <c r="P323">
        <f>0.571*stand_validation_1cycle[[#This Row],[stand_level_biomass]]</f>
        <v>476.76144185077555</v>
      </c>
      <c r="Q323">
        <f>stand_validation_1cycle[[#This Row],[stock]]</f>
        <v>99</v>
      </c>
      <c r="R323">
        <v>0</v>
      </c>
      <c r="S323">
        <f>stand_validation_1cycle[[#This Row],[aws]]</f>
        <v>632.17858886718705</v>
      </c>
      <c r="T323">
        <f>stand_validation_1cycle[[#This Row],[percent_tree_cover]]*100</f>
        <v>7.341105960909319</v>
      </c>
    </row>
    <row r="324" spans="1:20" x14ac:dyDescent="0.2">
      <c r="A324">
        <v>1</v>
      </c>
      <c r="B324" t="s">
        <v>342</v>
      </c>
      <c r="C324">
        <v>28.279465541490801</v>
      </c>
      <c r="D324">
        <v>1008.47413411088</v>
      </c>
      <c r="E324">
        <v>6.7954345557180096</v>
      </c>
      <c r="F324">
        <v>27.704769545824501</v>
      </c>
      <c r="G324">
        <v>79</v>
      </c>
      <c r="H324">
        <v>524.61187744140602</v>
      </c>
      <c r="I324">
        <v>8.3384742741609896E-2</v>
      </c>
      <c r="K324" s="1" t="str">
        <f>TEXT(stand_validation_1cycle[[#This Row],[stand_age]], ".0")</f>
        <v>28.3</v>
      </c>
      <c r="L324" s="1" t="str">
        <f t="shared" si="5"/>
        <v>"28.3"</v>
      </c>
      <c r="M324">
        <v>100</v>
      </c>
      <c r="N324">
        <f>0.029*stand_validation_1cycle[[#This Row],[stand_level_biomass]]</f>
        <v>29.245749889215521</v>
      </c>
      <c r="O324">
        <f>0.213*stand_validation_1cycle[[#This Row],[stand_level_biomass]]</f>
        <v>214.80499056561743</v>
      </c>
      <c r="P324">
        <f>0.571*stand_validation_1cycle[[#This Row],[stand_level_biomass]]</f>
        <v>575.83873057731239</v>
      </c>
      <c r="Q324">
        <f>stand_validation_1cycle[[#This Row],[stock]]</f>
        <v>79</v>
      </c>
      <c r="R324">
        <v>0</v>
      </c>
      <c r="S324">
        <f>stand_validation_1cycle[[#This Row],[aws]]</f>
        <v>524.61187744140602</v>
      </c>
      <c r="T324">
        <f>stand_validation_1cycle[[#This Row],[percent_tree_cover]]*100</f>
        <v>8.3384742741609905</v>
      </c>
    </row>
    <row r="325" spans="1:20" x14ac:dyDescent="0.2">
      <c r="A325">
        <v>1</v>
      </c>
      <c r="B325" t="s">
        <v>343</v>
      </c>
      <c r="C325">
        <v>26.767666666666599</v>
      </c>
      <c r="D325">
        <v>767.38117895682103</v>
      </c>
      <c r="E325">
        <v>3.4844197373109398</v>
      </c>
      <c r="F325">
        <v>25.4992420551885</v>
      </c>
      <c r="G325">
        <v>50</v>
      </c>
      <c r="H325">
        <v>524.61187744140602</v>
      </c>
      <c r="I325">
        <v>6.9451640483170998E-2</v>
      </c>
      <c r="K325" s="1" t="str">
        <f>TEXT(stand_validation_1cycle[[#This Row],[stand_age]], ".0")</f>
        <v>26.8</v>
      </c>
      <c r="L325" s="1" t="str">
        <f t="shared" si="5"/>
        <v>"26.8"</v>
      </c>
      <c r="M325">
        <v>100</v>
      </c>
      <c r="N325">
        <f>0.029*stand_validation_1cycle[[#This Row],[stand_level_biomass]]</f>
        <v>22.254054189747812</v>
      </c>
      <c r="O325">
        <f>0.213*stand_validation_1cycle[[#This Row],[stand_level_biomass]]</f>
        <v>163.45219111780287</v>
      </c>
      <c r="P325">
        <f>0.571*stand_validation_1cycle[[#This Row],[stand_level_biomass]]</f>
        <v>438.17465318434478</v>
      </c>
      <c r="Q325">
        <f>stand_validation_1cycle[[#This Row],[stock]]</f>
        <v>50</v>
      </c>
      <c r="R325">
        <v>0</v>
      </c>
      <c r="S325">
        <f>stand_validation_1cycle[[#This Row],[aws]]</f>
        <v>524.61187744140602</v>
      </c>
      <c r="T325">
        <f>stand_validation_1cycle[[#This Row],[percent_tree_cover]]*100</f>
        <v>6.9451640483170998</v>
      </c>
    </row>
    <row r="326" spans="1:20" x14ac:dyDescent="0.2">
      <c r="A326">
        <v>1</v>
      </c>
      <c r="B326" t="s">
        <v>344</v>
      </c>
      <c r="C326">
        <v>26.0097938144329</v>
      </c>
      <c r="D326">
        <v>484.199296192688</v>
      </c>
      <c r="E326">
        <v>4.7561513660491901</v>
      </c>
      <c r="F326">
        <v>22.4942754430589</v>
      </c>
      <c r="G326">
        <v>97</v>
      </c>
      <c r="H326">
        <v>525.855224609375</v>
      </c>
      <c r="I326">
        <v>4.9059824759788997E-2</v>
      </c>
      <c r="K326" s="1" t="str">
        <f>TEXT(stand_validation_1cycle[[#This Row],[stand_age]], ".0")</f>
        <v>26.0</v>
      </c>
      <c r="L326" s="1" t="str">
        <f t="shared" si="5"/>
        <v>"26.0"</v>
      </c>
      <c r="M326">
        <v>100</v>
      </c>
      <c r="N326">
        <f>0.029*stand_validation_1cycle[[#This Row],[stand_level_biomass]]</f>
        <v>14.041779589587952</v>
      </c>
      <c r="O326">
        <f>0.213*stand_validation_1cycle[[#This Row],[stand_level_biomass]]</f>
        <v>103.13445008904255</v>
      </c>
      <c r="P326">
        <f>0.571*stand_validation_1cycle[[#This Row],[stand_level_biomass]]</f>
        <v>276.47779812602482</v>
      </c>
      <c r="Q326">
        <f>stand_validation_1cycle[[#This Row],[stock]]</f>
        <v>97</v>
      </c>
      <c r="R326">
        <v>0</v>
      </c>
      <c r="S326">
        <f>stand_validation_1cycle[[#This Row],[aws]]</f>
        <v>525.855224609375</v>
      </c>
      <c r="T326">
        <f>stand_validation_1cycle[[#This Row],[percent_tree_cover]]*100</f>
        <v>4.9059824759788997</v>
      </c>
    </row>
    <row r="327" spans="1:20" x14ac:dyDescent="0.2">
      <c r="A327">
        <v>1</v>
      </c>
      <c r="B327" t="s">
        <v>345</v>
      </c>
      <c r="C327">
        <v>25.3736139169472</v>
      </c>
      <c r="D327">
        <v>637.97542995751803</v>
      </c>
      <c r="E327">
        <v>6.0182807168417503</v>
      </c>
      <c r="F327">
        <v>24.4157884165122</v>
      </c>
      <c r="G327">
        <v>99</v>
      </c>
      <c r="H327">
        <v>524.13806152343705</v>
      </c>
      <c r="I327">
        <v>5.9692206162325498E-2</v>
      </c>
      <c r="K327" s="1" t="str">
        <f>TEXT(stand_validation_1cycle[[#This Row],[stand_age]], ".0")</f>
        <v>25.4</v>
      </c>
      <c r="L327" s="1" t="str">
        <f t="shared" si="5"/>
        <v>"25.4"</v>
      </c>
      <c r="M327">
        <v>100</v>
      </c>
      <c r="N327">
        <f>0.029*stand_validation_1cycle[[#This Row],[stand_level_biomass]]</f>
        <v>18.501287468768023</v>
      </c>
      <c r="O327">
        <f>0.213*stand_validation_1cycle[[#This Row],[stand_level_biomass]]</f>
        <v>135.88876658095134</v>
      </c>
      <c r="P327">
        <f>0.571*stand_validation_1cycle[[#This Row],[stand_level_biomass]]</f>
        <v>364.28397050574279</v>
      </c>
      <c r="Q327">
        <f>stand_validation_1cycle[[#This Row],[stock]]</f>
        <v>99</v>
      </c>
      <c r="R327">
        <v>0</v>
      </c>
      <c r="S327">
        <f>stand_validation_1cycle[[#This Row],[aws]]</f>
        <v>524.13806152343705</v>
      </c>
      <c r="T327">
        <f>stand_validation_1cycle[[#This Row],[percent_tree_cover]]*100</f>
        <v>5.9692206162325494</v>
      </c>
    </row>
    <row r="328" spans="1:20" x14ac:dyDescent="0.2">
      <c r="A328">
        <v>1</v>
      </c>
      <c r="B328" t="s">
        <v>346</v>
      </c>
      <c r="C328">
        <v>27.415464852607698</v>
      </c>
      <c r="D328">
        <v>786.04862285718195</v>
      </c>
      <c r="E328">
        <v>7.1488888619880901</v>
      </c>
      <c r="F328">
        <v>26.7672818356683</v>
      </c>
      <c r="G328">
        <v>98</v>
      </c>
      <c r="H328">
        <v>594</v>
      </c>
      <c r="I328">
        <v>7.0546896272827397E-2</v>
      </c>
      <c r="K328" s="1" t="str">
        <f>TEXT(stand_validation_1cycle[[#This Row],[stand_age]], ".0")</f>
        <v>27.4</v>
      </c>
      <c r="L328" s="1" t="str">
        <f t="shared" si="5"/>
        <v>"27.4"</v>
      </c>
      <c r="M328">
        <v>100</v>
      </c>
      <c r="N328">
        <f>0.029*stand_validation_1cycle[[#This Row],[stand_level_biomass]]</f>
        <v>22.795410062858277</v>
      </c>
      <c r="O328">
        <f>0.213*stand_validation_1cycle[[#This Row],[stand_level_biomass]]</f>
        <v>167.42835666857974</v>
      </c>
      <c r="P328">
        <f>0.571*stand_validation_1cycle[[#This Row],[stand_level_biomass]]</f>
        <v>448.83376365145085</v>
      </c>
      <c r="Q328">
        <f>stand_validation_1cycle[[#This Row],[stock]]</f>
        <v>98</v>
      </c>
      <c r="R328">
        <v>0</v>
      </c>
      <c r="S328">
        <f>stand_validation_1cycle[[#This Row],[aws]]</f>
        <v>594</v>
      </c>
      <c r="T328">
        <f>stand_validation_1cycle[[#This Row],[percent_tree_cover]]*100</f>
        <v>7.0546896272827393</v>
      </c>
    </row>
    <row r="329" spans="1:20" x14ac:dyDescent="0.2">
      <c r="A329">
        <v>1</v>
      </c>
      <c r="B329" t="s">
        <v>347</v>
      </c>
      <c r="C329">
        <v>26.386522222222201</v>
      </c>
      <c r="D329">
        <v>742.65639721356501</v>
      </c>
      <c r="E329">
        <v>6.7462866948470896</v>
      </c>
      <c r="F329">
        <v>25.171837065671401</v>
      </c>
      <c r="G329">
        <v>100</v>
      </c>
      <c r="H329">
        <v>597.22180175781205</v>
      </c>
      <c r="I329">
        <v>6.7222690538048704E-2</v>
      </c>
      <c r="K329" s="1" t="str">
        <f>TEXT(stand_validation_1cycle[[#This Row],[stand_age]], ".0")</f>
        <v>26.4</v>
      </c>
      <c r="L329" s="1" t="str">
        <f t="shared" si="5"/>
        <v>"26.4"</v>
      </c>
      <c r="M329">
        <v>100</v>
      </c>
      <c r="N329">
        <f>0.029*stand_validation_1cycle[[#This Row],[stand_level_biomass]]</f>
        <v>21.537035519193388</v>
      </c>
      <c r="O329">
        <f>0.213*stand_validation_1cycle[[#This Row],[stand_level_biomass]]</f>
        <v>158.18581260648935</v>
      </c>
      <c r="P329">
        <f>0.571*stand_validation_1cycle[[#This Row],[stand_level_biomass]]</f>
        <v>424.05680280894558</v>
      </c>
      <c r="Q329">
        <f>stand_validation_1cycle[[#This Row],[stock]]</f>
        <v>100</v>
      </c>
      <c r="R329">
        <v>0</v>
      </c>
      <c r="S329">
        <f>stand_validation_1cycle[[#This Row],[aws]]</f>
        <v>597.22180175781205</v>
      </c>
      <c r="T329">
        <f>stand_validation_1cycle[[#This Row],[percent_tree_cover]]*100</f>
        <v>6.7222690538048706</v>
      </c>
    </row>
    <row r="330" spans="1:20" x14ac:dyDescent="0.2">
      <c r="A330">
        <v>1</v>
      </c>
      <c r="B330" t="s">
        <v>348</v>
      </c>
      <c r="C330">
        <v>27.169555555555501</v>
      </c>
      <c r="D330">
        <v>777.28107438932705</v>
      </c>
      <c r="E330">
        <v>7.0198306649823001</v>
      </c>
      <c r="F330">
        <v>25.727268332442101</v>
      </c>
      <c r="G330">
        <v>100</v>
      </c>
      <c r="H330">
        <v>566.73394775390602</v>
      </c>
      <c r="I330">
        <v>6.9941616631733303E-2</v>
      </c>
      <c r="K330" s="1" t="str">
        <f>TEXT(stand_validation_1cycle[[#This Row],[stand_age]], ".0")</f>
        <v>27.2</v>
      </c>
      <c r="L330" s="1" t="str">
        <f t="shared" si="5"/>
        <v>"27.2"</v>
      </c>
      <c r="M330">
        <v>100</v>
      </c>
      <c r="N330">
        <f>0.029*stand_validation_1cycle[[#This Row],[stand_level_biomass]]</f>
        <v>22.541151157290486</v>
      </c>
      <c r="O330">
        <f>0.213*stand_validation_1cycle[[#This Row],[stand_level_biomass]]</f>
        <v>165.56086884492666</v>
      </c>
      <c r="P330">
        <f>0.571*stand_validation_1cycle[[#This Row],[stand_level_biomass]]</f>
        <v>443.82749347630573</v>
      </c>
      <c r="Q330">
        <f>stand_validation_1cycle[[#This Row],[stock]]</f>
        <v>100</v>
      </c>
      <c r="R330">
        <v>0</v>
      </c>
      <c r="S330">
        <f>stand_validation_1cycle[[#This Row],[aws]]</f>
        <v>566.73394775390602</v>
      </c>
      <c r="T330">
        <f>stand_validation_1cycle[[#This Row],[percent_tree_cover]]*100</f>
        <v>6.9941616631733305</v>
      </c>
    </row>
    <row r="331" spans="1:20" x14ac:dyDescent="0.2">
      <c r="A331">
        <v>1</v>
      </c>
      <c r="B331" t="s">
        <v>349</v>
      </c>
      <c r="C331">
        <v>31.005802469135698</v>
      </c>
      <c r="D331">
        <v>1232.4465022981201</v>
      </c>
      <c r="E331">
        <v>10.171885607506701</v>
      </c>
      <c r="F331">
        <v>30.3225608744292</v>
      </c>
      <c r="G331">
        <v>99</v>
      </c>
      <c r="H331">
        <v>566.73394775390602</v>
      </c>
      <c r="I331">
        <v>0.101046063895528</v>
      </c>
      <c r="K331" s="1" t="str">
        <f>TEXT(stand_validation_1cycle[[#This Row],[stand_age]], ".0")</f>
        <v>31.0</v>
      </c>
      <c r="L331" s="1" t="str">
        <f t="shared" si="5"/>
        <v>"31.0"</v>
      </c>
      <c r="M331">
        <v>100</v>
      </c>
      <c r="N331">
        <f>0.029*stand_validation_1cycle[[#This Row],[stand_level_biomass]]</f>
        <v>35.740948566645486</v>
      </c>
      <c r="O331">
        <f>0.213*stand_validation_1cycle[[#This Row],[stand_level_biomass]]</f>
        <v>262.51110498949959</v>
      </c>
      <c r="P331">
        <f>0.571*stand_validation_1cycle[[#This Row],[stand_level_biomass]]</f>
        <v>703.7269528122265</v>
      </c>
      <c r="Q331">
        <f>stand_validation_1cycle[[#This Row],[stock]]</f>
        <v>99</v>
      </c>
      <c r="R331">
        <v>0</v>
      </c>
      <c r="S331">
        <f>stand_validation_1cycle[[#This Row],[aws]]</f>
        <v>566.73394775390602</v>
      </c>
      <c r="T331">
        <f>stand_validation_1cycle[[#This Row],[percent_tree_cover]]*100</f>
        <v>10.104606389552801</v>
      </c>
    </row>
    <row r="332" spans="1:20" x14ac:dyDescent="0.2">
      <c r="A332">
        <v>1</v>
      </c>
      <c r="B332" t="s">
        <v>350</v>
      </c>
      <c r="C332">
        <v>25.2996969696969</v>
      </c>
      <c r="D332">
        <v>622.55020496919599</v>
      </c>
      <c r="E332">
        <v>5.8085181461578799</v>
      </c>
      <c r="F332">
        <v>23.841321413250299</v>
      </c>
      <c r="G332">
        <v>99</v>
      </c>
      <c r="H332">
        <v>524.13806152343705</v>
      </c>
      <c r="I332">
        <v>5.7708410105285303E-2</v>
      </c>
      <c r="K332" s="1" t="str">
        <f>TEXT(stand_validation_1cycle[[#This Row],[stand_age]], ".0")</f>
        <v>25.3</v>
      </c>
      <c r="L332" s="1" t="str">
        <f t="shared" si="5"/>
        <v>"25.3"</v>
      </c>
      <c r="M332">
        <v>100</v>
      </c>
      <c r="N332">
        <f>0.029*stand_validation_1cycle[[#This Row],[stand_level_biomass]]</f>
        <v>18.053955944106683</v>
      </c>
      <c r="O332">
        <f>0.213*stand_validation_1cycle[[#This Row],[stand_level_biomass]]</f>
        <v>132.60319365843876</v>
      </c>
      <c r="P332">
        <f>0.571*stand_validation_1cycle[[#This Row],[stand_level_biomass]]</f>
        <v>355.4761670374109</v>
      </c>
      <c r="Q332">
        <f>stand_validation_1cycle[[#This Row],[stock]]</f>
        <v>99</v>
      </c>
      <c r="R332">
        <v>0</v>
      </c>
      <c r="S332">
        <f>stand_validation_1cycle[[#This Row],[aws]]</f>
        <v>524.13806152343705</v>
      </c>
      <c r="T332">
        <f>stand_validation_1cycle[[#This Row],[percent_tree_cover]]*100</f>
        <v>5.7708410105285299</v>
      </c>
    </row>
    <row r="333" spans="1:20" x14ac:dyDescent="0.2">
      <c r="A333">
        <v>1</v>
      </c>
      <c r="B333" t="s">
        <v>351</v>
      </c>
      <c r="C333">
        <v>25.5374747474747</v>
      </c>
      <c r="D333">
        <v>702.95192709812295</v>
      </c>
      <c r="E333">
        <v>6.5021276115972304</v>
      </c>
      <c r="F333">
        <v>24.983953197606699</v>
      </c>
      <c r="G333">
        <v>99</v>
      </c>
      <c r="H333">
        <v>524.13806152343705</v>
      </c>
      <c r="I333">
        <v>6.4133702157359695E-2</v>
      </c>
      <c r="K333" s="1" t="str">
        <f>TEXT(stand_validation_1cycle[[#This Row],[stand_age]], ".0")</f>
        <v>25.5</v>
      </c>
      <c r="L333" s="1" t="str">
        <f t="shared" si="5"/>
        <v>"25.5"</v>
      </c>
      <c r="M333">
        <v>100</v>
      </c>
      <c r="N333">
        <f>0.029*stand_validation_1cycle[[#This Row],[stand_level_biomass]]</f>
        <v>20.385605885845568</v>
      </c>
      <c r="O333">
        <f>0.213*stand_validation_1cycle[[#This Row],[stand_level_biomass]]</f>
        <v>149.72876047190019</v>
      </c>
      <c r="P333">
        <f>0.571*stand_validation_1cycle[[#This Row],[stand_level_biomass]]</f>
        <v>401.3855503730282</v>
      </c>
      <c r="Q333">
        <f>stand_validation_1cycle[[#This Row],[stock]]</f>
        <v>99</v>
      </c>
      <c r="R333">
        <v>0</v>
      </c>
      <c r="S333">
        <f>stand_validation_1cycle[[#This Row],[aws]]</f>
        <v>524.13806152343705</v>
      </c>
      <c r="T333">
        <f>stand_validation_1cycle[[#This Row],[percent_tree_cover]]*100</f>
        <v>6.41337021573597</v>
      </c>
    </row>
    <row r="334" spans="1:20" x14ac:dyDescent="0.2">
      <c r="A334">
        <v>1</v>
      </c>
      <c r="B334" t="s">
        <v>352</v>
      </c>
      <c r="C334">
        <v>27.469058956916101</v>
      </c>
      <c r="D334">
        <v>910.48267102956402</v>
      </c>
      <c r="E334">
        <v>7.9439332856283897</v>
      </c>
      <c r="F334">
        <v>27.234430203029099</v>
      </c>
      <c r="G334">
        <v>98</v>
      </c>
      <c r="H334">
        <v>525.03576660156205</v>
      </c>
      <c r="I334">
        <v>7.7730706936293498E-2</v>
      </c>
      <c r="K334" s="1" t="str">
        <f>TEXT(stand_validation_1cycle[[#This Row],[stand_age]], ".0")</f>
        <v>27.5</v>
      </c>
      <c r="L334" s="1" t="str">
        <f t="shared" si="5"/>
        <v>"27.5"</v>
      </c>
      <c r="M334">
        <v>100</v>
      </c>
      <c r="N334">
        <f>0.029*stand_validation_1cycle[[#This Row],[stand_level_biomass]]</f>
        <v>26.403997459857358</v>
      </c>
      <c r="O334">
        <f>0.213*stand_validation_1cycle[[#This Row],[stand_level_biomass]]</f>
        <v>193.93280892929712</v>
      </c>
      <c r="P334">
        <f>0.571*stand_validation_1cycle[[#This Row],[stand_level_biomass]]</f>
        <v>519.88560515788106</v>
      </c>
      <c r="Q334">
        <f>stand_validation_1cycle[[#This Row],[stock]]</f>
        <v>98</v>
      </c>
      <c r="R334">
        <v>0</v>
      </c>
      <c r="S334">
        <f>stand_validation_1cycle[[#This Row],[aws]]</f>
        <v>525.03576660156205</v>
      </c>
      <c r="T334">
        <f>stand_validation_1cycle[[#This Row],[percent_tree_cover]]*100</f>
        <v>7.7730706936293501</v>
      </c>
    </row>
    <row r="335" spans="1:20" x14ac:dyDescent="0.2">
      <c r="A335">
        <v>1</v>
      </c>
      <c r="B335" t="s">
        <v>353</v>
      </c>
      <c r="C335">
        <v>27.109236812570099</v>
      </c>
      <c r="D335">
        <v>755.69088806463105</v>
      </c>
      <c r="E335">
        <v>6.90204921480656</v>
      </c>
      <c r="F335">
        <v>26.146426626176002</v>
      </c>
      <c r="G335">
        <v>99</v>
      </c>
      <c r="H335">
        <v>524.90002441406205</v>
      </c>
      <c r="I335">
        <v>6.8655265526957998E-2</v>
      </c>
      <c r="K335" s="1" t="str">
        <f>TEXT(stand_validation_1cycle[[#This Row],[stand_age]], ".0")</f>
        <v>27.1</v>
      </c>
      <c r="L335" s="1" t="str">
        <f t="shared" si="5"/>
        <v>"27.1"</v>
      </c>
      <c r="M335">
        <v>100</v>
      </c>
      <c r="N335">
        <f>0.029*stand_validation_1cycle[[#This Row],[stand_level_biomass]]</f>
        <v>21.915035753874303</v>
      </c>
      <c r="O335">
        <f>0.213*stand_validation_1cycle[[#This Row],[stand_level_biomass]]</f>
        <v>160.96215915776642</v>
      </c>
      <c r="P335">
        <f>0.571*stand_validation_1cycle[[#This Row],[stand_level_biomass]]</f>
        <v>431.49949708490431</v>
      </c>
      <c r="Q335">
        <f>stand_validation_1cycle[[#This Row],[stock]]</f>
        <v>99</v>
      </c>
      <c r="R335">
        <v>0</v>
      </c>
      <c r="S335">
        <f>stand_validation_1cycle[[#This Row],[aws]]</f>
        <v>524.90002441406205</v>
      </c>
      <c r="T335">
        <f>stand_validation_1cycle[[#This Row],[percent_tree_cover]]*100</f>
        <v>6.8655265526957994</v>
      </c>
    </row>
    <row r="336" spans="1:20" x14ac:dyDescent="0.2">
      <c r="A336">
        <v>1</v>
      </c>
      <c r="B336" t="s">
        <v>354</v>
      </c>
      <c r="C336">
        <v>27.6219888888889</v>
      </c>
      <c r="D336">
        <v>1041.73981123521</v>
      </c>
      <c r="E336">
        <v>8.8214633659813302</v>
      </c>
      <c r="F336">
        <v>27.9568735404414</v>
      </c>
      <c r="G336">
        <v>100</v>
      </c>
      <c r="H336">
        <v>526.18664550781205</v>
      </c>
      <c r="I336">
        <v>8.78820973285208E-2</v>
      </c>
      <c r="K336" s="1" t="str">
        <f>TEXT(stand_validation_1cycle[[#This Row],[stand_age]], ".0")</f>
        <v>27.6</v>
      </c>
      <c r="L336" s="1" t="str">
        <f t="shared" si="5"/>
        <v>"27.6"</v>
      </c>
      <c r="M336">
        <v>100</v>
      </c>
      <c r="N336">
        <f>0.029*stand_validation_1cycle[[#This Row],[stand_level_biomass]]</f>
        <v>30.210454525821092</v>
      </c>
      <c r="O336">
        <f>0.213*stand_validation_1cycle[[#This Row],[stand_level_biomass]]</f>
        <v>221.89057979309973</v>
      </c>
      <c r="P336">
        <f>0.571*stand_validation_1cycle[[#This Row],[stand_level_biomass]]</f>
        <v>594.83343221530492</v>
      </c>
      <c r="Q336">
        <f>stand_validation_1cycle[[#This Row],[stock]]</f>
        <v>100</v>
      </c>
      <c r="R336">
        <v>0</v>
      </c>
      <c r="S336">
        <f>stand_validation_1cycle[[#This Row],[aws]]</f>
        <v>526.18664550781205</v>
      </c>
      <c r="T336">
        <f>stand_validation_1cycle[[#This Row],[percent_tree_cover]]*100</f>
        <v>8.7882097328520796</v>
      </c>
    </row>
    <row r="337" spans="1:20" x14ac:dyDescent="0.2">
      <c r="A337">
        <v>1</v>
      </c>
      <c r="B337" t="s">
        <v>355</v>
      </c>
      <c r="C337">
        <v>28.8700805152979</v>
      </c>
      <c r="D337">
        <v>966.79486399968505</v>
      </c>
      <c r="E337">
        <v>5.8735067025863703</v>
      </c>
      <c r="F337">
        <v>28.951654849169699</v>
      </c>
      <c r="G337">
        <v>69</v>
      </c>
      <c r="H337">
        <v>525.36975097656205</v>
      </c>
      <c r="I337">
        <v>8.4485592115442001E-2</v>
      </c>
      <c r="K337" s="1" t="str">
        <f>TEXT(stand_validation_1cycle[[#This Row],[stand_age]], ".0")</f>
        <v>28.9</v>
      </c>
      <c r="L337" s="1" t="str">
        <f t="shared" si="5"/>
        <v>"28.9"</v>
      </c>
      <c r="M337">
        <v>100</v>
      </c>
      <c r="N337">
        <f>0.029*stand_validation_1cycle[[#This Row],[stand_level_biomass]]</f>
        <v>28.037051055990869</v>
      </c>
      <c r="O337">
        <f>0.213*stand_validation_1cycle[[#This Row],[stand_level_biomass]]</f>
        <v>205.92730603193291</v>
      </c>
      <c r="P337">
        <f>0.571*stand_validation_1cycle[[#This Row],[stand_level_biomass]]</f>
        <v>552.03986734382011</v>
      </c>
      <c r="Q337">
        <f>stand_validation_1cycle[[#This Row],[stock]]</f>
        <v>69</v>
      </c>
      <c r="R337">
        <v>0</v>
      </c>
      <c r="S337">
        <f>stand_validation_1cycle[[#This Row],[aws]]</f>
        <v>525.36975097656205</v>
      </c>
      <c r="T337">
        <f>stand_validation_1cycle[[#This Row],[percent_tree_cover]]*100</f>
        <v>8.4485592115442003</v>
      </c>
    </row>
    <row r="338" spans="1:20" x14ac:dyDescent="0.2">
      <c r="A338">
        <v>1</v>
      </c>
      <c r="B338" t="s">
        <v>356</v>
      </c>
      <c r="C338">
        <v>30.105144444444399</v>
      </c>
      <c r="D338">
        <v>1366.4423382011501</v>
      </c>
      <c r="E338">
        <v>11.184638475049899</v>
      </c>
      <c r="F338">
        <v>31.536197616432801</v>
      </c>
      <c r="G338">
        <v>100</v>
      </c>
      <c r="H338">
        <v>614</v>
      </c>
      <c r="I338">
        <v>0.111408033753664</v>
      </c>
      <c r="K338" s="1" t="str">
        <f>TEXT(stand_validation_1cycle[[#This Row],[stand_age]], ".0")</f>
        <v>30.1</v>
      </c>
      <c r="L338" s="1" t="str">
        <f t="shared" si="5"/>
        <v>"30.1"</v>
      </c>
      <c r="M338">
        <v>100</v>
      </c>
      <c r="N338">
        <f>0.029*stand_validation_1cycle[[#This Row],[stand_level_biomass]]</f>
        <v>39.626827807833351</v>
      </c>
      <c r="O338">
        <f>0.213*stand_validation_1cycle[[#This Row],[stand_level_biomass]]</f>
        <v>291.05221803684498</v>
      </c>
      <c r="P338">
        <f>0.571*stand_validation_1cycle[[#This Row],[stand_level_biomass]]</f>
        <v>780.23857511285667</v>
      </c>
      <c r="Q338">
        <f>stand_validation_1cycle[[#This Row],[stock]]</f>
        <v>100</v>
      </c>
      <c r="R338">
        <v>0</v>
      </c>
      <c r="S338">
        <f>stand_validation_1cycle[[#This Row],[aws]]</f>
        <v>614</v>
      </c>
      <c r="T338">
        <f>stand_validation_1cycle[[#This Row],[percent_tree_cover]]*100</f>
        <v>11.140803375366399</v>
      </c>
    </row>
    <row r="339" spans="1:20" x14ac:dyDescent="0.2">
      <c r="A339">
        <v>1</v>
      </c>
      <c r="B339" t="s">
        <v>357</v>
      </c>
      <c r="C339">
        <v>27.679766666666598</v>
      </c>
      <c r="D339">
        <v>693.92018368888705</v>
      </c>
      <c r="E339">
        <v>6.6662122104960702</v>
      </c>
      <c r="F339">
        <v>26.7137683406314</v>
      </c>
      <c r="G339">
        <v>100</v>
      </c>
      <c r="H339">
        <v>567.38757324218705</v>
      </c>
      <c r="I339">
        <v>6.6436797018656693E-2</v>
      </c>
      <c r="K339" s="1" t="str">
        <f>TEXT(stand_validation_1cycle[[#This Row],[stand_age]], ".0")</f>
        <v>27.7</v>
      </c>
      <c r="L339" s="1" t="str">
        <f t="shared" si="5"/>
        <v>"27.7"</v>
      </c>
      <c r="M339">
        <v>100</v>
      </c>
      <c r="N339">
        <f>0.029*stand_validation_1cycle[[#This Row],[stand_level_biomass]]</f>
        <v>20.123685326977725</v>
      </c>
      <c r="O339">
        <f>0.213*stand_validation_1cycle[[#This Row],[stand_level_biomass]]</f>
        <v>147.80499912573293</v>
      </c>
      <c r="P339">
        <f>0.571*stand_validation_1cycle[[#This Row],[stand_level_biomass]]</f>
        <v>396.22842488635445</v>
      </c>
      <c r="Q339">
        <f>stand_validation_1cycle[[#This Row],[stock]]</f>
        <v>100</v>
      </c>
      <c r="R339">
        <v>0</v>
      </c>
      <c r="S339">
        <f>stand_validation_1cycle[[#This Row],[aws]]</f>
        <v>567.38757324218705</v>
      </c>
      <c r="T339">
        <f>stand_validation_1cycle[[#This Row],[percent_tree_cover]]*100</f>
        <v>6.6436797018656693</v>
      </c>
    </row>
    <row r="340" spans="1:20" x14ac:dyDescent="0.2">
      <c r="A340">
        <v>1</v>
      </c>
      <c r="B340" t="s">
        <v>358</v>
      </c>
      <c r="C340">
        <v>25.103000000000002</v>
      </c>
      <c r="D340">
        <v>568.66251777877403</v>
      </c>
      <c r="E340">
        <v>5.58534254563952</v>
      </c>
      <c r="F340">
        <v>24.010020893184201</v>
      </c>
      <c r="G340">
        <v>100</v>
      </c>
      <c r="H340">
        <v>570.71423339843705</v>
      </c>
      <c r="I340">
        <v>5.5676768999668502E-2</v>
      </c>
      <c r="K340" s="1" t="str">
        <f>TEXT(stand_validation_1cycle[[#This Row],[stand_age]], ".0")</f>
        <v>25.1</v>
      </c>
      <c r="L340" s="1" t="str">
        <f t="shared" si="5"/>
        <v>"25.1"</v>
      </c>
      <c r="M340">
        <v>100</v>
      </c>
      <c r="N340">
        <f>0.029*stand_validation_1cycle[[#This Row],[stand_level_biomass]]</f>
        <v>16.491213015584449</v>
      </c>
      <c r="O340">
        <f>0.213*stand_validation_1cycle[[#This Row],[stand_level_biomass]]</f>
        <v>121.12511628687886</v>
      </c>
      <c r="P340">
        <f>0.571*stand_validation_1cycle[[#This Row],[stand_level_biomass]]</f>
        <v>324.70629765167996</v>
      </c>
      <c r="Q340">
        <f>stand_validation_1cycle[[#This Row],[stock]]</f>
        <v>100</v>
      </c>
      <c r="R340">
        <v>0</v>
      </c>
      <c r="S340">
        <f>stand_validation_1cycle[[#This Row],[aws]]</f>
        <v>570.71423339843705</v>
      </c>
      <c r="T340">
        <f>stand_validation_1cycle[[#This Row],[percent_tree_cover]]*100</f>
        <v>5.56767689996685</v>
      </c>
    </row>
    <row r="341" spans="1:20" x14ac:dyDescent="0.2">
      <c r="A341">
        <v>1</v>
      </c>
      <c r="B341" t="s">
        <v>359</v>
      </c>
      <c r="C341">
        <v>24.3047250280583</v>
      </c>
      <c r="D341">
        <v>650.66301721219997</v>
      </c>
      <c r="E341">
        <v>5.9588001577331697</v>
      </c>
      <c r="F341">
        <v>23.7083779874256</v>
      </c>
      <c r="G341">
        <v>99</v>
      </c>
      <c r="H341">
        <v>572.787841796875</v>
      </c>
      <c r="I341">
        <v>5.93914250289094E-2</v>
      </c>
      <c r="K341" s="1" t="str">
        <f>TEXT(stand_validation_1cycle[[#This Row],[stand_age]], ".0")</f>
        <v>24.3</v>
      </c>
      <c r="L341" s="1" t="str">
        <f t="shared" si="5"/>
        <v>"24.3"</v>
      </c>
      <c r="M341">
        <v>100</v>
      </c>
      <c r="N341">
        <f>0.029*stand_validation_1cycle[[#This Row],[stand_level_biomass]]</f>
        <v>18.869227499153801</v>
      </c>
      <c r="O341">
        <f>0.213*stand_validation_1cycle[[#This Row],[stand_level_biomass]]</f>
        <v>138.5912226661986</v>
      </c>
      <c r="P341">
        <f>0.571*stand_validation_1cycle[[#This Row],[stand_level_biomass]]</f>
        <v>371.52858282816618</v>
      </c>
      <c r="Q341">
        <f>stand_validation_1cycle[[#This Row],[stock]]</f>
        <v>99</v>
      </c>
      <c r="R341">
        <v>0</v>
      </c>
      <c r="S341">
        <f>stand_validation_1cycle[[#This Row],[aws]]</f>
        <v>572.787841796875</v>
      </c>
      <c r="T341">
        <f>stand_validation_1cycle[[#This Row],[percent_tree_cover]]*100</f>
        <v>5.9391425028909399</v>
      </c>
    </row>
    <row r="342" spans="1:20" x14ac:dyDescent="0.2">
      <c r="A342">
        <v>1</v>
      </c>
      <c r="B342" t="s">
        <v>360</v>
      </c>
      <c r="C342">
        <v>24.944877777777702</v>
      </c>
      <c r="D342">
        <v>627.151220486841</v>
      </c>
      <c r="E342">
        <v>5.93133007157018</v>
      </c>
      <c r="F342">
        <v>24.0030359599142</v>
      </c>
      <c r="G342">
        <v>100</v>
      </c>
      <c r="H342">
        <v>568.43231201171795</v>
      </c>
      <c r="I342">
        <v>5.9115133238282103E-2</v>
      </c>
      <c r="K342" s="1" t="str">
        <f>TEXT(stand_validation_1cycle[[#This Row],[stand_age]], ".0")</f>
        <v>24.9</v>
      </c>
      <c r="L342" s="1" t="str">
        <f t="shared" si="5"/>
        <v>"24.9"</v>
      </c>
      <c r="M342">
        <v>100</v>
      </c>
      <c r="N342">
        <f>0.029*stand_validation_1cycle[[#This Row],[stand_level_biomass]]</f>
        <v>18.18738539411839</v>
      </c>
      <c r="O342">
        <f>0.213*stand_validation_1cycle[[#This Row],[stand_level_biomass]]</f>
        <v>133.58320996369713</v>
      </c>
      <c r="P342">
        <f>0.571*stand_validation_1cycle[[#This Row],[stand_level_biomass]]</f>
        <v>358.10334689798617</v>
      </c>
      <c r="Q342">
        <f>stand_validation_1cycle[[#This Row],[stock]]</f>
        <v>100</v>
      </c>
      <c r="R342">
        <v>0</v>
      </c>
      <c r="S342">
        <f>stand_validation_1cycle[[#This Row],[aws]]</f>
        <v>568.43231201171795</v>
      </c>
      <c r="T342">
        <f>stand_validation_1cycle[[#This Row],[percent_tree_cover]]*100</f>
        <v>5.9115133238282098</v>
      </c>
    </row>
    <row r="343" spans="1:20" x14ac:dyDescent="0.2">
      <c r="A343">
        <v>1</v>
      </c>
      <c r="B343" t="s">
        <v>361</v>
      </c>
      <c r="C343">
        <v>28.098754208754201</v>
      </c>
      <c r="D343">
        <v>810.41565328365698</v>
      </c>
      <c r="E343">
        <v>7.26035256933746</v>
      </c>
      <c r="F343">
        <v>26.474728598451598</v>
      </c>
      <c r="G343">
        <v>99</v>
      </c>
      <c r="H343">
        <v>566.54302978515602</v>
      </c>
      <c r="I343">
        <v>7.2153102131735702E-2</v>
      </c>
      <c r="K343" s="1" t="str">
        <f>TEXT(stand_validation_1cycle[[#This Row],[stand_age]], ".0")</f>
        <v>28.1</v>
      </c>
      <c r="L343" s="1" t="str">
        <f t="shared" si="5"/>
        <v>"28.1"</v>
      </c>
      <c r="M343">
        <v>100</v>
      </c>
      <c r="N343">
        <f>0.029*stand_validation_1cycle[[#This Row],[stand_level_biomass]]</f>
        <v>23.502053945226052</v>
      </c>
      <c r="O343">
        <f>0.213*stand_validation_1cycle[[#This Row],[stand_level_biomass]]</f>
        <v>172.61853414941893</v>
      </c>
      <c r="P343">
        <f>0.571*stand_validation_1cycle[[#This Row],[stand_level_biomass]]</f>
        <v>462.74733802496809</v>
      </c>
      <c r="Q343">
        <f>stand_validation_1cycle[[#This Row],[stock]]</f>
        <v>99</v>
      </c>
      <c r="R343">
        <v>0</v>
      </c>
      <c r="S343">
        <f>stand_validation_1cycle[[#This Row],[aws]]</f>
        <v>566.54302978515602</v>
      </c>
      <c r="T343">
        <f>stand_validation_1cycle[[#This Row],[percent_tree_cover]]*100</f>
        <v>7.21531021317357</v>
      </c>
    </row>
    <row r="344" spans="1:20" x14ac:dyDescent="0.2">
      <c r="A344">
        <v>1</v>
      </c>
      <c r="B344" t="s">
        <v>362</v>
      </c>
      <c r="C344">
        <v>28.623699999999999</v>
      </c>
      <c r="D344">
        <v>993.75755025915203</v>
      </c>
      <c r="E344">
        <v>8.6773404468034201</v>
      </c>
      <c r="F344">
        <v>28.870965064259899</v>
      </c>
      <c r="G344">
        <v>100</v>
      </c>
      <c r="H344">
        <v>579.32965087890602</v>
      </c>
      <c r="I344">
        <v>8.6454542835682796E-2</v>
      </c>
      <c r="K344" s="1" t="str">
        <f>TEXT(stand_validation_1cycle[[#This Row],[stand_age]], ".0")</f>
        <v>28.6</v>
      </c>
      <c r="L344" s="1" t="str">
        <f t="shared" si="5"/>
        <v>"28.6"</v>
      </c>
      <c r="M344">
        <v>100</v>
      </c>
      <c r="N344">
        <f>0.029*stand_validation_1cycle[[#This Row],[stand_level_biomass]]</f>
        <v>28.818968957515409</v>
      </c>
      <c r="O344">
        <f>0.213*stand_validation_1cycle[[#This Row],[stand_level_biomass]]</f>
        <v>211.67035820519936</v>
      </c>
      <c r="P344">
        <f>0.571*stand_validation_1cycle[[#This Row],[stand_level_biomass]]</f>
        <v>567.43556119797574</v>
      </c>
      <c r="Q344">
        <f>stand_validation_1cycle[[#This Row],[stock]]</f>
        <v>100</v>
      </c>
      <c r="R344">
        <v>0</v>
      </c>
      <c r="S344">
        <f>stand_validation_1cycle[[#This Row],[aws]]</f>
        <v>579.32965087890602</v>
      </c>
      <c r="T344">
        <f>stand_validation_1cycle[[#This Row],[percent_tree_cover]]*100</f>
        <v>8.6454542835682791</v>
      </c>
    </row>
    <row r="345" spans="1:20" x14ac:dyDescent="0.2">
      <c r="A345">
        <v>1</v>
      </c>
      <c r="B345" t="s">
        <v>363</v>
      </c>
      <c r="C345">
        <v>25.795733333333299</v>
      </c>
      <c r="D345">
        <v>812.80844996972496</v>
      </c>
      <c r="E345">
        <v>7.2786978996381002</v>
      </c>
      <c r="F345">
        <v>26.3328364654407</v>
      </c>
      <c r="G345">
        <v>100</v>
      </c>
      <c r="H345">
        <v>573.68688964843705</v>
      </c>
      <c r="I345">
        <v>7.2543083109469594E-2</v>
      </c>
      <c r="K345" s="1" t="str">
        <f>TEXT(stand_validation_1cycle[[#This Row],[stand_age]], ".0")</f>
        <v>25.8</v>
      </c>
      <c r="L345" s="1" t="str">
        <f t="shared" si="5"/>
        <v>"25.8"</v>
      </c>
      <c r="M345">
        <v>100</v>
      </c>
      <c r="N345">
        <f>0.029*stand_validation_1cycle[[#This Row],[stand_level_biomass]]</f>
        <v>23.571445049122026</v>
      </c>
      <c r="O345">
        <f>0.213*stand_validation_1cycle[[#This Row],[stand_level_biomass]]</f>
        <v>173.12819984355141</v>
      </c>
      <c r="P345">
        <f>0.571*stand_validation_1cycle[[#This Row],[stand_level_biomass]]</f>
        <v>464.11362493271292</v>
      </c>
      <c r="Q345">
        <f>stand_validation_1cycle[[#This Row],[stock]]</f>
        <v>100</v>
      </c>
      <c r="R345">
        <v>0</v>
      </c>
      <c r="S345">
        <f>stand_validation_1cycle[[#This Row],[aws]]</f>
        <v>573.68688964843705</v>
      </c>
      <c r="T345">
        <f>stand_validation_1cycle[[#This Row],[percent_tree_cover]]*100</f>
        <v>7.2543083109469597</v>
      </c>
    </row>
    <row r="346" spans="1:20" x14ac:dyDescent="0.2">
      <c r="A346">
        <v>1</v>
      </c>
      <c r="B346" t="s">
        <v>364</v>
      </c>
      <c r="C346">
        <v>28.931166666666599</v>
      </c>
      <c r="D346">
        <v>924.62693508853499</v>
      </c>
      <c r="E346">
        <v>8.1306302830495891</v>
      </c>
      <c r="F346">
        <v>27.8378863990228</v>
      </c>
      <c r="G346">
        <v>100</v>
      </c>
      <c r="H346">
        <v>524.08654785156205</v>
      </c>
      <c r="I346">
        <v>8.0991768011077797E-2</v>
      </c>
      <c r="K346" s="1" t="str">
        <f>TEXT(stand_validation_1cycle[[#This Row],[stand_age]], ".0")</f>
        <v>28.9</v>
      </c>
      <c r="L346" s="1" t="str">
        <f t="shared" si="5"/>
        <v>"28.9"</v>
      </c>
      <c r="M346">
        <v>100</v>
      </c>
      <c r="N346">
        <f>0.029*stand_validation_1cycle[[#This Row],[stand_level_biomass]]</f>
        <v>26.814181117567514</v>
      </c>
      <c r="O346">
        <f>0.213*stand_validation_1cycle[[#This Row],[stand_level_biomass]]</f>
        <v>196.94553717385796</v>
      </c>
      <c r="P346">
        <f>0.571*stand_validation_1cycle[[#This Row],[stand_level_biomass]]</f>
        <v>527.96197993555347</v>
      </c>
      <c r="Q346">
        <f>stand_validation_1cycle[[#This Row],[stock]]</f>
        <v>100</v>
      </c>
      <c r="R346">
        <v>0</v>
      </c>
      <c r="S346">
        <f>stand_validation_1cycle[[#This Row],[aws]]</f>
        <v>524.08654785156205</v>
      </c>
      <c r="T346">
        <f>stand_validation_1cycle[[#This Row],[percent_tree_cover]]*100</f>
        <v>8.0991768011077792</v>
      </c>
    </row>
    <row r="347" spans="1:20" x14ac:dyDescent="0.2">
      <c r="A347">
        <v>1</v>
      </c>
      <c r="B347" t="s">
        <v>365</v>
      </c>
      <c r="C347">
        <v>28.8607744107744</v>
      </c>
      <c r="D347">
        <v>833.72856057600302</v>
      </c>
      <c r="E347">
        <v>7.4931767862931604</v>
      </c>
      <c r="F347">
        <v>27.320555891328201</v>
      </c>
      <c r="G347">
        <v>99</v>
      </c>
      <c r="H347">
        <v>523.61297607421795</v>
      </c>
      <c r="I347">
        <v>7.4455393965390207E-2</v>
      </c>
      <c r="K347" s="1" t="str">
        <f>TEXT(stand_validation_1cycle[[#This Row],[stand_age]], ".0")</f>
        <v>28.9</v>
      </c>
      <c r="L347" s="1" t="str">
        <f t="shared" si="5"/>
        <v>"28.9"</v>
      </c>
      <c r="M347">
        <v>100</v>
      </c>
      <c r="N347">
        <f>0.029*stand_validation_1cycle[[#This Row],[stand_level_biomass]]</f>
        <v>24.178128256704088</v>
      </c>
      <c r="O347">
        <f>0.213*stand_validation_1cycle[[#This Row],[stand_level_biomass]]</f>
        <v>177.58418340268864</v>
      </c>
      <c r="P347">
        <f>0.571*stand_validation_1cycle[[#This Row],[stand_level_biomass]]</f>
        <v>476.05900808889766</v>
      </c>
      <c r="Q347">
        <f>stand_validation_1cycle[[#This Row],[stock]]</f>
        <v>99</v>
      </c>
      <c r="R347">
        <v>0</v>
      </c>
      <c r="S347">
        <f>stand_validation_1cycle[[#This Row],[aws]]</f>
        <v>523.61297607421795</v>
      </c>
      <c r="T347">
        <f>stand_validation_1cycle[[#This Row],[percent_tree_cover]]*100</f>
        <v>7.4455393965390204</v>
      </c>
    </row>
    <row r="348" spans="1:20" x14ac:dyDescent="0.2">
      <c r="A348">
        <v>1</v>
      </c>
      <c r="B348" t="s">
        <v>366</v>
      </c>
      <c r="C348">
        <v>28.6879777777777</v>
      </c>
      <c r="D348">
        <v>963.57484602544901</v>
      </c>
      <c r="E348">
        <v>8.3492450764331103</v>
      </c>
      <c r="F348">
        <v>27.705174465739201</v>
      </c>
      <c r="G348">
        <v>100</v>
      </c>
      <c r="H348">
        <v>566.47930908203102</v>
      </c>
      <c r="I348">
        <v>8.3166512590022307E-2</v>
      </c>
      <c r="K348" s="1" t="str">
        <f>TEXT(stand_validation_1cycle[[#This Row],[stand_age]], ".0")</f>
        <v>28.7</v>
      </c>
      <c r="L348" s="1" t="str">
        <f t="shared" si="5"/>
        <v>"28.7"</v>
      </c>
      <c r="M348">
        <v>100</v>
      </c>
      <c r="N348">
        <f>0.029*stand_validation_1cycle[[#This Row],[stand_level_biomass]]</f>
        <v>27.943670534738022</v>
      </c>
      <c r="O348">
        <f>0.213*stand_validation_1cycle[[#This Row],[stand_level_biomass]]</f>
        <v>205.24144220342063</v>
      </c>
      <c r="P348">
        <f>0.571*stand_validation_1cycle[[#This Row],[stand_level_biomass]]</f>
        <v>550.20123708053131</v>
      </c>
      <c r="Q348">
        <f>stand_validation_1cycle[[#This Row],[stock]]</f>
        <v>100</v>
      </c>
      <c r="R348">
        <v>0</v>
      </c>
      <c r="S348">
        <f>stand_validation_1cycle[[#This Row],[aws]]</f>
        <v>566.47930908203102</v>
      </c>
      <c r="T348">
        <f>stand_validation_1cycle[[#This Row],[percent_tree_cover]]*100</f>
        <v>8.3166512590022315</v>
      </c>
    </row>
    <row r="349" spans="1:20" x14ac:dyDescent="0.2">
      <c r="A349">
        <v>1</v>
      </c>
      <c r="B349" t="s">
        <v>367</v>
      </c>
      <c r="C349">
        <v>27.2428666666666</v>
      </c>
      <c r="D349">
        <v>934.00973281608003</v>
      </c>
      <c r="E349">
        <v>8.1255118432187405</v>
      </c>
      <c r="F349">
        <v>27.100620665589901</v>
      </c>
      <c r="G349">
        <v>100</v>
      </c>
      <c r="H349">
        <v>571.12542724609295</v>
      </c>
      <c r="I349">
        <v>8.0954987273359702E-2</v>
      </c>
      <c r="K349" s="1" t="str">
        <f>TEXT(stand_validation_1cycle[[#This Row],[stand_age]], ".0")</f>
        <v>27.2</v>
      </c>
      <c r="L349" s="1" t="str">
        <f t="shared" si="5"/>
        <v>"27.2"</v>
      </c>
      <c r="M349">
        <v>100</v>
      </c>
      <c r="N349">
        <f>0.029*stand_validation_1cycle[[#This Row],[stand_level_biomass]]</f>
        <v>27.086282251666322</v>
      </c>
      <c r="O349">
        <f>0.213*stand_validation_1cycle[[#This Row],[stand_level_biomass]]</f>
        <v>198.94407308982505</v>
      </c>
      <c r="P349">
        <f>0.571*stand_validation_1cycle[[#This Row],[stand_level_biomass]]</f>
        <v>533.31955743798164</v>
      </c>
      <c r="Q349">
        <f>stand_validation_1cycle[[#This Row],[stock]]</f>
        <v>100</v>
      </c>
      <c r="R349">
        <v>0</v>
      </c>
      <c r="S349">
        <f>stand_validation_1cycle[[#This Row],[aws]]</f>
        <v>571.12542724609295</v>
      </c>
      <c r="T349">
        <f>stand_validation_1cycle[[#This Row],[percent_tree_cover]]*100</f>
        <v>8.0954987273359702</v>
      </c>
    </row>
    <row r="350" spans="1:20" x14ac:dyDescent="0.2">
      <c r="A350">
        <v>1</v>
      </c>
      <c r="B350" t="s">
        <v>368</v>
      </c>
      <c r="C350">
        <v>25.4973777777777</v>
      </c>
      <c r="D350">
        <v>694.83249372284195</v>
      </c>
      <c r="E350">
        <v>6.4390153713811102</v>
      </c>
      <c r="F350">
        <v>25.060651732211401</v>
      </c>
      <c r="G350">
        <v>100</v>
      </c>
      <c r="H350">
        <v>574.38311767578102</v>
      </c>
      <c r="I350">
        <v>6.4183581926323702E-2</v>
      </c>
      <c r="K350" s="1" t="str">
        <f>TEXT(stand_validation_1cycle[[#This Row],[stand_age]], ".0")</f>
        <v>25.5</v>
      </c>
      <c r="L350" s="1" t="str">
        <f t="shared" si="5"/>
        <v>"25.5"</v>
      </c>
      <c r="M350">
        <v>100</v>
      </c>
      <c r="N350">
        <f>0.029*stand_validation_1cycle[[#This Row],[stand_level_biomass]]</f>
        <v>20.150142317962416</v>
      </c>
      <c r="O350">
        <f>0.213*stand_validation_1cycle[[#This Row],[stand_level_biomass]]</f>
        <v>147.99932116296534</v>
      </c>
      <c r="P350">
        <f>0.571*stand_validation_1cycle[[#This Row],[stand_level_biomass]]</f>
        <v>396.74935391574274</v>
      </c>
      <c r="Q350">
        <f>stand_validation_1cycle[[#This Row],[stock]]</f>
        <v>100</v>
      </c>
      <c r="R350">
        <v>0</v>
      </c>
      <c r="S350">
        <f>stand_validation_1cycle[[#This Row],[aws]]</f>
        <v>574.38311767578102</v>
      </c>
      <c r="T350">
        <f>stand_validation_1cycle[[#This Row],[percent_tree_cover]]*100</f>
        <v>6.4183581926323701</v>
      </c>
    </row>
    <row r="351" spans="1:20" x14ac:dyDescent="0.2">
      <c r="A351">
        <v>1</v>
      </c>
      <c r="B351" t="s">
        <v>369</v>
      </c>
      <c r="C351">
        <v>27.233298611111099</v>
      </c>
      <c r="D351">
        <v>843.68407909537405</v>
      </c>
      <c r="E351">
        <v>7.2017760035149498</v>
      </c>
      <c r="F351">
        <v>26.652055832258899</v>
      </c>
      <c r="G351">
        <v>96</v>
      </c>
      <c r="H351">
        <v>568.23529052734295</v>
      </c>
      <c r="I351">
        <v>7.5513624963687298E-2</v>
      </c>
      <c r="K351" s="1" t="str">
        <f>TEXT(stand_validation_1cycle[[#This Row],[stand_age]], ".0")</f>
        <v>27.2</v>
      </c>
      <c r="L351" s="1" t="str">
        <f t="shared" si="5"/>
        <v>"27.2"</v>
      </c>
      <c r="M351">
        <v>100</v>
      </c>
      <c r="N351">
        <f>0.029*stand_validation_1cycle[[#This Row],[stand_level_biomass]]</f>
        <v>24.46683829376585</v>
      </c>
      <c r="O351">
        <f>0.213*stand_validation_1cycle[[#This Row],[stand_level_biomass]]</f>
        <v>179.70470884731466</v>
      </c>
      <c r="P351">
        <f>0.571*stand_validation_1cycle[[#This Row],[stand_level_biomass]]</f>
        <v>481.74360916345853</v>
      </c>
      <c r="Q351">
        <f>stand_validation_1cycle[[#This Row],[stock]]</f>
        <v>96</v>
      </c>
      <c r="R351">
        <v>0</v>
      </c>
      <c r="S351">
        <f>stand_validation_1cycle[[#This Row],[aws]]</f>
        <v>568.23529052734295</v>
      </c>
      <c r="T351">
        <f>stand_validation_1cycle[[#This Row],[percent_tree_cover]]*100</f>
        <v>7.5513624963687302</v>
      </c>
    </row>
    <row r="352" spans="1:20" x14ac:dyDescent="0.2">
      <c r="A352">
        <v>1</v>
      </c>
      <c r="B352" t="s">
        <v>370</v>
      </c>
      <c r="C352">
        <v>27.632621082621</v>
      </c>
      <c r="D352">
        <v>965.04251185987505</v>
      </c>
      <c r="E352">
        <v>3.3245283792064901</v>
      </c>
      <c r="F352">
        <v>29.088370084159301</v>
      </c>
      <c r="G352">
        <v>39</v>
      </c>
      <c r="H352">
        <v>568.23529052734295</v>
      </c>
      <c r="I352">
        <v>8.1398433826119193E-2</v>
      </c>
      <c r="K352" s="1" t="str">
        <f>TEXT(stand_validation_1cycle[[#This Row],[stand_age]], ".0")</f>
        <v>27.6</v>
      </c>
      <c r="L352" s="1" t="str">
        <f t="shared" si="5"/>
        <v>"27.6"</v>
      </c>
      <c r="M352">
        <v>100</v>
      </c>
      <c r="N352">
        <f>0.029*stand_validation_1cycle[[#This Row],[stand_level_biomass]]</f>
        <v>27.986232843936378</v>
      </c>
      <c r="O352">
        <f>0.213*stand_validation_1cycle[[#This Row],[stand_level_biomass]]</f>
        <v>205.55405502615338</v>
      </c>
      <c r="P352">
        <f>0.571*stand_validation_1cycle[[#This Row],[stand_level_biomass]]</f>
        <v>551.03927427198857</v>
      </c>
      <c r="Q352">
        <f>stand_validation_1cycle[[#This Row],[stock]]</f>
        <v>39</v>
      </c>
      <c r="R352">
        <v>0</v>
      </c>
      <c r="S352">
        <f>stand_validation_1cycle[[#This Row],[aws]]</f>
        <v>568.23529052734295</v>
      </c>
      <c r="T352">
        <f>stand_validation_1cycle[[#This Row],[percent_tree_cover]]*100</f>
        <v>8.1398433826119199</v>
      </c>
    </row>
    <row r="353" spans="1:20" x14ac:dyDescent="0.2">
      <c r="A353">
        <v>1</v>
      </c>
      <c r="B353" t="s">
        <v>371</v>
      </c>
      <c r="C353">
        <v>25.9813982521847</v>
      </c>
      <c r="D353">
        <v>903.84548334533599</v>
      </c>
      <c r="E353">
        <v>7.03737253296178</v>
      </c>
      <c r="F353">
        <v>27.262058424404501</v>
      </c>
      <c r="G353">
        <v>89</v>
      </c>
      <c r="H353">
        <v>0</v>
      </c>
      <c r="I353">
        <v>7.8388337696375904E-2</v>
      </c>
      <c r="K353" s="1" t="str">
        <f>TEXT(stand_validation_1cycle[[#This Row],[stand_age]], ".0")</f>
        <v>26.0</v>
      </c>
      <c r="L353" s="1" t="str">
        <f t="shared" si="5"/>
        <v>"26.0"</v>
      </c>
      <c r="M353">
        <v>100</v>
      </c>
      <c r="N353">
        <f>0.029*stand_validation_1cycle[[#This Row],[stand_level_biomass]]</f>
        <v>26.211519017014744</v>
      </c>
      <c r="O353">
        <f>0.213*stand_validation_1cycle[[#This Row],[stand_level_biomass]]</f>
        <v>192.51908795255656</v>
      </c>
      <c r="P353">
        <f>0.571*stand_validation_1cycle[[#This Row],[stand_level_biomass]]</f>
        <v>516.09577099018679</v>
      </c>
      <c r="Q353">
        <f>stand_validation_1cycle[[#This Row],[stock]]</f>
        <v>89</v>
      </c>
      <c r="R353">
        <v>0</v>
      </c>
      <c r="S353">
        <f>stand_validation_1cycle[[#This Row],[aws]]</f>
        <v>0</v>
      </c>
      <c r="T353">
        <f>stand_validation_1cycle[[#This Row],[percent_tree_cover]]*100</f>
        <v>7.8388337696375903</v>
      </c>
    </row>
    <row r="354" spans="1:20" x14ac:dyDescent="0.2">
      <c r="A354">
        <v>1</v>
      </c>
      <c r="B354" t="s">
        <v>372</v>
      </c>
      <c r="C354">
        <v>26.131822721597999</v>
      </c>
      <c r="D354">
        <v>803.76985996680196</v>
      </c>
      <c r="E354">
        <v>6.4726759658679898</v>
      </c>
      <c r="F354">
        <v>26.2911724321797</v>
      </c>
      <c r="G354">
        <v>89</v>
      </c>
      <c r="H354">
        <v>0</v>
      </c>
      <c r="I354">
        <v>7.0871200180057298E-2</v>
      </c>
      <c r="K354" s="1" t="str">
        <f>TEXT(stand_validation_1cycle[[#This Row],[stand_age]], ".0")</f>
        <v>26.1</v>
      </c>
      <c r="L354" s="1" t="str">
        <f t="shared" si="5"/>
        <v>"26.1"</v>
      </c>
      <c r="M354">
        <v>100</v>
      </c>
      <c r="N354">
        <f>0.029*stand_validation_1cycle[[#This Row],[stand_level_biomass]]</f>
        <v>23.309325939037258</v>
      </c>
      <c r="O354">
        <f>0.213*stand_validation_1cycle[[#This Row],[stand_level_biomass]]</f>
        <v>171.20298017292882</v>
      </c>
      <c r="P354">
        <f>0.571*stand_validation_1cycle[[#This Row],[stand_level_biomass]]</f>
        <v>458.95259004104389</v>
      </c>
      <c r="Q354">
        <f>stand_validation_1cycle[[#This Row],[stock]]</f>
        <v>89</v>
      </c>
      <c r="R354">
        <v>0</v>
      </c>
      <c r="S354">
        <f>stand_validation_1cycle[[#This Row],[aws]]</f>
        <v>0</v>
      </c>
      <c r="T354">
        <f>stand_validation_1cycle[[#This Row],[percent_tree_cover]]*100</f>
        <v>7.0871200180057299</v>
      </c>
    </row>
    <row r="355" spans="1:20" x14ac:dyDescent="0.2">
      <c r="A355">
        <v>1</v>
      </c>
      <c r="B355" t="s">
        <v>373</v>
      </c>
      <c r="C355">
        <v>28.706666666666599</v>
      </c>
      <c r="D355">
        <v>1532.6004058502201</v>
      </c>
      <c r="E355">
        <v>0.58457656540570102</v>
      </c>
      <c r="F355">
        <v>27.552742094514201</v>
      </c>
      <c r="G355">
        <v>5</v>
      </c>
      <c r="H355">
        <v>0</v>
      </c>
      <c r="I355">
        <v>0.167837941412976</v>
      </c>
      <c r="K355" s="1" t="str">
        <f>TEXT(stand_validation_1cycle[[#This Row],[stand_age]], ".0")</f>
        <v>28.7</v>
      </c>
      <c r="L355" s="1" t="str">
        <f t="shared" si="5"/>
        <v>"28.7"</v>
      </c>
      <c r="M355">
        <v>100</v>
      </c>
      <c r="N355">
        <f>0.029*stand_validation_1cycle[[#This Row],[stand_level_biomass]]</f>
        <v>44.445411769656388</v>
      </c>
      <c r="O355">
        <f>0.213*stand_validation_1cycle[[#This Row],[stand_level_biomass]]</f>
        <v>326.44388644609688</v>
      </c>
      <c r="P355">
        <f>0.571*stand_validation_1cycle[[#This Row],[stand_level_biomass]]</f>
        <v>875.11483174047567</v>
      </c>
      <c r="Q355">
        <f>stand_validation_1cycle[[#This Row],[stock]]</f>
        <v>5</v>
      </c>
      <c r="R355">
        <v>0</v>
      </c>
      <c r="S355">
        <f>stand_validation_1cycle[[#This Row],[aws]]</f>
        <v>0</v>
      </c>
      <c r="T355">
        <f>stand_validation_1cycle[[#This Row],[percent_tree_cover]]*100</f>
        <v>16.783794141297601</v>
      </c>
    </row>
    <row r="356" spans="1:20" x14ac:dyDescent="0.2">
      <c r="A356">
        <v>1</v>
      </c>
      <c r="B356" t="s">
        <v>374</v>
      </c>
      <c r="C356">
        <v>26.615017543859601</v>
      </c>
      <c r="D356">
        <v>992.28463544118097</v>
      </c>
      <c r="E356">
        <v>8.0890772224187195</v>
      </c>
      <c r="F356">
        <v>27.4187802682195</v>
      </c>
      <c r="G356">
        <v>95</v>
      </c>
      <c r="H356">
        <v>524.61187744140602</v>
      </c>
      <c r="I356">
        <v>8.4652167426612496E-2</v>
      </c>
      <c r="K356" s="1" t="str">
        <f>TEXT(stand_validation_1cycle[[#This Row],[stand_age]], ".0")</f>
        <v>26.6</v>
      </c>
      <c r="L356" s="1" t="str">
        <f t="shared" si="5"/>
        <v>"26.6"</v>
      </c>
      <c r="M356">
        <v>100</v>
      </c>
      <c r="N356">
        <f>0.029*stand_validation_1cycle[[#This Row],[stand_level_biomass]]</f>
        <v>28.77625442779425</v>
      </c>
      <c r="O356">
        <f>0.213*stand_validation_1cycle[[#This Row],[stand_level_biomass]]</f>
        <v>211.35662734897153</v>
      </c>
      <c r="P356">
        <f>0.571*stand_validation_1cycle[[#This Row],[stand_level_biomass]]</f>
        <v>566.59452683691427</v>
      </c>
      <c r="Q356">
        <f>stand_validation_1cycle[[#This Row],[stock]]</f>
        <v>95</v>
      </c>
      <c r="R356">
        <v>0</v>
      </c>
      <c r="S356">
        <f>stand_validation_1cycle[[#This Row],[aws]]</f>
        <v>524.61187744140602</v>
      </c>
      <c r="T356">
        <f>stand_validation_1cycle[[#This Row],[percent_tree_cover]]*100</f>
        <v>8.4652167426612497</v>
      </c>
    </row>
    <row r="357" spans="1:20" x14ac:dyDescent="0.2">
      <c r="A357">
        <v>1</v>
      </c>
      <c r="B357" t="s">
        <v>375</v>
      </c>
      <c r="C357">
        <v>28.1243634259259</v>
      </c>
      <c r="D357">
        <v>1017.41880954148</v>
      </c>
      <c r="E357">
        <v>8.4222549043043706</v>
      </c>
      <c r="F357">
        <v>28.667369303114501</v>
      </c>
      <c r="G357">
        <v>96</v>
      </c>
      <c r="H357">
        <v>640.156494140625</v>
      </c>
      <c r="I357">
        <v>8.7913993980702806E-2</v>
      </c>
      <c r="K357" s="1" t="str">
        <f>TEXT(stand_validation_1cycle[[#This Row],[stand_age]], ".0")</f>
        <v>28.1</v>
      </c>
      <c r="L357" s="1" t="str">
        <f t="shared" si="5"/>
        <v>"28.1"</v>
      </c>
      <c r="M357">
        <v>100</v>
      </c>
      <c r="N357">
        <f>0.029*stand_validation_1cycle[[#This Row],[stand_level_biomass]]</f>
        <v>29.505145476702921</v>
      </c>
      <c r="O357">
        <f>0.213*stand_validation_1cycle[[#This Row],[stand_level_biomass]]</f>
        <v>216.71020643233521</v>
      </c>
      <c r="P357">
        <f>0.571*stand_validation_1cycle[[#This Row],[stand_level_biomass]]</f>
        <v>580.94614024818497</v>
      </c>
      <c r="Q357">
        <f>stand_validation_1cycle[[#This Row],[stock]]</f>
        <v>96</v>
      </c>
      <c r="R357">
        <v>0</v>
      </c>
      <c r="S357">
        <f>stand_validation_1cycle[[#This Row],[aws]]</f>
        <v>640.156494140625</v>
      </c>
      <c r="T357">
        <f>stand_validation_1cycle[[#This Row],[percent_tree_cover]]*100</f>
        <v>8.7913993980702809</v>
      </c>
    </row>
    <row r="358" spans="1:20" x14ac:dyDescent="0.2">
      <c r="A358">
        <v>1</v>
      </c>
      <c r="B358" t="s">
        <v>376</v>
      </c>
      <c r="C358">
        <v>29.0846554149085</v>
      </c>
      <c r="D358">
        <v>959.55883334571001</v>
      </c>
      <c r="E358">
        <v>6.5348323765192697</v>
      </c>
      <c r="F358">
        <v>27.458099528119298</v>
      </c>
      <c r="G358">
        <v>79</v>
      </c>
      <c r="H358">
        <v>524.75933837890602</v>
      </c>
      <c r="I358">
        <v>8.3661696221082299E-2</v>
      </c>
      <c r="K358" s="1" t="str">
        <f>TEXT(stand_validation_1cycle[[#This Row],[stand_age]], ".0")</f>
        <v>29.1</v>
      </c>
      <c r="L358" s="1" t="str">
        <f t="shared" si="5"/>
        <v>"29.1"</v>
      </c>
      <c r="M358">
        <v>100</v>
      </c>
      <c r="N358">
        <f>0.029*stand_validation_1cycle[[#This Row],[stand_level_biomass]]</f>
        <v>27.82720616702559</v>
      </c>
      <c r="O358">
        <f>0.213*stand_validation_1cycle[[#This Row],[stand_level_biomass]]</f>
        <v>204.38603150263623</v>
      </c>
      <c r="P358">
        <f>0.571*stand_validation_1cycle[[#This Row],[stand_level_biomass]]</f>
        <v>547.9080938404004</v>
      </c>
      <c r="Q358">
        <f>stand_validation_1cycle[[#This Row],[stock]]</f>
        <v>79</v>
      </c>
      <c r="R358">
        <v>0</v>
      </c>
      <c r="S358">
        <f>stand_validation_1cycle[[#This Row],[aws]]</f>
        <v>524.75933837890602</v>
      </c>
      <c r="T358">
        <f>stand_validation_1cycle[[#This Row],[percent_tree_cover]]*100</f>
        <v>8.3661696221082291</v>
      </c>
    </row>
    <row r="359" spans="1:20" x14ac:dyDescent="0.2">
      <c r="A359">
        <v>1</v>
      </c>
      <c r="B359" t="s">
        <v>377</v>
      </c>
      <c r="C359">
        <v>27.070288600288599</v>
      </c>
      <c r="D359">
        <v>716.47816368414203</v>
      </c>
      <c r="E359">
        <v>5.1243955051342098</v>
      </c>
      <c r="F359">
        <v>25.7202414823265</v>
      </c>
      <c r="G359">
        <v>77</v>
      </c>
      <c r="H359">
        <v>525.53582763671795</v>
      </c>
      <c r="I359">
        <v>6.6092449014297699E-2</v>
      </c>
      <c r="K359" s="1" t="str">
        <f>TEXT(stand_validation_1cycle[[#This Row],[stand_age]], ".0")</f>
        <v>27.1</v>
      </c>
      <c r="L359" s="1" t="str">
        <f t="shared" si="5"/>
        <v>"27.1"</v>
      </c>
      <c r="M359">
        <v>100</v>
      </c>
      <c r="N359">
        <f>0.029*stand_validation_1cycle[[#This Row],[stand_level_biomass]]</f>
        <v>20.777866746840122</v>
      </c>
      <c r="O359">
        <f>0.213*stand_validation_1cycle[[#This Row],[stand_level_biomass]]</f>
        <v>152.60984886472224</v>
      </c>
      <c r="P359">
        <f>0.571*stand_validation_1cycle[[#This Row],[stand_level_biomass]]</f>
        <v>409.10903146364507</v>
      </c>
      <c r="Q359">
        <f>stand_validation_1cycle[[#This Row],[stock]]</f>
        <v>77</v>
      </c>
      <c r="R359">
        <v>0</v>
      </c>
      <c r="S359">
        <f>stand_validation_1cycle[[#This Row],[aws]]</f>
        <v>525.53582763671795</v>
      </c>
      <c r="T359">
        <f>stand_validation_1cycle[[#This Row],[percent_tree_cover]]*100</f>
        <v>6.6092449014297703</v>
      </c>
    </row>
    <row r="360" spans="1:20" x14ac:dyDescent="0.2">
      <c r="A360">
        <v>1</v>
      </c>
      <c r="B360" t="s">
        <v>378</v>
      </c>
      <c r="C360">
        <v>29.049788888888799</v>
      </c>
      <c r="D360">
        <v>907.39361878324098</v>
      </c>
      <c r="E360">
        <v>8.0151743968356808</v>
      </c>
      <c r="F360">
        <v>27.683805559914301</v>
      </c>
      <c r="G360">
        <v>100</v>
      </c>
      <c r="H360">
        <v>524.73333740234295</v>
      </c>
      <c r="I360">
        <v>7.9854072818755006E-2</v>
      </c>
      <c r="K360" s="1" t="str">
        <f>TEXT(stand_validation_1cycle[[#This Row],[stand_age]], ".0")</f>
        <v>29.0</v>
      </c>
      <c r="L360" s="1" t="str">
        <f t="shared" si="5"/>
        <v>"29.0"</v>
      </c>
      <c r="M360">
        <v>100</v>
      </c>
      <c r="N360">
        <f>0.029*stand_validation_1cycle[[#This Row],[stand_level_biomass]]</f>
        <v>26.314414944713988</v>
      </c>
      <c r="O360">
        <f>0.213*stand_validation_1cycle[[#This Row],[stand_level_biomass]]</f>
        <v>193.27484080083033</v>
      </c>
      <c r="P360">
        <f>0.571*stand_validation_1cycle[[#This Row],[stand_level_biomass]]</f>
        <v>518.12175632523054</v>
      </c>
      <c r="Q360">
        <f>stand_validation_1cycle[[#This Row],[stock]]</f>
        <v>100</v>
      </c>
      <c r="R360">
        <v>0</v>
      </c>
      <c r="S360">
        <f>stand_validation_1cycle[[#This Row],[aws]]</f>
        <v>524.73333740234295</v>
      </c>
      <c r="T360">
        <f>stand_validation_1cycle[[#This Row],[percent_tree_cover]]*100</f>
        <v>7.9854072818755011</v>
      </c>
    </row>
    <row r="361" spans="1:20" x14ac:dyDescent="0.2">
      <c r="A361">
        <v>1</v>
      </c>
      <c r="B361" t="s">
        <v>379</v>
      </c>
      <c r="C361">
        <v>28.150415263748499</v>
      </c>
      <c r="D361">
        <v>851.88047459500899</v>
      </c>
      <c r="E361">
        <v>7.4197255646540698</v>
      </c>
      <c r="F361">
        <v>25.770739662513702</v>
      </c>
      <c r="G361">
        <v>99</v>
      </c>
      <c r="H361">
        <v>524.13806152343705</v>
      </c>
      <c r="I361">
        <v>7.36945961435891E-2</v>
      </c>
      <c r="K361" s="1" t="str">
        <f>TEXT(stand_validation_1cycle[[#This Row],[stand_age]], ".0")</f>
        <v>28.2</v>
      </c>
      <c r="L361" s="1" t="str">
        <f t="shared" si="5"/>
        <v>"28.2"</v>
      </c>
      <c r="M361">
        <v>100</v>
      </c>
      <c r="N361">
        <f>0.029*stand_validation_1cycle[[#This Row],[stand_level_biomass]]</f>
        <v>24.704533763255263</v>
      </c>
      <c r="O361">
        <f>0.213*stand_validation_1cycle[[#This Row],[stand_level_biomass]]</f>
        <v>181.45054108873691</v>
      </c>
      <c r="P361">
        <f>0.571*stand_validation_1cycle[[#This Row],[stand_level_biomass]]</f>
        <v>486.4237509937501</v>
      </c>
      <c r="Q361">
        <f>stand_validation_1cycle[[#This Row],[stock]]</f>
        <v>99</v>
      </c>
      <c r="R361">
        <v>0</v>
      </c>
      <c r="S361">
        <f>stand_validation_1cycle[[#This Row],[aws]]</f>
        <v>524.13806152343705</v>
      </c>
      <c r="T361">
        <f>stand_validation_1cycle[[#This Row],[percent_tree_cover]]*100</f>
        <v>7.3694596143589104</v>
      </c>
    </row>
    <row r="362" spans="1:20" x14ac:dyDescent="0.2">
      <c r="A362">
        <v>1</v>
      </c>
      <c r="B362" t="s">
        <v>380</v>
      </c>
      <c r="C362">
        <v>27.809331065759601</v>
      </c>
      <c r="D362">
        <v>697.74326333828503</v>
      </c>
      <c r="E362">
        <v>6.5008207090533396</v>
      </c>
      <c r="F362">
        <v>25.810592788220099</v>
      </c>
      <c r="G362">
        <v>98</v>
      </c>
      <c r="H362">
        <v>594</v>
      </c>
      <c r="I362">
        <v>6.4219336446614803E-2</v>
      </c>
      <c r="K362" s="1" t="str">
        <f>TEXT(stand_validation_1cycle[[#This Row],[stand_age]], ".0")</f>
        <v>27.8</v>
      </c>
      <c r="L362" s="1" t="str">
        <f t="shared" si="5"/>
        <v>"27.8"</v>
      </c>
      <c r="M362">
        <v>100</v>
      </c>
      <c r="N362">
        <f>0.029*stand_validation_1cycle[[#This Row],[stand_level_biomass]]</f>
        <v>20.234554636810266</v>
      </c>
      <c r="O362">
        <f>0.213*stand_validation_1cycle[[#This Row],[stand_level_biomass]]</f>
        <v>148.61931509105472</v>
      </c>
      <c r="P362">
        <f>0.571*stand_validation_1cycle[[#This Row],[stand_level_biomass]]</f>
        <v>398.4114033661607</v>
      </c>
      <c r="Q362">
        <f>stand_validation_1cycle[[#This Row],[stock]]</f>
        <v>98</v>
      </c>
      <c r="R362">
        <v>0</v>
      </c>
      <c r="S362">
        <f>stand_validation_1cycle[[#This Row],[aws]]</f>
        <v>594</v>
      </c>
      <c r="T362">
        <f>stand_validation_1cycle[[#This Row],[percent_tree_cover]]*100</f>
        <v>6.4219336446614799</v>
      </c>
    </row>
    <row r="363" spans="1:20" x14ac:dyDescent="0.2">
      <c r="A363">
        <v>1</v>
      </c>
      <c r="B363" t="s">
        <v>381</v>
      </c>
      <c r="C363">
        <v>26.977422222222199</v>
      </c>
      <c r="D363">
        <v>829.13280762568297</v>
      </c>
      <c r="E363">
        <v>7.4135916049979302</v>
      </c>
      <c r="F363">
        <v>26.486582798995698</v>
      </c>
      <c r="G363">
        <v>100</v>
      </c>
      <c r="H363">
        <v>597.22180175781205</v>
      </c>
      <c r="I363">
        <v>7.3876008920574096E-2</v>
      </c>
      <c r="K363" s="1" t="str">
        <f>TEXT(stand_validation_1cycle[[#This Row],[stand_age]], ".0")</f>
        <v>27.0</v>
      </c>
      <c r="L363" s="1" t="str">
        <f t="shared" si="5"/>
        <v>"27.0"</v>
      </c>
      <c r="M363">
        <v>100</v>
      </c>
      <c r="N363">
        <f>0.029*stand_validation_1cycle[[#This Row],[stand_level_biomass]]</f>
        <v>24.044851421144806</v>
      </c>
      <c r="O363">
        <f>0.213*stand_validation_1cycle[[#This Row],[stand_level_biomass]]</f>
        <v>176.60528802427046</v>
      </c>
      <c r="P363">
        <f>0.571*stand_validation_1cycle[[#This Row],[stand_level_biomass]]</f>
        <v>473.43483315426494</v>
      </c>
      <c r="Q363">
        <f>stand_validation_1cycle[[#This Row],[stock]]</f>
        <v>100</v>
      </c>
      <c r="R363">
        <v>0</v>
      </c>
      <c r="S363">
        <f>stand_validation_1cycle[[#This Row],[aws]]</f>
        <v>597.22180175781205</v>
      </c>
      <c r="T363">
        <f>stand_validation_1cycle[[#This Row],[percent_tree_cover]]*100</f>
        <v>7.3876008920574092</v>
      </c>
    </row>
    <row r="364" spans="1:20" x14ac:dyDescent="0.2">
      <c r="A364">
        <v>1</v>
      </c>
      <c r="B364" t="s">
        <v>382</v>
      </c>
      <c r="C364">
        <v>28.553444444444398</v>
      </c>
      <c r="D364">
        <v>836.06235965212397</v>
      </c>
      <c r="E364">
        <v>7.5007409560048401</v>
      </c>
      <c r="F364">
        <v>26.8926419991042</v>
      </c>
      <c r="G364">
        <v>100</v>
      </c>
      <c r="H364">
        <v>566.73394775390602</v>
      </c>
      <c r="I364">
        <v>7.4728625958410899E-2</v>
      </c>
      <c r="K364" s="1" t="str">
        <f>TEXT(stand_validation_1cycle[[#This Row],[stand_age]], ".0")</f>
        <v>28.6</v>
      </c>
      <c r="L364" s="1" t="str">
        <f t="shared" si="5"/>
        <v>"28.6"</v>
      </c>
      <c r="M364">
        <v>100</v>
      </c>
      <c r="N364">
        <f>0.029*stand_validation_1cycle[[#This Row],[stand_level_biomass]]</f>
        <v>24.245808429911598</v>
      </c>
      <c r="O364">
        <f>0.213*stand_validation_1cycle[[#This Row],[stand_level_biomass]]</f>
        <v>178.0812826059024</v>
      </c>
      <c r="P364">
        <f>0.571*stand_validation_1cycle[[#This Row],[stand_level_biomass]]</f>
        <v>477.39160736136273</v>
      </c>
      <c r="Q364">
        <f>stand_validation_1cycle[[#This Row],[stock]]</f>
        <v>100</v>
      </c>
      <c r="R364">
        <v>0</v>
      </c>
      <c r="S364">
        <f>stand_validation_1cycle[[#This Row],[aws]]</f>
        <v>566.73394775390602</v>
      </c>
      <c r="T364">
        <f>stand_validation_1cycle[[#This Row],[percent_tree_cover]]*100</f>
        <v>7.4728625958410895</v>
      </c>
    </row>
    <row r="365" spans="1:20" x14ac:dyDescent="0.2">
      <c r="A365">
        <v>1</v>
      </c>
      <c r="B365" t="s">
        <v>383</v>
      </c>
      <c r="C365">
        <v>26.682188888888799</v>
      </c>
      <c r="D365">
        <v>726.01308574852499</v>
      </c>
      <c r="E365">
        <v>6.66651380339081</v>
      </c>
      <c r="F365">
        <v>25.332427132414999</v>
      </c>
      <c r="G365">
        <v>100</v>
      </c>
      <c r="H365">
        <v>568.82409667968705</v>
      </c>
      <c r="I365">
        <v>6.64227703807099E-2</v>
      </c>
      <c r="K365" s="1" t="str">
        <f>TEXT(stand_validation_1cycle[[#This Row],[stand_age]], ".0")</f>
        <v>26.7</v>
      </c>
      <c r="L365" s="1" t="str">
        <f t="shared" si="5"/>
        <v>"26.7"</v>
      </c>
      <c r="M365">
        <v>100</v>
      </c>
      <c r="N365">
        <f>0.029*stand_validation_1cycle[[#This Row],[stand_level_biomass]]</f>
        <v>21.054379486707226</v>
      </c>
      <c r="O365">
        <f>0.213*stand_validation_1cycle[[#This Row],[stand_level_biomass]]</f>
        <v>154.64078726443583</v>
      </c>
      <c r="P365">
        <f>0.571*stand_validation_1cycle[[#This Row],[stand_level_biomass]]</f>
        <v>414.55347196240774</v>
      </c>
      <c r="Q365">
        <f>stand_validation_1cycle[[#This Row],[stock]]</f>
        <v>100</v>
      </c>
      <c r="R365">
        <v>0</v>
      </c>
      <c r="S365">
        <f>stand_validation_1cycle[[#This Row],[aws]]</f>
        <v>568.82409667968705</v>
      </c>
      <c r="T365">
        <f>stand_validation_1cycle[[#This Row],[percent_tree_cover]]*100</f>
        <v>6.6422770380709899</v>
      </c>
    </row>
    <row r="366" spans="1:20" x14ac:dyDescent="0.2">
      <c r="A366">
        <v>1</v>
      </c>
      <c r="B366" t="s">
        <v>384</v>
      </c>
      <c r="C366">
        <v>27.435966666666602</v>
      </c>
      <c r="D366">
        <v>938.42427035866797</v>
      </c>
      <c r="E366">
        <v>8.0737918033626901</v>
      </c>
      <c r="F366">
        <v>26.8182739989957</v>
      </c>
      <c r="G366">
        <v>100</v>
      </c>
      <c r="H366">
        <v>525.02691650390602</v>
      </c>
      <c r="I366">
        <v>8.04412652279584E-2</v>
      </c>
      <c r="K366" s="1" t="str">
        <f>TEXT(stand_validation_1cycle[[#This Row],[stand_age]], ".0")</f>
        <v>27.4</v>
      </c>
      <c r="L366" s="1" t="str">
        <f t="shared" si="5"/>
        <v>"27.4"</v>
      </c>
      <c r="M366">
        <v>100</v>
      </c>
      <c r="N366">
        <f>0.029*stand_validation_1cycle[[#This Row],[stand_level_biomass]]</f>
        <v>27.214303840401371</v>
      </c>
      <c r="O366">
        <f>0.213*stand_validation_1cycle[[#This Row],[stand_level_biomass]]</f>
        <v>199.88436958639628</v>
      </c>
      <c r="P366">
        <f>0.571*stand_validation_1cycle[[#This Row],[stand_level_biomass]]</f>
        <v>535.84025837479942</v>
      </c>
      <c r="Q366">
        <f>stand_validation_1cycle[[#This Row],[stock]]</f>
        <v>100</v>
      </c>
      <c r="R366">
        <v>0</v>
      </c>
      <c r="S366">
        <f>stand_validation_1cycle[[#This Row],[aws]]</f>
        <v>525.02691650390602</v>
      </c>
      <c r="T366">
        <f>stand_validation_1cycle[[#This Row],[percent_tree_cover]]*100</f>
        <v>8.0441265227958407</v>
      </c>
    </row>
    <row r="367" spans="1:20" x14ac:dyDescent="0.2">
      <c r="A367">
        <v>1</v>
      </c>
      <c r="B367" t="s">
        <v>385</v>
      </c>
      <c r="C367">
        <v>26.522480359147</v>
      </c>
      <c r="D367">
        <v>765.58852595080396</v>
      </c>
      <c r="E367">
        <v>6.9471703392937396</v>
      </c>
      <c r="F367">
        <v>25.943754140386002</v>
      </c>
      <c r="G367">
        <v>99</v>
      </c>
      <c r="H367">
        <v>527.225341796875</v>
      </c>
      <c r="I367">
        <v>6.8871225435742506E-2</v>
      </c>
      <c r="K367" s="1" t="str">
        <f>TEXT(stand_validation_1cycle[[#This Row],[stand_age]], ".0")</f>
        <v>26.5</v>
      </c>
      <c r="L367" s="1" t="str">
        <f t="shared" si="5"/>
        <v>"26.5"</v>
      </c>
      <c r="M367">
        <v>100</v>
      </c>
      <c r="N367">
        <f>0.029*stand_validation_1cycle[[#This Row],[stand_level_biomass]]</f>
        <v>22.202067252573315</v>
      </c>
      <c r="O367">
        <f>0.213*stand_validation_1cycle[[#This Row],[stand_level_biomass]]</f>
        <v>163.07035602752123</v>
      </c>
      <c r="P367">
        <f>0.571*stand_validation_1cycle[[#This Row],[stand_level_biomass]]</f>
        <v>437.15104831790904</v>
      </c>
      <c r="Q367">
        <f>stand_validation_1cycle[[#This Row],[stock]]</f>
        <v>99</v>
      </c>
      <c r="R367">
        <v>0</v>
      </c>
      <c r="S367">
        <f>stand_validation_1cycle[[#This Row],[aws]]</f>
        <v>527.225341796875</v>
      </c>
      <c r="T367">
        <f>stand_validation_1cycle[[#This Row],[percent_tree_cover]]*100</f>
        <v>6.8871225435742502</v>
      </c>
    </row>
    <row r="368" spans="1:20" x14ac:dyDescent="0.2">
      <c r="A368">
        <v>1</v>
      </c>
      <c r="B368" t="s">
        <v>386</v>
      </c>
      <c r="C368">
        <v>27.2817346938775</v>
      </c>
      <c r="D368">
        <v>877.42086419786699</v>
      </c>
      <c r="E368">
        <v>7.6539399363589897</v>
      </c>
      <c r="F368">
        <v>27.0031199988921</v>
      </c>
      <c r="G368">
        <v>98</v>
      </c>
      <c r="H368">
        <v>526.42230224609295</v>
      </c>
      <c r="I368">
        <v>7.5761061687899894E-2</v>
      </c>
      <c r="K368" s="1" t="str">
        <f>TEXT(stand_validation_1cycle[[#This Row],[stand_age]], ".0")</f>
        <v>27.3</v>
      </c>
      <c r="L368" s="1" t="str">
        <f t="shared" si="5"/>
        <v>"27.3"</v>
      </c>
      <c r="M368">
        <v>100</v>
      </c>
      <c r="N368">
        <f>0.029*stand_validation_1cycle[[#This Row],[stand_level_biomass]]</f>
        <v>25.445205061738143</v>
      </c>
      <c r="O368">
        <f>0.213*stand_validation_1cycle[[#This Row],[stand_level_biomass]]</f>
        <v>186.89064407414565</v>
      </c>
      <c r="P368">
        <f>0.571*stand_validation_1cycle[[#This Row],[stand_level_biomass]]</f>
        <v>501.00731345698199</v>
      </c>
      <c r="Q368">
        <f>stand_validation_1cycle[[#This Row],[stock]]</f>
        <v>98</v>
      </c>
      <c r="R368">
        <v>0</v>
      </c>
      <c r="S368">
        <f>stand_validation_1cycle[[#This Row],[aws]]</f>
        <v>526.42230224609295</v>
      </c>
      <c r="T368">
        <f>stand_validation_1cycle[[#This Row],[percent_tree_cover]]*100</f>
        <v>7.5761061687899893</v>
      </c>
    </row>
    <row r="369" spans="1:20" x14ac:dyDescent="0.2">
      <c r="A369">
        <v>1</v>
      </c>
      <c r="B369" t="s">
        <v>387</v>
      </c>
      <c r="C369">
        <v>26.113199999999999</v>
      </c>
      <c r="D369">
        <v>701.55212332313499</v>
      </c>
      <c r="E369">
        <v>6.5840014431406004</v>
      </c>
      <c r="F369">
        <v>25.817706265535701</v>
      </c>
      <c r="G369">
        <v>100</v>
      </c>
      <c r="H369">
        <v>526.02136230468705</v>
      </c>
      <c r="I369">
        <v>6.5624815415968304E-2</v>
      </c>
      <c r="K369" s="1" t="str">
        <f>TEXT(stand_validation_1cycle[[#This Row],[stand_age]], ".0")</f>
        <v>26.1</v>
      </c>
      <c r="L369" s="1" t="str">
        <f t="shared" si="5"/>
        <v>"26.1"</v>
      </c>
      <c r="M369">
        <v>100</v>
      </c>
      <c r="N369">
        <f>0.029*stand_validation_1cycle[[#This Row],[stand_level_biomass]]</f>
        <v>20.345011576370915</v>
      </c>
      <c r="O369">
        <f>0.213*stand_validation_1cycle[[#This Row],[stand_level_biomass]]</f>
        <v>149.43060226782774</v>
      </c>
      <c r="P369">
        <f>0.571*stand_validation_1cycle[[#This Row],[stand_level_biomass]]</f>
        <v>400.58626241751006</v>
      </c>
      <c r="Q369">
        <f>stand_validation_1cycle[[#This Row],[stock]]</f>
        <v>100</v>
      </c>
      <c r="R369">
        <v>0</v>
      </c>
      <c r="S369">
        <f>stand_validation_1cycle[[#This Row],[aws]]</f>
        <v>526.02136230468705</v>
      </c>
      <c r="T369">
        <f>stand_validation_1cycle[[#This Row],[percent_tree_cover]]*100</f>
        <v>6.5624815415968305</v>
      </c>
    </row>
    <row r="370" spans="1:20" x14ac:dyDescent="0.2">
      <c r="A370">
        <v>1</v>
      </c>
      <c r="B370" t="s">
        <v>388</v>
      </c>
      <c r="C370">
        <v>25.890011337868401</v>
      </c>
      <c r="D370">
        <v>674.50092942835602</v>
      </c>
      <c r="E370">
        <v>6.1874020741624403</v>
      </c>
      <c r="F370">
        <v>24.701450571341098</v>
      </c>
      <c r="G370">
        <v>98</v>
      </c>
      <c r="H370">
        <v>525.56427001953102</v>
      </c>
      <c r="I370">
        <v>6.13568060890506E-2</v>
      </c>
      <c r="K370" s="1" t="str">
        <f>TEXT(stand_validation_1cycle[[#This Row],[stand_age]], ".0")</f>
        <v>25.9</v>
      </c>
      <c r="L370" s="1" t="str">
        <f t="shared" si="5"/>
        <v>"25.9"</v>
      </c>
      <c r="M370">
        <v>100</v>
      </c>
      <c r="N370">
        <f>0.029*stand_validation_1cycle[[#This Row],[stand_level_biomass]]</f>
        <v>19.560526953422325</v>
      </c>
      <c r="O370">
        <f>0.213*stand_validation_1cycle[[#This Row],[stand_level_biomass]]</f>
        <v>143.66869796823983</v>
      </c>
      <c r="P370">
        <f>0.571*stand_validation_1cycle[[#This Row],[stand_level_biomass]]</f>
        <v>385.14003070359126</v>
      </c>
      <c r="Q370">
        <f>stand_validation_1cycle[[#This Row],[stock]]</f>
        <v>98</v>
      </c>
      <c r="R370">
        <v>0</v>
      </c>
      <c r="S370">
        <f>stand_validation_1cycle[[#This Row],[aws]]</f>
        <v>525.56427001953102</v>
      </c>
      <c r="T370">
        <f>stand_validation_1cycle[[#This Row],[percent_tree_cover]]*100</f>
        <v>6.1356806089050604</v>
      </c>
    </row>
    <row r="371" spans="1:20" x14ac:dyDescent="0.2">
      <c r="A371">
        <v>1</v>
      </c>
      <c r="B371" t="s">
        <v>389</v>
      </c>
      <c r="C371">
        <v>26.3985746352413</v>
      </c>
      <c r="D371">
        <v>717.31252450524698</v>
      </c>
      <c r="E371">
        <v>6.6408391374293503</v>
      </c>
      <c r="F371">
        <v>26.040650368131299</v>
      </c>
      <c r="G371">
        <v>99</v>
      </c>
      <c r="H371">
        <v>524.31262207031205</v>
      </c>
      <c r="I371">
        <v>6.6100698060910998E-2</v>
      </c>
      <c r="K371" s="1" t="str">
        <f>TEXT(stand_validation_1cycle[[#This Row],[stand_age]], ".0")</f>
        <v>26.4</v>
      </c>
      <c r="L371" s="1" t="str">
        <f t="shared" si="5"/>
        <v>"26.4"</v>
      </c>
      <c r="M371">
        <v>100</v>
      </c>
      <c r="N371">
        <f>0.029*stand_validation_1cycle[[#This Row],[stand_level_biomass]]</f>
        <v>20.802063210652165</v>
      </c>
      <c r="O371">
        <f>0.213*stand_validation_1cycle[[#This Row],[stand_level_biomass]]</f>
        <v>152.78756771961761</v>
      </c>
      <c r="P371">
        <f>0.571*stand_validation_1cycle[[#This Row],[stand_level_biomass]]</f>
        <v>409.58545149249602</v>
      </c>
      <c r="Q371">
        <f>stand_validation_1cycle[[#This Row],[stock]]</f>
        <v>99</v>
      </c>
      <c r="R371">
        <v>0</v>
      </c>
      <c r="S371">
        <f>stand_validation_1cycle[[#This Row],[aws]]</f>
        <v>524.31262207031205</v>
      </c>
      <c r="T371">
        <f>stand_validation_1cycle[[#This Row],[percent_tree_cover]]*100</f>
        <v>6.6100698060910998</v>
      </c>
    </row>
    <row r="372" spans="1:20" x14ac:dyDescent="0.2">
      <c r="A372">
        <v>1</v>
      </c>
      <c r="B372" t="s">
        <v>390</v>
      </c>
      <c r="C372">
        <v>29.828153594771202</v>
      </c>
      <c r="D372">
        <v>925.29822199806802</v>
      </c>
      <c r="E372">
        <v>5.5663013525661098</v>
      </c>
      <c r="F372">
        <v>28.1741012865462</v>
      </c>
      <c r="G372">
        <v>68</v>
      </c>
      <c r="H372">
        <v>524.11468505859295</v>
      </c>
      <c r="I372">
        <v>8.0393402529760405E-2</v>
      </c>
      <c r="K372" s="1" t="str">
        <f>TEXT(stand_validation_1cycle[[#This Row],[stand_age]], ".0")</f>
        <v>29.8</v>
      </c>
      <c r="L372" s="1" t="str">
        <f t="shared" si="5"/>
        <v>"29.8"</v>
      </c>
      <c r="M372">
        <v>100</v>
      </c>
      <c r="N372">
        <f>0.029*stand_validation_1cycle[[#This Row],[stand_level_biomass]]</f>
        <v>26.833648437943975</v>
      </c>
      <c r="O372">
        <f>0.213*stand_validation_1cycle[[#This Row],[stand_level_biomass]]</f>
        <v>197.08852128558848</v>
      </c>
      <c r="P372">
        <f>0.571*stand_validation_1cycle[[#This Row],[stand_level_biomass]]</f>
        <v>528.34528476089679</v>
      </c>
      <c r="Q372">
        <f>stand_validation_1cycle[[#This Row],[stock]]</f>
        <v>68</v>
      </c>
      <c r="R372">
        <v>0</v>
      </c>
      <c r="S372">
        <f>stand_validation_1cycle[[#This Row],[aws]]</f>
        <v>524.11468505859295</v>
      </c>
      <c r="T372">
        <f>stand_validation_1cycle[[#This Row],[percent_tree_cover]]*100</f>
        <v>8.0393402529760412</v>
      </c>
    </row>
    <row r="373" spans="1:20" x14ac:dyDescent="0.2">
      <c r="A373">
        <v>1</v>
      </c>
      <c r="B373" t="s">
        <v>391</v>
      </c>
      <c r="C373">
        <v>27.302311111111099</v>
      </c>
      <c r="D373">
        <v>755.40690441408401</v>
      </c>
      <c r="E373">
        <v>6.9205319897857898</v>
      </c>
      <c r="F373">
        <v>25.889608493374201</v>
      </c>
      <c r="G373">
        <v>100</v>
      </c>
      <c r="H373">
        <v>605</v>
      </c>
      <c r="I373">
        <v>6.8950251088758893E-2</v>
      </c>
      <c r="K373" s="1" t="str">
        <f>TEXT(stand_validation_1cycle[[#This Row],[stand_age]], ".0")</f>
        <v>27.3</v>
      </c>
      <c r="L373" s="1" t="str">
        <f t="shared" si="5"/>
        <v>"27.3"</v>
      </c>
      <c r="M373">
        <v>100</v>
      </c>
      <c r="N373">
        <f>0.029*stand_validation_1cycle[[#This Row],[stand_level_biomass]]</f>
        <v>21.906800228008436</v>
      </c>
      <c r="O373">
        <f>0.213*stand_validation_1cycle[[#This Row],[stand_level_biomass]]</f>
        <v>160.90167064019988</v>
      </c>
      <c r="P373">
        <f>0.571*stand_validation_1cycle[[#This Row],[stand_level_biomass]]</f>
        <v>431.33734242044193</v>
      </c>
      <c r="Q373">
        <f>stand_validation_1cycle[[#This Row],[stock]]</f>
        <v>100</v>
      </c>
      <c r="R373">
        <v>0</v>
      </c>
      <c r="S373">
        <f>stand_validation_1cycle[[#This Row],[aws]]</f>
        <v>605</v>
      </c>
      <c r="T373">
        <f>stand_validation_1cycle[[#This Row],[percent_tree_cover]]*100</f>
        <v>6.8950251088758892</v>
      </c>
    </row>
    <row r="374" spans="1:20" x14ac:dyDescent="0.2">
      <c r="A374">
        <v>1</v>
      </c>
      <c r="B374" t="s">
        <v>392</v>
      </c>
      <c r="C374">
        <v>24.548977777777701</v>
      </c>
      <c r="D374">
        <v>567.62406011834798</v>
      </c>
      <c r="E374">
        <v>5.5689858434886004</v>
      </c>
      <c r="F374">
        <v>23.844601064639999</v>
      </c>
      <c r="G374">
        <v>100</v>
      </c>
      <c r="H374">
        <v>567.57775878906205</v>
      </c>
      <c r="I374">
        <v>5.5502856627316799E-2</v>
      </c>
      <c r="K374" s="1" t="str">
        <f>TEXT(stand_validation_1cycle[[#This Row],[stand_age]], ".0")</f>
        <v>24.5</v>
      </c>
      <c r="L374" s="1" t="str">
        <f t="shared" si="5"/>
        <v>"24.5"</v>
      </c>
      <c r="M374">
        <v>100</v>
      </c>
      <c r="N374">
        <f>0.029*stand_validation_1cycle[[#This Row],[stand_level_biomass]]</f>
        <v>16.461097743432092</v>
      </c>
      <c r="O374">
        <f>0.213*stand_validation_1cycle[[#This Row],[stand_level_biomass]]</f>
        <v>120.90392480520812</v>
      </c>
      <c r="P374">
        <f>0.571*stand_validation_1cycle[[#This Row],[stand_level_biomass]]</f>
        <v>324.11333832757668</v>
      </c>
      <c r="Q374">
        <f>stand_validation_1cycle[[#This Row],[stock]]</f>
        <v>100</v>
      </c>
      <c r="R374">
        <v>0</v>
      </c>
      <c r="S374">
        <f>stand_validation_1cycle[[#This Row],[aws]]</f>
        <v>567.57775878906205</v>
      </c>
      <c r="T374">
        <f>stand_validation_1cycle[[#This Row],[percent_tree_cover]]*100</f>
        <v>5.5502856627316799</v>
      </c>
    </row>
    <row r="375" spans="1:20" x14ac:dyDescent="0.2">
      <c r="A375">
        <v>1</v>
      </c>
      <c r="B375" t="s">
        <v>393</v>
      </c>
      <c r="C375">
        <v>26.8392666666666</v>
      </c>
      <c r="D375">
        <v>785.88346827348596</v>
      </c>
      <c r="E375">
        <v>7.1790968461486804</v>
      </c>
      <c r="F375">
        <v>26.571991311897101</v>
      </c>
      <c r="G375">
        <v>100</v>
      </c>
      <c r="H375">
        <v>569.76452636718705</v>
      </c>
      <c r="I375">
        <v>7.1546256771048006E-2</v>
      </c>
      <c r="K375" s="1" t="str">
        <f>TEXT(stand_validation_1cycle[[#This Row],[stand_age]], ".0")</f>
        <v>26.8</v>
      </c>
      <c r="L375" s="1" t="str">
        <f t="shared" si="5"/>
        <v>"26.8"</v>
      </c>
      <c r="M375">
        <v>100</v>
      </c>
      <c r="N375">
        <f>0.029*stand_validation_1cycle[[#This Row],[stand_level_biomass]]</f>
        <v>22.790620579931094</v>
      </c>
      <c r="O375">
        <f>0.213*stand_validation_1cycle[[#This Row],[stand_level_biomass]]</f>
        <v>167.3931787422525</v>
      </c>
      <c r="P375">
        <f>0.571*stand_validation_1cycle[[#This Row],[stand_level_biomass]]</f>
        <v>448.73946038416045</v>
      </c>
      <c r="Q375">
        <f>stand_validation_1cycle[[#This Row],[stock]]</f>
        <v>100</v>
      </c>
      <c r="R375">
        <v>0</v>
      </c>
      <c r="S375">
        <f>stand_validation_1cycle[[#This Row],[aws]]</f>
        <v>569.76452636718705</v>
      </c>
      <c r="T375">
        <f>stand_validation_1cycle[[#This Row],[percent_tree_cover]]*100</f>
        <v>7.1546256771048009</v>
      </c>
    </row>
    <row r="376" spans="1:20" x14ac:dyDescent="0.2">
      <c r="A376">
        <v>1</v>
      </c>
      <c r="B376" t="s">
        <v>394</v>
      </c>
      <c r="C376">
        <v>27.4399555555555</v>
      </c>
      <c r="D376">
        <v>770.37188100243895</v>
      </c>
      <c r="E376">
        <v>7.09820004992058</v>
      </c>
      <c r="F376">
        <v>26.544262474091401</v>
      </c>
      <c r="G376">
        <v>100</v>
      </c>
      <c r="H376">
        <v>571.51702880859295</v>
      </c>
      <c r="I376">
        <v>7.0729061646427005E-2</v>
      </c>
      <c r="K376" s="1" t="str">
        <f>TEXT(stand_validation_1cycle[[#This Row],[stand_age]], ".0")</f>
        <v>27.4</v>
      </c>
      <c r="L376" s="1" t="str">
        <f t="shared" si="5"/>
        <v>"27.4"</v>
      </c>
      <c r="M376">
        <v>100</v>
      </c>
      <c r="N376">
        <f>0.029*stand_validation_1cycle[[#This Row],[stand_level_biomass]]</f>
        <v>22.34078454907073</v>
      </c>
      <c r="O376">
        <f>0.213*stand_validation_1cycle[[#This Row],[stand_level_biomass]]</f>
        <v>164.0892106535195</v>
      </c>
      <c r="P376">
        <f>0.571*stand_validation_1cycle[[#This Row],[stand_level_biomass]]</f>
        <v>439.88234405239263</v>
      </c>
      <c r="Q376">
        <f>stand_validation_1cycle[[#This Row],[stock]]</f>
        <v>100</v>
      </c>
      <c r="R376">
        <v>0</v>
      </c>
      <c r="S376">
        <f>stand_validation_1cycle[[#This Row],[aws]]</f>
        <v>571.51702880859295</v>
      </c>
      <c r="T376">
        <f>stand_validation_1cycle[[#This Row],[percent_tree_cover]]*100</f>
        <v>7.0729061646427009</v>
      </c>
    </row>
    <row r="377" spans="1:20" x14ac:dyDescent="0.2">
      <c r="A377">
        <v>1</v>
      </c>
      <c r="B377" t="s">
        <v>395</v>
      </c>
      <c r="C377">
        <v>27.0663555555555</v>
      </c>
      <c r="D377">
        <v>791.65931822216999</v>
      </c>
      <c r="E377">
        <v>7.1799804190825096</v>
      </c>
      <c r="F377">
        <v>26.342389826454198</v>
      </c>
      <c r="G377">
        <v>100</v>
      </c>
      <c r="H377">
        <v>567.49822998046795</v>
      </c>
      <c r="I377">
        <v>7.1540116809754001E-2</v>
      </c>
      <c r="K377" s="1" t="str">
        <f>TEXT(stand_validation_1cycle[[#This Row],[stand_age]], ".0")</f>
        <v>27.1</v>
      </c>
      <c r="L377" s="1" t="str">
        <f t="shared" si="5"/>
        <v>"27.1"</v>
      </c>
      <c r="M377">
        <v>100</v>
      </c>
      <c r="N377">
        <f>0.029*stand_validation_1cycle[[#This Row],[stand_level_biomass]]</f>
        <v>22.95812022844293</v>
      </c>
      <c r="O377">
        <f>0.213*stand_validation_1cycle[[#This Row],[stand_level_biomass]]</f>
        <v>168.6234347813222</v>
      </c>
      <c r="P377">
        <f>0.571*stand_validation_1cycle[[#This Row],[stand_level_biomass]]</f>
        <v>452.037470704859</v>
      </c>
      <c r="Q377">
        <f>stand_validation_1cycle[[#This Row],[stock]]</f>
        <v>100</v>
      </c>
      <c r="R377">
        <v>0</v>
      </c>
      <c r="S377">
        <f>stand_validation_1cycle[[#This Row],[aws]]</f>
        <v>567.49822998046795</v>
      </c>
      <c r="T377">
        <f>stand_validation_1cycle[[#This Row],[percent_tree_cover]]*100</f>
        <v>7.1540116809754002</v>
      </c>
    </row>
    <row r="378" spans="1:20" x14ac:dyDescent="0.2">
      <c r="A378">
        <v>1</v>
      </c>
      <c r="B378" t="s">
        <v>396</v>
      </c>
      <c r="C378">
        <v>24.999629629629599</v>
      </c>
      <c r="D378">
        <v>503.86202083595202</v>
      </c>
      <c r="E378">
        <v>5.1423968310392798</v>
      </c>
      <c r="F378">
        <v>23.556480844732999</v>
      </c>
      <c r="G378">
        <v>99</v>
      </c>
      <c r="H378">
        <v>569.05609130859295</v>
      </c>
      <c r="I378">
        <v>5.09747582730216E-2</v>
      </c>
      <c r="K378" s="1" t="str">
        <f>TEXT(stand_validation_1cycle[[#This Row],[stand_age]], ".0")</f>
        <v>25.0</v>
      </c>
      <c r="L378" s="1" t="str">
        <f t="shared" si="5"/>
        <v>"25.0"</v>
      </c>
      <c r="M378">
        <v>100</v>
      </c>
      <c r="N378">
        <f>0.029*stand_validation_1cycle[[#This Row],[stand_level_biomass]]</f>
        <v>14.61199860424261</v>
      </c>
      <c r="O378">
        <f>0.213*stand_validation_1cycle[[#This Row],[stand_level_biomass]]</f>
        <v>107.32261043805778</v>
      </c>
      <c r="P378">
        <f>0.571*stand_validation_1cycle[[#This Row],[stand_level_biomass]]</f>
        <v>287.70521389732858</v>
      </c>
      <c r="Q378">
        <f>stand_validation_1cycle[[#This Row],[stock]]</f>
        <v>99</v>
      </c>
      <c r="R378">
        <v>0</v>
      </c>
      <c r="S378">
        <f>stand_validation_1cycle[[#This Row],[aws]]</f>
        <v>569.05609130859295</v>
      </c>
      <c r="T378">
        <f>stand_validation_1cycle[[#This Row],[percent_tree_cover]]*100</f>
        <v>5.0974758273021603</v>
      </c>
    </row>
    <row r="379" spans="1:20" x14ac:dyDescent="0.2">
      <c r="A379">
        <v>1</v>
      </c>
      <c r="B379" t="s">
        <v>397</v>
      </c>
      <c r="C379">
        <v>28.698799102132401</v>
      </c>
      <c r="D379">
        <v>1076.1997692513401</v>
      </c>
      <c r="E379">
        <v>9.1009457316299898</v>
      </c>
      <c r="F379">
        <v>28.328740941668801</v>
      </c>
      <c r="G379">
        <v>99</v>
      </c>
      <c r="H379">
        <v>573.85046386718705</v>
      </c>
      <c r="I379">
        <v>8.9706891425015603E-2</v>
      </c>
      <c r="K379" s="1" t="str">
        <f>TEXT(stand_validation_1cycle[[#This Row],[stand_age]], ".0")</f>
        <v>28.7</v>
      </c>
      <c r="L379" s="1" t="str">
        <f t="shared" si="5"/>
        <v>"28.7"</v>
      </c>
      <c r="M379">
        <v>100</v>
      </c>
      <c r="N379">
        <f>0.029*stand_validation_1cycle[[#This Row],[stand_level_biomass]]</f>
        <v>31.209793308288862</v>
      </c>
      <c r="O379">
        <f>0.213*stand_validation_1cycle[[#This Row],[stand_level_biomass]]</f>
        <v>229.23055085053542</v>
      </c>
      <c r="P379">
        <f>0.571*stand_validation_1cycle[[#This Row],[stand_level_biomass]]</f>
        <v>614.5100682425151</v>
      </c>
      <c r="Q379">
        <f>stand_validation_1cycle[[#This Row],[stock]]</f>
        <v>99</v>
      </c>
      <c r="R379">
        <v>0</v>
      </c>
      <c r="S379">
        <f>stand_validation_1cycle[[#This Row],[aws]]</f>
        <v>573.85046386718705</v>
      </c>
      <c r="T379">
        <f>stand_validation_1cycle[[#This Row],[percent_tree_cover]]*100</f>
        <v>8.9706891425015609</v>
      </c>
    </row>
    <row r="380" spans="1:20" x14ac:dyDescent="0.2">
      <c r="A380">
        <v>1</v>
      </c>
      <c r="B380" t="s">
        <v>398</v>
      </c>
      <c r="C380">
        <v>28.097477777777701</v>
      </c>
      <c r="D380">
        <v>865.71910987074102</v>
      </c>
      <c r="E380">
        <v>7.6134196743129801</v>
      </c>
      <c r="F380">
        <v>26.523990199090701</v>
      </c>
      <c r="G380">
        <v>100</v>
      </c>
      <c r="H380">
        <v>525.333740234375</v>
      </c>
      <c r="I380">
        <v>7.5839922322721298E-2</v>
      </c>
      <c r="K380" s="1" t="str">
        <f>TEXT(stand_validation_1cycle[[#This Row],[stand_age]], ".0")</f>
        <v>28.1</v>
      </c>
      <c r="L380" s="1" t="str">
        <f t="shared" si="5"/>
        <v>"28.1"</v>
      </c>
      <c r="M380">
        <v>100</v>
      </c>
      <c r="N380">
        <f>0.029*stand_validation_1cycle[[#This Row],[stand_level_biomass]]</f>
        <v>25.105854186251491</v>
      </c>
      <c r="O380">
        <f>0.213*stand_validation_1cycle[[#This Row],[stand_level_biomass]]</f>
        <v>184.39817040246783</v>
      </c>
      <c r="P380">
        <f>0.571*stand_validation_1cycle[[#This Row],[stand_level_biomass]]</f>
        <v>494.32561173619308</v>
      </c>
      <c r="Q380">
        <f>stand_validation_1cycle[[#This Row],[stock]]</f>
        <v>100</v>
      </c>
      <c r="R380">
        <v>0</v>
      </c>
      <c r="S380">
        <f>stand_validation_1cycle[[#This Row],[aws]]</f>
        <v>525.333740234375</v>
      </c>
      <c r="T380">
        <f>stand_validation_1cycle[[#This Row],[percent_tree_cover]]*100</f>
        <v>7.5839922322721298</v>
      </c>
    </row>
    <row r="381" spans="1:20" x14ac:dyDescent="0.2">
      <c r="A381">
        <v>1</v>
      </c>
      <c r="B381" t="s">
        <v>399</v>
      </c>
      <c r="C381">
        <v>28.850922222222199</v>
      </c>
      <c r="D381">
        <v>971.09607418191194</v>
      </c>
      <c r="E381">
        <v>8.4245262757929193</v>
      </c>
      <c r="F381">
        <v>28.0678115989957</v>
      </c>
      <c r="G381">
        <v>100</v>
      </c>
      <c r="H381">
        <v>524.4716796875</v>
      </c>
      <c r="I381">
        <v>8.3931172028219994E-2</v>
      </c>
      <c r="K381" s="1" t="str">
        <f>TEXT(stand_validation_1cycle[[#This Row],[stand_age]], ".0")</f>
        <v>28.9</v>
      </c>
      <c r="L381" s="1" t="str">
        <f t="shared" si="5"/>
        <v>"28.9"</v>
      </c>
      <c r="M381">
        <v>100</v>
      </c>
      <c r="N381">
        <f>0.029*stand_validation_1cycle[[#This Row],[stand_level_biomass]]</f>
        <v>28.161786151275447</v>
      </c>
      <c r="O381">
        <f>0.213*stand_validation_1cycle[[#This Row],[stand_level_biomass]]</f>
        <v>206.84346380074723</v>
      </c>
      <c r="P381">
        <f>0.571*stand_validation_1cycle[[#This Row],[stand_level_biomass]]</f>
        <v>554.49585835787173</v>
      </c>
      <c r="Q381">
        <f>stand_validation_1cycle[[#This Row],[stock]]</f>
        <v>100</v>
      </c>
      <c r="R381">
        <v>0</v>
      </c>
      <c r="S381">
        <f>stand_validation_1cycle[[#This Row],[aws]]</f>
        <v>524.4716796875</v>
      </c>
      <c r="T381">
        <f>stand_validation_1cycle[[#This Row],[percent_tree_cover]]*100</f>
        <v>8.3931172028219994</v>
      </c>
    </row>
    <row r="382" spans="1:20" x14ac:dyDescent="0.2">
      <c r="A382">
        <v>1</v>
      </c>
      <c r="B382" t="s">
        <v>400</v>
      </c>
      <c r="C382">
        <v>27.021088888888801</v>
      </c>
      <c r="D382">
        <v>812.37508871475495</v>
      </c>
      <c r="E382">
        <v>7.2814389392283498</v>
      </c>
      <c r="F382">
        <v>26.278947665712099</v>
      </c>
      <c r="G382">
        <v>100</v>
      </c>
      <c r="H382">
        <v>566.47930908203102</v>
      </c>
      <c r="I382">
        <v>7.2550592454258295E-2</v>
      </c>
      <c r="K382" s="1" t="str">
        <f>TEXT(stand_validation_1cycle[[#This Row],[stand_age]], ".0")</f>
        <v>27.0</v>
      </c>
      <c r="L382" s="1" t="str">
        <f t="shared" si="5"/>
        <v>"27.0"</v>
      </c>
      <c r="M382">
        <v>100</v>
      </c>
      <c r="N382">
        <f>0.029*stand_validation_1cycle[[#This Row],[stand_level_biomass]]</f>
        <v>23.558877572727894</v>
      </c>
      <c r="O382">
        <f>0.213*stand_validation_1cycle[[#This Row],[stand_level_biomass]]</f>
        <v>173.03589389624281</v>
      </c>
      <c r="P382">
        <f>0.571*stand_validation_1cycle[[#This Row],[stand_level_biomass]]</f>
        <v>463.86617565612505</v>
      </c>
      <c r="Q382">
        <f>stand_validation_1cycle[[#This Row],[stock]]</f>
        <v>100</v>
      </c>
      <c r="R382">
        <v>0</v>
      </c>
      <c r="S382">
        <f>stand_validation_1cycle[[#This Row],[aws]]</f>
        <v>566.47930908203102</v>
      </c>
      <c r="T382">
        <f>stand_validation_1cycle[[#This Row],[percent_tree_cover]]*100</f>
        <v>7.2550592454258291</v>
      </c>
    </row>
    <row r="383" spans="1:20" x14ac:dyDescent="0.2">
      <c r="A383">
        <v>1</v>
      </c>
      <c r="B383" t="s">
        <v>401</v>
      </c>
      <c r="C383">
        <v>26.0274298540965</v>
      </c>
      <c r="D383">
        <v>686.86771089583704</v>
      </c>
      <c r="E383">
        <v>6.3735304433133502</v>
      </c>
      <c r="F383">
        <v>25.116591514164501</v>
      </c>
      <c r="G383">
        <v>99</v>
      </c>
      <c r="H383">
        <v>569.75354003906205</v>
      </c>
      <c r="I383">
        <v>6.3282641643368803E-2</v>
      </c>
      <c r="K383" s="1" t="str">
        <f>TEXT(stand_validation_1cycle[[#This Row],[stand_age]], ".0")</f>
        <v>26.0</v>
      </c>
      <c r="L383" s="1" t="str">
        <f t="shared" si="5"/>
        <v>"26.0"</v>
      </c>
      <c r="M383">
        <v>100</v>
      </c>
      <c r="N383">
        <f>0.029*stand_validation_1cycle[[#This Row],[stand_level_biomass]]</f>
        <v>19.919163615979276</v>
      </c>
      <c r="O383">
        <f>0.213*stand_validation_1cycle[[#This Row],[stand_level_biomass]]</f>
        <v>146.30282242081327</v>
      </c>
      <c r="P383">
        <f>0.571*stand_validation_1cycle[[#This Row],[stand_level_biomass]]</f>
        <v>392.20146292152293</v>
      </c>
      <c r="Q383">
        <f>stand_validation_1cycle[[#This Row],[stock]]</f>
        <v>99</v>
      </c>
      <c r="R383">
        <v>0</v>
      </c>
      <c r="S383">
        <f>stand_validation_1cycle[[#This Row],[aws]]</f>
        <v>569.75354003906205</v>
      </c>
      <c r="T383">
        <f>stand_validation_1cycle[[#This Row],[percent_tree_cover]]*100</f>
        <v>6.32826416433688</v>
      </c>
    </row>
    <row r="384" spans="1:20" x14ac:dyDescent="0.2">
      <c r="A384">
        <v>1</v>
      </c>
      <c r="B384" t="s">
        <v>402</v>
      </c>
      <c r="C384">
        <v>26.338699999999999</v>
      </c>
      <c r="D384">
        <v>725.80662835437704</v>
      </c>
      <c r="E384">
        <v>6.6694621880962002</v>
      </c>
      <c r="F384">
        <v>25.442379865644199</v>
      </c>
      <c r="G384">
        <v>100</v>
      </c>
      <c r="H384">
        <v>567.24517822265602</v>
      </c>
      <c r="I384">
        <v>6.6467277984792697E-2</v>
      </c>
      <c r="K384" s="1" t="str">
        <f>TEXT(stand_validation_1cycle[[#This Row],[stand_age]], ".0")</f>
        <v>26.3</v>
      </c>
      <c r="L384" s="1" t="str">
        <f t="shared" si="5"/>
        <v>"26.3"</v>
      </c>
      <c r="M384">
        <v>100</v>
      </c>
      <c r="N384">
        <f>0.029*stand_validation_1cycle[[#This Row],[stand_level_biomass]]</f>
        <v>21.048392222276934</v>
      </c>
      <c r="O384">
        <f>0.213*stand_validation_1cycle[[#This Row],[stand_level_biomass]]</f>
        <v>154.59681183948231</v>
      </c>
      <c r="P384">
        <f>0.571*stand_validation_1cycle[[#This Row],[stand_level_biomass]]</f>
        <v>414.43558479034925</v>
      </c>
      <c r="Q384">
        <f>stand_validation_1cycle[[#This Row],[stock]]</f>
        <v>100</v>
      </c>
      <c r="R384">
        <v>0</v>
      </c>
      <c r="S384">
        <f>stand_validation_1cycle[[#This Row],[aws]]</f>
        <v>567.24517822265602</v>
      </c>
      <c r="T384">
        <f>stand_validation_1cycle[[#This Row],[percent_tree_cover]]*100</f>
        <v>6.6467277984792696</v>
      </c>
    </row>
    <row r="385" spans="1:20" x14ac:dyDescent="0.2">
      <c r="A385">
        <v>1</v>
      </c>
      <c r="B385" t="s">
        <v>403</v>
      </c>
      <c r="C385">
        <v>28.611503928170599</v>
      </c>
      <c r="D385">
        <v>1031.1360748319501</v>
      </c>
      <c r="E385">
        <v>8.8082074157795098</v>
      </c>
      <c r="F385">
        <v>28.728788079588</v>
      </c>
      <c r="G385">
        <v>99</v>
      </c>
      <c r="H385">
        <v>569.58642578125</v>
      </c>
      <c r="I385">
        <v>8.7461356345054503E-2</v>
      </c>
      <c r="K385" s="1" t="str">
        <f>TEXT(stand_validation_1cycle[[#This Row],[stand_age]], ".0")</f>
        <v>28.6</v>
      </c>
      <c r="L385" s="1" t="str">
        <f t="shared" si="5"/>
        <v>"28.6"</v>
      </c>
      <c r="M385">
        <v>100</v>
      </c>
      <c r="N385">
        <f>0.029*stand_validation_1cycle[[#This Row],[stand_level_biomass]]</f>
        <v>29.902946170126555</v>
      </c>
      <c r="O385">
        <f>0.213*stand_validation_1cycle[[#This Row],[stand_level_biomass]]</f>
        <v>219.63198393920536</v>
      </c>
      <c r="P385">
        <f>0.571*stand_validation_1cycle[[#This Row],[stand_level_biomass]]</f>
        <v>588.77869872904341</v>
      </c>
      <c r="Q385">
        <f>stand_validation_1cycle[[#This Row],[stock]]</f>
        <v>99</v>
      </c>
      <c r="R385">
        <v>0</v>
      </c>
      <c r="S385">
        <f>stand_validation_1cycle[[#This Row],[aws]]</f>
        <v>569.58642578125</v>
      </c>
      <c r="T385">
        <f>stand_validation_1cycle[[#This Row],[percent_tree_cover]]*100</f>
        <v>8.7461356345054497</v>
      </c>
    </row>
    <row r="386" spans="1:20" x14ac:dyDescent="0.2">
      <c r="A386">
        <v>1</v>
      </c>
      <c r="B386" t="s">
        <v>404</v>
      </c>
      <c r="C386">
        <v>26.291363636363599</v>
      </c>
      <c r="D386">
        <v>1074.7671930259301</v>
      </c>
      <c r="E386">
        <v>4.0736222978990497</v>
      </c>
      <c r="F386">
        <v>28.587665150055098</v>
      </c>
      <c r="G386">
        <v>44</v>
      </c>
      <c r="H386">
        <v>569.58642578125</v>
      </c>
      <c r="I386">
        <v>8.9590688437003005E-2</v>
      </c>
      <c r="K386" s="1" t="str">
        <f>TEXT(stand_validation_1cycle[[#This Row],[stand_age]], ".0")</f>
        <v>26.3</v>
      </c>
      <c r="L386" s="1" t="str">
        <f t="shared" si="5"/>
        <v>"26.3"</v>
      </c>
      <c r="M386">
        <v>100</v>
      </c>
      <c r="N386">
        <f>0.029*stand_validation_1cycle[[#This Row],[stand_level_biomass]]</f>
        <v>31.168248597751973</v>
      </c>
      <c r="O386">
        <f>0.213*stand_validation_1cycle[[#This Row],[stand_level_biomass]]</f>
        <v>228.92541211452308</v>
      </c>
      <c r="P386">
        <f>0.571*stand_validation_1cycle[[#This Row],[stand_level_biomass]]</f>
        <v>613.69206721780597</v>
      </c>
      <c r="Q386">
        <f>stand_validation_1cycle[[#This Row],[stock]]</f>
        <v>44</v>
      </c>
      <c r="R386">
        <v>0</v>
      </c>
      <c r="S386">
        <f>stand_validation_1cycle[[#This Row],[aws]]</f>
        <v>569.58642578125</v>
      </c>
      <c r="T386">
        <f>stand_validation_1cycle[[#This Row],[percent_tree_cover]]*100</f>
        <v>8.959068843700301</v>
      </c>
    </row>
    <row r="387" spans="1:20" x14ac:dyDescent="0.2">
      <c r="A387">
        <v>1</v>
      </c>
      <c r="B387" t="s">
        <v>405</v>
      </c>
      <c r="C387">
        <v>28.320324074074001</v>
      </c>
      <c r="D387">
        <v>894.28422028353202</v>
      </c>
      <c r="E387">
        <v>7.61370870083711</v>
      </c>
      <c r="F387">
        <v>27.357507429542299</v>
      </c>
      <c r="G387">
        <v>96</v>
      </c>
      <c r="H387">
        <v>525.66790771484295</v>
      </c>
      <c r="I387">
        <v>7.6711733259082301E-2</v>
      </c>
      <c r="K387" s="1" t="str">
        <f>TEXT(stand_validation_1cycle[[#This Row],[stand_age]], ".0")</f>
        <v>28.3</v>
      </c>
      <c r="L387" s="1" t="str">
        <f t="shared" ref="L387:L450" si="6">""""&amp;K387&amp;""""</f>
        <v>"28.3"</v>
      </c>
      <c r="M387">
        <v>100</v>
      </c>
      <c r="N387">
        <f>0.029*stand_validation_1cycle[[#This Row],[stand_level_biomass]]</f>
        <v>25.93424238822243</v>
      </c>
      <c r="O387">
        <f>0.213*stand_validation_1cycle[[#This Row],[stand_level_biomass]]</f>
        <v>190.48253892039233</v>
      </c>
      <c r="P387">
        <f>0.571*stand_validation_1cycle[[#This Row],[stand_level_biomass]]</f>
        <v>510.63628978189672</v>
      </c>
      <c r="Q387">
        <f>stand_validation_1cycle[[#This Row],[stock]]</f>
        <v>96</v>
      </c>
      <c r="R387">
        <v>0</v>
      </c>
      <c r="S387">
        <f>stand_validation_1cycle[[#This Row],[aws]]</f>
        <v>525.66790771484295</v>
      </c>
      <c r="T387">
        <f>stand_validation_1cycle[[#This Row],[percent_tree_cover]]*100</f>
        <v>7.6711733259082298</v>
      </c>
    </row>
    <row r="388" spans="1:20" x14ac:dyDescent="0.2">
      <c r="A388">
        <v>1</v>
      </c>
      <c r="B388" t="s">
        <v>406</v>
      </c>
      <c r="C388">
        <v>28.128444444444401</v>
      </c>
      <c r="D388">
        <v>1021.3351687738</v>
      </c>
      <c r="E388">
        <v>8.7896971518645692</v>
      </c>
      <c r="F388">
        <v>28.605585332157101</v>
      </c>
      <c r="G388">
        <v>100</v>
      </c>
      <c r="H388">
        <v>524.85400390625</v>
      </c>
      <c r="I388">
        <v>8.7568781387270395E-2</v>
      </c>
      <c r="K388" s="1" t="str">
        <f>TEXT(stand_validation_1cycle[[#This Row],[stand_age]], ".0")</f>
        <v>28.1</v>
      </c>
      <c r="L388" s="1" t="str">
        <f t="shared" si="6"/>
        <v>"28.1"</v>
      </c>
      <c r="M388">
        <v>100</v>
      </c>
      <c r="N388">
        <f>0.029*stand_validation_1cycle[[#This Row],[stand_level_biomass]]</f>
        <v>29.618719894440201</v>
      </c>
      <c r="O388">
        <f>0.213*stand_validation_1cycle[[#This Row],[stand_level_biomass]]</f>
        <v>217.5443909488194</v>
      </c>
      <c r="P388">
        <f>0.571*stand_validation_1cycle[[#This Row],[stand_level_biomass]]</f>
        <v>583.18238136983973</v>
      </c>
      <c r="Q388">
        <f>stand_validation_1cycle[[#This Row],[stock]]</f>
        <v>100</v>
      </c>
      <c r="R388">
        <v>0</v>
      </c>
      <c r="S388">
        <f>stand_validation_1cycle[[#This Row],[aws]]</f>
        <v>524.85400390625</v>
      </c>
      <c r="T388">
        <f>stand_validation_1cycle[[#This Row],[percent_tree_cover]]*100</f>
        <v>8.7568781387270391</v>
      </c>
    </row>
    <row r="389" spans="1:20" x14ac:dyDescent="0.2">
      <c r="A389">
        <v>1</v>
      </c>
      <c r="B389" t="s">
        <v>407</v>
      </c>
      <c r="C389">
        <v>26.308876543209799</v>
      </c>
      <c r="D389">
        <v>697.81452890411799</v>
      </c>
      <c r="E389">
        <v>5.7763867218951299</v>
      </c>
      <c r="F389">
        <v>24.519832443630101</v>
      </c>
      <c r="G389">
        <v>90</v>
      </c>
      <c r="H389">
        <v>525.10583496093705</v>
      </c>
      <c r="I389">
        <v>6.3650506822676395E-2</v>
      </c>
      <c r="K389" s="1" t="str">
        <f>TEXT(stand_validation_1cycle[[#This Row],[stand_age]], ".0")</f>
        <v>26.3</v>
      </c>
      <c r="L389" s="1" t="str">
        <f t="shared" si="6"/>
        <v>"26.3"</v>
      </c>
      <c r="M389">
        <v>100</v>
      </c>
      <c r="N389">
        <f>0.029*stand_validation_1cycle[[#This Row],[stand_level_biomass]]</f>
        <v>20.236621338219422</v>
      </c>
      <c r="O389">
        <f>0.213*stand_validation_1cycle[[#This Row],[stand_level_biomass]]</f>
        <v>148.63449465657712</v>
      </c>
      <c r="P389">
        <f>0.571*stand_validation_1cycle[[#This Row],[stand_level_biomass]]</f>
        <v>398.45209600425136</v>
      </c>
      <c r="Q389">
        <f>stand_validation_1cycle[[#This Row],[stock]]</f>
        <v>90</v>
      </c>
      <c r="R389">
        <v>0</v>
      </c>
      <c r="S389">
        <f>stand_validation_1cycle[[#This Row],[aws]]</f>
        <v>525.10583496093705</v>
      </c>
      <c r="T389">
        <f>stand_validation_1cycle[[#This Row],[percent_tree_cover]]*100</f>
        <v>6.3650506822676398</v>
      </c>
    </row>
    <row r="390" spans="1:20" x14ac:dyDescent="0.2">
      <c r="A390">
        <v>1</v>
      </c>
      <c r="B390" t="s">
        <v>408</v>
      </c>
      <c r="C390">
        <v>27.286964490263401</v>
      </c>
      <c r="D390">
        <v>843.09322171368603</v>
      </c>
      <c r="E390">
        <v>7.4378344901075302</v>
      </c>
      <c r="F390">
        <v>26.9275157377776</v>
      </c>
      <c r="G390">
        <v>97</v>
      </c>
      <c r="H390">
        <v>526.06481933593705</v>
      </c>
      <c r="I390">
        <v>7.3090707194156404E-2</v>
      </c>
      <c r="K390" s="1" t="str">
        <f>TEXT(stand_validation_1cycle[[#This Row],[stand_age]], ".0")</f>
        <v>27.3</v>
      </c>
      <c r="L390" s="1" t="str">
        <f t="shared" si="6"/>
        <v>"27.3"</v>
      </c>
      <c r="M390">
        <v>100</v>
      </c>
      <c r="N390">
        <f>0.029*stand_validation_1cycle[[#This Row],[stand_level_biomass]]</f>
        <v>24.449703429696896</v>
      </c>
      <c r="O390">
        <f>0.213*stand_validation_1cycle[[#This Row],[stand_level_biomass]]</f>
        <v>179.57885622501513</v>
      </c>
      <c r="P390">
        <f>0.571*stand_validation_1cycle[[#This Row],[stand_level_biomass]]</f>
        <v>481.4062295985147</v>
      </c>
      <c r="Q390">
        <f>stand_validation_1cycle[[#This Row],[stock]]</f>
        <v>97</v>
      </c>
      <c r="R390">
        <v>0</v>
      </c>
      <c r="S390">
        <f>stand_validation_1cycle[[#This Row],[aws]]</f>
        <v>526.06481933593705</v>
      </c>
      <c r="T390">
        <f>stand_validation_1cycle[[#This Row],[percent_tree_cover]]*100</f>
        <v>7.3090707194156401</v>
      </c>
    </row>
    <row r="391" spans="1:20" x14ac:dyDescent="0.2">
      <c r="A391">
        <v>1</v>
      </c>
      <c r="B391" t="s">
        <v>409</v>
      </c>
      <c r="C391">
        <v>29.0067283950617</v>
      </c>
      <c r="D391">
        <v>956.83385018713898</v>
      </c>
      <c r="E391">
        <v>6.02952212075445</v>
      </c>
      <c r="F391">
        <v>27.959400647123999</v>
      </c>
      <c r="G391">
        <v>72</v>
      </c>
      <c r="H391">
        <v>643.15179443359295</v>
      </c>
      <c r="I391">
        <v>8.4293488264869404E-2</v>
      </c>
      <c r="K391" s="1" t="str">
        <f>TEXT(stand_validation_1cycle[[#This Row],[stand_age]], ".0")</f>
        <v>29.0</v>
      </c>
      <c r="L391" s="1" t="str">
        <f t="shared" si="6"/>
        <v>"29.0"</v>
      </c>
      <c r="M391">
        <v>100</v>
      </c>
      <c r="N391">
        <f>0.029*stand_validation_1cycle[[#This Row],[stand_level_biomass]]</f>
        <v>27.748181655427032</v>
      </c>
      <c r="O391">
        <f>0.213*stand_validation_1cycle[[#This Row],[stand_level_biomass]]</f>
        <v>203.80561008986061</v>
      </c>
      <c r="P391">
        <f>0.571*stand_validation_1cycle[[#This Row],[stand_level_biomass]]</f>
        <v>546.35212845685635</v>
      </c>
      <c r="Q391">
        <f>stand_validation_1cycle[[#This Row],[stock]]</f>
        <v>72</v>
      </c>
      <c r="R391">
        <v>0</v>
      </c>
      <c r="S391">
        <f>stand_validation_1cycle[[#This Row],[aws]]</f>
        <v>643.15179443359295</v>
      </c>
      <c r="T391">
        <f>stand_validation_1cycle[[#This Row],[percent_tree_cover]]*100</f>
        <v>8.4293488264869403</v>
      </c>
    </row>
    <row r="392" spans="1:20" x14ac:dyDescent="0.2">
      <c r="A392">
        <v>1</v>
      </c>
      <c r="B392" t="s">
        <v>410</v>
      </c>
      <c r="C392">
        <v>26.472723577235701</v>
      </c>
      <c r="D392">
        <v>702.596824259448</v>
      </c>
      <c r="E392">
        <v>5.3889207481591201</v>
      </c>
      <c r="F392">
        <v>25.559252031505199</v>
      </c>
      <c r="G392">
        <v>82</v>
      </c>
      <c r="H392">
        <v>525.02288818359295</v>
      </c>
      <c r="I392">
        <v>6.6060914797998693E-2</v>
      </c>
      <c r="K392" s="1" t="str">
        <f>TEXT(stand_validation_1cycle[[#This Row],[stand_age]], ".0")</f>
        <v>26.5</v>
      </c>
      <c r="L392" s="1" t="str">
        <f t="shared" si="6"/>
        <v>"26.5"</v>
      </c>
      <c r="M392">
        <v>100</v>
      </c>
      <c r="N392">
        <f>0.029*stand_validation_1cycle[[#This Row],[stand_level_biomass]]</f>
        <v>20.375307903523993</v>
      </c>
      <c r="O392">
        <f>0.213*stand_validation_1cycle[[#This Row],[stand_level_biomass]]</f>
        <v>149.65312356726241</v>
      </c>
      <c r="P392">
        <f>0.571*stand_validation_1cycle[[#This Row],[stand_level_biomass]]</f>
        <v>401.18278665214478</v>
      </c>
      <c r="Q392">
        <f>stand_validation_1cycle[[#This Row],[stock]]</f>
        <v>82</v>
      </c>
      <c r="R392">
        <v>0</v>
      </c>
      <c r="S392">
        <f>stand_validation_1cycle[[#This Row],[aws]]</f>
        <v>525.02288818359295</v>
      </c>
      <c r="T392">
        <f>stand_validation_1cycle[[#This Row],[percent_tree_cover]]*100</f>
        <v>6.6060914797998693</v>
      </c>
    </row>
    <row r="393" spans="1:20" x14ac:dyDescent="0.2">
      <c r="A393">
        <v>1</v>
      </c>
      <c r="B393" t="s">
        <v>411</v>
      </c>
      <c r="C393">
        <v>30.0898111111111</v>
      </c>
      <c r="D393">
        <v>1066.43967246631</v>
      </c>
      <c r="E393">
        <v>9.1934436441296405</v>
      </c>
      <c r="F393">
        <v>29.595956932238501</v>
      </c>
      <c r="G393">
        <v>100</v>
      </c>
      <c r="H393">
        <v>525.24755859375</v>
      </c>
      <c r="I393">
        <v>9.1581176053327495E-2</v>
      </c>
      <c r="K393" s="1" t="str">
        <f>TEXT(stand_validation_1cycle[[#This Row],[stand_age]], ".0")</f>
        <v>30.1</v>
      </c>
      <c r="L393" s="1" t="str">
        <f t="shared" si="6"/>
        <v>"30.1"</v>
      </c>
      <c r="M393">
        <v>100</v>
      </c>
      <c r="N393">
        <f>0.029*stand_validation_1cycle[[#This Row],[stand_level_biomass]]</f>
        <v>30.926750501522989</v>
      </c>
      <c r="O393">
        <f>0.213*stand_validation_1cycle[[#This Row],[stand_level_biomass]]</f>
        <v>227.15165023532401</v>
      </c>
      <c r="P393">
        <f>0.571*stand_validation_1cycle[[#This Row],[stand_level_biomass]]</f>
        <v>608.93705297826295</v>
      </c>
      <c r="Q393">
        <f>stand_validation_1cycle[[#This Row],[stock]]</f>
        <v>100</v>
      </c>
      <c r="R393">
        <v>0</v>
      </c>
      <c r="S393">
        <f>stand_validation_1cycle[[#This Row],[aws]]</f>
        <v>525.24755859375</v>
      </c>
      <c r="T393">
        <f>stand_validation_1cycle[[#This Row],[percent_tree_cover]]*100</f>
        <v>9.15811760533275</v>
      </c>
    </row>
    <row r="394" spans="1:20" x14ac:dyDescent="0.2">
      <c r="A394">
        <v>1</v>
      </c>
      <c r="B394" t="s">
        <v>412</v>
      </c>
      <c r="C394">
        <v>26.5880444444444</v>
      </c>
      <c r="D394">
        <v>740.95918314042694</v>
      </c>
      <c r="E394">
        <v>6.8805332321202801</v>
      </c>
      <c r="F394">
        <v>26.388551065535701</v>
      </c>
      <c r="G394">
        <v>100</v>
      </c>
      <c r="H394">
        <v>524.85400390625</v>
      </c>
      <c r="I394">
        <v>6.8586654732499794E-2</v>
      </c>
      <c r="K394" s="1" t="str">
        <f>TEXT(stand_validation_1cycle[[#This Row],[stand_age]], ".0")</f>
        <v>26.6</v>
      </c>
      <c r="L394" s="1" t="str">
        <f t="shared" si="6"/>
        <v>"26.6"</v>
      </c>
      <c r="M394">
        <v>100</v>
      </c>
      <c r="N394">
        <f>0.029*stand_validation_1cycle[[#This Row],[stand_level_biomass]]</f>
        <v>21.487816311072383</v>
      </c>
      <c r="O394">
        <f>0.213*stand_validation_1cycle[[#This Row],[stand_level_biomass]]</f>
        <v>157.82430600891092</v>
      </c>
      <c r="P394">
        <f>0.571*stand_validation_1cycle[[#This Row],[stand_level_biomass]]</f>
        <v>423.08769357318374</v>
      </c>
      <c r="Q394">
        <f>stand_validation_1cycle[[#This Row],[stock]]</f>
        <v>100</v>
      </c>
      <c r="R394">
        <v>0</v>
      </c>
      <c r="S394">
        <f>stand_validation_1cycle[[#This Row],[aws]]</f>
        <v>524.85400390625</v>
      </c>
      <c r="T394">
        <f>stand_validation_1cycle[[#This Row],[percent_tree_cover]]*100</f>
        <v>6.858665473249979</v>
      </c>
    </row>
    <row r="395" spans="1:20" x14ac:dyDescent="0.2">
      <c r="A395">
        <v>1</v>
      </c>
      <c r="B395" t="s">
        <v>413</v>
      </c>
      <c r="C395">
        <v>26.515411111111099</v>
      </c>
      <c r="D395">
        <v>855.618339874242</v>
      </c>
      <c r="E395">
        <v>7.5774939915228599</v>
      </c>
      <c r="F395">
        <v>26.453559398900701</v>
      </c>
      <c r="G395">
        <v>100</v>
      </c>
      <c r="H395">
        <v>525.08776855468705</v>
      </c>
      <c r="I395">
        <v>7.5506131046040703E-2</v>
      </c>
      <c r="K395" s="1" t="str">
        <f>TEXT(stand_validation_1cycle[[#This Row],[stand_age]], ".0")</f>
        <v>26.5</v>
      </c>
      <c r="L395" s="1" t="str">
        <f t="shared" si="6"/>
        <v>"26.5"</v>
      </c>
      <c r="M395">
        <v>100</v>
      </c>
      <c r="N395">
        <f>0.029*stand_validation_1cycle[[#This Row],[stand_level_biomass]]</f>
        <v>24.812931856353018</v>
      </c>
      <c r="O395">
        <f>0.213*stand_validation_1cycle[[#This Row],[stand_level_biomass]]</f>
        <v>182.24670639321354</v>
      </c>
      <c r="P395">
        <f>0.571*stand_validation_1cycle[[#This Row],[stand_level_biomass]]</f>
        <v>488.55807206819213</v>
      </c>
      <c r="Q395">
        <f>stand_validation_1cycle[[#This Row],[stock]]</f>
        <v>100</v>
      </c>
      <c r="R395">
        <v>0</v>
      </c>
      <c r="S395">
        <f>stand_validation_1cycle[[#This Row],[aws]]</f>
        <v>525.08776855468705</v>
      </c>
      <c r="T395">
        <f>stand_validation_1cycle[[#This Row],[percent_tree_cover]]*100</f>
        <v>7.5506131046040705</v>
      </c>
    </row>
    <row r="396" spans="1:20" x14ac:dyDescent="0.2">
      <c r="A396">
        <v>1</v>
      </c>
      <c r="B396" t="s">
        <v>414</v>
      </c>
      <c r="C396">
        <v>26.587429854096499</v>
      </c>
      <c r="D396">
        <v>842.71275470497903</v>
      </c>
      <c r="E396">
        <v>7.3650618524816096</v>
      </c>
      <c r="F396">
        <v>26.0872078103693</v>
      </c>
      <c r="G396">
        <v>99</v>
      </c>
      <c r="H396">
        <v>591</v>
      </c>
      <c r="I396">
        <v>7.3292213841507095E-2</v>
      </c>
      <c r="K396" s="1" t="str">
        <f>TEXT(stand_validation_1cycle[[#This Row],[stand_age]], ".0")</f>
        <v>26.6</v>
      </c>
      <c r="L396" s="1" t="str">
        <f t="shared" si="6"/>
        <v>"26.6"</v>
      </c>
      <c r="M396">
        <v>100</v>
      </c>
      <c r="N396">
        <f>0.029*stand_validation_1cycle[[#This Row],[stand_level_biomass]]</f>
        <v>24.438669886444394</v>
      </c>
      <c r="O396">
        <f>0.213*stand_validation_1cycle[[#This Row],[stand_level_biomass]]</f>
        <v>179.49781675216053</v>
      </c>
      <c r="P396">
        <f>0.571*stand_validation_1cycle[[#This Row],[stand_level_biomass]]</f>
        <v>481.18898293654297</v>
      </c>
      <c r="Q396">
        <f>stand_validation_1cycle[[#This Row],[stock]]</f>
        <v>99</v>
      </c>
      <c r="R396">
        <v>0</v>
      </c>
      <c r="S396">
        <f>stand_validation_1cycle[[#This Row],[aws]]</f>
        <v>591</v>
      </c>
      <c r="T396">
        <f>stand_validation_1cycle[[#This Row],[percent_tree_cover]]*100</f>
        <v>7.3292213841507099</v>
      </c>
    </row>
    <row r="397" spans="1:20" x14ac:dyDescent="0.2">
      <c r="A397">
        <v>1</v>
      </c>
      <c r="B397" t="s">
        <v>415</v>
      </c>
      <c r="C397">
        <v>28.080577777777702</v>
      </c>
      <c r="D397">
        <v>898.52925141704395</v>
      </c>
      <c r="E397">
        <v>7.98414881318699</v>
      </c>
      <c r="F397">
        <v>27.9712557988735</v>
      </c>
      <c r="G397">
        <v>100</v>
      </c>
      <c r="H397">
        <v>597.20172119140602</v>
      </c>
      <c r="I397">
        <v>7.9556282160644101E-2</v>
      </c>
      <c r="K397" s="1" t="str">
        <f>TEXT(stand_validation_1cycle[[#This Row],[stand_age]], ".0")</f>
        <v>28.1</v>
      </c>
      <c r="L397" s="1" t="str">
        <f t="shared" si="6"/>
        <v>"28.1"</v>
      </c>
      <c r="M397">
        <v>100</v>
      </c>
      <c r="N397">
        <f>0.029*stand_validation_1cycle[[#This Row],[stand_level_biomass]]</f>
        <v>26.057348291094275</v>
      </c>
      <c r="O397">
        <f>0.213*stand_validation_1cycle[[#This Row],[stand_level_biomass]]</f>
        <v>191.38673055183037</v>
      </c>
      <c r="P397">
        <f>0.571*stand_validation_1cycle[[#This Row],[stand_level_biomass]]</f>
        <v>513.06020255913211</v>
      </c>
      <c r="Q397">
        <f>stand_validation_1cycle[[#This Row],[stock]]</f>
        <v>100</v>
      </c>
      <c r="R397">
        <v>0</v>
      </c>
      <c r="S397">
        <f>stand_validation_1cycle[[#This Row],[aws]]</f>
        <v>597.20172119140602</v>
      </c>
      <c r="T397">
        <f>stand_validation_1cycle[[#This Row],[percent_tree_cover]]*100</f>
        <v>7.9556282160644098</v>
      </c>
    </row>
    <row r="398" spans="1:20" x14ac:dyDescent="0.2">
      <c r="A398">
        <v>1</v>
      </c>
      <c r="B398" t="s">
        <v>416</v>
      </c>
      <c r="C398">
        <v>26.459315375982001</v>
      </c>
      <c r="D398">
        <v>1013.33944616372</v>
      </c>
      <c r="E398">
        <v>8.6431473523617495</v>
      </c>
      <c r="F398">
        <v>28.595273264530999</v>
      </c>
      <c r="G398">
        <v>99</v>
      </c>
      <c r="H398">
        <v>567.02972412109295</v>
      </c>
      <c r="I398">
        <v>8.61408287655967E-2</v>
      </c>
      <c r="K398" s="1" t="str">
        <f>TEXT(stand_validation_1cycle[[#This Row],[stand_age]], ".0")</f>
        <v>26.5</v>
      </c>
      <c r="L398" s="1" t="str">
        <f t="shared" si="6"/>
        <v>"26.5"</v>
      </c>
      <c r="M398">
        <v>100</v>
      </c>
      <c r="N398">
        <f>0.029*stand_validation_1cycle[[#This Row],[stand_level_biomass]]</f>
        <v>29.386843938747884</v>
      </c>
      <c r="O398">
        <f>0.213*stand_validation_1cycle[[#This Row],[stand_level_biomass]]</f>
        <v>215.84130203287236</v>
      </c>
      <c r="P398">
        <f>0.571*stand_validation_1cycle[[#This Row],[stand_level_biomass]]</f>
        <v>578.61682375948408</v>
      </c>
      <c r="Q398">
        <f>stand_validation_1cycle[[#This Row],[stock]]</f>
        <v>99</v>
      </c>
      <c r="R398">
        <v>0</v>
      </c>
      <c r="S398">
        <f>stand_validation_1cycle[[#This Row],[aws]]</f>
        <v>567.02972412109295</v>
      </c>
      <c r="T398">
        <f>stand_validation_1cycle[[#This Row],[percent_tree_cover]]*100</f>
        <v>8.6140828765596709</v>
      </c>
    </row>
    <row r="399" spans="1:20" x14ac:dyDescent="0.2">
      <c r="A399">
        <v>1</v>
      </c>
      <c r="B399" t="s">
        <v>417</v>
      </c>
      <c r="C399">
        <v>27.754478114478101</v>
      </c>
      <c r="D399">
        <v>945.35903809522301</v>
      </c>
      <c r="E399">
        <v>8.1942820918039807</v>
      </c>
      <c r="F399">
        <v>27.7187348136998</v>
      </c>
      <c r="G399">
        <v>99</v>
      </c>
      <c r="H399">
        <v>567.02972412109295</v>
      </c>
      <c r="I399">
        <v>8.1180561106107399E-2</v>
      </c>
      <c r="K399" s="1" t="str">
        <f>TEXT(stand_validation_1cycle[[#This Row],[stand_age]], ".0")</f>
        <v>27.8</v>
      </c>
      <c r="L399" s="1" t="str">
        <f t="shared" si="6"/>
        <v>"27.8"</v>
      </c>
      <c r="M399">
        <v>100</v>
      </c>
      <c r="N399">
        <f>0.029*stand_validation_1cycle[[#This Row],[stand_level_biomass]]</f>
        <v>27.415412104761469</v>
      </c>
      <c r="O399">
        <f>0.213*stand_validation_1cycle[[#This Row],[stand_level_biomass]]</f>
        <v>201.36147511428248</v>
      </c>
      <c r="P399">
        <f>0.571*stand_validation_1cycle[[#This Row],[stand_level_biomass]]</f>
        <v>539.80001075237226</v>
      </c>
      <c r="Q399">
        <f>stand_validation_1cycle[[#This Row],[stock]]</f>
        <v>99</v>
      </c>
      <c r="R399">
        <v>0</v>
      </c>
      <c r="S399">
        <f>stand_validation_1cycle[[#This Row],[aws]]</f>
        <v>567.02972412109295</v>
      </c>
      <c r="T399">
        <f>stand_validation_1cycle[[#This Row],[percent_tree_cover]]*100</f>
        <v>8.1180561106107394</v>
      </c>
    </row>
    <row r="400" spans="1:20" x14ac:dyDescent="0.2">
      <c r="A400">
        <v>1</v>
      </c>
      <c r="B400" t="s">
        <v>418</v>
      </c>
      <c r="C400">
        <v>26.507126823793399</v>
      </c>
      <c r="D400">
        <v>638.88249051216098</v>
      </c>
      <c r="E400">
        <v>6.023064577055</v>
      </c>
      <c r="F400">
        <v>24.529903164151499</v>
      </c>
      <c r="G400">
        <v>99</v>
      </c>
      <c r="H400">
        <v>524.13592529296795</v>
      </c>
      <c r="I400">
        <v>5.9650257387817603E-2</v>
      </c>
      <c r="K400" s="1" t="str">
        <f>TEXT(stand_validation_1cycle[[#This Row],[stand_age]], ".0")</f>
        <v>26.5</v>
      </c>
      <c r="L400" s="1" t="str">
        <f t="shared" si="6"/>
        <v>"26.5"</v>
      </c>
      <c r="M400">
        <v>100</v>
      </c>
      <c r="N400">
        <f>0.029*stand_validation_1cycle[[#This Row],[stand_level_biomass]]</f>
        <v>18.527592224852668</v>
      </c>
      <c r="O400">
        <f>0.213*stand_validation_1cycle[[#This Row],[stand_level_biomass]]</f>
        <v>136.08197047909027</v>
      </c>
      <c r="P400">
        <f>0.571*stand_validation_1cycle[[#This Row],[stand_level_biomass]]</f>
        <v>364.80190208244392</v>
      </c>
      <c r="Q400">
        <f>stand_validation_1cycle[[#This Row],[stock]]</f>
        <v>99</v>
      </c>
      <c r="R400">
        <v>0</v>
      </c>
      <c r="S400">
        <f>stand_validation_1cycle[[#This Row],[aws]]</f>
        <v>524.13592529296795</v>
      </c>
      <c r="T400">
        <f>stand_validation_1cycle[[#This Row],[percent_tree_cover]]*100</f>
        <v>5.96502573878176</v>
      </c>
    </row>
    <row r="401" spans="1:20" x14ac:dyDescent="0.2">
      <c r="A401">
        <v>1</v>
      </c>
      <c r="B401" t="s">
        <v>419</v>
      </c>
      <c r="C401">
        <v>29.559522222222199</v>
      </c>
      <c r="D401">
        <v>1168.19859367921</v>
      </c>
      <c r="E401">
        <v>9.8551533777644398</v>
      </c>
      <c r="F401">
        <v>30.1349163988328</v>
      </c>
      <c r="G401">
        <v>100</v>
      </c>
      <c r="H401">
        <v>527.22790527343705</v>
      </c>
      <c r="I401">
        <v>9.8177665094025396E-2</v>
      </c>
      <c r="K401" s="1" t="str">
        <f>TEXT(stand_validation_1cycle[[#This Row],[stand_age]], ".0")</f>
        <v>29.6</v>
      </c>
      <c r="L401" s="1" t="str">
        <f t="shared" si="6"/>
        <v>"29.6"</v>
      </c>
      <c r="M401">
        <v>100</v>
      </c>
      <c r="N401">
        <f>0.029*stand_validation_1cycle[[#This Row],[stand_level_biomass]]</f>
        <v>33.877759216697093</v>
      </c>
      <c r="O401">
        <f>0.213*stand_validation_1cycle[[#This Row],[stand_level_biomass]]</f>
        <v>248.82630045367173</v>
      </c>
      <c r="P401">
        <f>0.571*stand_validation_1cycle[[#This Row],[stand_level_biomass]]</f>
        <v>667.04139699082884</v>
      </c>
      <c r="Q401">
        <f>stand_validation_1cycle[[#This Row],[stock]]</f>
        <v>100</v>
      </c>
      <c r="R401">
        <v>0</v>
      </c>
      <c r="S401">
        <f>stand_validation_1cycle[[#This Row],[aws]]</f>
        <v>527.22790527343705</v>
      </c>
      <c r="T401">
        <f>stand_validation_1cycle[[#This Row],[percent_tree_cover]]*100</f>
        <v>9.8177665094025404</v>
      </c>
    </row>
    <row r="402" spans="1:20" x14ac:dyDescent="0.2">
      <c r="A402">
        <v>1</v>
      </c>
      <c r="B402" t="s">
        <v>420</v>
      </c>
      <c r="C402">
        <v>27.361633333333302</v>
      </c>
      <c r="D402">
        <v>855.53268218743403</v>
      </c>
      <c r="E402">
        <v>7.6728876670509498</v>
      </c>
      <c r="F402">
        <v>27.234742065549199</v>
      </c>
      <c r="G402">
        <v>100</v>
      </c>
      <c r="H402">
        <v>573.73602294921795</v>
      </c>
      <c r="I402">
        <v>7.6461952796090804E-2</v>
      </c>
      <c r="K402" s="1" t="str">
        <f>TEXT(stand_validation_1cycle[[#This Row],[stand_age]], ".0")</f>
        <v>27.4</v>
      </c>
      <c r="L402" s="1" t="str">
        <f t="shared" si="6"/>
        <v>"27.4"</v>
      </c>
      <c r="M402">
        <v>100</v>
      </c>
      <c r="N402">
        <f>0.029*stand_validation_1cycle[[#This Row],[stand_level_biomass]]</f>
        <v>24.810447783435588</v>
      </c>
      <c r="O402">
        <f>0.213*stand_validation_1cycle[[#This Row],[stand_level_biomass]]</f>
        <v>182.22846130592345</v>
      </c>
      <c r="P402">
        <f>0.571*stand_validation_1cycle[[#This Row],[stand_level_biomass]]</f>
        <v>488.50916152902477</v>
      </c>
      <c r="Q402">
        <f>stand_validation_1cycle[[#This Row],[stock]]</f>
        <v>100</v>
      </c>
      <c r="R402">
        <v>0</v>
      </c>
      <c r="S402">
        <f>stand_validation_1cycle[[#This Row],[aws]]</f>
        <v>573.73602294921795</v>
      </c>
      <c r="T402">
        <f>stand_validation_1cycle[[#This Row],[percent_tree_cover]]*100</f>
        <v>7.6461952796090804</v>
      </c>
    </row>
    <row r="403" spans="1:20" x14ac:dyDescent="0.2">
      <c r="A403">
        <v>1</v>
      </c>
      <c r="B403" t="s">
        <v>421</v>
      </c>
      <c r="C403">
        <v>29.702277777777699</v>
      </c>
      <c r="D403">
        <v>1139.55222434245</v>
      </c>
      <c r="E403">
        <v>9.6519316029853499</v>
      </c>
      <c r="F403">
        <v>29.803965265603502</v>
      </c>
      <c r="G403">
        <v>100</v>
      </c>
      <c r="H403">
        <v>570.54327392578102</v>
      </c>
      <c r="I403">
        <v>9.6141769147034997E-2</v>
      </c>
      <c r="K403" s="1" t="str">
        <f>TEXT(stand_validation_1cycle[[#This Row],[stand_age]], ".0")</f>
        <v>29.7</v>
      </c>
      <c r="L403" s="1" t="str">
        <f t="shared" si="6"/>
        <v>"29.7"</v>
      </c>
      <c r="M403">
        <v>100</v>
      </c>
      <c r="N403">
        <f>0.029*stand_validation_1cycle[[#This Row],[stand_level_biomass]]</f>
        <v>33.047014505931052</v>
      </c>
      <c r="O403">
        <f>0.213*stand_validation_1cycle[[#This Row],[stand_level_biomass]]</f>
        <v>242.72462378494185</v>
      </c>
      <c r="P403">
        <f>0.571*stand_validation_1cycle[[#This Row],[stand_level_biomass]]</f>
        <v>650.68432009953892</v>
      </c>
      <c r="Q403">
        <f>stand_validation_1cycle[[#This Row],[stock]]</f>
        <v>100</v>
      </c>
      <c r="R403">
        <v>0</v>
      </c>
      <c r="S403">
        <f>stand_validation_1cycle[[#This Row],[aws]]</f>
        <v>570.54327392578102</v>
      </c>
      <c r="T403">
        <f>stand_validation_1cycle[[#This Row],[percent_tree_cover]]*100</f>
        <v>9.6141769147034992</v>
      </c>
    </row>
    <row r="404" spans="1:20" x14ac:dyDescent="0.2">
      <c r="A404">
        <v>1</v>
      </c>
      <c r="B404" t="s">
        <v>422</v>
      </c>
      <c r="C404">
        <v>25.476055555555501</v>
      </c>
      <c r="D404">
        <v>586.68847694005501</v>
      </c>
      <c r="E404">
        <v>5.7944822955798099</v>
      </c>
      <c r="F404">
        <v>24.640093398927799</v>
      </c>
      <c r="G404">
        <v>100</v>
      </c>
      <c r="H404">
        <v>572.361572265625</v>
      </c>
      <c r="I404">
        <v>5.7760955472358697E-2</v>
      </c>
      <c r="K404" s="1" t="str">
        <f>TEXT(stand_validation_1cycle[[#This Row],[stand_age]], ".0")</f>
        <v>25.5</v>
      </c>
      <c r="L404" s="1" t="str">
        <f t="shared" si="6"/>
        <v>"25.5"</v>
      </c>
      <c r="M404">
        <v>100</v>
      </c>
      <c r="N404">
        <f>0.029*stand_validation_1cycle[[#This Row],[stand_level_biomass]]</f>
        <v>17.013965831261597</v>
      </c>
      <c r="O404">
        <f>0.213*stand_validation_1cycle[[#This Row],[stand_level_biomass]]</f>
        <v>124.96464558823172</v>
      </c>
      <c r="P404">
        <f>0.571*stand_validation_1cycle[[#This Row],[stand_level_biomass]]</f>
        <v>334.99912033277138</v>
      </c>
      <c r="Q404">
        <f>stand_validation_1cycle[[#This Row],[stock]]</f>
        <v>100</v>
      </c>
      <c r="R404">
        <v>0</v>
      </c>
      <c r="S404">
        <f>stand_validation_1cycle[[#This Row],[aws]]</f>
        <v>572.361572265625</v>
      </c>
      <c r="T404">
        <f>stand_validation_1cycle[[#This Row],[percent_tree_cover]]*100</f>
        <v>5.7760955472358697</v>
      </c>
    </row>
    <row r="405" spans="1:20" x14ac:dyDescent="0.2">
      <c r="A405">
        <v>1</v>
      </c>
      <c r="B405" t="s">
        <v>423</v>
      </c>
      <c r="C405">
        <v>29.9181666666666</v>
      </c>
      <c r="D405">
        <v>1305.5954629654</v>
      </c>
      <c r="E405">
        <v>10.8067575005</v>
      </c>
      <c r="F405">
        <v>31.317901798683501</v>
      </c>
      <c r="G405">
        <v>100</v>
      </c>
      <c r="H405">
        <v>573.82244873046795</v>
      </c>
      <c r="I405">
        <v>0.107657203231596</v>
      </c>
      <c r="K405" s="1" t="str">
        <f>TEXT(stand_validation_1cycle[[#This Row],[stand_age]], ".0")</f>
        <v>29.9</v>
      </c>
      <c r="L405" s="1" t="str">
        <f t="shared" si="6"/>
        <v>"29.9"</v>
      </c>
      <c r="M405">
        <v>100</v>
      </c>
      <c r="N405">
        <f>0.029*stand_validation_1cycle[[#This Row],[stand_level_biomass]]</f>
        <v>37.862268425996604</v>
      </c>
      <c r="O405">
        <f>0.213*stand_validation_1cycle[[#This Row],[stand_level_biomass]]</f>
        <v>278.09183361163019</v>
      </c>
      <c r="P405">
        <f>0.571*stand_validation_1cycle[[#This Row],[stand_level_biomass]]</f>
        <v>745.49500935324329</v>
      </c>
      <c r="Q405">
        <f>stand_validation_1cycle[[#This Row],[stock]]</f>
        <v>100</v>
      </c>
      <c r="R405">
        <v>0</v>
      </c>
      <c r="S405">
        <f>stand_validation_1cycle[[#This Row],[aws]]</f>
        <v>573.82244873046795</v>
      </c>
      <c r="T405">
        <f>stand_validation_1cycle[[#This Row],[percent_tree_cover]]*100</f>
        <v>10.7657203231596</v>
      </c>
    </row>
    <row r="406" spans="1:20" x14ac:dyDescent="0.2">
      <c r="A406">
        <v>1</v>
      </c>
      <c r="B406" t="s">
        <v>424</v>
      </c>
      <c r="C406">
        <v>28.338059467918601</v>
      </c>
      <c r="D406">
        <v>836.00088092703095</v>
      </c>
      <c r="E406">
        <v>5.37437595957116</v>
      </c>
      <c r="F406">
        <v>27.549770045884301</v>
      </c>
      <c r="G406">
        <v>71</v>
      </c>
      <c r="H406">
        <v>572.10467529296795</v>
      </c>
      <c r="I406">
        <v>7.8161984841557702E-2</v>
      </c>
      <c r="K406" s="1" t="str">
        <f>TEXT(stand_validation_1cycle[[#This Row],[stand_age]], ".0")</f>
        <v>28.3</v>
      </c>
      <c r="L406" s="1" t="str">
        <f t="shared" si="6"/>
        <v>"28.3"</v>
      </c>
      <c r="M406">
        <v>100</v>
      </c>
      <c r="N406">
        <f>0.029*stand_validation_1cycle[[#This Row],[stand_level_biomass]]</f>
        <v>24.244025546883897</v>
      </c>
      <c r="O406">
        <f>0.213*stand_validation_1cycle[[#This Row],[stand_level_biomass]]</f>
        <v>178.06818763745758</v>
      </c>
      <c r="P406">
        <f>0.571*stand_validation_1cycle[[#This Row],[stand_level_biomass]]</f>
        <v>477.35650300933463</v>
      </c>
      <c r="Q406">
        <f>stand_validation_1cycle[[#This Row],[stock]]</f>
        <v>71</v>
      </c>
      <c r="R406">
        <v>0</v>
      </c>
      <c r="S406">
        <f>stand_validation_1cycle[[#This Row],[aws]]</f>
        <v>572.10467529296795</v>
      </c>
      <c r="T406">
        <f>stand_validation_1cycle[[#This Row],[percent_tree_cover]]*100</f>
        <v>7.8161984841557706</v>
      </c>
    </row>
    <row r="407" spans="1:20" x14ac:dyDescent="0.2">
      <c r="A407">
        <v>1</v>
      </c>
      <c r="B407" t="s">
        <v>425</v>
      </c>
      <c r="C407">
        <v>28.542131519274299</v>
      </c>
      <c r="D407">
        <v>886.31791155753297</v>
      </c>
      <c r="E407">
        <v>7.7455369971652104</v>
      </c>
      <c r="F407">
        <v>27.591031835626801</v>
      </c>
      <c r="G407">
        <v>98</v>
      </c>
      <c r="H407">
        <v>602</v>
      </c>
      <c r="I407">
        <v>7.6946337940890605E-2</v>
      </c>
      <c r="K407" s="1" t="str">
        <f>TEXT(stand_validation_1cycle[[#This Row],[stand_age]], ".0")</f>
        <v>28.5</v>
      </c>
      <c r="L407" s="1" t="str">
        <f t="shared" si="6"/>
        <v>"28.5"</v>
      </c>
      <c r="M407">
        <v>100</v>
      </c>
      <c r="N407">
        <f>0.029*stand_validation_1cycle[[#This Row],[stand_level_biomass]]</f>
        <v>25.703219435168457</v>
      </c>
      <c r="O407">
        <f>0.213*stand_validation_1cycle[[#This Row],[stand_level_biomass]]</f>
        <v>188.78571516175452</v>
      </c>
      <c r="P407">
        <f>0.571*stand_validation_1cycle[[#This Row],[stand_level_biomass]]</f>
        <v>506.08752749935127</v>
      </c>
      <c r="Q407">
        <f>stand_validation_1cycle[[#This Row],[stock]]</f>
        <v>98</v>
      </c>
      <c r="R407">
        <v>0</v>
      </c>
      <c r="S407">
        <f>stand_validation_1cycle[[#This Row],[aws]]</f>
        <v>602</v>
      </c>
      <c r="T407">
        <f>stand_validation_1cycle[[#This Row],[percent_tree_cover]]*100</f>
        <v>7.6946337940890608</v>
      </c>
    </row>
    <row r="408" spans="1:20" x14ac:dyDescent="0.2">
      <c r="A408">
        <v>1</v>
      </c>
      <c r="B408" t="s">
        <v>426</v>
      </c>
      <c r="C408">
        <v>28.8744671201814</v>
      </c>
      <c r="D408">
        <v>849.41142423518897</v>
      </c>
      <c r="E408">
        <v>7.5118708333783504</v>
      </c>
      <c r="F408">
        <v>27.5776161894883</v>
      </c>
      <c r="G408">
        <v>98</v>
      </c>
      <c r="H408">
        <v>568.51965332031205</v>
      </c>
      <c r="I408">
        <v>7.4830412637464802E-2</v>
      </c>
      <c r="K408" s="1" t="str">
        <f>TEXT(stand_validation_1cycle[[#This Row],[stand_age]], ".0")</f>
        <v>28.9</v>
      </c>
      <c r="L408" s="1" t="str">
        <f t="shared" si="6"/>
        <v>"28.9"</v>
      </c>
      <c r="M408">
        <v>100</v>
      </c>
      <c r="N408">
        <f>0.029*stand_validation_1cycle[[#This Row],[stand_level_biomass]]</f>
        <v>24.632931302820481</v>
      </c>
      <c r="O408">
        <f>0.213*stand_validation_1cycle[[#This Row],[stand_level_biomass]]</f>
        <v>180.92463336209525</v>
      </c>
      <c r="P408">
        <f>0.571*stand_validation_1cycle[[#This Row],[stand_level_biomass]]</f>
        <v>485.01392323829288</v>
      </c>
      <c r="Q408">
        <f>stand_validation_1cycle[[#This Row],[stock]]</f>
        <v>98</v>
      </c>
      <c r="R408">
        <v>0</v>
      </c>
      <c r="S408">
        <f>stand_validation_1cycle[[#This Row],[aws]]</f>
        <v>568.51965332031205</v>
      </c>
      <c r="T408">
        <f>stand_validation_1cycle[[#This Row],[percent_tree_cover]]*100</f>
        <v>7.4830412637464798</v>
      </c>
    </row>
    <row r="409" spans="1:20" x14ac:dyDescent="0.2">
      <c r="A409">
        <v>1</v>
      </c>
      <c r="B409" t="s">
        <v>427</v>
      </c>
      <c r="C409">
        <v>25.605399999999999</v>
      </c>
      <c r="D409">
        <v>700.44508167748904</v>
      </c>
      <c r="E409">
        <v>6.3806524338590398</v>
      </c>
      <c r="F409">
        <v>24.530969932387801</v>
      </c>
      <c r="G409">
        <v>100</v>
      </c>
      <c r="H409">
        <v>573.99127197265602</v>
      </c>
      <c r="I409">
        <v>6.3584448262612794E-2</v>
      </c>
      <c r="K409" s="1" t="str">
        <f>TEXT(stand_validation_1cycle[[#This Row],[stand_age]], ".0")</f>
        <v>25.6</v>
      </c>
      <c r="L409" s="1" t="str">
        <f t="shared" si="6"/>
        <v>"25.6"</v>
      </c>
      <c r="M409">
        <v>100</v>
      </c>
      <c r="N409">
        <f>0.029*stand_validation_1cycle[[#This Row],[stand_level_biomass]]</f>
        <v>20.312907368647185</v>
      </c>
      <c r="O409">
        <f>0.213*stand_validation_1cycle[[#This Row],[stand_level_biomass]]</f>
        <v>149.19480239730515</v>
      </c>
      <c r="P409">
        <f>0.571*stand_validation_1cycle[[#This Row],[stand_level_biomass]]</f>
        <v>399.95414163784619</v>
      </c>
      <c r="Q409">
        <f>stand_validation_1cycle[[#This Row],[stock]]</f>
        <v>100</v>
      </c>
      <c r="R409">
        <v>0</v>
      </c>
      <c r="S409">
        <f>stand_validation_1cycle[[#This Row],[aws]]</f>
        <v>573.99127197265602</v>
      </c>
      <c r="T409">
        <f>stand_validation_1cycle[[#This Row],[percent_tree_cover]]*100</f>
        <v>6.3584448262612794</v>
      </c>
    </row>
    <row r="410" spans="1:20" x14ac:dyDescent="0.2">
      <c r="A410">
        <v>1</v>
      </c>
      <c r="B410" t="s">
        <v>428</v>
      </c>
      <c r="C410">
        <v>27.801933333333299</v>
      </c>
      <c r="D410">
        <v>841.82244898527699</v>
      </c>
      <c r="E410">
        <v>7.5774979185136697</v>
      </c>
      <c r="F410">
        <v>27.2072143323064</v>
      </c>
      <c r="G410">
        <v>100</v>
      </c>
      <c r="H410">
        <v>575.52307128906205</v>
      </c>
      <c r="I410">
        <v>7.5501806371142594E-2</v>
      </c>
      <c r="K410" s="1" t="str">
        <f>TEXT(stand_validation_1cycle[[#This Row],[stand_age]], ".0")</f>
        <v>27.8</v>
      </c>
      <c r="L410" s="1" t="str">
        <f t="shared" si="6"/>
        <v>"27.8"</v>
      </c>
      <c r="M410">
        <v>100</v>
      </c>
      <c r="N410">
        <f>0.029*stand_validation_1cycle[[#This Row],[stand_level_biomass]]</f>
        <v>24.412851020573033</v>
      </c>
      <c r="O410">
        <f>0.213*stand_validation_1cycle[[#This Row],[stand_level_biomass]]</f>
        <v>179.308181633864</v>
      </c>
      <c r="P410">
        <f>0.571*stand_validation_1cycle[[#This Row],[stand_level_biomass]]</f>
        <v>480.68061837059309</v>
      </c>
      <c r="Q410">
        <f>stand_validation_1cycle[[#This Row],[stock]]</f>
        <v>100</v>
      </c>
      <c r="R410">
        <v>0</v>
      </c>
      <c r="S410">
        <f>stand_validation_1cycle[[#This Row],[aws]]</f>
        <v>575.52307128906205</v>
      </c>
      <c r="T410">
        <f>stand_validation_1cycle[[#This Row],[percent_tree_cover]]*100</f>
        <v>7.5501806371142592</v>
      </c>
    </row>
    <row r="411" spans="1:20" x14ac:dyDescent="0.2">
      <c r="A411">
        <v>1</v>
      </c>
      <c r="B411" t="s">
        <v>429</v>
      </c>
      <c r="C411">
        <v>27.5166222222222</v>
      </c>
      <c r="D411">
        <v>824.20305205859904</v>
      </c>
      <c r="E411">
        <v>7.4708023634142897</v>
      </c>
      <c r="F411">
        <v>27.110202865549201</v>
      </c>
      <c r="G411">
        <v>100</v>
      </c>
      <c r="H411">
        <v>577.52227783203102</v>
      </c>
      <c r="I411">
        <v>7.4451004100355198E-2</v>
      </c>
      <c r="K411" s="1" t="str">
        <f>TEXT(stand_validation_1cycle[[#This Row],[stand_age]], ".0")</f>
        <v>27.5</v>
      </c>
      <c r="L411" s="1" t="str">
        <f t="shared" si="6"/>
        <v>"27.5"</v>
      </c>
      <c r="M411">
        <v>100</v>
      </c>
      <c r="N411">
        <f>0.029*stand_validation_1cycle[[#This Row],[stand_level_biomass]]</f>
        <v>23.901888509699372</v>
      </c>
      <c r="O411">
        <f>0.213*stand_validation_1cycle[[#This Row],[stand_level_biomass]]</f>
        <v>175.55525008848159</v>
      </c>
      <c r="P411">
        <f>0.571*stand_validation_1cycle[[#This Row],[stand_level_biomass]]</f>
        <v>470.61994272546002</v>
      </c>
      <c r="Q411">
        <f>stand_validation_1cycle[[#This Row],[stock]]</f>
        <v>100</v>
      </c>
      <c r="R411">
        <v>0</v>
      </c>
      <c r="S411">
        <f>stand_validation_1cycle[[#This Row],[aws]]</f>
        <v>577.52227783203102</v>
      </c>
      <c r="T411">
        <f>stand_validation_1cycle[[#This Row],[percent_tree_cover]]*100</f>
        <v>7.4451004100355194</v>
      </c>
    </row>
    <row r="412" spans="1:20" x14ac:dyDescent="0.2">
      <c r="A412">
        <v>1</v>
      </c>
      <c r="B412" t="s">
        <v>430</v>
      </c>
      <c r="C412">
        <v>28.220303030303</v>
      </c>
      <c r="D412">
        <v>979.99116261285701</v>
      </c>
      <c r="E412">
        <v>8.4111493742739398</v>
      </c>
      <c r="F412">
        <v>27.5338336507936</v>
      </c>
      <c r="G412">
        <v>99</v>
      </c>
      <c r="H412">
        <v>574.42144775390602</v>
      </c>
      <c r="I412">
        <v>8.2935867530924995E-2</v>
      </c>
      <c r="K412" s="1" t="str">
        <f>TEXT(stand_validation_1cycle[[#This Row],[stand_age]], ".0")</f>
        <v>28.2</v>
      </c>
      <c r="L412" s="1" t="str">
        <f t="shared" si="6"/>
        <v>"28.2"</v>
      </c>
      <c r="M412">
        <v>100</v>
      </c>
      <c r="N412">
        <f>0.029*stand_validation_1cycle[[#This Row],[stand_level_biomass]]</f>
        <v>28.419743715772857</v>
      </c>
      <c r="O412">
        <f>0.213*stand_validation_1cycle[[#This Row],[stand_level_biomass]]</f>
        <v>208.73811763653853</v>
      </c>
      <c r="P412">
        <f>0.571*stand_validation_1cycle[[#This Row],[stand_level_biomass]]</f>
        <v>559.57495385194136</v>
      </c>
      <c r="Q412">
        <f>stand_validation_1cycle[[#This Row],[stock]]</f>
        <v>99</v>
      </c>
      <c r="R412">
        <v>0</v>
      </c>
      <c r="S412">
        <f>stand_validation_1cycle[[#This Row],[aws]]</f>
        <v>574.42144775390602</v>
      </c>
      <c r="T412">
        <f>stand_validation_1cycle[[#This Row],[percent_tree_cover]]*100</f>
        <v>8.2935867530924998</v>
      </c>
    </row>
    <row r="413" spans="1:20" x14ac:dyDescent="0.2">
      <c r="A413">
        <v>1</v>
      </c>
      <c r="B413" t="s">
        <v>431</v>
      </c>
      <c r="C413">
        <v>28.879477777777701</v>
      </c>
      <c r="D413">
        <v>1075.9696463349001</v>
      </c>
      <c r="E413">
        <v>9.2047855790072592</v>
      </c>
      <c r="F413">
        <v>29.228662857142801</v>
      </c>
      <c r="G413">
        <v>100</v>
      </c>
      <c r="H413">
        <v>574.48669433593705</v>
      </c>
      <c r="I413">
        <v>9.1703716031596799E-2</v>
      </c>
      <c r="K413" s="1" t="str">
        <f>TEXT(stand_validation_1cycle[[#This Row],[stand_age]], ".0")</f>
        <v>28.9</v>
      </c>
      <c r="L413" s="1" t="str">
        <f t="shared" si="6"/>
        <v>"28.9"</v>
      </c>
      <c r="M413">
        <v>100</v>
      </c>
      <c r="N413">
        <f>0.029*stand_validation_1cycle[[#This Row],[stand_level_biomass]]</f>
        <v>31.203119743712104</v>
      </c>
      <c r="O413">
        <f>0.213*stand_validation_1cycle[[#This Row],[stand_level_biomass]]</f>
        <v>229.1815346693337</v>
      </c>
      <c r="P413">
        <f>0.571*stand_validation_1cycle[[#This Row],[stand_level_biomass]]</f>
        <v>614.37866805722786</v>
      </c>
      <c r="Q413">
        <f>stand_validation_1cycle[[#This Row],[stock]]</f>
        <v>100</v>
      </c>
      <c r="R413">
        <v>0</v>
      </c>
      <c r="S413">
        <f>stand_validation_1cycle[[#This Row],[aws]]</f>
        <v>574.48669433593705</v>
      </c>
      <c r="T413">
        <f>stand_validation_1cycle[[#This Row],[percent_tree_cover]]*100</f>
        <v>9.1703716031596798</v>
      </c>
    </row>
    <row r="414" spans="1:20" x14ac:dyDescent="0.2">
      <c r="A414">
        <v>1</v>
      </c>
      <c r="B414" t="s">
        <v>432</v>
      </c>
      <c r="C414">
        <v>26.902166105499401</v>
      </c>
      <c r="D414">
        <v>847.90822732695403</v>
      </c>
      <c r="E414">
        <v>7.5394964283776904</v>
      </c>
      <c r="F414">
        <v>27.136789610389599</v>
      </c>
      <c r="G414">
        <v>99</v>
      </c>
      <c r="H414">
        <v>573.498779296875</v>
      </c>
      <c r="I414">
        <v>7.4935664577968103E-2</v>
      </c>
      <c r="K414" s="1" t="str">
        <f>TEXT(stand_validation_1cycle[[#This Row],[stand_age]], ".0")</f>
        <v>26.9</v>
      </c>
      <c r="L414" s="1" t="str">
        <f t="shared" si="6"/>
        <v>"26.9"</v>
      </c>
      <c r="M414">
        <v>100</v>
      </c>
      <c r="N414">
        <f>0.029*stand_validation_1cycle[[#This Row],[stand_level_biomass]]</f>
        <v>24.589338592481667</v>
      </c>
      <c r="O414">
        <f>0.213*stand_validation_1cycle[[#This Row],[stand_level_biomass]]</f>
        <v>180.60445242064119</v>
      </c>
      <c r="P414">
        <f>0.571*stand_validation_1cycle[[#This Row],[stand_level_biomass]]</f>
        <v>484.15559780369074</v>
      </c>
      <c r="Q414">
        <f>stand_validation_1cycle[[#This Row],[stock]]</f>
        <v>99</v>
      </c>
      <c r="R414">
        <v>0</v>
      </c>
      <c r="S414">
        <f>stand_validation_1cycle[[#This Row],[aws]]</f>
        <v>573.498779296875</v>
      </c>
      <c r="T414">
        <f>stand_validation_1cycle[[#This Row],[percent_tree_cover]]*100</f>
        <v>7.4935664577968106</v>
      </c>
    </row>
    <row r="415" spans="1:20" x14ac:dyDescent="0.2">
      <c r="A415">
        <v>1</v>
      </c>
      <c r="B415" t="s">
        <v>433</v>
      </c>
      <c r="C415">
        <v>28.711562499999999</v>
      </c>
      <c r="D415">
        <v>970.58216290697499</v>
      </c>
      <c r="E415">
        <v>8.2815995180178508</v>
      </c>
      <c r="F415">
        <v>28.1928707142857</v>
      </c>
      <c r="G415">
        <v>96</v>
      </c>
      <c r="H415">
        <v>566.60467529296795</v>
      </c>
      <c r="I415">
        <v>8.09752221850083E-2</v>
      </c>
      <c r="K415" s="1" t="str">
        <f>TEXT(stand_validation_1cycle[[#This Row],[stand_age]], ".0")</f>
        <v>28.7</v>
      </c>
      <c r="L415" s="1" t="str">
        <f t="shared" si="6"/>
        <v>"28.7"</v>
      </c>
      <c r="M415">
        <v>100</v>
      </c>
      <c r="N415">
        <f>0.029*stand_validation_1cycle[[#This Row],[stand_level_biomass]]</f>
        <v>28.146882724302277</v>
      </c>
      <c r="O415">
        <f>0.213*stand_validation_1cycle[[#This Row],[stand_level_biomass]]</f>
        <v>206.73400069918566</v>
      </c>
      <c r="P415">
        <f>0.571*stand_validation_1cycle[[#This Row],[stand_level_biomass]]</f>
        <v>554.20241501988266</v>
      </c>
      <c r="Q415">
        <f>stand_validation_1cycle[[#This Row],[stock]]</f>
        <v>96</v>
      </c>
      <c r="R415">
        <v>0</v>
      </c>
      <c r="S415">
        <f>stand_validation_1cycle[[#This Row],[aws]]</f>
        <v>566.60467529296795</v>
      </c>
      <c r="T415">
        <f>stand_validation_1cycle[[#This Row],[percent_tree_cover]]*100</f>
        <v>8.0975222185008295</v>
      </c>
    </row>
    <row r="416" spans="1:20" x14ac:dyDescent="0.2">
      <c r="A416">
        <v>1</v>
      </c>
      <c r="B416" t="s">
        <v>434</v>
      </c>
      <c r="C416">
        <v>25.842599999999901</v>
      </c>
      <c r="D416">
        <v>707.35614891062403</v>
      </c>
      <c r="E416">
        <v>6.5157833294642202</v>
      </c>
      <c r="F416">
        <v>25.0157364571428</v>
      </c>
      <c r="G416">
        <v>100</v>
      </c>
      <c r="H416">
        <v>571.563232421875</v>
      </c>
      <c r="I416">
        <v>6.49391741440839E-2</v>
      </c>
      <c r="K416" s="1" t="str">
        <f>TEXT(stand_validation_1cycle[[#This Row],[stand_age]], ".0")</f>
        <v>25.8</v>
      </c>
      <c r="L416" s="1" t="str">
        <f t="shared" si="6"/>
        <v>"25.8"</v>
      </c>
      <c r="M416">
        <v>100</v>
      </c>
      <c r="N416">
        <f>0.029*stand_validation_1cycle[[#This Row],[stand_level_biomass]]</f>
        <v>20.513328318408099</v>
      </c>
      <c r="O416">
        <f>0.213*stand_validation_1cycle[[#This Row],[stand_level_biomass]]</f>
        <v>150.66685971796292</v>
      </c>
      <c r="P416">
        <f>0.571*stand_validation_1cycle[[#This Row],[stand_level_biomass]]</f>
        <v>403.90036102796631</v>
      </c>
      <c r="Q416">
        <f>stand_validation_1cycle[[#This Row],[stock]]</f>
        <v>100</v>
      </c>
      <c r="R416">
        <v>0</v>
      </c>
      <c r="S416">
        <f>stand_validation_1cycle[[#This Row],[aws]]</f>
        <v>571.563232421875</v>
      </c>
      <c r="T416">
        <f>stand_validation_1cycle[[#This Row],[percent_tree_cover]]*100</f>
        <v>6.49391741440839</v>
      </c>
    </row>
    <row r="417" spans="1:20" x14ac:dyDescent="0.2">
      <c r="A417">
        <v>1</v>
      </c>
      <c r="B417" t="s">
        <v>435</v>
      </c>
      <c r="C417">
        <v>28.211133557800199</v>
      </c>
      <c r="D417">
        <v>922.68418798587902</v>
      </c>
      <c r="E417">
        <v>8.0608814283527597</v>
      </c>
      <c r="F417">
        <v>28.0824443290043</v>
      </c>
      <c r="G417">
        <v>99</v>
      </c>
      <c r="H417">
        <v>572.90319824218705</v>
      </c>
      <c r="I417">
        <v>8.0194774177718003E-2</v>
      </c>
      <c r="K417" s="1" t="str">
        <f>TEXT(stand_validation_1cycle[[#This Row],[stand_age]], ".0")</f>
        <v>28.2</v>
      </c>
      <c r="L417" s="1" t="str">
        <f t="shared" si="6"/>
        <v>"28.2"</v>
      </c>
      <c r="M417">
        <v>100</v>
      </c>
      <c r="N417">
        <f>0.029*stand_validation_1cycle[[#This Row],[stand_level_biomass]]</f>
        <v>26.757841451590494</v>
      </c>
      <c r="O417">
        <f>0.213*stand_validation_1cycle[[#This Row],[stand_level_biomass]]</f>
        <v>196.53173204099224</v>
      </c>
      <c r="P417">
        <f>0.571*stand_validation_1cycle[[#This Row],[stand_level_biomass]]</f>
        <v>526.85267133993693</v>
      </c>
      <c r="Q417">
        <f>stand_validation_1cycle[[#This Row],[stock]]</f>
        <v>99</v>
      </c>
      <c r="R417">
        <v>0</v>
      </c>
      <c r="S417">
        <f>stand_validation_1cycle[[#This Row],[aws]]</f>
        <v>572.90319824218705</v>
      </c>
      <c r="T417">
        <f>stand_validation_1cycle[[#This Row],[percent_tree_cover]]*100</f>
        <v>8.0194774177717996</v>
      </c>
    </row>
    <row r="418" spans="1:20" x14ac:dyDescent="0.2">
      <c r="A418">
        <v>1</v>
      </c>
      <c r="B418" t="s">
        <v>436</v>
      </c>
      <c r="C418">
        <v>26.3747333333333</v>
      </c>
      <c r="D418">
        <v>749.240731160726</v>
      </c>
      <c r="E418">
        <v>3.42526119144935</v>
      </c>
      <c r="F418">
        <v>25.9523556571428</v>
      </c>
      <c r="G418">
        <v>50</v>
      </c>
      <c r="H418">
        <v>400</v>
      </c>
      <c r="I418">
        <v>6.9679461208829896E-2</v>
      </c>
      <c r="K418" s="1" t="str">
        <f>TEXT(stand_validation_1cycle[[#This Row],[stand_age]], ".0")</f>
        <v>26.4</v>
      </c>
      <c r="L418" s="1" t="str">
        <f t="shared" si="6"/>
        <v>"26.4"</v>
      </c>
      <c r="M418">
        <v>100</v>
      </c>
      <c r="N418">
        <f>0.029*stand_validation_1cycle[[#This Row],[stand_level_biomass]]</f>
        <v>21.727981203661056</v>
      </c>
      <c r="O418">
        <f>0.213*stand_validation_1cycle[[#This Row],[stand_level_biomass]]</f>
        <v>159.58827573723462</v>
      </c>
      <c r="P418">
        <f>0.571*stand_validation_1cycle[[#This Row],[stand_level_biomass]]</f>
        <v>427.81645749277453</v>
      </c>
      <c r="Q418">
        <f>stand_validation_1cycle[[#This Row],[stock]]</f>
        <v>50</v>
      </c>
      <c r="R418">
        <v>0</v>
      </c>
      <c r="S418">
        <f>stand_validation_1cycle[[#This Row],[aws]]</f>
        <v>400</v>
      </c>
      <c r="T418">
        <f>stand_validation_1cycle[[#This Row],[percent_tree_cover]]*100</f>
        <v>6.9679461208829894</v>
      </c>
    </row>
    <row r="419" spans="1:20" x14ac:dyDescent="0.2">
      <c r="A419">
        <v>1</v>
      </c>
      <c r="B419" t="s">
        <v>437</v>
      </c>
      <c r="C419">
        <v>29.1525</v>
      </c>
      <c r="D419">
        <v>1256.80135470444</v>
      </c>
      <c r="E419">
        <v>0.425382640870345</v>
      </c>
      <c r="F419">
        <v>33.359331428571402</v>
      </c>
      <c r="G419">
        <v>4</v>
      </c>
      <c r="H419">
        <v>569.58642578125</v>
      </c>
      <c r="I419">
        <v>9.5453919760436906E-2</v>
      </c>
      <c r="K419" s="1" t="str">
        <f>TEXT(stand_validation_1cycle[[#This Row],[stand_age]], ".0")</f>
        <v>29.2</v>
      </c>
      <c r="L419" s="1" t="str">
        <f t="shared" si="6"/>
        <v>"29.2"</v>
      </c>
      <c r="M419">
        <v>100</v>
      </c>
      <c r="N419">
        <f>0.029*stand_validation_1cycle[[#This Row],[stand_level_biomass]]</f>
        <v>36.447239286428761</v>
      </c>
      <c r="O419">
        <f>0.213*stand_validation_1cycle[[#This Row],[stand_level_biomass]]</f>
        <v>267.69868855204572</v>
      </c>
      <c r="P419">
        <f>0.571*stand_validation_1cycle[[#This Row],[stand_level_biomass]]</f>
        <v>717.63357353623519</v>
      </c>
      <c r="Q419">
        <f>stand_validation_1cycle[[#This Row],[stock]]</f>
        <v>4</v>
      </c>
      <c r="R419">
        <v>0</v>
      </c>
      <c r="S419">
        <f>stand_validation_1cycle[[#This Row],[aws]]</f>
        <v>569.58642578125</v>
      </c>
      <c r="T419">
        <f>stand_validation_1cycle[[#This Row],[percent_tree_cover]]*100</f>
        <v>9.5453919760436907</v>
      </c>
    </row>
    <row r="420" spans="1:20" x14ac:dyDescent="0.2">
      <c r="A420">
        <v>1</v>
      </c>
      <c r="B420" t="s">
        <v>438</v>
      </c>
      <c r="C420">
        <v>26.8986531986532</v>
      </c>
      <c r="D420">
        <v>815.71517606975306</v>
      </c>
      <c r="E420">
        <v>7.2496310990089201</v>
      </c>
      <c r="F420">
        <v>26.402641884461701</v>
      </c>
      <c r="G420">
        <v>99</v>
      </c>
      <c r="H420">
        <v>525.10583496093705</v>
      </c>
      <c r="I420">
        <v>7.2807376665817394E-2</v>
      </c>
      <c r="K420" s="1" t="str">
        <f>TEXT(stand_validation_1cycle[[#This Row],[stand_age]], ".0")</f>
        <v>26.9</v>
      </c>
      <c r="L420" s="1" t="str">
        <f t="shared" si="6"/>
        <v>"26.9"</v>
      </c>
      <c r="M420">
        <v>100</v>
      </c>
      <c r="N420">
        <f>0.029*stand_validation_1cycle[[#This Row],[stand_level_biomass]]</f>
        <v>23.65574010602284</v>
      </c>
      <c r="O420">
        <f>0.213*stand_validation_1cycle[[#This Row],[stand_level_biomass]]</f>
        <v>173.7473325028574</v>
      </c>
      <c r="P420">
        <f>0.571*stand_validation_1cycle[[#This Row],[stand_level_biomass]]</f>
        <v>465.77336553582893</v>
      </c>
      <c r="Q420">
        <f>stand_validation_1cycle[[#This Row],[stock]]</f>
        <v>99</v>
      </c>
      <c r="R420">
        <v>0</v>
      </c>
      <c r="S420">
        <f>stand_validation_1cycle[[#This Row],[aws]]</f>
        <v>525.10583496093705</v>
      </c>
      <c r="T420">
        <f>stand_validation_1cycle[[#This Row],[percent_tree_cover]]*100</f>
        <v>7.2807376665817394</v>
      </c>
    </row>
    <row r="421" spans="1:20" x14ac:dyDescent="0.2">
      <c r="A421">
        <v>1</v>
      </c>
      <c r="B421" t="s">
        <v>439</v>
      </c>
      <c r="C421">
        <v>26.6624742268041</v>
      </c>
      <c r="D421">
        <v>779.98292528805996</v>
      </c>
      <c r="E421">
        <v>6.8536953914788397</v>
      </c>
      <c r="F421">
        <v>25.505934225894698</v>
      </c>
      <c r="G421">
        <v>97</v>
      </c>
      <c r="H421">
        <v>525.46124267578102</v>
      </c>
      <c r="I421">
        <v>6.7590113546545802E-2</v>
      </c>
      <c r="K421" s="1" t="str">
        <f>TEXT(stand_validation_1cycle[[#This Row],[stand_age]], ".0")</f>
        <v>26.7</v>
      </c>
      <c r="L421" s="1" t="str">
        <f t="shared" si="6"/>
        <v>"26.7"</v>
      </c>
      <c r="M421">
        <v>100</v>
      </c>
      <c r="N421">
        <f>0.029*stand_validation_1cycle[[#This Row],[stand_level_biomass]]</f>
        <v>22.619504833353741</v>
      </c>
      <c r="O421">
        <f>0.213*stand_validation_1cycle[[#This Row],[stand_level_biomass]]</f>
        <v>166.13636308635677</v>
      </c>
      <c r="P421">
        <f>0.571*stand_validation_1cycle[[#This Row],[stand_level_biomass]]</f>
        <v>445.3702503394822</v>
      </c>
      <c r="Q421">
        <f>stand_validation_1cycle[[#This Row],[stock]]</f>
        <v>97</v>
      </c>
      <c r="R421">
        <v>0</v>
      </c>
      <c r="S421">
        <f>stand_validation_1cycle[[#This Row],[aws]]</f>
        <v>525.46124267578102</v>
      </c>
      <c r="T421">
        <f>stand_validation_1cycle[[#This Row],[percent_tree_cover]]*100</f>
        <v>6.7590113546545805</v>
      </c>
    </row>
    <row r="422" spans="1:20" x14ac:dyDescent="0.2">
      <c r="A422">
        <v>1</v>
      </c>
      <c r="B422" t="s">
        <v>440</v>
      </c>
      <c r="C422">
        <v>25.307133333333301</v>
      </c>
      <c r="D422">
        <v>717.12231835153295</v>
      </c>
      <c r="E422">
        <v>6.5748319195829303</v>
      </c>
      <c r="F422">
        <v>25.069673598914299</v>
      </c>
      <c r="G422">
        <v>100</v>
      </c>
      <c r="H422">
        <v>525.62420654296795</v>
      </c>
      <c r="I422">
        <v>6.5531312457742796E-2</v>
      </c>
      <c r="K422" s="1" t="str">
        <f>TEXT(stand_validation_1cycle[[#This Row],[stand_age]], ".0")</f>
        <v>25.3</v>
      </c>
      <c r="L422" s="1" t="str">
        <f t="shared" si="6"/>
        <v>"25.3"</v>
      </c>
      <c r="M422">
        <v>100</v>
      </c>
      <c r="N422">
        <f>0.029*stand_validation_1cycle[[#This Row],[stand_level_biomass]]</f>
        <v>20.796547232194456</v>
      </c>
      <c r="O422">
        <f>0.213*stand_validation_1cycle[[#This Row],[stand_level_biomass]]</f>
        <v>152.74705380887653</v>
      </c>
      <c r="P422">
        <f>0.571*stand_validation_1cycle[[#This Row],[stand_level_biomass]]</f>
        <v>409.47684377872531</v>
      </c>
      <c r="Q422">
        <f>stand_validation_1cycle[[#This Row],[stock]]</f>
        <v>100</v>
      </c>
      <c r="R422">
        <v>0</v>
      </c>
      <c r="S422">
        <f>stand_validation_1cycle[[#This Row],[aws]]</f>
        <v>525.62420654296795</v>
      </c>
      <c r="T422">
        <f>stand_validation_1cycle[[#This Row],[percent_tree_cover]]*100</f>
        <v>6.5531312457742796</v>
      </c>
    </row>
    <row r="423" spans="1:20" x14ac:dyDescent="0.2">
      <c r="A423">
        <v>1</v>
      </c>
      <c r="B423" t="s">
        <v>441</v>
      </c>
      <c r="C423">
        <v>25.524044444444399</v>
      </c>
      <c r="D423">
        <v>642.20129963019201</v>
      </c>
      <c r="E423">
        <v>5.9922942478094203</v>
      </c>
      <c r="F423">
        <v>24.153439065752799</v>
      </c>
      <c r="G423">
        <v>100</v>
      </c>
      <c r="H423">
        <v>525.34210205078102</v>
      </c>
      <c r="I423">
        <v>5.9720157601152402E-2</v>
      </c>
      <c r="K423" s="1" t="str">
        <f>TEXT(stand_validation_1cycle[[#This Row],[stand_age]], ".0")</f>
        <v>25.5</v>
      </c>
      <c r="L423" s="1" t="str">
        <f t="shared" si="6"/>
        <v>"25.5"</v>
      </c>
      <c r="M423">
        <v>100</v>
      </c>
      <c r="N423">
        <f>0.029*stand_validation_1cycle[[#This Row],[stand_level_biomass]]</f>
        <v>18.623837689275568</v>
      </c>
      <c r="O423">
        <f>0.213*stand_validation_1cycle[[#This Row],[stand_level_biomass]]</f>
        <v>136.7888768212309</v>
      </c>
      <c r="P423">
        <f>0.571*stand_validation_1cycle[[#This Row],[stand_level_biomass]]</f>
        <v>366.69694208883959</v>
      </c>
      <c r="Q423">
        <f>stand_validation_1cycle[[#This Row],[stock]]</f>
        <v>100</v>
      </c>
      <c r="R423">
        <v>0</v>
      </c>
      <c r="S423">
        <f>stand_validation_1cycle[[#This Row],[aws]]</f>
        <v>525.34210205078102</v>
      </c>
      <c r="T423">
        <f>stand_validation_1cycle[[#This Row],[percent_tree_cover]]*100</f>
        <v>5.9720157601152399</v>
      </c>
    </row>
    <row r="424" spans="1:20" x14ac:dyDescent="0.2">
      <c r="A424">
        <v>1</v>
      </c>
      <c r="B424" t="s">
        <v>442</v>
      </c>
      <c r="C424">
        <v>29.042966666666601</v>
      </c>
      <c r="D424">
        <v>957.11796250926898</v>
      </c>
      <c r="E424">
        <v>8.3362255310784708</v>
      </c>
      <c r="F424">
        <v>28.0430602657257</v>
      </c>
      <c r="G424">
        <v>100</v>
      </c>
      <c r="H424">
        <v>635.77557373046795</v>
      </c>
      <c r="I424">
        <v>8.3039471360045802E-2</v>
      </c>
      <c r="K424" s="1" t="str">
        <f>TEXT(stand_validation_1cycle[[#This Row],[stand_age]], ".0")</f>
        <v>29.0</v>
      </c>
      <c r="L424" s="1" t="str">
        <f t="shared" si="6"/>
        <v>"29.0"</v>
      </c>
      <c r="M424">
        <v>100</v>
      </c>
      <c r="N424">
        <f>0.029*stand_validation_1cycle[[#This Row],[stand_level_biomass]]</f>
        <v>27.756420912768803</v>
      </c>
      <c r="O424">
        <f>0.213*stand_validation_1cycle[[#This Row],[stand_level_biomass]]</f>
        <v>203.86612601447428</v>
      </c>
      <c r="P424">
        <f>0.571*stand_validation_1cycle[[#This Row],[stand_level_biomass]]</f>
        <v>546.51435659279252</v>
      </c>
      <c r="Q424">
        <f>stand_validation_1cycle[[#This Row],[stock]]</f>
        <v>100</v>
      </c>
      <c r="R424">
        <v>0</v>
      </c>
      <c r="S424">
        <f>stand_validation_1cycle[[#This Row],[aws]]</f>
        <v>635.77557373046795</v>
      </c>
      <c r="T424">
        <f>stand_validation_1cycle[[#This Row],[percent_tree_cover]]*100</f>
        <v>8.3039471360045809</v>
      </c>
    </row>
    <row r="425" spans="1:20" x14ac:dyDescent="0.2">
      <c r="A425">
        <v>1</v>
      </c>
      <c r="B425" t="s">
        <v>443</v>
      </c>
      <c r="C425">
        <v>27.162233333333301</v>
      </c>
      <c r="D425">
        <v>1005.3790439693601</v>
      </c>
      <c r="E425">
        <v>8.7070669818898399</v>
      </c>
      <c r="F425">
        <v>28.381191865372799</v>
      </c>
      <c r="G425">
        <v>100</v>
      </c>
      <c r="H425">
        <v>524.87890625</v>
      </c>
      <c r="I425">
        <v>8.6770990990901894E-2</v>
      </c>
      <c r="K425" s="1" t="str">
        <f>TEXT(stand_validation_1cycle[[#This Row],[stand_age]], ".0")</f>
        <v>27.2</v>
      </c>
      <c r="L425" s="1" t="str">
        <f t="shared" si="6"/>
        <v>"27.2"</v>
      </c>
      <c r="M425">
        <v>100</v>
      </c>
      <c r="N425">
        <f>0.029*stand_validation_1cycle[[#This Row],[stand_level_biomass]]</f>
        <v>29.155992275111444</v>
      </c>
      <c r="O425">
        <f>0.213*stand_validation_1cycle[[#This Row],[stand_level_biomass]]</f>
        <v>214.14573636547368</v>
      </c>
      <c r="P425">
        <f>0.571*stand_validation_1cycle[[#This Row],[stand_level_biomass]]</f>
        <v>574.07143410650451</v>
      </c>
      <c r="Q425">
        <f>stand_validation_1cycle[[#This Row],[stock]]</f>
        <v>100</v>
      </c>
      <c r="R425">
        <v>0</v>
      </c>
      <c r="S425">
        <f>stand_validation_1cycle[[#This Row],[aws]]</f>
        <v>524.87890625</v>
      </c>
      <c r="T425">
        <f>stand_validation_1cycle[[#This Row],[percent_tree_cover]]*100</f>
        <v>8.6770990990901886</v>
      </c>
    </row>
    <row r="426" spans="1:20" x14ac:dyDescent="0.2">
      <c r="A426">
        <v>1</v>
      </c>
      <c r="B426" t="s">
        <v>444</v>
      </c>
      <c r="C426">
        <v>28.479753086419699</v>
      </c>
      <c r="D426">
        <v>1049.6050630269301</v>
      </c>
      <c r="E426">
        <v>8.9226352157975395</v>
      </c>
      <c r="F426">
        <v>28.788381951728599</v>
      </c>
      <c r="G426">
        <v>99</v>
      </c>
      <c r="H426">
        <v>526.722412109375</v>
      </c>
      <c r="I426">
        <v>8.86762968019989E-2</v>
      </c>
      <c r="K426" s="1" t="str">
        <f>TEXT(stand_validation_1cycle[[#This Row],[stand_age]], ".0")</f>
        <v>28.5</v>
      </c>
      <c r="L426" s="1" t="str">
        <f t="shared" si="6"/>
        <v>"28.5"</v>
      </c>
      <c r="M426">
        <v>100</v>
      </c>
      <c r="N426">
        <f>0.029*stand_validation_1cycle[[#This Row],[stand_level_biomass]]</f>
        <v>30.438546827780975</v>
      </c>
      <c r="O426">
        <f>0.213*stand_validation_1cycle[[#This Row],[stand_level_biomass]]</f>
        <v>223.5658784247361</v>
      </c>
      <c r="P426">
        <f>0.571*stand_validation_1cycle[[#This Row],[stand_level_biomass]]</f>
        <v>599.32449098837708</v>
      </c>
      <c r="Q426">
        <f>stand_validation_1cycle[[#This Row],[stock]]</f>
        <v>99</v>
      </c>
      <c r="R426">
        <v>0</v>
      </c>
      <c r="S426">
        <f>stand_validation_1cycle[[#This Row],[aws]]</f>
        <v>526.722412109375</v>
      </c>
      <c r="T426">
        <f>stand_validation_1cycle[[#This Row],[percent_tree_cover]]*100</f>
        <v>8.8676296801998902</v>
      </c>
    </row>
    <row r="427" spans="1:20" x14ac:dyDescent="0.2">
      <c r="A427">
        <v>1</v>
      </c>
      <c r="B427" t="s">
        <v>445</v>
      </c>
      <c r="C427">
        <v>28.5465444444444</v>
      </c>
      <c r="D427">
        <v>850.98466439581705</v>
      </c>
      <c r="E427">
        <v>7.6141163224839197</v>
      </c>
      <c r="F427">
        <v>27.423238198982101</v>
      </c>
      <c r="G427">
        <v>100</v>
      </c>
      <c r="H427">
        <v>526.18713378906205</v>
      </c>
      <c r="I427">
        <v>7.5867692990479602E-2</v>
      </c>
      <c r="K427" s="1" t="str">
        <f>TEXT(stand_validation_1cycle[[#This Row],[stand_age]], ".0")</f>
        <v>28.5</v>
      </c>
      <c r="L427" s="1" t="str">
        <f t="shared" si="6"/>
        <v>"28.5"</v>
      </c>
      <c r="M427">
        <v>100</v>
      </c>
      <c r="N427">
        <f>0.029*stand_validation_1cycle[[#This Row],[stand_level_biomass]]</f>
        <v>24.678555267478696</v>
      </c>
      <c r="O427">
        <f>0.213*stand_validation_1cycle[[#This Row],[stand_level_biomass]]</f>
        <v>181.25973351630904</v>
      </c>
      <c r="P427">
        <f>0.571*stand_validation_1cycle[[#This Row],[stand_level_biomass]]</f>
        <v>485.91224337001148</v>
      </c>
      <c r="Q427">
        <f>stand_validation_1cycle[[#This Row],[stock]]</f>
        <v>100</v>
      </c>
      <c r="R427">
        <v>0</v>
      </c>
      <c r="S427">
        <f>stand_validation_1cycle[[#This Row],[aws]]</f>
        <v>526.18713378906205</v>
      </c>
      <c r="T427">
        <f>stand_validation_1cycle[[#This Row],[percent_tree_cover]]*100</f>
        <v>7.58676929904796</v>
      </c>
    </row>
    <row r="428" spans="1:20" x14ac:dyDescent="0.2">
      <c r="A428">
        <v>1</v>
      </c>
      <c r="B428" t="s">
        <v>446</v>
      </c>
      <c r="C428">
        <v>26.283153759820401</v>
      </c>
      <c r="D428">
        <v>829.140549524427</v>
      </c>
      <c r="E428">
        <v>7.29705736710567</v>
      </c>
      <c r="F428">
        <v>26.010993197606702</v>
      </c>
      <c r="G428">
        <v>99</v>
      </c>
      <c r="H428">
        <v>524.13592529296795</v>
      </c>
      <c r="I428">
        <v>7.2460369899032498E-2</v>
      </c>
      <c r="K428" s="1" t="str">
        <f>TEXT(stand_validation_1cycle[[#This Row],[stand_age]], ".0")</f>
        <v>26.3</v>
      </c>
      <c r="L428" s="1" t="str">
        <f t="shared" si="6"/>
        <v>"26.3"</v>
      </c>
      <c r="M428">
        <v>100</v>
      </c>
      <c r="N428">
        <f>0.029*stand_validation_1cycle[[#This Row],[stand_level_biomass]]</f>
        <v>24.045075936208384</v>
      </c>
      <c r="O428">
        <f>0.213*stand_validation_1cycle[[#This Row],[stand_level_biomass]]</f>
        <v>176.60693704870295</v>
      </c>
      <c r="P428">
        <f>0.571*stand_validation_1cycle[[#This Row],[stand_level_biomass]]</f>
        <v>473.43925377844778</v>
      </c>
      <c r="Q428">
        <f>stand_validation_1cycle[[#This Row],[stock]]</f>
        <v>99</v>
      </c>
      <c r="R428">
        <v>0</v>
      </c>
      <c r="S428">
        <f>stand_validation_1cycle[[#This Row],[aws]]</f>
        <v>524.13592529296795</v>
      </c>
      <c r="T428">
        <f>stand_validation_1cycle[[#This Row],[percent_tree_cover]]*100</f>
        <v>7.2460369899032502</v>
      </c>
    </row>
    <row r="429" spans="1:20" x14ac:dyDescent="0.2">
      <c r="A429">
        <v>1</v>
      </c>
      <c r="B429" t="s">
        <v>447</v>
      </c>
      <c r="C429">
        <v>28.5929138321995</v>
      </c>
      <c r="D429">
        <v>1109.6576858221899</v>
      </c>
      <c r="E429">
        <v>9.1806173067231907</v>
      </c>
      <c r="F429">
        <v>28.787150407041501</v>
      </c>
      <c r="G429">
        <v>98</v>
      </c>
      <c r="H429">
        <v>586</v>
      </c>
      <c r="I429">
        <v>9.1117136668736207E-2</v>
      </c>
      <c r="K429" s="1" t="str">
        <f>TEXT(stand_validation_1cycle[[#This Row],[stand_age]], ".0")</f>
        <v>28.6</v>
      </c>
      <c r="L429" s="1" t="str">
        <f t="shared" si="6"/>
        <v>"28.6"</v>
      </c>
      <c r="M429">
        <v>100</v>
      </c>
      <c r="N429">
        <f>0.029*stand_validation_1cycle[[#This Row],[stand_level_biomass]]</f>
        <v>32.180072888843512</v>
      </c>
      <c r="O429">
        <f>0.213*stand_validation_1cycle[[#This Row],[stand_level_biomass]]</f>
        <v>236.35708708012646</v>
      </c>
      <c r="P429">
        <f>0.571*stand_validation_1cycle[[#This Row],[stand_level_biomass]]</f>
        <v>633.61453860447045</v>
      </c>
      <c r="Q429">
        <f>stand_validation_1cycle[[#This Row],[stock]]</f>
        <v>98</v>
      </c>
      <c r="R429">
        <v>0</v>
      </c>
      <c r="S429">
        <f>stand_validation_1cycle[[#This Row],[aws]]</f>
        <v>586</v>
      </c>
      <c r="T429">
        <f>stand_validation_1cycle[[#This Row],[percent_tree_cover]]*100</f>
        <v>9.1117136668736212</v>
      </c>
    </row>
    <row r="430" spans="1:20" x14ac:dyDescent="0.2">
      <c r="A430">
        <v>1</v>
      </c>
      <c r="B430" t="s">
        <v>448</v>
      </c>
      <c r="C430">
        <v>26.635655555555498</v>
      </c>
      <c r="D430">
        <v>803.73744301552495</v>
      </c>
      <c r="E430">
        <v>7.2150539448653497</v>
      </c>
      <c r="F430">
        <v>26.008186865657802</v>
      </c>
      <c r="G430">
        <v>100</v>
      </c>
      <c r="H430">
        <v>606.60235595703102</v>
      </c>
      <c r="I430">
        <v>7.1891536940970197E-2</v>
      </c>
      <c r="K430" s="1" t="str">
        <f>TEXT(stand_validation_1cycle[[#This Row],[stand_age]], ".0")</f>
        <v>26.6</v>
      </c>
      <c r="L430" s="1" t="str">
        <f t="shared" si="6"/>
        <v>"26.6"</v>
      </c>
      <c r="M430">
        <v>100</v>
      </c>
      <c r="N430">
        <f>0.029*stand_validation_1cycle[[#This Row],[stand_level_biomass]]</f>
        <v>23.308385847450225</v>
      </c>
      <c r="O430">
        <f>0.213*stand_validation_1cycle[[#This Row],[stand_level_biomass]]</f>
        <v>171.1960753623068</v>
      </c>
      <c r="P430">
        <f>0.571*stand_validation_1cycle[[#This Row],[stand_level_biomass]]</f>
        <v>458.93407996186471</v>
      </c>
      <c r="Q430">
        <f>stand_validation_1cycle[[#This Row],[stock]]</f>
        <v>100</v>
      </c>
      <c r="R430">
        <v>0</v>
      </c>
      <c r="S430">
        <f>stand_validation_1cycle[[#This Row],[aws]]</f>
        <v>606.60235595703102</v>
      </c>
      <c r="T430">
        <f>stand_validation_1cycle[[#This Row],[percent_tree_cover]]*100</f>
        <v>7.18915369409702</v>
      </c>
    </row>
    <row r="431" spans="1:20" x14ac:dyDescent="0.2">
      <c r="A431">
        <v>1</v>
      </c>
      <c r="B431" t="s">
        <v>449</v>
      </c>
      <c r="C431">
        <v>29.747333333333302</v>
      </c>
      <c r="D431">
        <v>1088.6991384549001</v>
      </c>
      <c r="E431">
        <v>9.3936149324420892</v>
      </c>
      <c r="F431">
        <v>30.238022265481401</v>
      </c>
      <c r="G431">
        <v>100</v>
      </c>
      <c r="H431">
        <v>567.17761230468705</v>
      </c>
      <c r="I431">
        <v>9.3586094003409795E-2</v>
      </c>
      <c r="K431" s="1" t="str">
        <f>TEXT(stand_validation_1cycle[[#This Row],[stand_age]], ".0")</f>
        <v>29.7</v>
      </c>
      <c r="L431" s="1" t="str">
        <f t="shared" si="6"/>
        <v>"29.7"</v>
      </c>
      <c r="M431">
        <v>100</v>
      </c>
      <c r="N431">
        <f>0.029*stand_validation_1cycle[[#This Row],[stand_level_biomass]]</f>
        <v>31.572275015192105</v>
      </c>
      <c r="O431">
        <f>0.213*stand_validation_1cycle[[#This Row],[stand_level_biomass]]</f>
        <v>231.89291649089373</v>
      </c>
      <c r="P431">
        <f>0.571*stand_validation_1cycle[[#This Row],[stand_level_biomass]]</f>
        <v>621.64720805774789</v>
      </c>
      <c r="Q431">
        <f>stand_validation_1cycle[[#This Row],[stock]]</f>
        <v>100</v>
      </c>
      <c r="R431">
        <v>0</v>
      </c>
      <c r="S431">
        <f>stand_validation_1cycle[[#This Row],[aws]]</f>
        <v>567.17761230468705</v>
      </c>
      <c r="T431">
        <f>stand_validation_1cycle[[#This Row],[percent_tree_cover]]*100</f>
        <v>9.3586094003409794</v>
      </c>
    </row>
    <row r="432" spans="1:20" x14ac:dyDescent="0.2">
      <c r="A432">
        <v>1</v>
      </c>
      <c r="B432" t="s">
        <v>450</v>
      </c>
      <c r="C432">
        <v>25.885111111111101</v>
      </c>
      <c r="D432">
        <v>698.49073455571602</v>
      </c>
      <c r="E432">
        <v>6.4823253677034902</v>
      </c>
      <c r="F432">
        <v>25.153405332319998</v>
      </c>
      <c r="G432">
        <v>100</v>
      </c>
      <c r="H432">
        <v>570.02520751953102</v>
      </c>
      <c r="I432">
        <v>6.4598910089240097E-2</v>
      </c>
      <c r="K432" s="1" t="str">
        <f>TEXT(stand_validation_1cycle[[#This Row],[stand_age]], ".0")</f>
        <v>25.9</v>
      </c>
      <c r="L432" s="1" t="str">
        <f t="shared" si="6"/>
        <v>"25.9"</v>
      </c>
      <c r="M432">
        <v>100</v>
      </c>
      <c r="N432">
        <f>0.029*stand_validation_1cycle[[#This Row],[stand_level_biomass]]</f>
        <v>20.256231302115765</v>
      </c>
      <c r="O432">
        <f>0.213*stand_validation_1cycle[[#This Row],[stand_level_biomass]]</f>
        <v>148.77852646036752</v>
      </c>
      <c r="P432">
        <f>0.571*stand_validation_1cycle[[#This Row],[stand_level_biomass]]</f>
        <v>398.83820943131383</v>
      </c>
      <c r="Q432">
        <f>stand_validation_1cycle[[#This Row],[stock]]</f>
        <v>100</v>
      </c>
      <c r="R432">
        <v>0</v>
      </c>
      <c r="S432">
        <f>stand_validation_1cycle[[#This Row],[aws]]</f>
        <v>570.02520751953102</v>
      </c>
      <c r="T432">
        <f>stand_validation_1cycle[[#This Row],[percent_tree_cover]]*100</f>
        <v>6.4598910089240098</v>
      </c>
    </row>
    <row r="433" spans="1:20" x14ac:dyDescent="0.2">
      <c r="A433">
        <v>1</v>
      </c>
      <c r="B433" t="s">
        <v>451</v>
      </c>
      <c r="C433">
        <v>27.980303030302998</v>
      </c>
      <c r="D433">
        <v>941.20477165000796</v>
      </c>
      <c r="E433">
        <v>8.1007553077102799</v>
      </c>
      <c r="F433">
        <v>27.394516025917</v>
      </c>
      <c r="G433">
        <v>99</v>
      </c>
      <c r="H433">
        <v>524.13592529296795</v>
      </c>
      <c r="I433">
        <v>8.0493801455503805E-2</v>
      </c>
      <c r="K433" s="1" t="str">
        <f>TEXT(stand_validation_1cycle[[#This Row],[stand_age]], ".0")</f>
        <v>28.0</v>
      </c>
      <c r="L433" s="1" t="str">
        <f t="shared" si="6"/>
        <v>"28.0"</v>
      </c>
      <c r="M433">
        <v>100</v>
      </c>
      <c r="N433">
        <f>0.029*stand_validation_1cycle[[#This Row],[stand_level_biomass]]</f>
        <v>27.294938377850233</v>
      </c>
      <c r="O433">
        <f>0.213*stand_validation_1cycle[[#This Row],[stand_level_biomass]]</f>
        <v>200.47661636145168</v>
      </c>
      <c r="P433">
        <f>0.571*stand_validation_1cycle[[#This Row],[stand_level_biomass]]</f>
        <v>537.42792461215447</v>
      </c>
      <c r="Q433">
        <f>stand_validation_1cycle[[#This Row],[stock]]</f>
        <v>99</v>
      </c>
      <c r="R433">
        <v>0</v>
      </c>
      <c r="S433">
        <f>stand_validation_1cycle[[#This Row],[aws]]</f>
        <v>524.13592529296795</v>
      </c>
      <c r="T433">
        <f>stand_validation_1cycle[[#This Row],[percent_tree_cover]]*100</f>
        <v>8.04938014555038</v>
      </c>
    </row>
    <row r="434" spans="1:20" x14ac:dyDescent="0.2">
      <c r="A434">
        <v>1</v>
      </c>
      <c r="B434" t="s">
        <v>452</v>
      </c>
      <c r="C434">
        <v>25.6258555555555</v>
      </c>
      <c r="D434">
        <v>561.83763195986501</v>
      </c>
      <c r="E434">
        <v>5.5199094538505502</v>
      </c>
      <c r="F434">
        <v>23.802196265834201</v>
      </c>
      <c r="G434">
        <v>100</v>
      </c>
      <c r="H434">
        <v>526.10974121093705</v>
      </c>
      <c r="I434">
        <v>5.50129953996705E-2</v>
      </c>
      <c r="K434" s="1" t="str">
        <f>TEXT(stand_validation_1cycle[[#This Row],[stand_age]], ".0")</f>
        <v>25.6</v>
      </c>
      <c r="L434" s="1" t="str">
        <f t="shared" si="6"/>
        <v>"25.6"</v>
      </c>
      <c r="M434">
        <v>100</v>
      </c>
      <c r="N434">
        <f>0.029*stand_validation_1cycle[[#This Row],[stand_level_biomass]]</f>
        <v>16.293291326836087</v>
      </c>
      <c r="O434">
        <f>0.213*stand_validation_1cycle[[#This Row],[stand_level_biomass]]</f>
        <v>119.67141560745124</v>
      </c>
      <c r="P434">
        <f>0.571*stand_validation_1cycle[[#This Row],[stand_level_biomass]]</f>
        <v>320.80928784908286</v>
      </c>
      <c r="Q434">
        <f>stand_validation_1cycle[[#This Row],[stock]]</f>
        <v>100</v>
      </c>
      <c r="R434">
        <v>0</v>
      </c>
      <c r="S434">
        <f>stand_validation_1cycle[[#This Row],[aws]]</f>
        <v>526.10974121093705</v>
      </c>
      <c r="T434">
        <f>stand_validation_1cycle[[#This Row],[percent_tree_cover]]*100</f>
        <v>5.5012995399670501</v>
      </c>
    </row>
    <row r="435" spans="1:20" x14ac:dyDescent="0.2">
      <c r="A435">
        <v>1</v>
      </c>
      <c r="B435" t="s">
        <v>453</v>
      </c>
      <c r="C435">
        <v>26.675411111111099</v>
      </c>
      <c r="D435">
        <v>829.75690808312197</v>
      </c>
      <c r="E435">
        <v>7.3435199516559404</v>
      </c>
      <c r="F435">
        <v>26.173696999009199</v>
      </c>
      <c r="G435">
        <v>100</v>
      </c>
      <c r="H435">
        <v>570.52917480468705</v>
      </c>
      <c r="I435">
        <v>7.3162518669977E-2</v>
      </c>
      <c r="K435" s="1" t="str">
        <f>TEXT(stand_validation_1cycle[[#This Row],[stand_age]], ".0")</f>
        <v>26.7</v>
      </c>
      <c r="L435" s="1" t="str">
        <f t="shared" si="6"/>
        <v>"26.7"</v>
      </c>
      <c r="M435">
        <v>100</v>
      </c>
      <c r="N435">
        <f>0.029*stand_validation_1cycle[[#This Row],[stand_level_biomass]]</f>
        <v>24.062950334410537</v>
      </c>
      <c r="O435">
        <f>0.213*stand_validation_1cycle[[#This Row],[stand_level_biomass]]</f>
        <v>176.73822142170496</v>
      </c>
      <c r="P435">
        <f>0.571*stand_validation_1cycle[[#This Row],[stand_level_biomass]]</f>
        <v>473.79119451546262</v>
      </c>
      <c r="Q435">
        <f>stand_validation_1cycle[[#This Row],[stock]]</f>
        <v>100</v>
      </c>
      <c r="R435">
        <v>0</v>
      </c>
      <c r="S435">
        <f>stand_validation_1cycle[[#This Row],[aws]]</f>
        <v>570.52917480468705</v>
      </c>
      <c r="T435">
        <f>stand_validation_1cycle[[#This Row],[percent_tree_cover]]*100</f>
        <v>7.3162518669976997</v>
      </c>
    </row>
    <row r="436" spans="1:20" x14ac:dyDescent="0.2">
      <c r="A436">
        <v>1</v>
      </c>
      <c r="B436" t="s">
        <v>454</v>
      </c>
      <c r="C436">
        <v>26.086933333333299</v>
      </c>
      <c r="D436">
        <v>625.33210268906601</v>
      </c>
      <c r="E436">
        <v>5.9979624663546502</v>
      </c>
      <c r="F436">
        <v>24.731046732387799</v>
      </c>
      <c r="G436">
        <v>100</v>
      </c>
      <c r="H436">
        <v>571.849853515625</v>
      </c>
      <c r="I436">
        <v>5.9774800080097501E-2</v>
      </c>
      <c r="K436" s="1" t="str">
        <f>TEXT(stand_validation_1cycle[[#This Row],[stand_age]], ".0")</f>
        <v>26.1</v>
      </c>
      <c r="L436" s="1" t="str">
        <f t="shared" si="6"/>
        <v>"26.1"</v>
      </c>
      <c r="M436">
        <v>100</v>
      </c>
      <c r="N436">
        <f>0.029*stand_validation_1cycle[[#This Row],[stand_level_biomass]]</f>
        <v>18.134630977982916</v>
      </c>
      <c r="O436">
        <f>0.213*stand_validation_1cycle[[#This Row],[stand_level_biomass]]</f>
        <v>133.19573787277105</v>
      </c>
      <c r="P436">
        <f>0.571*stand_validation_1cycle[[#This Row],[stand_level_biomass]]</f>
        <v>357.06463063545664</v>
      </c>
      <c r="Q436">
        <f>stand_validation_1cycle[[#This Row],[stock]]</f>
        <v>100</v>
      </c>
      <c r="R436">
        <v>0</v>
      </c>
      <c r="S436">
        <f>stand_validation_1cycle[[#This Row],[aws]]</f>
        <v>571.849853515625</v>
      </c>
      <c r="T436">
        <f>stand_validation_1cycle[[#This Row],[percent_tree_cover]]*100</f>
        <v>5.9774800080097501</v>
      </c>
    </row>
    <row r="437" spans="1:20" x14ac:dyDescent="0.2">
      <c r="A437">
        <v>1</v>
      </c>
      <c r="B437" t="s">
        <v>455</v>
      </c>
      <c r="C437">
        <v>25.840988888888798</v>
      </c>
      <c r="D437">
        <v>671.868602805671</v>
      </c>
      <c r="E437">
        <v>6.3800948011630298</v>
      </c>
      <c r="F437">
        <v>25.425336198846399</v>
      </c>
      <c r="G437">
        <v>100</v>
      </c>
      <c r="H437">
        <v>572.994873046875</v>
      </c>
      <c r="I437">
        <v>6.3599499522465297E-2</v>
      </c>
      <c r="K437" s="1" t="str">
        <f>TEXT(stand_validation_1cycle[[#This Row],[stand_age]], ".0")</f>
        <v>25.8</v>
      </c>
      <c r="L437" s="1" t="str">
        <f t="shared" si="6"/>
        <v>"25.8"</v>
      </c>
      <c r="M437">
        <v>100</v>
      </c>
      <c r="N437">
        <f>0.029*stand_validation_1cycle[[#This Row],[stand_level_biomass]]</f>
        <v>19.48418948136446</v>
      </c>
      <c r="O437">
        <f>0.213*stand_validation_1cycle[[#This Row],[stand_level_biomass]]</f>
        <v>143.10801239760792</v>
      </c>
      <c r="P437">
        <f>0.571*stand_validation_1cycle[[#This Row],[stand_level_biomass]]</f>
        <v>383.63697220203812</v>
      </c>
      <c r="Q437">
        <f>stand_validation_1cycle[[#This Row],[stock]]</f>
        <v>100</v>
      </c>
      <c r="R437">
        <v>0</v>
      </c>
      <c r="S437">
        <f>stand_validation_1cycle[[#This Row],[aws]]</f>
        <v>572.994873046875</v>
      </c>
      <c r="T437">
        <f>stand_validation_1cycle[[#This Row],[percent_tree_cover]]*100</f>
        <v>6.3599499522465299</v>
      </c>
    </row>
    <row r="438" spans="1:20" x14ac:dyDescent="0.2">
      <c r="A438">
        <v>1</v>
      </c>
      <c r="B438" t="s">
        <v>456</v>
      </c>
      <c r="C438">
        <v>24.544722222222202</v>
      </c>
      <c r="D438">
        <v>726.10660146374198</v>
      </c>
      <c r="E438">
        <v>6.5437772762022002</v>
      </c>
      <c r="F438">
        <v>24.368806932211399</v>
      </c>
      <c r="G438">
        <v>100</v>
      </c>
      <c r="H438">
        <v>566.92834472656205</v>
      </c>
      <c r="I438">
        <v>6.5217928148303003E-2</v>
      </c>
      <c r="K438" s="1" t="str">
        <f>TEXT(stand_validation_1cycle[[#This Row],[stand_age]], ".0")</f>
        <v>24.5</v>
      </c>
      <c r="L438" s="1" t="str">
        <f t="shared" si="6"/>
        <v>"24.5"</v>
      </c>
      <c r="M438">
        <v>100</v>
      </c>
      <c r="N438">
        <f>0.029*stand_validation_1cycle[[#This Row],[stand_level_biomass]]</f>
        <v>21.05709144244852</v>
      </c>
      <c r="O438">
        <f>0.213*stand_validation_1cycle[[#This Row],[stand_level_biomass]]</f>
        <v>154.66070611177705</v>
      </c>
      <c r="P438">
        <f>0.571*stand_validation_1cycle[[#This Row],[stand_level_biomass]]</f>
        <v>414.60686943579663</v>
      </c>
      <c r="Q438">
        <f>stand_validation_1cycle[[#This Row],[stock]]</f>
        <v>100</v>
      </c>
      <c r="R438">
        <v>0</v>
      </c>
      <c r="S438">
        <f>stand_validation_1cycle[[#This Row],[aws]]</f>
        <v>566.92834472656205</v>
      </c>
      <c r="T438">
        <f>stand_validation_1cycle[[#This Row],[percent_tree_cover]]*100</f>
        <v>6.5217928148303006</v>
      </c>
    </row>
    <row r="439" spans="1:20" x14ac:dyDescent="0.2">
      <c r="A439">
        <v>1</v>
      </c>
      <c r="B439" t="s">
        <v>457</v>
      </c>
      <c r="C439">
        <v>29.0766500829187</v>
      </c>
      <c r="D439">
        <v>1023.9173856331701</v>
      </c>
      <c r="E439">
        <v>5.9590781886830104</v>
      </c>
      <c r="F439">
        <v>28.945013829704699</v>
      </c>
      <c r="G439">
        <v>67</v>
      </c>
      <c r="H439">
        <v>566.92834472656205</v>
      </c>
      <c r="I439">
        <v>8.6116612287894995E-2</v>
      </c>
      <c r="K439" s="1" t="str">
        <f>TEXT(stand_validation_1cycle[[#This Row],[stand_age]], ".0")</f>
        <v>29.1</v>
      </c>
      <c r="L439" s="1" t="str">
        <f t="shared" si="6"/>
        <v>"29.1"</v>
      </c>
      <c r="M439">
        <v>100</v>
      </c>
      <c r="N439">
        <f>0.029*stand_validation_1cycle[[#This Row],[stand_level_biomass]]</f>
        <v>29.693604183361934</v>
      </c>
      <c r="O439">
        <f>0.213*stand_validation_1cycle[[#This Row],[stand_level_biomass]]</f>
        <v>218.09440313986522</v>
      </c>
      <c r="P439">
        <f>0.571*stand_validation_1cycle[[#This Row],[stand_level_biomass]]</f>
        <v>584.65682719654001</v>
      </c>
      <c r="Q439">
        <f>stand_validation_1cycle[[#This Row],[stock]]</f>
        <v>67</v>
      </c>
      <c r="R439">
        <v>0</v>
      </c>
      <c r="S439">
        <f>stand_validation_1cycle[[#This Row],[aws]]</f>
        <v>566.92834472656205</v>
      </c>
      <c r="T439">
        <f>stand_validation_1cycle[[#This Row],[percent_tree_cover]]*100</f>
        <v>8.6116612287894991</v>
      </c>
    </row>
    <row r="440" spans="1:20" x14ac:dyDescent="0.2">
      <c r="A440">
        <v>1</v>
      </c>
      <c r="B440" t="s">
        <v>458</v>
      </c>
      <c r="C440">
        <v>27.464006734006698</v>
      </c>
      <c r="D440">
        <v>714.66542920112499</v>
      </c>
      <c r="E440">
        <v>6.7385976468274196</v>
      </c>
      <c r="F440">
        <v>26.4606107733232</v>
      </c>
      <c r="G440">
        <v>99</v>
      </c>
      <c r="H440">
        <v>594</v>
      </c>
      <c r="I440">
        <v>6.6682102751970895E-2</v>
      </c>
      <c r="K440" s="1" t="str">
        <f>TEXT(stand_validation_1cycle[[#This Row],[stand_age]], ".0")</f>
        <v>27.5</v>
      </c>
      <c r="L440" s="1" t="str">
        <f t="shared" si="6"/>
        <v>"27.5"</v>
      </c>
      <c r="M440">
        <v>100</v>
      </c>
      <c r="N440">
        <f>0.029*stand_validation_1cycle[[#This Row],[stand_level_biomass]]</f>
        <v>20.725297446832627</v>
      </c>
      <c r="O440">
        <f>0.213*stand_validation_1cycle[[#This Row],[stand_level_biomass]]</f>
        <v>152.22373641983961</v>
      </c>
      <c r="P440">
        <f>0.571*stand_validation_1cycle[[#This Row],[stand_level_biomass]]</f>
        <v>408.07396007384233</v>
      </c>
      <c r="Q440">
        <f>stand_validation_1cycle[[#This Row],[stock]]</f>
        <v>99</v>
      </c>
      <c r="R440">
        <v>0</v>
      </c>
      <c r="S440">
        <f>stand_validation_1cycle[[#This Row],[aws]]</f>
        <v>594</v>
      </c>
      <c r="T440">
        <f>stand_validation_1cycle[[#This Row],[percent_tree_cover]]*100</f>
        <v>6.6682102751970893</v>
      </c>
    </row>
    <row r="441" spans="1:20" x14ac:dyDescent="0.2">
      <c r="A441">
        <v>1</v>
      </c>
      <c r="B441" t="s">
        <v>459</v>
      </c>
      <c r="C441">
        <v>26.484822222222199</v>
      </c>
      <c r="D441">
        <v>947.49720073413403</v>
      </c>
      <c r="E441">
        <v>8.2315570886388194</v>
      </c>
      <c r="F441">
        <v>27.505573865399999</v>
      </c>
      <c r="G441">
        <v>100</v>
      </c>
      <c r="H441">
        <v>569.02600097656205</v>
      </c>
      <c r="I441">
        <v>8.2029219917076499E-2</v>
      </c>
      <c r="K441" s="1" t="str">
        <f>TEXT(stand_validation_1cycle[[#This Row],[stand_age]], ".0")</f>
        <v>26.5</v>
      </c>
      <c r="L441" s="1" t="str">
        <f t="shared" si="6"/>
        <v>"26.5"</v>
      </c>
      <c r="M441">
        <v>100</v>
      </c>
      <c r="N441">
        <f>0.029*stand_validation_1cycle[[#This Row],[stand_level_biomass]]</f>
        <v>27.477418821289888</v>
      </c>
      <c r="O441">
        <f>0.213*stand_validation_1cycle[[#This Row],[stand_level_biomass]]</f>
        <v>201.81690375637055</v>
      </c>
      <c r="P441">
        <f>0.571*stand_validation_1cycle[[#This Row],[stand_level_biomass]]</f>
        <v>541.02090161919045</v>
      </c>
      <c r="Q441">
        <f>stand_validation_1cycle[[#This Row],[stock]]</f>
        <v>100</v>
      </c>
      <c r="R441">
        <v>0</v>
      </c>
      <c r="S441">
        <f>stand_validation_1cycle[[#This Row],[aws]]</f>
        <v>569.02600097656205</v>
      </c>
      <c r="T441">
        <f>stand_validation_1cycle[[#This Row],[percent_tree_cover]]*100</f>
        <v>8.2029219917076492</v>
      </c>
    </row>
    <row r="442" spans="1:20" x14ac:dyDescent="0.2">
      <c r="A442">
        <v>1</v>
      </c>
      <c r="B442" t="s">
        <v>460</v>
      </c>
      <c r="C442">
        <v>27.442622222222202</v>
      </c>
      <c r="D442">
        <v>891.56624473152601</v>
      </c>
      <c r="E442">
        <v>7.8580539234516902</v>
      </c>
      <c r="F442">
        <v>27.044716598873499</v>
      </c>
      <c r="G442">
        <v>100</v>
      </c>
      <c r="H442">
        <v>570.57940673828102</v>
      </c>
      <c r="I442">
        <v>7.8301090264250098E-2</v>
      </c>
      <c r="K442" s="1" t="str">
        <f>TEXT(stand_validation_1cycle[[#This Row],[stand_age]], ".0")</f>
        <v>27.4</v>
      </c>
      <c r="L442" s="1" t="str">
        <f t="shared" si="6"/>
        <v>"27.4"</v>
      </c>
      <c r="M442">
        <v>100</v>
      </c>
      <c r="N442">
        <f>0.029*stand_validation_1cycle[[#This Row],[stand_level_biomass]]</f>
        <v>25.855421097214254</v>
      </c>
      <c r="O442">
        <f>0.213*stand_validation_1cycle[[#This Row],[stand_level_biomass]]</f>
        <v>189.90361012781503</v>
      </c>
      <c r="P442">
        <f>0.571*stand_validation_1cycle[[#This Row],[stand_level_biomass]]</f>
        <v>509.08432574170132</v>
      </c>
      <c r="Q442">
        <f>stand_validation_1cycle[[#This Row],[stock]]</f>
        <v>100</v>
      </c>
      <c r="R442">
        <v>0</v>
      </c>
      <c r="S442">
        <f>stand_validation_1cycle[[#This Row],[aws]]</f>
        <v>570.57940673828102</v>
      </c>
      <c r="T442">
        <f>stand_validation_1cycle[[#This Row],[percent_tree_cover]]*100</f>
        <v>7.8301090264250099</v>
      </c>
    </row>
    <row r="443" spans="1:20" x14ac:dyDescent="0.2">
      <c r="A443">
        <v>1</v>
      </c>
      <c r="B443" t="s">
        <v>461</v>
      </c>
      <c r="C443">
        <v>26.976199999999999</v>
      </c>
      <c r="D443">
        <v>857.39507585285298</v>
      </c>
      <c r="E443">
        <v>7.6669351343705596</v>
      </c>
      <c r="F443">
        <v>27.229990065440699</v>
      </c>
      <c r="G443">
        <v>100</v>
      </c>
      <c r="H443">
        <v>571.60095214843705</v>
      </c>
      <c r="I443">
        <v>7.6406008777681403E-2</v>
      </c>
      <c r="K443" s="1" t="str">
        <f>TEXT(stand_validation_1cycle[[#This Row],[stand_age]], ".0")</f>
        <v>27.0</v>
      </c>
      <c r="L443" s="1" t="str">
        <f t="shared" si="6"/>
        <v>"27.0"</v>
      </c>
      <c r="M443">
        <v>100</v>
      </c>
      <c r="N443">
        <f>0.029*stand_validation_1cycle[[#This Row],[stand_level_biomass]]</f>
        <v>24.864457199732737</v>
      </c>
      <c r="O443">
        <f>0.213*stand_validation_1cycle[[#This Row],[stand_level_biomass]]</f>
        <v>182.62515115665769</v>
      </c>
      <c r="P443">
        <f>0.571*stand_validation_1cycle[[#This Row],[stand_level_biomass]]</f>
        <v>489.57258831197902</v>
      </c>
      <c r="Q443">
        <f>stand_validation_1cycle[[#This Row],[stock]]</f>
        <v>100</v>
      </c>
      <c r="R443">
        <v>0</v>
      </c>
      <c r="S443">
        <f>stand_validation_1cycle[[#This Row],[aws]]</f>
        <v>571.60095214843705</v>
      </c>
      <c r="T443">
        <f>stand_validation_1cycle[[#This Row],[percent_tree_cover]]*100</f>
        <v>7.64060087776814</v>
      </c>
    </row>
    <row r="444" spans="1:20" x14ac:dyDescent="0.2">
      <c r="A444">
        <v>1</v>
      </c>
      <c r="B444" t="s">
        <v>462</v>
      </c>
      <c r="C444">
        <v>27.213131313131299</v>
      </c>
      <c r="D444">
        <v>810.55079515884802</v>
      </c>
      <c r="E444">
        <v>7.3254762142500498</v>
      </c>
      <c r="F444">
        <v>27.020853534188301</v>
      </c>
      <c r="G444">
        <v>99</v>
      </c>
      <c r="H444">
        <v>566.92834472656205</v>
      </c>
      <c r="I444">
        <v>7.2820214598252594E-2</v>
      </c>
      <c r="K444" s="1" t="str">
        <f>TEXT(stand_validation_1cycle[[#This Row],[stand_age]], ".0")</f>
        <v>27.2</v>
      </c>
      <c r="L444" s="1" t="str">
        <f t="shared" si="6"/>
        <v>"27.2"</v>
      </c>
      <c r="M444">
        <v>100</v>
      </c>
      <c r="N444">
        <f>0.029*stand_validation_1cycle[[#This Row],[stand_level_biomass]]</f>
        <v>23.505973059606593</v>
      </c>
      <c r="O444">
        <f>0.213*stand_validation_1cycle[[#This Row],[stand_level_biomass]]</f>
        <v>172.64731936883462</v>
      </c>
      <c r="P444">
        <f>0.571*stand_validation_1cycle[[#This Row],[stand_level_biomass]]</f>
        <v>462.8245040357022</v>
      </c>
      <c r="Q444">
        <f>stand_validation_1cycle[[#This Row],[stock]]</f>
        <v>99</v>
      </c>
      <c r="R444">
        <v>0</v>
      </c>
      <c r="S444">
        <f>stand_validation_1cycle[[#This Row],[aws]]</f>
        <v>566.92834472656205</v>
      </c>
      <c r="T444">
        <f>stand_validation_1cycle[[#This Row],[percent_tree_cover]]*100</f>
        <v>7.2820214598252591</v>
      </c>
    </row>
    <row r="445" spans="1:20" x14ac:dyDescent="0.2">
      <c r="A445">
        <v>1</v>
      </c>
      <c r="B445" t="s">
        <v>463</v>
      </c>
      <c r="C445">
        <v>28.301666666666598</v>
      </c>
      <c r="D445">
        <v>1031.44336073059</v>
      </c>
      <c r="E445">
        <v>8.8795239252104903</v>
      </c>
      <c r="F445">
        <v>28.771784228571399</v>
      </c>
      <c r="G445">
        <v>100</v>
      </c>
      <c r="H445">
        <v>569.00885009765602</v>
      </c>
      <c r="I445">
        <v>8.8474151391886205E-2</v>
      </c>
      <c r="K445" s="1" t="str">
        <f>TEXT(stand_validation_1cycle[[#This Row],[stand_age]], ".0")</f>
        <v>28.3</v>
      </c>
      <c r="L445" s="1" t="str">
        <f t="shared" si="6"/>
        <v>"28.3"</v>
      </c>
      <c r="M445">
        <v>100</v>
      </c>
      <c r="N445">
        <f>0.029*stand_validation_1cycle[[#This Row],[stand_level_biomass]]</f>
        <v>29.911857461187111</v>
      </c>
      <c r="O445">
        <f>0.213*stand_validation_1cycle[[#This Row],[stand_level_biomass]]</f>
        <v>219.69743583561566</v>
      </c>
      <c r="P445">
        <f>0.571*stand_validation_1cycle[[#This Row],[stand_level_biomass]]</f>
        <v>588.95415897716691</v>
      </c>
      <c r="Q445">
        <f>stand_validation_1cycle[[#This Row],[stock]]</f>
        <v>100</v>
      </c>
      <c r="R445">
        <v>0</v>
      </c>
      <c r="S445">
        <f>stand_validation_1cycle[[#This Row],[aws]]</f>
        <v>569.00885009765602</v>
      </c>
      <c r="T445">
        <f>stand_validation_1cycle[[#This Row],[percent_tree_cover]]*100</f>
        <v>8.8474151391886213</v>
      </c>
    </row>
    <row r="446" spans="1:20" x14ac:dyDescent="0.2">
      <c r="A446">
        <v>1</v>
      </c>
      <c r="B446" t="s">
        <v>464</v>
      </c>
      <c r="C446">
        <v>28.467088888888899</v>
      </c>
      <c r="D446">
        <v>933.02566657381101</v>
      </c>
      <c r="E446">
        <v>8.1546320509230199</v>
      </c>
      <c r="F446">
        <v>27.4796811428571</v>
      </c>
      <c r="G446">
        <v>100</v>
      </c>
      <c r="H446">
        <v>566.896728515625</v>
      </c>
      <c r="I446">
        <v>8.1239043935828203E-2</v>
      </c>
      <c r="K446" s="1" t="str">
        <f>TEXT(stand_validation_1cycle[[#This Row],[stand_age]], ".0")</f>
        <v>28.5</v>
      </c>
      <c r="L446" s="1" t="str">
        <f t="shared" si="6"/>
        <v>"28.5"</v>
      </c>
      <c r="M446">
        <v>100</v>
      </c>
      <c r="N446">
        <f>0.029*stand_validation_1cycle[[#This Row],[stand_level_biomass]]</f>
        <v>27.057744330640521</v>
      </c>
      <c r="O446">
        <f>0.213*stand_validation_1cycle[[#This Row],[stand_level_biomass]]</f>
        <v>198.73446698022175</v>
      </c>
      <c r="P446">
        <f>0.571*stand_validation_1cycle[[#This Row],[stand_level_biomass]]</f>
        <v>532.75765561364608</v>
      </c>
      <c r="Q446">
        <f>stand_validation_1cycle[[#This Row],[stock]]</f>
        <v>100</v>
      </c>
      <c r="R446">
        <v>0</v>
      </c>
      <c r="S446">
        <f>stand_validation_1cycle[[#This Row],[aws]]</f>
        <v>566.896728515625</v>
      </c>
      <c r="T446">
        <f>stand_validation_1cycle[[#This Row],[percent_tree_cover]]*100</f>
        <v>8.123904393582821</v>
      </c>
    </row>
    <row r="447" spans="1:20" x14ac:dyDescent="0.2">
      <c r="A447">
        <v>1</v>
      </c>
      <c r="B447" t="s">
        <v>465</v>
      </c>
      <c r="C447">
        <v>25.823622222222198</v>
      </c>
      <c r="D447">
        <v>850.72145096912402</v>
      </c>
      <c r="E447">
        <v>7.5151019614225598</v>
      </c>
      <c r="F447">
        <v>26.2281252571428</v>
      </c>
      <c r="G447">
        <v>100</v>
      </c>
      <c r="H447">
        <v>571.17321777343705</v>
      </c>
      <c r="I447">
        <v>7.4888772982982396E-2</v>
      </c>
      <c r="K447" s="1" t="str">
        <f>TEXT(stand_validation_1cycle[[#This Row],[stand_age]], ".0")</f>
        <v>25.8</v>
      </c>
      <c r="L447" s="1" t="str">
        <f t="shared" si="6"/>
        <v>"25.8"</v>
      </c>
      <c r="M447">
        <v>100</v>
      </c>
      <c r="N447">
        <f>0.029*stand_validation_1cycle[[#This Row],[stand_level_biomass]]</f>
        <v>24.670922078104599</v>
      </c>
      <c r="O447">
        <f>0.213*stand_validation_1cycle[[#This Row],[stand_level_biomass]]</f>
        <v>181.20366905642342</v>
      </c>
      <c r="P447">
        <f>0.571*stand_validation_1cycle[[#This Row],[stand_level_biomass]]</f>
        <v>485.76194850336975</v>
      </c>
      <c r="Q447">
        <f>stand_validation_1cycle[[#This Row],[stock]]</f>
        <v>100</v>
      </c>
      <c r="R447">
        <v>0</v>
      </c>
      <c r="S447">
        <f>stand_validation_1cycle[[#This Row],[aws]]</f>
        <v>571.17321777343705</v>
      </c>
      <c r="T447">
        <f>stand_validation_1cycle[[#This Row],[percent_tree_cover]]*100</f>
        <v>7.4888772982982399</v>
      </c>
    </row>
    <row r="448" spans="1:20" x14ac:dyDescent="0.2">
      <c r="A448">
        <v>1</v>
      </c>
      <c r="B448" t="s">
        <v>466</v>
      </c>
      <c r="C448">
        <v>27.275600000000001</v>
      </c>
      <c r="D448">
        <v>816.12753970838105</v>
      </c>
      <c r="E448">
        <v>7.2891861067121102</v>
      </c>
      <c r="F448">
        <v>26.209513599999902</v>
      </c>
      <c r="G448">
        <v>100</v>
      </c>
      <c r="H448">
        <v>566.60467529296795</v>
      </c>
      <c r="I448">
        <v>7.2634158664242304E-2</v>
      </c>
      <c r="K448" s="1" t="str">
        <f>TEXT(stand_validation_1cycle[[#This Row],[stand_age]], ".0")</f>
        <v>27.3</v>
      </c>
      <c r="L448" s="1" t="str">
        <f t="shared" si="6"/>
        <v>"27.3"</v>
      </c>
      <c r="M448">
        <v>100</v>
      </c>
      <c r="N448">
        <f>0.029*stand_validation_1cycle[[#This Row],[stand_level_biomass]]</f>
        <v>23.667698651543052</v>
      </c>
      <c r="O448">
        <f>0.213*stand_validation_1cycle[[#This Row],[stand_level_biomass]]</f>
        <v>173.83516595788515</v>
      </c>
      <c r="P448">
        <f>0.571*stand_validation_1cycle[[#This Row],[stand_level_biomass]]</f>
        <v>466.00882517348555</v>
      </c>
      <c r="Q448">
        <f>stand_validation_1cycle[[#This Row],[stock]]</f>
        <v>100</v>
      </c>
      <c r="R448">
        <v>0</v>
      </c>
      <c r="S448">
        <f>stand_validation_1cycle[[#This Row],[aws]]</f>
        <v>566.60467529296795</v>
      </c>
      <c r="T448">
        <f>stand_validation_1cycle[[#This Row],[percent_tree_cover]]*100</f>
        <v>7.2634158664242303</v>
      </c>
    </row>
    <row r="449" spans="1:20" x14ac:dyDescent="0.2">
      <c r="A449">
        <v>1</v>
      </c>
      <c r="B449" t="s">
        <v>467</v>
      </c>
      <c r="C449">
        <v>27.855768799102101</v>
      </c>
      <c r="D449">
        <v>1025.82269382148</v>
      </c>
      <c r="E449">
        <v>8.7116089394687801</v>
      </c>
      <c r="F449">
        <v>28.415288888888799</v>
      </c>
      <c r="G449">
        <v>99</v>
      </c>
      <c r="H449">
        <v>572.77899169921795</v>
      </c>
      <c r="I449">
        <v>8.6623579464859907E-2</v>
      </c>
      <c r="K449" s="1" t="str">
        <f>TEXT(stand_validation_1cycle[[#This Row],[stand_age]], ".0")</f>
        <v>27.9</v>
      </c>
      <c r="L449" s="1" t="str">
        <f t="shared" si="6"/>
        <v>"27.9"</v>
      </c>
      <c r="M449">
        <v>100</v>
      </c>
      <c r="N449">
        <f>0.029*stand_validation_1cycle[[#This Row],[stand_level_biomass]]</f>
        <v>29.748858120822923</v>
      </c>
      <c r="O449">
        <f>0.213*stand_validation_1cycle[[#This Row],[stand_level_biomass]]</f>
        <v>218.50023378397523</v>
      </c>
      <c r="P449">
        <f>0.571*stand_validation_1cycle[[#This Row],[stand_level_biomass]]</f>
        <v>585.74475817206508</v>
      </c>
      <c r="Q449">
        <f>stand_validation_1cycle[[#This Row],[stock]]</f>
        <v>99</v>
      </c>
      <c r="R449">
        <v>0</v>
      </c>
      <c r="S449">
        <f>stand_validation_1cycle[[#This Row],[aws]]</f>
        <v>572.77899169921795</v>
      </c>
      <c r="T449">
        <f>stand_validation_1cycle[[#This Row],[percent_tree_cover]]*100</f>
        <v>8.6623579464859901</v>
      </c>
    </row>
    <row r="450" spans="1:20" x14ac:dyDescent="0.2">
      <c r="A450">
        <v>1</v>
      </c>
      <c r="B450" t="s">
        <v>468</v>
      </c>
      <c r="C450">
        <v>25.821955555555501</v>
      </c>
      <c r="D450">
        <v>767.24217922742196</v>
      </c>
      <c r="E450">
        <v>7.0664126300534003</v>
      </c>
      <c r="F450">
        <v>26.728512457142799</v>
      </c>
      <c r="G450">
        <v>100</v>
      </c>
      <c r="H450">
        <v>575.71545410156205</v>
      </c>
      <c r="I450">
        <v>7.0445147140848693E-2</v>
      </c>
      <c r="K450" s="1" t="str">
        <f>TEXT(stand_validation_1cycle[[#This Row],[stand_age]], ".0")</f>
        <v>25.8</v>
      </c>
      <c r="L450" s="1" t="str">
        <f t="shared" si="6"/>
        <v>"25.8"</v>
      </c>
      <c r="M450">
        <v>100</v>
      </c>
      <c r="N450">
        <f>0.029*stand_validation_1cycle[[#This Row],[stand_level_biomass]]</f>
        <v>22.250023197595237</v>
      </c>
      <c r="O450">
        <f>0.213*stand_validation_1cycle[[#This Row],[stand_level_biomass]]</f>
        <v>163.42258417544087</v>
      </c>
      <c r="P450">
        <f>0.571*stand_validation_1cycle[[#This Row],[stand_level_biomass]]</f>
        <v>438.09528433885788</v>
      </c>
      <c r="Q450">
        <f>stand_validation_1cycle[[#This Row],[stock]]</f>
        <v>100</v>
      </c>
      <c r="R450">
        <v>0</v>
      </c>
      <c r="S450">
        <f>stand_validation_1cycle[[#This Row],[aws]]</f>
        <v>575.71545410156205</v>
      </c>
      <c r="T450">
        <f>stand_validation_1cycle[[#This Row],[percent_tree_cover]]*100</f>
        <v>7.044514714084869</v>
      </c>
    </row>
    <row r="451" spans="1:20" x14ac:dyDescent="0.2">
      <c r="A451">
        <v>1</v>
      </c>
      <c r="B451" t="s">
        <v>469</v>
      </c>
      <c r="C451">
        <v>29.321937984496099</v>
      </c>
      <c r="D451">
        <v>1111.68426397291</v>
      </c>
      <c r="E451">
        <v>4.0398525330674504</v>
      </c>
      <c r="F451">
        <v>29.6024356146179</v>
      </c>
      <c r="G451">
        <v>43</v>
      </c>
      <c r="H451">
        <v>575.71545410156205</v>
      </c>
      <c r="I451">
        <v>9.2858831972905106E-2</v>
      </c>
      <c r="K451" s="1" t="str">
        <f>TEXT(stand_validation_1cycle[[#This Row],[stand_age]], ".0")</f>
        <v>29.3</v>
      </c>
      <c r="L451" s="1" t="str">
        <f t="shared" ref="L451:L514" si="7">""""&amp;K451&amp;""""</f>
        <v>"29.3"</v>
      </c>
      <c r="M451">
        <v>100</v>
      </c>
      <c r="N451">
        <f>0.029*stand_validation_1cycle[[#This Row],[stand_level_biomass]]</f>
        <v>32.238843655214389</v>
      </c>
      <c r="O451">
        <f>0.213*stand_validation_1cycle[[#This Row],[stand_level_biomass]]</f>
        <v>236.78874822622981</v>
      </c>
      <c r="P451">
        <f>0.571*stand_validation_1cycle[[#This Row],[stand_level_biomass]]</f>
        <v>634.77171472853161</v>
      </c>
      <c r="Q451">
        <f>stand_validation_1cycle[[#This Row],[stock]]</f>
        <v>43</v>
      </c>
      <c r="R451">
        <v>0</v>
      </c>
      <c r="S451">
        <f>stand_validation_1cycle[[#This Row],[aws]]</f>
        <v>575.71545410156205</v>
      </c>
      <c r="T451">
        <f>stand_validation_1cycle[[#This Row],[percent_tree_cover]]*100</f>
        <v>9.2858831972905111</v>
      </c>
    </row>
    <row r="452" spans="1:20" x14ac:dyDescent="0.2">
      <c r="A452">
        <v>1</v>
      </c>
      <c r="B452" t="s">
        <v>470</v>
      </c>
      <c r="C452">
        <v>21.191515151515102</v>
      </c>
      <c r="D452">
        <v>318.86704725649599</v>
      </c>
      <c r="E452">
        <v>0.39485971204622999</v>
      </c>
      <c r="F452">
        <v>19.743693332428499</v>
      </c>
      <c r="G452">
        <v>11</v>
      </c>
      <c r="H452">
        <v>525.10583496093705</v>
      </c>
      <c r="I452">
        <v>3.5847940022405302E-2</v>
      </c>
      <c r="K452" s="1" t="str">
        <f>TEXT(stand_validation_1cycle[[#This Row],[stand_age]], ".0")</f>
        <v>21.2</v>
      </c>
      <c r="L452" s="1" t="str">
        <f t="shared" si="7"/>
        <v>"21.2"</v>
      </c>
      <c r="M452">
        <v>100</v>
      </c>
      <c r="N452">
        <f>0.029*stand_validation_1cycle[[#This Row],[stand_level_biomass]]</f>
        <v>9.2471443704383844</v>
      </c>
      <c r="O452">
        <f>0.213*stand_validation_1cycle[[#This Row],[stand_level_biomass]]</f>
        <v>67.918681065633649</v>
      </c>
      <c r="P452">
        <f>0.571*stand_validation_1cycle[[#This Row],[stand_level_biomass]]</f>
        <v>182.07308398345918</v>
      </c>
      <c r="Q452">
        <f>stand_validation_1cycle[[#This Row],[stock]]</f>
        <v>11</v>
      </c>
      <c r="R452">
        <v>0</v>
      </c>
      <c r="S452">
        <f>stand_validation_1cycle[[#This Row],[aws]]</f>
        <v>525.10583496093705</v>
      </c>
      <c r="T452">
        <f>stand_validation_1cycle[[#This Row],[percent_tree_cover]]*100</f>
        <v>3.58479400224053</v>
      </c>
    </row>
    <row r="453" spans="1:20" x14ac:dyDescent="0.2">
      <c r="A453">
        <v>1</v>
      </c>
      <c r="B453" t="s">
        <v>471</v>
      </c>
      <c r="C453">
        <v>37.275777777777698</v>
      </c>
      <c r="D453">
        <v>1902.6231905827001</v>
      </c>
      <c r="E453">
        <v>1.50000839032788</v>
      </c>
      <c r="F453">
        <v>37.023335332292802</v>
      </c>
      <c r="G453">
        <v>10</v>
      </c>
      <c r="H453">
        <v>525.46124267578102</v>
      </c>
      <c r="I453">
        <v>0.134171615184556</v>
      </c>
      <c r="K453" s="1" t="str">
        <f>TEXT(stand_validation_1cycle[[#This Row],[stand_age]], ".0")</f>
        <v>37.3</v>
      </c>
      <c r="L453" s="1" t="str">
        <f t="shared" si="7"/>
        <v>"37.3"</v>
      </c>
      <c r="M453">
        <v>100</v>
      </c>
      <c r="N453">
        <f>0.029*stand_validation_1cycle[[#This Row],[stand_level_biomass]]</f>
        <v>55.176072526898302</v>
      </c>
      <c r="O453">
        <f>0.213*stand_validation_1cycle[[#This Row],[stand_level_biomass]]</f>
        <v>405.25873959411513</v>
      </c>
      <c r="P453">
        <f>0.571*stand_validation_1cycle[[#This Row],[stand_level_biomass]]</f>
        <v>1086.3978418227216</v>
      </c>
      <c r="Q453">
        <f>stand_validation_1cycle[[#This Row],[stock]]</f>
        <v>10</v>
      </c>
      <c r="R453">
        <v>0</v>
      </c>
      <c r="S453">
        <f>stand_validation_1cycle[[#This Row],[aws]]</f>
        <v>525.46124267578102</v>
      </c>
      <c r="T453">
        <f>stand_validation_1cycle[[#This Row],[percent_tree_cover]]*100</f>
        <v>13.4171615184556</v>
      </c>
    </row>
    <row r="454" spans="1:20" x14ac:dyDescent="0.2">
      <c r="A454">
        <v>1</v>
      </c>
      <c r="B454" t="s">
        <v>472</v>
      </c>
      <c r="C454">
        <v>27.508428731761999</v>
      </c>
      <c r="D454">
        <v>780.79375104681799</v>
      </c>
      <c r="E454">
        <v>6.9604820527651698</v>
      </c>
      <c r="F454">
        <v>25.83987999915</v>
      </c>
      <c r="G454">
        <v>99</v>
      </c>
      <c r="H454">
        <v>0</v>
      </c>
      <c r="I454">
        <v>7.1784270621627996E-2</v>
      </c>
      <c r="K454" s="1" t="str">
        <f>TEXT(stand_validation_1cycle[[#This Row],[stand_age]], ".0")</f>
        <v>27.5</v>
      </c>
      <c r="L454" s="1" t="str">
        <f t="shared" si="7"/>
        <v>"27.5"</v>
      </c>
      <c r="M454">
        <v>100</v>
      </c>
      <c r="N454">
        <f>0.029*stand_validation_1cycle[[#This Row],[stand_level_biomass]]</f>
        <v>22.643018780357721</v>
      </c>
      <c r="O454">
        <f>0.213*stand_validation_1cycle[[#This Row],[stand_level_biomass]]</f>
        <v>166.30906897297223</v>
      </c>
      <c r="P454">
        <f>0.571*stand_validation_1cycle[[#This Row],[stand_level_biomass]]</f>
        <v>445.83323184773303</v>
      </c>
      <c r="Q454">
        <f>stand_validation_1cycle[[#This Row],[stock]]</f>
        <v>99</v>
      </c>
      <c r="R454">
        <v>0</v>
      </c>
      <c r="S454">
        <f>stand_validation_1cycle[[#This Row],[aws]]</f>
        <v>0</v>
      </c>
      <c r="T454">
        <f>stand_validation_1cycle[[#This Row],[percent_tree_cover]]*100</f>
        <v>7.1784270621627995</v>
      </c>
    </row>
    <row r="455" spans="1:20" x14ac:dyDescent="0.2">
      <c r="A455">
        <v>1</v>
      </c>
      <c r="B455" t="s">
        <v>473</v>
      </c>
      <c r="C455">
        <v>27.206228956228902</v>
      </c>
      <c r="D455">
        <v>861.68980891123897</v>
      </c>
      <c r="E455">
        <v>7.5799193010514303</v>
      </c>
      <c r="F455">
        <v>26.781443904581501</v>
      </c>
      <c r="G455">
        <v>99</v>
      </c>
      <c r="H455">
        <v>525.79309082031205</v>
      </c>
      <c r="I455">
        <v>7.5107507708577104E-2</v>
      </c>
      <c r="K455" s="1" t="str">
        <f>TEXT(stand_validation_1cycle[[#This Row],[stand_age]], ".0")</f>
        <v>27.2</v>
      </c>
      <c r="L455" s="1" t="str">
        <f t="shared" si="7"/>
        <v>"27.2"</v>
      </c>
      <c r="M455">
        <v>100</v>
      </c>
      <c r="N455">
        <f>0.029*stand_validation_1cycle[[#This Row],[stand_level_biomass]]</f>
        <v>24.989004458425931</v>
      </c>
      <c r="O455">
        <f>0.213*stand_validation_1cycle[[#This Row],[stand_level_biomass]]</f>
        <v>183.53992929809391</v>
      </c>
      <c r="P455">
        <f>0.571*stand_validation_1cycle[[#This Row],[stand_level_biomass]]</f>
        <v>492.0248808883174</v>
      </c>
      <c r="Q455">
        <f>stand_validation_1cycle[[#This Row],[stock]]</f>
        <v>99</v>
      </c>
      <c r="R455">
        <v>0</v>
      </c>
      <c r="S455">
        <f>stand_validation_1cycle[[#This Row],[aws]]</f>
        <v>525.79309082031205</v>
      </c>
      <c r="T455">
        <f>stand_validation_1cycle[[#This Row],[percent_tree_cover]]*100</f>
        <v>7.5107507708577099</v>
      </c>
    </row>
    <row r="456" spans="1:20" x14ac:dyDescent="0.2">
      <c r="A456">
        <v>1</v>
      </c>
      <c r="B456" t="s">
        <v>474</v>
      </c>
      <c r="C456">
        <v>28.747216494845301</v>
      </c>
      <c r="D456">
        <v>935.53238135652896</v>
      </c>
      <c r="E456">
        <v>8.0176523280411995</v>
      </c>
      <c r="F456">
        <v>27.964177043628801</v>
      </c>
      <c r="G456">
        <v>97</v>
      </c>
      <c r="H456">
        <v>609.233154296875</v>
      </c>
      <c r="I456">
        <v>7.9398692023674597E-2</v>
      </c>
      <c r="K456" s="1" t="str">
        <f>TEXT(stand_validation_1cycle[[#This Row],[stand_age]], ".0")</f>
        <v>28.7</v>
      </c>
      <c r="L456" s="1" t="str">
        <f t="shared" si="7"/>
        <v>"28.7"</v>
      </c>
      <c r="M456">
        <v>100</v>
      </c>
      <c r="N456">
        <f>0.029*stand_validation_1cycle[[#This Row],[stand_level_biomass]]</f>
        <v>27.130439059339341</v>
      </c>
      <c r="O456">
        <f>0.213*stand_validation_1cycle[[#This Row],[stand_level_biomass]]</f>
        <v>199.26839722894067</v>
      </c>
      <c r="P456">
        <f>0.571*stand_validation_1cycle[[#This Row],[stand_level_biomass]]</f>
        <v>534.18898975457796</v>
      </c>
      <c r="Q456">
        <f>stand_validation_1cycle[[#This Row],[stock]]</f>
        <v>97</v>
      </c>
      <c r="R456">
        <v>0</v>
      </c>
      <c r="S456">
        <f>stand_validation_1cycle[[#This Row],[aws]]</f>
        <v>609.233154296875</v>
      </c>
      <c r="T456">
        <f>stand_validation_1cycle[[#This Row],[percent_tree_cover]]*100</f>
        <v>7.9398692023674595</v>
      </c>
    </row>
    <row r="457" spans="1:20" x14ac:dyDescent="0.2">
      <c r="A457">
        <v>1</v>
      </c>
      <c r="B457" t="s">
        <v>475</v>
      </c>
      <c r="C457">
        <v>31.2728170594837</v>
      </c>
      <c r="D457">
        <v>1076.77427634074</v>
      </c>
      <c r="E457">
        <v>9.2682700979528398</v>
      </c>
      <c r="F457">
        <v>30.291682288529501</v>
      </c>
      <c r="G457">
        <v>99</v>
      </c>
      <c r="H457">
        <v>524.85400390625</v>
      </c>
      <c r="I457">
        <v>9.2171364521007895E-2</v>
      </c>
      <c r="K457" s="1" t="str">
        <f>TEXT(stand_validation_1cycle[[#This Row],[stand_age]], ".0")</f>
        <v>31.3</v>
      </c>
      <c r="L457" s="1" t="str">
        <f t="shared" si="7"/>
        <v>"31.3"</v>
      </c>
      <c r="M457">
        <v>100</v>
      </c>
      <c r="N457">
        <f>0.029*stand_validation_1cycle[[#This Row],[stand_level_biomass]]</f>
        <v>31.226454013881462</v>
      </c>
      <c r="O457">
        <f>0.213*stand_validation_1cycle[[#This Row],[stand_level_biomass]]</f>
        <v>229.35292086057763</v>
      </c>
      <c r="P457">
        <f>0.571*stand_validation_1cycle[[#This Row],[stand_level_biomass]]</f>
        <v>614.83811179056249</v>
      </c>
      <c r="Q457">
        <f>stand_validation_1cycle[[#This Row],[stock]]</f>
        <v>99</v>
      </c>
      <c r="R457">
        <v>0</v>
      </c>
      <c r="S457">
        <f>stand_validation_1cycle[[#This Row],[aws]]</f>
        <v>524.85400390625</v>
      </c>
      <c r="T457">
        <f>stand_validation_1cycle[[#This Row],[percent_tree_cover]]*100</f>
        <v>9.2171364521007888</v>
      </c>
    </row>
    <row r="458" spans="1:20" x14ac:dyDescent="0.2">
      <c r="A458">
        <v>1</v>
      </c>
      <c r="B458" t="s">
        <v>476</v>
      </c>
      <c r="C458">
        <v>25.732944444444399</v>
      </c>
      <c r="D458">
        <v>664.70359924310696</v>
      </c>
      <c r="E458">
        <v>6.2628709836833103</v>
      </c>
      <c r="F458">
        <v>24.859789332319998</v>
      </c>
      <c r="G458">
        <v>100</v>
      </c>
      <c r="H458">
        <v>526.59509277343705</v>
      </c>
      <c r="I458">
        <v>6.2416406936224099E-2</v>
      </c>
      <c r="K458" s="1" t="str">
        <f>TEXT(stand_validation_1cycle[[#This Row],[stand_age]], ".0")</f>
        <v>25.7</v>
      </c>
      <c r="L458" s="1" t="str">
        <f t="shared" si="7"/>
        <v>"25.7"</v>
      </c>
      <c r="M458">
        <v>100</v>
      </c>
      <c r="N458">
        <f>0.029*stand_validation_1cycle[[#This Row],[stand_level_biomass]]</f>
        <v>19.276404378050103</v>
      </c>
      <c r="O458">
        <f>0.213*stand_validation_1cycle[[#This Row],[stand_level_biomass]]</f>
        <v>141.58186663878178</v>
      </c>
      <c r="P458">
        <f>0.571*stand_validation_1cycle[[#This Row],[stand_level_biomass]]</f>
        <v>379.54575516781404</v>
      </c>
      <c r="Q458">
        <f>stand_validation_1cycle[[#This Row],[stock]]</f>
        <v>100</v>
      </c>
      <c r="R458">
        <v>0</v>
      </c>
      <c r="S458">
        <f>stand_validation_1cycle[[#This Row],[aws]]</f>
        <v>526.59509277343705</v>
      </c>
      <c r="T458">
        <f>stand_validation_1cycle[[#This Row],[percent_tree_cover]]*100</f>
        <v>6.2416406936224096</v>
      </c>
    </row>
    <row r="459" spans="1:20" x14ac:dyDescent="0.2">
      <c r="A459">
        <v>1</v>
      </c>
      <c r="B459" t="s">
        <v>477</v>
      </c>
      <c r="C459">
        <v>26.105899999999998</v>
      </c>
      <c r="D459">
        <v>691.47584959472499</v>
      </c>
      <c r="E459">
        <v>6.5092857304584397</v>
      </c>
      <c r="F459">
        <v>25.4706600655764</v>
      </c>
      <c r="G459">
        <v>100</v>
      </c>
      <c r="H459">
        <v>524.916748046875</v>
      </c>
      <c r="I459">
        <v>6.4880005905595103E-2</v>
      </c>
      <c r="K459" s="1" t="str">
        <f>TEXT(stand_validation_1cycle[[#This Row],[stand_age]], ".0")</f>
        <v>26.1</v>
      </c>
      <c r="L459" s="1" t="str">
        <f t="shared" si="7"/>
        <v>"26.1"</v>
      </c>
      <c r="M459">
        <v>100</v>
      </c>
      <c r="N459">
        <f>0.029*stand_validation_1cycle[[#This Row],[stand_level_biomass]]</f>
        <v>20.052799638247027</v>
      </c>
      <c r="O459">
        <f>0.213*stand_validation_1cycle[[#This Row],[stand_level_biomass]]</f>
        <v>147.28435596367643</v>
      </c>
      <c r="P459">
        <f>0.571*stand_validation_1cycle[[#This Row],[stand_level_biomass]]</f>
        <v>394.83271011858795</v>
      </c>
      <c r="Q459">
        <f>stand_validation_1cycle[[#This Row],[stock]]</f>
        <v>100</v>
      </c>
      <c r="R459">
        <v>0</v>
      </c>
      <c r="S459">
        <f>stand_validation_1cycle[[#This Row],[aws]]</f>
        <v>524.916748046875</v>
      </c>
      <c r="T459">
        <f>stand_validation_1cycle[[#This Row],[percent_tree_cover]]*100</f>
        <v>6.4880005905595102</v>
      </c>
    </row>
    <row r="460" spans="1:20" x14ac:dyDescent="0.2">
      <c r="A460">
        <v>1</v>
      </c>
      <c r="B460" t="s">
        <v>478</v>
      </c>
      <c r="C460">
        <v>28.626433333333299</v>
      </c>
      <c r="D460">
        <v>1080.77994890849</v>
      </c>
      <c r="E460">
        <v>9.1632066002370003</v>
      </c>
      <c r="F460">
        <v>28.7104623321978</v>
      </c>
      <c r="G460">
        <v>100</v>
      </c>
      <c r="H460">
        <v>525.13970947265602</v>
      </c>
      <c r="I460">
        <v>9.1288229458011405E-2</v>
      </c>
      <c r="K460" s="1" t="str">
        <f>TEXT(stand_validation_1cycle[[#This Row],[stand_age]], ".0")</f>
        <v>28.6</v>
      </c>
      <c r="L460" s="1" t="str">
        <f t="shared" si="7"/>
        <v>"28.6"</v>
      </c>
      <c r="M460">
        <v>100</v>
      </c>
      <c r="N460">
        <f>0.029*stand_validation_1cycle[[#This Row],[stand_level_biomass]]</f>
        <v>31.342618518346214</v>
      </c>
      <c r="O460">
        <f>0.213*stand_validation_1cycle[[#This Row],[stand_level_biomass]]</f>
        <v>230.20612911750837</v>
      </c>
      <c r="P460">
        <f>0.571*stand_validation_1cycle[[#This Row],[stand_level_biomass]]</f>
        <v>617.12535082674776</v>
      </c>
      <c r="Q460">
        <f>stand_validation_1cycle[[#This Row],[stock]]</f>
        <v>100</v>
      </c>
      <c r="R460">
        <v>0</v>
      </c>
      <c r="S460">
        <f>stand_validation_1cycle[[#This Row],[aws]]</f>
        <v>525.13970947265602</v>
      </c>
      <c r="T460">
        <f>stand_validation_1cycle[[#This Row],[percent_tree_cover]]*100</f>
        <v>9.1288229458011401</v>
      </c>
    </row>
    <row r="461" spans="1:20" x14ac:dyDescent="0.2">
      <c r="A461">
        <v>1</v>
      </c>
      <c r="B461" t="s">
        <v>479</v>
      </c>
      <c r="C461">
        <v>28.1176430976431</v>
      </c>
      <c r="D461">
        <v>762.32174008944799</v>
      </c>
      <c r="E461">
        <v>6.9683305366120001</v>
      </c>
      <c r="F461">
        <v>26.666379460315301</v>
      </c>
      <c r="G461">
        <v>99</v>
      </c>
      <c r="H461">
        <v>585</v>
      </c>
      <c r="I461">
        <v>6.9422260235603106E-2</v>
      </c>
      <c r="K461" s="1" t="str">
        <f>TEXT(stand_validation_1cycle[[#This Row],[stand_age]], ".0")</f>
        <v>28.1</v>
      </c>
      <c r="L461" s="1" t="str">
        <f t="shared" si="7"/>
        <v>"28.1"</v>
      </c>
      <c r="M461">
        <v>100</v>
      </c>
      <c r="N461">
        <f>0.029*stand_validation_1cycle[[#This Row],[stand_level_biomass]]</f>
        <v>22.107330462593993</v>
      </c>
      <c r="O461">
        <f>0.213*stand_validation_1cycle[[#This Row],[stand_level_biomass]]</f>
        <v>162.37453063905241</v>
      </c>
      <c r="P461">
        <f>0.571*stand_validation_1cycle[[#This Row],[stand_level_biomass]]</f>
        <v>435.28571359107474</v>
      </c>
      <c r="Q461">
        <f>stand_validation_1cycle[[#This Row],[stock]]</f>
        <v>99</v>
      </c>
      <c r="R461">
        <v>0</v>
      </c>
      <c r="S461">
        <f>stand_validation_1cycle[[#This Row],[aws]]</f>
        <v>585</v>
      </c>
      <c r="T461">
        <f>stand_validation_1cycle[[#This Row],[percent_tree_cover]]*100</f>
        <v>6.9422260235603108</v>
      </c>
    </row>
    <row r="462" spans="1:20" x14ac:dyDescent="0.2">
      <c r="A462">
        <v>1</v>
      </c>
      <c r="B462" t="s">
        <v>480</v>
      </c>
      <c r="C462">
        <v>31.503344556677899</v>
      </c>
      <c r="D462">
        <v>1119.8933788745401</v>
      </c>
      <c r="E462">
        <v>9.4683377137077294</v>
      </c>
      <c r="F462">
        <v>29.843453803776999</v>
      </c>
      <c r="G462">
        <v>99</v>
      </c>
      <c r="H462">
        <v>627.71142578125</v>
      </c>
      <c r="I462">
        <v>9.3983944649093903E-2</v>
      </c>
      <c r="K462" s="1" t="str">
        <f>TEXT(stand_validation_1cycle[[#This Row],[stand_age]], ".0")</f>
        <v>31.5</v>
      </c>
      <c r="L462" s="1" t="str">
        <f t="shared" si="7"/>
        <v>"31.5"</v>
      </c>
      <c r="M462">
        <v>100</v>
      </c>
      <c r="N462">
        <f>0.029*stand_validation_1cycle[[#This Row],[stand_level_biomass]]</f>
        <v>32.476907987361663</v>
      </c>
      <c r="O462">
        <f>0.213*stand_validation_1cycle[[#This Row],[stand_level_biomass]]</f>
        <v>238.53728970027703</v>
      </c>
      <c r="P462">
        <f>0.571*stand_validation_1cycle[[#This Row],[stand_level_biomass]]</f>
        <v>639.45911933736238</v>
      </c>
      <c r="Q462">
        <f>stand_validation_1cycle[[#This Row],[stock]]</f>
        <v>99</v>
      </c>
      <c r="R462">
        <v>0</v>
      </c>
      <c r="S462">
        <f>stand_validation_1cycle[[#This Row],[aws]]</f>
        <v>627.71142578125</v>
      </c>
      <c r="T462">
        <f>stand_validation_1cycle[[#This Row],[percent_tree_cover]]*100</f>
        <v>9.3983944649093907</v>
      </c>
    </row>
    <row r="463" spans="1:20" x14ac:dyDescent="0.2">
      <c r="A463">
        <v>1</v>
      </c>
      <c r="B463" t="s">
        <v>481</v>
      </c>
      <c r="C463">
        <v>27.856188888888799</v>
      </c>
      <c r="D463">
        <v>905.29548535857202</v>
      </c>
      <c r="E463">
        <v>7.9300176009693102</v>
      </c>
      <c r="F463">
        <v>27.2002111989142</v>
      </c>
      <c r="G463">
        <v>100</v>
      </c>
      <c r="H463">
        <v>567.36187744140602</v>
      </c>
      <c r="I463">
        <v>7.90114145721761E-2</v>
      </c>
      <c r="K463" s="1" t="str">
        <f>TEXT(stand_validation_1cycle[[#This Row],[stand_age]], ".0")</f>
        <v>27.9</v>
      </c>
      <c r="L463" s="1" t="str">
        <f t="shared" si="7"/>
        <v>"27.9"</v>
      </c>
      <c r="M463">
        <v>100</v>
      </c>
      <c r="N463">
        <f>0.029*stand_validation_1cycle[[#This Row],[stand_level_biomass]]</f>
        <v>26.253569075398591</v>
      </c>
      <c r="O463">
        <f>0.213*stand_validation_1cycle[[#This Row],[stand_level_biomass]]</f>
        <v>192.82793838137584</v>
      </c>
      <c r="P463">
        <f>0.571*stand_validation_1cycle[[#This Row],[stand_level_biomass]]</f>
        <v>516.92372213974454</v>
      </c>
      <c r="Q463">
        <f>stand_validation_1cycle[[#This Row],[stock]]</f>
        <v>100</v>
      </c>
      <c r="R463">
        <v>0</v>
      </c>
      <c r="S463">
        <f>stand_validation_1cycle[[#This Row],[aws]]</f>
        <v>567.36187744140602</v>
      </c>
      <c r="T463">
        <f>stand_validation_1cycle[[#This Row],[percent_tree_cover]]*100</f>
        <v>7.9011414572176104</v>
      </c>
    </row>
    <row r="464" spans="1:20" x14ac:dyDescent="0.2">
      <c r="A464">
        <v>1</v>
      </c>
      <c r="B464" t="s">
        <v>482</v>
      </c>
      <c r="C464">
        <v>29.4507222222222</v>
      </c>
      <c r="D464">
        <v>1095.1264983558799</v>
      </c>
      <c r="E464">
        <v>9.3693531977765794</v>
      </c>
      <c r="F464">
        <v>29.682863932089202</v>
      </c>
      <c r="G464">
        <v>100</v>
      </c>
      <c r="H464">
        <v>567.02972412109295</v>
      </c>
      <c r="I464">
        <v>9.3343458997593595E-2</v>
      </c>
      <c r="K464" s="1" t="str">
        <f>TEXT(stand_validation_1cycle[[#This Row],[stand_age]], ".0")</f>
        <v>29.5</v>
      </c>
      <c r="L464" s="1" t="str">
        <f t="shared" si="7"/>
        <v>"29.5"</v>
      </c>
      <c r="M464">
        <v>100</v>
      </c>
      <c r="N464">
        <f>0.029*stand_validation_1cycle[[#This Row],[stand_level_biomass]]</f>
        <v>31.758668452320517</v>
      </c>
      <c r="O464">
        <f>0.213*stand_validation_1cycle[[#This Row],[stand_level_biomass]]</f>
        <v>233.26194414980242</v>
      </c>
      <c r="P464">
        <f>0.571*stand_validation_1cycle[[#This Row],[stand_level_biomass]]</f>
        <v>625.31723056120734</v>
      </c>
      <c r="Q464">
        <f>stand_validation_1cycle[[#This Row],[stock]]</f>
        <v>100</v>
      </c>
      <c r="R464">
        <v>0</v>
      </c>
      <c r="S464">
        <f>stand_validation_1cycle[[#This Row],[aws]]</f>
        <v>567.02972412109295</v>
      </c>
      <c r="T464">
        <f>stand_validation_1cycle[[#This Row],[percent_tree_cover]]*100</f>
        <v>9.3343458997593594</v>
      </c>
    </row>
    <row r="465" spans="1:20" x14ac:dyDescent="0.2">
      <c r="A465">
        <v>1</v>
      </c>
      <c r="B465" t="s">
        <v>483</v>
      </c>
      <c r="C465">
        <v>28.307655555555499</v>
      </c>
      <c r="D465">
        <v>878.91562228355895</v>
      </c>
      <c r="E465">
        <v>7.9407594916501001</v>
      </c>
      <c r="F465">
        <v>28.471776332170698</v>
      </c>
      <c r="G465">
        <v>100</v>
      </c>
      <c r="H465">
        <v>524.13592529296795</v>
      </c>
      <c r="I465">
        <v>7.9128827805342306E-2</v>
      </c>
      <c r="K465" s="1" t="str">
        <f>TEXT(stand_validation_1cycle[[#This Row],[stand_age]], ".0")</f>
        <v>28.3</v>
      </c>
      <c r="L465" s="1" t="str">
        <f t="shared" si="7"/>
        <v>"28.3"</v>
      </c>
      <c r="M465">
        <v>100</v>
      </c>
      <c r="N465">
        <f>0.029*stand_validation_1cycle[[#This Row],[stand_level_biomass]]</f>
        <v>25.48855304622321</v>
      </c>
      <c r="O465">
        <f>0.213*stand_validation_1cycle[[#This Row],[stand_level_biomass]]</f>
        <v>187.20902754639806</v>
      </c>
      <c r="P465">
        <f>0.571*stand_validation_1cycle[[#This Row],[stand_level_biomass]]</f>
        <v>501.86082032391209</v>
      </c>
      <c r="Q465">
        <f>stand_validation_1cycle[[#This Row],[stock]]</f>
        <v>100</v>
      </c>
      <c r="R465">
        <v>0</v>
      </c>
      <c r="S465">
        <f>stand_validation_1cycle[[#This Row],[aws]]</f>
        <v>524.13592529296795</v>
      </c>
      <c r="T465">
        <f>stand_validation_1cycle[[#This Row],[percent_tree_cover]]*100</f>
        <v>7.9128827805342308</v>
      </c>
    </row>
    <row r="466" spans="1:20" x14ac:dyDescent="0.2">
      <c r="A466">
        <v>1</v>
      </c>
      <c r="B466" t="s">
        <v>484</v>
      </c>
      <c r="C466">
        <v>27.2507555555555</v>
      </c>
      <c r="D466">
        <v>799.70488703226101</v>
      </c>
      <c r="E466">
        <v>7.1993781829221</v>
      </c>
      <c r="F466">
        <v>26.334060732306401</v>
      </c>
      <c r="G466">
        <v>100</v>
      </c>
      <c r="H466">
        <v>525.45574951171795</v>
      </c>
      <c r="I466">
        <v>7.1731216980246301E-2</v>
      </c>
      <c r="K466" s="1" t="str">
        <f>TEXT(stand_validation_1cycle[[#This Row],[stand_age]], ".0")</f>
        <v>27.3</v>
      </c>
      <c r="L466" s="1" t="str">
        <f t="shared" si="7"/>
        <v>"27.3"</v>
      </c>
      <c r="M466">
        <v>100</v>
      </c>
      <c r="N466">
        <f>0.029*stand_validation_1cycle[[#This Row],[stand_level_biomass]]</f>
        <v>23.191441723935572</v>
      </c>
      <c r="O466">
        <f>0.213*stand_validation_1cycle[[#This Row],[stand_level_biomass]]</f>
        <v>170.3371409378716</v>
      </c>
      <c r="P466">
        <f>0.571*stand_validation_1cycle[[#This Row],[stand_level_biomass]]</f>
        <v>456.63149049542102</v>
      </c>
      <c r="Q466">
        <f>stand_validation_1cycle[[#This Row],[stock]]</f>
        <v>100</v>
      </c>
      <c r="R466">
        <v>0</v>
      </c>
      <c r="S466">
        <f>stand_validation_1cycle[[#This Row],[aws]]</f>
        <v>525.45574951171795</v>
      </c>
      <c r="T466">
        <f>stand_validation_1cycle[[#This Row],[percent_tree_cover]]*100</f>
        <v>7.1731216980246302</v>
      </c>
    </row>
    <row r="467" spans="1:20" x14ac:dyDescent="0.2">
      <c r="A467">
        <v>1</v>
      </c>
      <c r="B467" t="s">
        <v>485</v>
      </c>
      <c r="C467">
        <v>28.6140333333333</v>
      </c>
      <c r="D467">
        <v>1140.96075407544</v>
      </c>
      <c r="E467">
        <v>9.5701213886932202</v>
      </c>
      <c r="F467">
        <v>29.305771598778499</v>
      </c>
      <c r="G467">
        <v>100</v>
      </c>
      <c r="H467">
        <v>525.41802978515602</v>
      </c>
      <c r="I467">
        <v>9.5342199850179193E-2</v>
      </c>
      <c r="K467" s="1" t="str">
        <f>TEXT(stand_validation_1cycle[[#This Row],[stand_age]], ".0")</f>
        <v>28.6</v>
      </c>
      <c r="L467" s="1" t="str">
        <f t="shared" si="7"/>
        <v>"28.6"</v>
      </c>
      <c r="M467">
        <v>100</v>
      </c>
      <c r="N467">
        <f>0.029*stand_validation_1cycle[[#This Row],[stand_level_biomass]]</f>
        <v>33.087861868187765</v>
      </c>
      <c r="O467">
        <f>0.213*stand_validation_1cycle[[#This Row],[stand_level_biomass]]</f>
        <v>243.02464061806873</v>
      </c>
      <c r="P467">
        <f>0.571*stand_validation_1cycle[[#This Row],[stand_level_biomass]]</f>
        <v>651.48859057707625</v>
      </c>
      <c r="Q467">
        <f>stand_validation_1cycle[[#This Row],[stock]]</f>
        <v>100</v>
      </c>
      <c r="R467">
        <v>0</v>
      </c>
      <c r="S467">
        <f>stand_validation_1cycle[[#This Row],[aws]]</f>
        <v>525.41802978515602</v>
      </c>
      <c r="T467">
        <f>stand_validation_1cycle[[#This Row],[percent_tree_cover]]*100</f>
        <v>9.5342199850179199</v>
      </c>
    </row>
    <row r="468" spans="1:20" x14ac:dyDescent="0.2">
      <c r="A468">
        <v>1</v>
      </c>
      <c r="B468" t="s">
        <v>486</v>
      </c>
      <c r="C468">
        <v>27.7306172839506</v>
      </c>
      <c r="D468">
        <v>887.21542482462598</v>
      </c>
      <c r="E468">
        <v>7.7809026910648296</v>
      </c>
      <c r="F468">
        <v>27.044019864246</v>
      </c>
      <c r="G468">
        <v>99</v>
      </c>
      <c r="H468">
        <v>524.252685546875</v>
      </c>
      <c r="I468">
        <v>7.7165161040246594E-2</v>
      </c>
      <c r="K468" s="1" t="str">
        <f>TEXT(stand_validation_1cycle[[#This Row],[stand_age]], ".0")</f>
        <v>27.7</v>
      </c>
      <c r="L468" s="1" t="str">
        <f t="shared" si="7"/>
        <v>"27.7"</v>
      </c>
      <c r="M468">
        <v>100</v>
      </c>
      <c r="N468">
        <f>0.029*stand_validation_1cycle[[#This Row],[stand_level_biomass]]</f>
        <v>25.729247319914155</v>
      </c>
      <c r="O468">
        <f>0.213*stand_validation_1cycle[[#This Row],[stand_level_biomass]]</f>
        <v>188.97688548764532</v>
      </c>
      <c r="P468">
        <f>0.571*stand_validation_1cycle[[#This Row],[stand_level_biomass]]</f>
        <v>506.60000757486142</v>
      </c>
      <c r="Q468">
        <f>stand_validation_1cycle[[#This Row],[stock]]</f>
        <v>99</v>
      </c>
      <c r="R468">
        <v>0</v>
      </c>
      <c r="S468">
        <f>stand_validation_1cycle[[#This Row],[aws]]</f>
        <v>524.252685546875</v>
      </c>
      <c r="T468">
        <f>stand_validation_1cycle[[#This Row],[percent_tree_cover]]*100</f>
        <v>7.7165161040246595</v>
      </c>
    </row>
    <row r="469" spans="1:20" x14ac:dyDescent="0.2">
      <c r="A469">
        <v>1</v>
      </c>
      <c r="B469" t="s">
        <v>487</v>
      </c>
      <c r="C469">
        <v>27.0611896745229</v>
      </c>
      <c r="D469">
        <v>851.22202248717997</v>
      </c>
      <c r="E469">
        <v>7.7123405729928898</v>
      </c>
      <c r="F469">
        <v>26.694409561202001</v>
      </c>
      <c r="G469">
        <v>99</v>
      </c>
      <c r="H469">
        <v>523.815673828125</v>
      </c>
      <c r="I469">
        <v>7.4549808284937902E-2</v>
      </c>
      <c r="K469" s="1" t="str">
        <f>TEXT(stand_validation_1cycle[[#This Row],[stand_age]], ".0")</f>
        <v>27.1</v>
      </c>
      <c r="L469" s="1" t="str">
        <f t="shared" si="7"/>
        <v>"27.1"</v>
      </c>
      <c r="M469">
        <v>100</v>
      </c>
      <c r="N469">
        <f>0.029*stand_validation_1cycle[[#This Row],[stand_level_biomass]]</f>
        <v>24.685438652128219</v>
      </c>
      <c r="O469">
        <f>0.213*stand_validation_1cycle[[#This Row],[stand_level_biomass]]</f>
        <v>181.31029078976934</v>
      </c>
      <c r="P469">
        <f>0.571*stand_validation_1cycle[[#This Row],[stand_level_biomass]]</f>
        <v>486.04777484017973</v>
      </c>
      <c r="Q469">
        <f>stand_validation_1cycle[[#This Row],[stock]]</f>
        <v>99</v>
      </c>
      <c r="R469">
        <v>0</v>
      </c>
      <c r="S469">
        <f>stand_validation_1cycle[[#This Row],[aws]]</f>
        <v>523.815673828125</v>
      </c>
      <c r="T469">
        <f>stand_validation_1cycle[[#This Row],[percent_tree_cover]]*100</f>
        <v>7.45498082849379</v>
      </c>
    </row>
    <row r="470" spans="1:20" x14ac:dyDescent="0.2">
      <c r="A470">
        <v>1</v>
      </c>
      <c r="B470" t="s">
        <v>488</v>
      </c>
      <c r="C470">
        <v>28.815140291806902</v>
      </c>
      <c r="D470">
        <v>944.77353311679303</v>
      </c>
      <c r="E470">
        <v>8.2938399483943996</v>
      </c>
      <c r="F470">
        <v>28.661126530830401</v>
      </c>
      <c r="G470">
        <v>99</v>
      </c>
      <c r="H470">
        <v>568.85955810546795</v>
      </c>
      <c r="I470">
        <v>8.2338878166568305E-2</v>
      </c>
      <c r="K470" s="1" t="str">
        <f>TEXT(stand_validation_1cycle[[#This Row],[stand_age]], ".0")</f>
        <v>28.8</v>
      </c>
      <c r="L470" s="1" t="str">
        <f t="shared" si="7"/>
        <v>"28.8"</v>
      </c>
      <c r="M470">
        <v>100</v>
      </c>
      <c r="N470">
        <f>0.029*stand_validation_1cycle[[#This Row],[stand_level_biomass]]</f>
        <v>27.398432460386999</v>
      </c>
      <c r="O470">
        <f>0.213*stand_validation_1cycle[[#This Row],[stand_level_biomass]]</f>
        <v>201.2367625538769</v>
      </c>
      <c r="P470">
        <f>0.571*stand_validation_1cycle[[#This Row],[stand_level_biomass]]</f>
        <v>539.46568740968883</v>
      </c>
      <c r="Q470">
        <f>stand_validation_1cycle[[#This Row],[stock]]</f>
        <v>99</v>
      </c>
      <c r="R470">
        <v>0</v>
      </c>
      <c r="S470">
        <f>stand_validation_1cycle[[#This Row],[aws]]</f>
        <v>568.85955810546795</v>
      </c>
      <c r="T470">
        <f>stand_validation_1cycle[[#This Row],[percent_tree_cover]]*100</f>
        <v>8.2338878166568303</v>
      </c>
    </row>
    <row r="471" spans="1:20" x14ac:dyDescent="0.2">
      <c r="A471">
        <v>1</v>
      </c>
      <c r="B471" t="s">
        <v>489</v>
      </c>
      <c r="C471">
        <v>28.387289562289499</v>
      </c>
      <c r="D471">
        <v>890.75036076787296</v>
      </c>
      <c r="E471">
        <v>5.2075448232949304</v>
      </c>
      <c r="F471">
        <v>27.435512928292201</v>
      </c>
      <c r="G471">
        <v>66</v>
      </c>
      <c r="H471">
        <v>568.85955810546795</v>
      </c>
      <c r="I471">
        <v>7.4987244256971994E-2</v>
      </c>
      <c r="K471" s="1" t="str">
        <f>TEXT(stand_validation_1cycle[[#This Row],[stand_age]], ".0")</f>
        <v>28.4</v>
      </c>
      <c r="L471" s="1" t="str">
        <f t="shared" si="7"/>
        <v>"28.4"</v>
      </c>
      <c r="M471">
        <v>100</v>
      </c>
      <c r="N471">
        <f>0.029*stand_validation_1cycle[[#This Row],[stand_level_biomass]]</f>
        <v>25.831760462268317</v>
      </c>
      <c r="O471">
        <f>0.213*stand_validation_1cycle[[#This Row],[stand_level_biomass]]</f>
        <v>189.72982684355694</v>
      </c>
      <c r="P471">
        <f>0.571*stand_validation_1cycle[[#This Row],[stand_level_biomass]]</f>
        <v>508.61845599845543</v>
      </c>
      <c r="Q471">
        <f>stand_validation_1cycle[[#This Row],[stock]]</f>
        <v>66</v>
      </c>
      <c r="R471">
        <v>0</v>
      </c>
      <c r="S471">
        <f>stand_validation_1cycle[[#This Row],[aws]]</f>
        <v>568.85955810546795</v>
      </c>
      <c r="T471">
        <f>stand_validation_1cycle[[#This Row],[percent_tree_cover]]*100</f>
        <v>7.4987244256971994</v>
      </c>
    </row>
    <row r="472" spans="1:20" x14ac:dyDescent="0.2">
      <c r="A472">
        <v>1</v>
      </c>
      <c r="B472" t="s">
        <v>490</v>
      </c>
      <c r="C472">
        <v>27.086988888888801</v>
      </c>
      <c r="D472">
        <v>809.97183570044297</v>
      </c>
      <c r="E472">
        <v>7.3785345725765197</v>
      </c>
      <c r="F472">
        <v>26.9551789988735</v>
      </c>
      <c r="G472">
        <v>100</v>
      </c>
      <c r="H472">
        <v>577</v>
      </c>
      <c r="I472">
        <v>7.3530374457789996E-2</v>
      </c>
      <c r="K472" s="1" t="str">
        <f>TEXT(stand_validation_1cycle[[#This Row],[stand_age]], ".0")</f>
        <v>27.1</v>
      </c>
      <c r="L472" s="1" t="str">
        <f t="shared" si="7"/>
        <v>"27.1"</v>
      </c>
      <c r="M472">
        <v>100</v>
      </c>
      <c r="N472">
        <f>0.029*stand_validation_1cycle[[#This Row],[stand_level_biomass]]</f>
        <v>23.489183235312847</v>
      </c>
      <c r="O472">
        <f>0.213*stand_validation_1cycle[[#This Row],[stand_level_biomass]]</f>
        <v>172.52400100419436</v>
      </c>
      <c r="P472">
        <f>0.571*stand_validation_1cycle[[#This Row],[stand_level_biomass]]</f>
        <v>462.49391818495292</v>
      </c>
      <c r="Q472">
        <f>stand_validation_1cycle[[#This Row],[stock]]</f>
        <v>100</v>
      </c>
      <c r="R472">
        <v>0</v>
      </c>
      <c r="S472">
        <f>stand_validation_1cycle[[#This Row],[aws]]</f>
        <v>577</v>
      </c>
      <c r="T472">
        <f>stand_validation_1cycle[[#This Row],[percent_tree_cover]]*100</f>
        <v>7.353037445779</v>
      </c>
    </row>
    <row r="473" spans="1:20" x14ac:dyDescent="0.2">
      <c r="A473">
        <v>1</v>
      </c>
      <c r="B473" t="s">
        <v>491</v>
      </c>
      <c r="C473">
        <v>28.112603815937099</v>
      </c>
      <c r="D473">
        <v>975.96761084236505</v>
      </c>
      <c r="E473">
        <v>8.3630429513676798</v>
      </c>
      <c r="F473">
        <v>27.974764241341202</v>
      </c>
      <c r="G473">
        <v>99</v>
      </c>
      <c r="H473">
        <v>566.92834472656205</v>
      </c>
      <c r="I473">
        <v>8.3072468769199201E-2</v>
      </c>
      <c r="K473" s="1" t="str">
        <f>TEXT(stand_validation_1cycle[[#This Row],[stand_age]], ".0")</f>
        <v>28.1</v>
      </c>
      <c r="L473" s="1" t="str">
        <f t="shared" si="7"/>
        <v>"28.1"</v>
      </c>
      <c r="M473">
        <v>100</v>
      </c>
      <c r="N473">
        <f>0.029*stand_validation_1cycle[[#This Row],[stand_level_biomass]]</f>
        <v>28.30306071442859</v>
      </c>
      <c r="O473">
        <f>0.213*stand_validation_1cycle[[#This Row],[stand_level_biomass]]</f>
        <v>207.88110110942375</v>
      </c>
      <c r="P473">
        <f>0.571*stand_validation_1cycle[[#This Row],[stand_level_biomass]]</f>
        <v>557.2775057909904</v>
      </c>
      <c r="Q473">
        <f>stand_validation_1cycle[[#This Row],[stock]]</f>
        <v>99</v>
      </c>
      <c r="R473">
        <v>0</v>
      </c>
      <c r="S473">
        <f>stand_validation_1cycle[[#This Row],[aws]]</f>
        <v>566.92834472656205</v>
      </c>
      <c r="T473">
        <f>stand_validation_1cycle[[#This Row],[percent_tree_cover]]*100</f>
        <v>8.3072468769199208</v>
      </c>
    </row>
    <row r="474" spans="1:20" x14ac:dyDescent="0.2">
      <c r="A474">
        <v>1</v>
      </c>
      <c r="B474" t="s">
        <v>492</v>
      </c>
      <c r="C474">
        <v>26.462413019079602</v>
      </c>
      <c r="D474">
        <v>753.35962233642999</v>
      </c>
      <c r="E474">
        <v>6.7587368265332701</v>
      </c>
      <c r="F474">
        <v>25.261287541137001</v>
      </c>
      <c r="G474">
        <v>99</v>
      </c>
      <c r="H474">
        <v>570.716552734375</v>
      </c>
      <c r="I474">
        <v>6.7061458055254902E-2</v>
      </c>
      <c r="K474" s="1" t="str">
        <f>TEXT(stand_validation_1cycle[[#This Row],[stand_age]], ".0")</f>
        <v>26.5</v>
      </c>
      <c r="L474" s="1" t="str">
        <f t="shared" si="7"/>
        <v>"26.5"</v>
      </c>
      <c r="M474">
        <v>100</v>
      </c>
      <c r="N474">
        <f>0.029*stand_validation_1cycle[[#This Row],[stand_level_biomass]]</f>
        <v>21.847429047756471</v>
      </c>
      <c r="O474">
        <f>0.213*stand_validation_1cycle[[#This Row],[stand_level_biomass]]</f>
        <v>160.46559955765957</v>
      </c>
      <c r="P474">
        <f>0.571*stand_validation_1cycle[[#This Row],[stand_level_biomass]]</f>
        <v>430.16834435410146</v>
      </c>
      <c r="Q474">
        <f>stand_validation_1cycle[[#This Row],[stock]]</f>
        <v>99</v>
      </c>
      <c r="R474">
        <v>0</v>
      </c>
      <c r="S474">
        <f>stand_validation_1cycle[[#This Row],[aws]]</f>
        <v>570.716552734375</v>
      </c>
      <c r="T474">
        <f>stand_validation_1cycle[[#This Row],[percent_tree_cover]]*100</f>
        <v>6.7061458055254901</v>
      </c>
    </row>
    <row r="475" spans="1:20" x14ac:dyDescent="0.2">
      <c r="A475">
        <v>1</v>
      </c>
      <c r="B475" t="s">
        <v>493</v>
      </c>
      <c r="C475">
        <v>26.702655555555499</v>
      </c>
      <c r="D475">
        <v>706.84281054766905</v>
      </c>
      <c r="E475">
        <v>6.5031156424867902</v>
      </c>
      <c r="F475">
        <v>24.988848065847801</v>
      </c>
      <c r="G475">
        <v>100</v>
      </c>
      <c r="H475">
        <v>566.92834472656205</v>
      </c>
      <c r="I475">
        <v>6.4791164132951898E-2</v>
      </c>
      <c r="K475" s="1" t="str">
        <f>TEXT(stand_validation_1cycle[[#This Row],[stand_age]], ".0")</f>
        <v>26.7</v>
      </c>
      <c r="L475" s="1" t="str">
        <f t="shared" si="7"/>
        <v>"26.7"</v>
      </c>
      <c r="M475">
        <v>100</v>
      </c>
      <c r="N475">
        <f>0.029*stand_validation_1cycle[[#This Row],[stand_level_biomass]]</f>
        <v>20.498441505882404</v>
      </c>
      <c r="O475">
        <f>0.213*stand_validation_1cycle[[#This Row],[stand_level_biomass]]</f>
        <v>150.55751864665351</v>
      </c>
      <c r="P475">
        <f>0.571*stand_validation_1cycle[[#This Row],[stand_level_biomass]]</f>
        <v>403.607244822719</v>
      </c>
      <c r="Q475">
        <f>stand_validation_1cycle[[#This Row],[stock]]</f>
        <v>100</v>
      </c>
      <c r="R475">
        <v>0</v>
      </c>
      <c r="S475">
        <f>stand_validation_1cycle[[#This Row],[aws]]</f>
        <v>566.92834472656205</v>
      </c>
      <c r="T475">
        <f>stand_validation_1cycle[[#This Row],[percent_tree_cover]]*100</f>
        <v>6.4791164132951895</v>
      </c>
    </row>
    <row r="476" spans="1:20" x14ac:dyDescent="0.2">
      <c r="A476">
        <v>1</v>
      </c>
      <c r="B476" t="s">
        <v>494</v>
      </c>
      <c r="C476">
        <v>26.533711340206199</v>
      </c>
      <c r="D476">
        <v>761.59150566238202</v>
      </c>
      <c r="E476">
        <v>6.7604796250578403</v>
      </c>
      <c r="F476">
        <v>25.489587559134701</v>
      </c>
      <c r="G476">
        <v>97</v>
      </c>
      <c r="H476">
        <v>568.34344482421795</v>
      </c>
      <c r="I476">
        <v>6.6737519918695698E-2</v>
      </c>
      <c r="K476" s="1" t="str">
        <f>TEXT(stand_validation_1cycle[[#This Row],[stand_age]], ".0")</f>
        <v>26.5</v>
      </c>
      <c r="L476" s="1" t="str">
        <f t="shared" si="7"/>
        <v>"26.5"</v>
      </c>
      <c r="M476">
        <v>100</v>
      </c>
      <c r="N476">
        <f>0.029*stand_validation_1cycle[[#This Row],[stand_level_biomass]]</f>
        <v>22.086153664209078</v>
      </c>
      <c r="O476">
        <f>0.213*stand_validation_1cycle[[#This Row],[stand_level_biomass]]</f>
        <v>162.21899070608737</v>
      </c>
      <c r="P476">
        <f>0.571*stand_validation_1cycle[[#This Row],[stand_level_biomass]]</f>
        <v>434.86874973322011</v>
      </c>
      <c r="Q476">
        <f>stand_validation_1cycle[[#This Row],[stock]]</f>
        <v>97</v>
      </c>
      <c r="R476">
        <v>0</v>
      </c>
      <c r="S476">
        <f>stand_validation_1cycle[[#This Row],[aws]]</f>
        <v>568.34344482421795</v>
      </c>
      <c r="T476">
        <f>stand_validation_1cycle[[#This Row],[percent_tree_cover]]*100</f>
        <v>6.6737519918695698</v>
      </c>
    </row>
    <row r="477" spans="1:20" x14ac:dyDescent="0.2">
      <c r="A477">
        <v>1</v>
      </c>
      <c r="B477" t="s">
        <v>495</v>
      </c>
      <c r="C477">
        <v>27.204933333333301</v>
      </c>
      <c r="D477">
        <v>780.60735389082504</v>
      </c>
      <c r="E477">
        <v>6.9624698955167199</v>
      </c>
      <c r="F477">
        <v>25.145704799185701</v>
      </c>
      <c r="G477">
        <v>100</v>
      </c>
      <c r="H477">
        <v>568.34344482421795</v>
      </c>
      <c r="I477">
        <v>6.9362858261978896E-2</v>
      </c>
      <c r="K477" s="1" t="str">
        <f>TEXT(stand_validation_1cycle[[#This Row],[stand_age]], ".0")</f>
        <v>27.2</v>
      </c>
      <c r="L477" s="1" t="str">
        <f t="shared" si="7"/>
        <v>"27.2"</v>
      </c>
      <c r="M477">
        <v>100</v>
      </c>
      <c r="N477">
        <f>0.029*stand_validation_1cycle[[#This Row],[stand_level_biomass]]</f>
        <v>22.637613262833927</v>
      </c>
      <c r="O477">
        <f>0.213*stand_validation_1cycle[[#This Row],[stand_level_biomass]]</f>
        <v>166.26936637874573</v>
      </c>
      <c r="P477">
        <f>0.571*stand_validation_1cycle[[#This Row],[stand_level_biomass]]</f>
        <v>445.72679907166105</v>
      </c>
      <c r="Q477">
        <f>stand_validation_1cycle[[#This Row],[stock]]</f>
        <v>100</v>
      </c>
      <c r="R477">
        <v>0</v>
      </c>
      <c r="S477">
        <f>stand_validation_1cycle[[#This Row],[aws]]</f>
        <v>568.34344482421795</v>
      </c>
      <c r="T477">
        <f>stand_validation_1cycle[[#This Row],[percent_tree_cover]]*100</f>
        <v>6.9362858261978895</v>
      </c>
    </row>
    <row r="478" spans="1:20" x14ac:dyDescent="0.2">
      <c r="A478">
        <v>1</v>
      </c>
      <c r="B478" t="s">
        <v>496</v>
      </c>
      <c r="C478">
        <v>27.293144444444401</v>
      </c>
      <c r="D478">
        <v>746.30407999866895</v>
      </c>
      <c r="E478">
        <v>6.8279759578220602</v>
      </c>
      <c r="F478">
        <v>25.6825581714285</v>
      </c>
      <c r="G478">
        <v>100</v>
      </c>
      <c r="H478">
        <v>571.3134765625</v>
      </c>
      <c r="I478">
        <v>6.8039738269921393E-2</v>
      </c>
      <c r="K478" s="1" t="str">
        <f>TEXT(stand_validation_1cycle[[#This Row],[stand_age]], ".0")</f>
        <v>27.3</v>
      </c>
      <c r="L478" s="1" t="str">
        <f t="shared" si="7"/>
        <v>"27.3"</v>
      </c>
      <c r="M478">
        <v>100</v>
      </c>
      <c r="N478">
        <f>0.029*stand_validation_1cycle[[#This Row],[stand_level_biomass]]</f>
        <v>21.6428183199614</v>
      </c>
      <c r="O478">
        <f>0.213*stand_validation_1cycle[[#This Row],[stand_level_biomass]]</f>
        <v>158.96276903971648</v>
      </c>
      <c r="P478">
        <f>0.571*stand_validation_1cycle[[#This Row],[stand_level_biomass]]</f>
        <v>426.13962967923993</v>
      </c>
      <c r="Q478">
        <f>stand_validation_1cycle[[#This Row],[stock]]</f>
        <v>100</v>
      </c>
      <c r="R478">
        <v>0</v>
      </c>
      <c r="S478">
        <f>stand_validation_1cycle[[#This Row],[aws]]</f>
        <v>571.3134765625</v>
      </c>
      <c r="T478">
        <f>stand_validation_1cycle[[#This Row],[percent_tree_cover]]*100</f>
        <v>6.8039738269921397</v>
      </c>
    </row>
    <row r="479" spans="1:20" x14ac:dyDescent="0.2">
      <c r="A479">
        <v>1</v>
      </c>
      <c r="B479" t="s">
        <v>497</v>
      </c>
      <c r="C479">
        <v>28.5430888888888</v>
      </c>
      <c r="D479">
        <v>865.862313565975</v>
      </c>
      <c r="E479">
        <v>7.6913555194650796</v>
      </c>
      <c r="F479">
        <v>26.989416914285702</v>
      </c>
      <c r="G479">
        <v>100</v>
      </c>
      <c r="H479">
        <v>566.60467529296795</v>
      </c>
      <c r="I479">
        <v>7.6626046853149499E-2</v>
      </c>
      <c r="K479" s="1" t="str">
        <f>TEXT(stand_validation_1cycle[[#This Row],[stand_age]], ".0")</f>
        <v>28.5</v>
      </c>
      <c r="L479" s="1" t="str">
        <f t="shared" si="7"/>
        <v>"28.5"</v>
      </c>
      <c r="M479">
        <v>100</v>
      </c>
      <c r="N479">
        <f>0.029*stand_validation_1cycle[[#This Row],[stand_level_biomass]]</f>
        <v>25.110007093413277</v>
      </c>
      <c r="O479">
        <f>0.213*stand_validation_1cycle[[#This Row],[stand_level_biomass]]</f>
        <v>184.42867278955268</v>
      </c>
      <c r="P479">
        <f>0.571*stand_validation_1cycle[[#This Row],[stand_level_biomass]]</f>
        <v>494.40738104617168</v>
      </c>
      <c r="Q479">
        <f>stand_validation_1cycle[[#This Row],[stock]]</f>
        <v>100</v>
      </c>
      <c r="R479">
        <v>0</v>
      </c>
      <c r="S479">
        <f>stand_validation_1cycle[[#This Row],[aws]]</f>
        <v>566.60467529296795</v>
      </c>
      <c r="T479">
        <f>stand_validation_1cycle[[#This Row],[percent_tree_cover]]*100</f>
        <v>7.6626046853149496</v>
      </c>
    </row>
    <row r="480" spans="1:20" x14ac:dyDescent="0.2">
      <c r="A480">
        <v>1</v>
      </c>
      <c r="B480" t="s">
        <v>498</v>
      </c>
      <c r="C480">
        <v>27.574177777777699</v>
      </c>
      <c r="D480">
        <v>921.55880068422596</v>
      </c>
      <c r="E480">
        <v>7.95497205681494</v>
      </c>
      <c r="F480">
        <v>26.6998256</v>
      </c>
      <c r="G480">
        <v>100</v>
      </c>
      <c r="H480">
        <v>570.46624755859295</v>
      </c>
      <c r="I480">
        <v>7.9246852232131196E-2</v>
      </c>
      <c r="K480" s="1" t="str">
        <f>TEXT(stand_validation_1cycle[[#This Row],[stand_age]], ".0")</f>
        <v>27.6</v>
      </c>
      <c r="L480" s="1" t="str">
        <f t="shared" si="7"/>
        <v>"27.6"</v>
      </c>
      <c r="M480">
        <v>100</v>
      </c>
      <c r="N480">
        <f>0.029*stand_validation_1cycle[[#This Row],[stand_level_biomass]]</f>
        <v>26.725205219842554</v>
      </c>
      <c r="O480">
        <f>0.213*stand_validation_1cycle[[#This Row],[stand_level_biomass]]</f>
        <v>196.29202454574013</v>
      </c>
      <c r="P480">
        <f>0.571*stand_validation_1cycle[[#This Row],[stand_level_biomass]]</f>
        <v>526.21007519069303</v>
      </c>
      <c r="Q480">
        <f>stand_validation_1cycle[[#This Row],[stock]]</f>
        <v>100</v>
      </c>
      <c r="R480">
        <v>0</v>
      </c>
      <c r="S480">
        <f>stand_validation_1cycle[[#This Row],[aws]]</f>
        <v>570.46624755859295</v>
      </c>
      <c r="T480">
        <f>stand_validation_1cycle[[#This Row],[percent_tree_cover]]*100</f>
        <v>7.9246852232131193</v>
      </c>
    </row>
    <row r="481" spans="1:20" x14ac:dyDescent="0.2">
      <c r="A481">
        <v>1</v>
      </c>
      <c r="B481" t="s">
        <v>499</v>
      </c>
      <c r="C481">
        <v>25.807093153759801</v>
      </c>
      <c r="D481">
        <v>815.322780272616</v>
      </c>
      <c r="E481">
        <v>7.2409862214244098</v>
      </c>
      <c r="F481">
        <v>26.095598961038899</v>
      </c>
      <c r="G481">
        <v>99</v>
      </c>
      <c r="H481">
        <v>523.688720703125</v>
      </c>
      <c r="I481">
        <v>7.1897093704635401E-2</v>
      </c>
      <c r="K481" s="1" t="str">
        <f>TEXT(stand_validation_1cycle[[#This Row],[stand_age]], ".0")</f>
        <v>25.8</v>
      </c>
      <c r="L481" s="1" t="str">
        <f t="shared" si="7"/>
        <v>"25.8"</v>
      </c>
      <c r="M481">
        <v>100</v>
      </c>
      <c r="N481">
        <f>0.029*stand_validation_1cycle[[#This Row],[stand_level_biomass]]</f>
        <v>23.644360627905865</v>
      </c>
      <c r="O481">
        <f>0.213*stand_validation_1cycle[[#This Row],[stand_level_biomass]]</f>
        <v>173.66375219806721</v>
      </c>
      <c r="P481">
        <f>0.571*stand_validation_1cycle[[#This Row],[stand_level_biomass]]</f>
        <v>465.54930753566367</v>
      </c>
      <c r="Q481">
        <f>stand_validation_1cycle[[#This Row],[stock]]</f>
        <v>99</v>
      </c>
      <c r="R481">
        <v>0</v>
      </c>
      <c r="S481">
        <f>stand_validation_1cycle[[#This Row],[aws]]</f>
        <v>523.688720703125</v>
      </c>
      <c r="T481">
        <f>stand_validation_1cycle[[#This Row],[percent_tree_cover]]*100</f>
        <v>7.1897093704635404</v>
      </c>
    </row>
    <row r="482" spans="1:20" x14ac:dyDescent="0.2">
      <c r="A482">
        <v>1</v>
      </c>
      <c r="B482" t="s">
        <v>500</v>
      </c>
      <c r="C482">
        <v>30.184965986394499</v>
      </c>
      <c r="D482">
        <v>1021.03481438475</v>
      </c>
      <c r="E482">
        <v>8.6216195887030196</v>
      </c>
      <c r="F482">
        <v>28.287459358600501</v>
      </c>
      <c r="G482">
        <v>98</v>
      </c>
      <c r="H482">
        <v>0</v>
      </c>
      <c r="I482">
        <v>8.5466182061240098E-2</v>
      </c>
      <c r="K482" s="1" t="str">
        <f>TEXT(stand_validation_1cycle[[#This Row],[stand_age]], ".0")</f>
        <v>30.2</v>
      </c>
      <c r="L482" s="1" t="str">
        <f t="shared" si="7"/>
        <v>"30.2"</v>
      </c>
      <c r="M482">
        <v>100</v>
      </c>
      <c r="N482">
        <f>0.029*stand_validation_1cycle[[#This Row],[stand_level_biomass]]</f>
        <v>29.61000961715775</v>
      </c>
      <c r="O482">
        <f>0.213*stand_validation_1cycle[[#This Row],[stand_level_biomass]]</f>
        <v>217.48041546395174</v>
      </c>
      <c r="P482">
        <f>0.571*stand_validation_1cycle[[#This Row],[stand_level_biomass]]</f>
        <v>583.01087901369226</v>
      </c>
      <c r="Q482">
        <f>stand_validation_1cycle[[#This Row],[stock]]</f>
        <v>98</v>
      </c>
      <c r="R482">
        <v>0</v>
      </c>
      <c r="S482">
        <f>stand_validation_1cycle[[#This Row],[aws]]</f>
        <v>0</v>
      </c>
      <c r="T482">
        <f>stand_validation_1cycle[[#This Row],[percent_tree_cover]]*100</f>
        <v>8.546618206124009</v>
      </c>
    </row>
    <row r="483" spans="1:20" x14ac:dyDescent="0.2">
      <c r="A483">
        <v>1</v>
      </c>
      <c r="B483" t="s">
        <v>501</v>
      </c>
      <c r="C483">
        <v>24.845866666666598</v>
      </c>
      <c r="D483">
        <v>552.880923476524</v>
      </c>
      <c r="E483">
        <v>5.4412801021201798</v>
      </c>
      <c r="F483">
        <v>23.746352457142802</v>
      </c>
      <c r="G483">
        <v>100</v>
      </c>
      <c r="H483">
        <v>0</v>
      </c>
      <c r="I483">
        <v>5.4247760252939002E-2</v>
      </c>
      <c r="K483" s="1" t="str">
        <f>TEXT(stand_validation_1cycle[[#This Row],[stand_age]], ".0")</f>
        <v>24.8</v>
      </c>
      <c r="L483" s="1" t="str">
        <f t="shared" si="7"/>
        <v>"24.8"</v>
      </c>
      <c r="M483">
        <v>100</v>
      </c>
      <c r="N483">
        <f>0.029*stand_validation_1cycle[[#This Row],[stand_level_biomass]]</f>
        <v>16.033546780819197</v>
      </c>
      <c r="O483">
        <f>0.213*stand_validation_1cycle[[#This Row],[stand_level_biomass]]</f>
        <v>117.7636367004996</v>
      </c>
      <c r="P483">
        <f>0.571*stand_validation_1cycle[[#This Row],[stand_level_biomass]]</f>
        <v>315.6950073050952</v>
      </c>
      <c r="Q483">
        <f>stand_validation_1cycle[[#This Row],[stock]]</f>
        <v>100</v>
      </c>
      <c r="R483">
        <v>0</v>
      </c>
      <c r="S483">
        <f>stand_validation_1cycle[[#This Row],[aws]]</f>
        <v>0</v>
      </c>
      <c r="T483">
        <f>stand_validation_1cycle[[#This Row],[percent_tree_cover]]*100</f>
        <v>5.4247760252938999</v>
      </c>
    </row>
    <row r="484" spans="1:20" x14ac:dyDescent="0.2">
      <c r="A484">
        <v>1</v>
      </c>
      <c r="B484" t="s">
        <v>502</v>
      </c>
      <c r="C484">
        <v>30.602739018087799</v>
      </c>
      <c r="D484">
        <v>1044.82002120267</v>
      </c>
      <c r="E484">
        <v>3.8812971372389402</v>
      </c>
      <c r="F484">
        <v>29.370766777408601</v>
      </c>
      <c r="G484">
        <v>43</v>
      </c>
      <c r="H484">
        <v>0</v>
      </c>
      <c r="I484">
        <v>8.9184477292349407E-2</v>
      </c>
      <c r="K484" s="1" t="str">
        <f>TEXT(stand_validation_1cycle[[#This Row],[stand_age]], ".0")</f>
        <v>30.6</v>
      </c>
      <c r="L484" s="1" t="str">
        <f t="shared" si="7"/>
        <v>"30.6"</v>
      </c>
      <c r="M484">
        <v>100</v>
      </c>
      <c r="N484">
        <f>0.029*stand_validation_1cycle[[#This Row],[stand_level_biomass]]</f>
        <v>30.299780614877431</v>
      </c>
      <c r="O484">
        <f>0.213*stand_validation_1cycle[[#This Row],[stand_level_biomass]]</f>
        <v>222.5466645161687</v>
      </c>
      <c r="P484">
        <f>0.571*stand_validation_1cycle[[#This Row],[stand_level_biomass]]</f>
        <v>596.59223210672451</v>
      </c>
      <c r="Q484">
        <f>stand_validation_1cycle[[#This Row],[stock]]</f>
        <v>43</v>
      </c>
      <c r="R484">
        <v>0</v>
      </c>
      <c r="S484">
        <f>stand_validation_1cycle[[#This Row],[aws]]</f>
        <v>0</v>
      </c>
      <c r="T484">
        <f>stand_validation_1cycle[[#This Row],[percent_tree_cover]]*100</f>
        <v>8.9184477292349413</v>
      </c>
    </row>
    <row r="485" spans="1:20" x14ac:dyDescent="0.2">
      <c r="A485">
        <v>1</v>
      </c>
      <c r="B485" t="s">
        <v>503</v>
      </c>
      <c r="C485">
        <v>26.048281786941502</v>
      </c>
      <c r="D485">
        <v>695.81543186557894</v>
      </c>
      <c r="E485">
        <v>6.2109388863231398</v>
      </c>
      <c r="F485">
        <v>24.769743091804099</v>
      </c>
      <c r="G485">
        <v>97</v>
      </c>
      <c r="H485">
        <v>0</v>
      </c>
      <c r="I485">
        <v>6.4357074403858697E-2</v>
      </c>
      <c r="K485" s="1" t="str">
        <f>TEXT(stand_validation_1cycle[[#This Row],[stand_age]], ".0")</f>
        <v>26.0</v>
      </c>
      <c r="L485" s="1" t="str">
        <f t="shared" si="7"/>
        <v>"26.0"</v>
      </c>
      <c r="M485">
        <v>100</v>
      </c>
      <c r="N485">
        <f>0.029*stand_validation_1cycle[[#This Row],[stand_level_biomass]]</f>
        <v>20.178647524101791</v>
      </c>
      <c r="O485">
        <f>0.213*stand_validation_1cycle[[#This Row],[stand_level_biomass]]</f>
        <v>148.20868698736831</v>
      </c>
      <c r="P485">
        <f>0.571*stand_validation_1cycle[[#This Row],[stand_level_biomass]]</f>
        <v>397.31061159524552</v>
      </c>
      <c r="Q485">
        <f>stand_validation_1cycle[[#This Row],[stock]]</f>
        <v>97</v>
      </c>
      <c r="R485">
        <v>0</v>
      </c>
      <c r="S485">
        <f>stand_validation_1cycle[[#This Row],[aws]]</f>
        <v>0</v>
      </c>
      <c r="T485">
        <f>stand_validation_1cycle[[#This Row],[percent_tree_cover]]*100</f>
        <v>6.4357074403858698</v>
      </c>
    </row>
    <row r="486" spans="1:20" x14ac:dyDescent="0.2">
      <c r="A486">
        <v>1</v>
      </c>
      <c r="B486" t="s">
        <v>504</v>
      </c>
      <c r="C486">
        <v>26.766855555555502</v>
      </c>
      <c r="D486">
        <v>899.85173227450002</v>
      </c>
      <c r="E486">
        <v>7.8616471200492404</v>
      </c>
      <c r="F486">
        <v>26.704511665549202</v>
      </c>
      <c r="G486">
        <v>100</v>
      </c>
      <c r="H486">
        <v>526.33190917968705</v>
      </c>
      <c r="I486">
        <v>7.8326143379520305E-2</v>
      </c>
      <c r="K486" s="1" t="str">
        <f>TEXT(stand_validation_1cycle[[#This Row],[stand_age]], ".0")</f>
        <v>26.8</v>
      </c>
      <c r="L486" s="1" t="str">
        <f t="shared" si="7"/>
        <v>"26.8"</v>
      </c>
      <c r="M486">
        <v>100</v>
      </c>
      <c r="N486">
        <f>0.029*stand_validation_1cycle[[#This Row],[stand_level_biomass]]</f>
        <v>26.095700235960503</v>
      </c>
      <c r="O486">
        <f>0.213*stand_validation_1cycle[[#This Row],[stand_level_biomass]]</f>
        <v>191.66841897446849</v>
      </c>
      <c r="P486">
        <f>0.571*stand_validation_1cycle[[#This Row],[stand_level_biomass]]</f>
        <v>513.81533912873942</v>
      </c>
      <c r="Q486">
        <f>stand_validation_1cycle[[#This Row],[stock]]</f>
        <v>100</v>
      </c>
      <c r="R486">
        <v>0</v>
      </c>
      <c r="S486">
        <f>stand_validation_1cycle[[#This Row],[aws]]</f>
        <v>526.33190917968705</v>
      </c>
      <c r="T486">
        <f>stand_validation_1cycle[[#This Row],[percent_tree_cover]]*100</f>
        <v>7.8326143379520303</v>
      </c>
    </row>
    <row r="487" spans="1:20" x14ac:dyDescent="0.2">
      <c r="A487">
        <v>1</v>
      </c>
      <c r="B487" t="s">
        <v>505</v>
      </c>
      <c r="C487">
        <v>27.151222222222199</v>
      </c>
      <c r="D487">
        <v>816.65399070695798</v>
      </c>
      <c r="E487">
        <v>7.3274954729281401</v>
      </c>
      <c r="F487">
        <v>26.638780998954999</v>
      </c>
      <c r="G487">
        <v>100</v>
      </c>
      <c r="H487">
        <v>599.4521484375</v>
      </c>
      <c r="I487">
        <v>7.3023889266612005E-2</v>
      </c>
      <c r="K487" s="1" t="str">
        <f>TEXT(stand_validation_1cycle[[#This Row],[stand_age]], ".0")</f>
        <v>27.2</v>
      </c>
      <c r="L487" s="1" t="str">
        <f t="shared" si="7"/>
        <v>"27.2"</v>
      </c>
      <c r="M487">
        <v>100</v>
      </c>
      <c r="N487">
        <f>0.029*stand_validation_1cycle[[#This Row],[stand_level_biomass]]</f>
        <v>23.682965730501781</v>
      </c>
      <c r="O487">
        <f>0.213*stand_validation_1cycle[[#This Row],[stand_level_biomass]]</f>
        <v>173.94730002058205</v>
      </c>
      <c r="P487">
        <f>0.571*stand_validation_1cycle[[#This Row],[stand_level_biomass]]</f>
        <v>466.30942869367294</v>
      </c>
      <c r="Q487">
        <f>stand_validation_1cycle[[#This Row],[stock]]</f>
        <v>100</v>
      </c>
      <c r="R487">
        <v>0</v>
      </c>
      <c r="S487">
        <f>stand_validation_1cycle[[#This Row],[aws]]</f>
        <v>599.4521484375</v>
      </c>
      <c r="T487">
        <f>stand_validation_1cycle[[#This Row],[percent_tree_cover]]*100</f>
        <v>7.3023889266612008</v>
      </c>
    </row>
    <row r="488" spans="1:20" x14ac:dyDescent="0.2">
      <c r="A488">
        <v>1</v>
      </c>
      <c r="B488" t="s">
        <v>506</v>
      </c>
      <c r="C488">
        <v>28.735244444444401</v>
      </c>
      <c r="D488">
        <v>1095.4298196878999</v>
      </c>
      <c r="E488">
        <v>9.3022095087877297</v>
      </c>
      <c r="F488">
        <v>29.497341398819199</v>
      </c>
      <c r="G488">
        <v>100</v>
      </c>
      <c r="H488">
        <v>524.96569824218705</v>
      </c>
      <c r="I488">
        <v>9.2677598581843407E-2</v>
      </c>
      <c r="K488" s="1" t="str">
        <f>TEXT(stand_validation_1cycle[[#This Row],[stand_age]], ".0")</f>
        <v>28.7</v>
      </c>
      <c r="L488" s="1" t="str">
        <f t="shared" si="7"/>
        <v>"28.7"</v>
      </c>
      <c r="M488">
        <v>100</v>
      </c>
      <c r="N488">
        <f>0.029*stand_validation_1cycle[[#This Row],[stand_level_biomass]]</f>
        <v>31.7674647709491</v>
      </c>
      <c r="O488">
        <f>0.213*stand_validation_1cycle[[#This Row],[stand_level_biomass]]</f>
        <v>233.32655159352268</v>
      </c>
      <c r="P488">
        <f>0.571*stand_validation_1cycle[[#This Row],[stand_level_biomass]]</f>
        <v>625.49042704179078</v>
      </c>
      <c r="Q488">
        <f>stand_validation_1cycle[[#This Row],[stock]]</f>
        <v>100</v>
      </c>
      <c r="R488">
        <v>0</v>
      </c>
      <c r="S488">
        <f>stand_validation_1cycle[[#This Row],[aws]]</f>
        <v>524.96569824218705</v>
      </c>
      <c r="T488">
        <f>stand_validation_1cycle[[#This Row],[percent_tree_cover]]*100</f>
        <v>9.2677598581843412</v>
      </c>
    </row>
    <row r="489" spans="1:20" x14ac:dyDescent="0.2">
      <c r="A489">
        <v>1</v>
      </c>
      <c r="B489" t="s">
        <v>507</v>
      </c>
      <c r="C489">
        <v>26.477596371882001</v>
      </c>
      <c r="D489">
        <v>756.56257542304195</v>
      </c>
      <c r="E489">
        <v>6.8619797713063502</v>
      </c>
      <c r="F489">
        <v>26.3068102709132</v>
      </c>
      <c r="G489">
        <v>98</v>
      </c>
      <c r="H489">
        <v>527.19104003906205</v>
      </c>
      <c r="I489">
        <v>6.7998658047893207E-2</v>
      </c>
      <c r="K489" s="1" t="str">
        <f>TEXT(stand_validation_1cycle[[#This Row],[stand_age]], ".0")</f>
        <v>26.5</v>
      </c>
      <c r="L489" s="1" t="str">
        <f t="shared" si="7"/>
        <v>"26.5"</v>
      </c>
      <c r="M489">
        <v>100</v>
      </c>
      <c r="N489">
        <f>0.029*stand_validation_1cycle[[#This Row],[stand_level_biomass]]</f>
        <v>21.940314687268216</v>
      </c>
      <c r="O489">
        <f>0.213*stand_validation_1cycle[[#This Row],[stand_level_biomass]]</f>
        <v>161.14782856510794</v>
      </c>
      <c r="P489">
        <f>0.571*stand_validation_1cycle[[#This Row],[stand_level_biomass]]</f>
        <v>431.99723056655694</v>
      </c>
      <c r="Q489">
        <f>stand_validation_1cycle[[#This Row],[stock]]</f>
        <v>98</v>
      </c>
      <c r="R489">
        <v>0</v>
      </c>
      <c r="S489">
        <f>stand_validation_1cycle[[#This Row],[aws]]</f>
        <v>527.19104003906205</v>
      </c>
      <c r="T489">
        <f>stand_validation_1cycle[[#This Row],[percent_tree_cover]]*100</f>
        <v>6.799865804789321</v>
      </c>
    </row>
    <row r="490" spans="1:20" x14ac:dyDescent="0.2">
      <c r="A490">
        <v>1</v>
      </c>
      <c r="B490" t="s">
        <v>508</v>
      </c>
      <c r="C490">
        <v>28.7968444444444</v>
      </c>
      <c r="D490">
        <v>979.53919147279998</v>
      </c>
      <c r="E490">
        <v>8.5049023530387</v>
      </c>
      <c r="F490">
        <v>27.980901932333499</v>
      </c>
      <c r="G490">
        <v>100</v>
      </c>
      <c r="H490">
        <v>526.82775878906205</v>
      </c>
      <c r="I490">
        <v>8.4726086938692893E-2</v>
      </c>
      <c r="K490" s="1" t="str">
        <f>TEXT(stand_validation_1cycle[[#This Row],[stand_age]], ".0")</f>
        <v>28.8</v>
      </c>
      <c r="L490" s="1" t="str">
        <f t="shared" si="7"/>
        <v>"28.8"</v>
      </c>
      <c r="M490">
        <v>100</v>
      </c>
      <c r="N490">
        <f>0.029*stand_validation_1cycle[[#This Row],[stand_level_biomass]]</f>
        <v>28.406636552711202</v>
      </c>
      <c r="O490">
        <f>0.213*stand_validation_1cycle[[#This Row],[stand_level_biomass]]</f>
        <v>208.6418477837064</v>
      </c>
      <c r="P490">
        <f>0.571*stand_validation_1cycle[[#This Row],[stand_level_biomass]]</f>
        <v>559.31687833096873</v>
      </c>
      <c r="Q490">
        <f>stand_validation_1cycle[[#This Row],[stock]]</f>
        <v>100</v>
      </c>
      <c r="R490">
        <v>0</v>
      </c>
      <c r="S490">
        <f>stand_validation_1cycle[[#This Row],[aws]]</f>
        <v>526.82775878906205</v>
      </c>
      <c r="T490">
        <f>stand_validation_1cycle[[#This Row],[percent_tree_cover]]*100</f>
        <v>8.4726086938692902</v>
      </c>
    </row>
    <row r="491" spans="1:20" x14ac:dyDescent="0.2">
      <c r="A491">
        <v>1</v>
      </c>
      <c r="B491" t="s">
        <v>509</v>
      </c>
      <c r="C491">
        <v>26.4761952861952</v>
      </c>
      <c r="D491">
        <v>720.12244415689202</v>
      </c>
      <c r="E491">
        <v>6.5711798181231398</v>
      </c>
      <c r="F491">
        <v>25.335131850883101</v>
      </c>
      <c r="G491">
        <v>99</v>
      </c>
      <c r="H491">
        <v>524.13592529296795</v>
      </c>
      <c r="I491">
        <v>6.5370534335160893E-2</v>
      </c>
      <c r="K491" s="1" t="str">
        <f>TEXT(stand_validation_1cycle[[#This Row],[stand_age]], ".0")</f>
        <v>26.5</v>
      </c>
      <c r="L491" s="1" t="str">
        <f t="shared" si="7"/>
        <v>"26.5"</v>
      </c>
      <c r="M491">
        <v>100</v>
      </c>
      <c r="N491">
        <f>0.029*stand_validation_1cycle[[#This Row],[stand_level_biomass]]</f>
        <v>20.883550880549869</v>
      </c>
      <c r="O491">
        <f>0.213*stand_validation_1cycle[[#This Row],[stand_level_biomass]]</f>
        <v>153.38608060541799</v>
      </c>
      <c r="P491">
        <f>0.571*stand_validation_1cycle[[#This Row],[stand_level_biomass]]</f>
        <v>411.1899156135853</v>
      </c>
      <c r="Q491">
        <f>stand_validation_1cycle[[#This Row],[stock]]</f>
        <v>99</v>
      </c>
      <c r="R491">
        <v>0</v>
      </c>
      <c r="S491">
        <f>stand_validation_1cycle[[#This Row],[aws]]</f>
        <v>524.13592529296795</v>
      </c>
      <c r="T491">
        <f>stand_validation_1cycle[[#This Row],[percent_tree_cover]]*100</f>
        <v>6.537053433516089</v>
      </c>
    </row>
    <row r="492" spans="1:20" x14ac:dyDescent="0.2">
      <c r="A492">
        <v>1</v>
      </c>
      <c r="B492" t="s">
        <v>510</v>
      </c>
      <c r="C492">
        <v>26.500333333333302</v>
      </c>
      <c r="D492">
        <v>750.75140386893702</v>
      </c>
      <c r="E492">
        <v>6.8638820056581</v>
      </c>
      <c r="F492">
        <v>25.845956932238501</v>
      </c>
      <c r="G492">
        <v>100</v>
      </c>
      <c r="H492">
        <v>578</v>
      </c>
      <c r="I492">
        <v>6.8403135513196101E-2</v>
      </c>
      <c r="K492" s="1" t="str">
        <f>TEXT(stand_validation_1cycle[[#This Row],[stand_age]], ".0")</f>
        <v>26.5</v>
      </c>
      <c r="L492" s="1" t="str">
        <f t="shared" si="7"/>
        <v>"26.5"</v>
      </c>
      <c r="M492">
        <v>100</v>
      </c>
      <c r="N492">
        <f>0.029*stand_validation_1cycle[[#This Row],[stand_level_biomass]]</f>
        <v>21.771790712199174</v>
      </c>
      <c r="O492">
        <f>0.213*stand_validation_1cycle[[#This Row],[stand_level_biomass]]</f>
        <v>159.91004902408358</v>
      </c>
      <c r="P492">
        <f>0.571*stand_validation_1cycle[[#This Row],[stand_level_biomass]]</f>
        <v>428.67905160916303</v>
      </c>
      <c r="Q492">
        <f>stand_validation_1cycle[[#This Row],[stock]]</f>
        <v>100</v>
      </c>
      <c r="R492">
        <v>0</v>
      </c>
      <c r="S492">
        <f>stand_validation_1cycle[[#This Row],[aws]]</f>
        <v>578</v>
      </c>
      <c r="T492">
        <f>stand_validation_1cycle[[#This Row],[percent_tree_cover]]*100</f>
        <v>6.8403135513196105</v>
      </c>
    </row>
    <row r="493" spans="1:20" x14ac:dyDescent="0.2">
      <c r="A493">
        <v>1</v>
      </c>
      <c r="B493" t="s">
        <v>511</v>
      </c>
      <c r="C493">
        <v>28.154175084175101</v>
      </c>
      <c r="D493">
        <v>955.82785548880099</v>
      </c>
      <c r="E493">
        <v>8.2534728389902607</v>
      </c>
      <c r="F493">
        <v>27.999103567890302</v>
      </c>
      <c r="G493">
        <v>99</v>
      </c>
      <c r="H493">
        <v>603.70129394531205</v>
      </c>
      <c r="I493">
        <v>8.2035361006241703E-2</v>
      </c>
      <c r="K493" s="1" t="str">
        <f>TEXT(stand_validation_1cycle[[#This Row],[stand_age]], ".0")</f>
        <v>28.2</v>
      </c>
      <c r="L493" s="1" t="str">
        <f t="shared" si="7"/>
        <v>"28.2"</v>
      </c>
      <c r="M493">
        <v>100</v>
      </c>
      <c r="N493">
        <f>0.029*stand_validation_1cycle[[#This Row],[stand_level_biomass]]</f>
        <v>27.719007809175231</v>
      </c>
      <c r="O493">
        <f>0.213*stand_validation_1cycle[[#This Row],[stand_level_biomass]]</f>
        <v>203.5913332191146</v>
      </c>
      <c r="P493">
        <f>0.571*stand_validation_1cycle[[#This Row],[stand_level_biomass]]</f>
        <v>545.77770548410535</v>
      </c>
      <c r="Q493">
        <f>stand_validation_1cycle[[#This Row],[stock]]</f>
        <v>99</v>
      </c>
      <c r="R493">
        <v>0</v>
      </c>
      <c r="S493">
        <f>stand_validation_1cycle[[#This Row],[aws]]</f>
        <v>603.70129394531205</v>
      </c>
      <c r="T493">
        <f>stand_validation_1cycle[[#This Row],[percent_tree_cover]]*100</f>
        <v>8.20353610062417</v>
      </c>
    </row>
    <row r="494" spans="1:20" x14ac:dyDescent="0.2">
      <c r="A494">
        <v>1</v>
      </c>
      <c r="B494" t="s">
        <v>512</v>
      </c>
      <c r="C494">
        <v>27.934655555555501</v>
      </c>
      <c r="D494">
        <v>1076.8903668201001</v>
      </c>
      <c r="E494">
        <v>9.2864261472960994</v>
      </c>
      <c r="F494">
        <v>29.881412865196399</v>
      </c>
      <c r="G494">
        <v>100</v>
      </c>
      <c r="H494">
        <v>569.92462158203102</v>
      </c>
      <c r="I494">
        <v>9.2546340845421002E-2</v>
      </c>
      <c r="K494" s="1" t="str">
        <f>TEXT(stand_validation_1cycle[[#This Row],[stand_age]], ".0")</f>
        <v>27.9</v>
      </c>
      <c r="L494" s="1" t="str">
        <f t="shared" si="7"/>
        <v>"27.9"</v>
      </c>
      <c r="M494">
        <v>100</v>
      </c>
      <c r="N494">
        <f>0.029*stand_validation_1cycle[[#This Row],[stand_level_biomass]]</f>
        <v>31.229820637782904</v>
      </c>
      <c r="O494">
        <f>0.213*stand_validation_1cycle[[#This Row],[stand_level_biomass]]</f>
        <v>229.37764813268132</v>
      </c>
      <c r="P494">
        <f>0.571*stand_validation_1cycle[[#This Row],[stand_level_biomass]]</f>
        <v>614.90439945427715</v>
      </c>
      <c r="Q494">
        <f>stand_validation_1cycle[[#This Row],[stock]]</f>
        <v>100</v>
      </c>
      <c r="R494">
        <v>0</v>
      </c>
      <c r="S494">
        <f>stand_validation_1cycle[[#This Row],[aws]]</f>
        <v>569.92462158203102</v>
      </c>
      <c r="T494">
        <f>stand_validation_1cycle[[#This Row],[percent_tree_cover]]*100</f>
        <v>9.2546340845421007</v>
      </c>
    </row>
    <row r="495" spans="1:20" x14ac:dyDescent="0.2">
      <c r="A495">
        <v>1</v>
      </c>
      <c r="B495" t="s">
        <v>513</v>
      </c>
      <c r="C495">
        <v>26.696499999999901</v>
      </c>
      <c r="D495">
        <v>857.63866806797103</v>
      </c>
      <c r="E495">
        <v>7.59581026209145</v>
      </c>
      <c r="F495">
        <v>26.885107398846401</v>
      </c>
      <c r="G495">
        <v>100</v>
      </c>
      <c r="H495">
        <v>567.02972412109295</v>
      </c>
      <c r="I495">
        <v>7.5690103113576698E-2</v>
      </c>
      <c r="K495" s="1" t="str">
        <f>TEXT(stand_validation_1cycle[[#This Row],[stand_age]], ".0")</f>
        <v>26.7</v>
      </c>
      <c r="L495" s="1" t="str">
        <f t="shared" si="7"/>
        <v>"26.7"</v>
      </c>
      <c r="M495">
        <v>100</v>
      </c>
      <c r="N495">
        <f>0.029*stand_validation_1cycle[[#This Row],[stand_level_biomass]]</f>
        <v>24.871521373971159</v>
      </c>
      <c r="O495">
        <f>0.213*stand_validation_1cycle[[#This Row],[stand_level_biomass]]</f>
        <v>182.67703629847782</v>
      </c>
      <c r="P495">
        <f>0.571*stand_validation_1cycle[[#This Row],[stand_level_biomass]]</f>
        <v>489.7116794668114</v>
      </c>
      <c r="Q495">
        <f>stand_validation_1cycle[[#This Row],[stock]]</f>
        <v>100</v>
      </c>
      <c r="R495">
        <v>0</v>
      </c>
      <c r="S495">
        <f>stand_validation_1cycle[[#This Row],[aws]]</f>
        <v>567.02972412109295</v>
      </c>
      <c r="T495">
        <f>stand_validation_1cycle[[#This Row],[percent_tree_cover]]*100</f>
        <v>7.5690103113576699</v>
      </c>
    </row>
    <row r="496" spans="1:20" x14ac:dyDescent="0.2">
      <c r="A496">
        <v>1</v>
      </c>
      <c r="B496" t="s">
        <v>514</v>
      </c>
      <c r="C496">
        <v>28.089044444444401</v>
      </c>
      <c r="D496">
        <v>1000.43847486663</v>
      </c>
      <c r="E496">
        <v>8.5667901575180796</v>
      </c>
      <c r="F496">
        <v>27.719982332306401</v>
      </c>
      <c r="G496">
        <v>100</v>
      </c>
      <c r="H496">
        <v>524.13592529296795</v>
      </c>
      <c r="I496">
        <v>8.5351094128890997E-2</v>
      </c>
      <c r="K496" s="1" t="str">
        <f>TEXT(stand_validation_1cycle[[#This Row],[stand_age]], ".0")</f>
        <v>28.1</v>
      </c>
      <c r="L496" s="1" t="str">
        <f t="shared" si="7"/>
        <v>"28.1"</v>
      </c>
      <c r="M496">
        <v>100</v>
      </c>
      <c r="N496">
        <f>0.029*stand_validation_1cycle[[#This Row],[stand_level_biomass]]</f>
        <v>29.012715771132271</v>
      </c>
      <c r="O496">
        <f>0.213*stand_validation_1cycle[[#This Row],[stand_level_biomass]]</f>
        <v>213.0933951465922</v>
      </c>
      <c r="P496">
        <f>0.571*stand_validation_1cycle[[#This Row],[stand_level_biomass]]</f>
        <v>571.25036914884572</v>
      </c>
      <c r="Q496">
        <f>stand_validation_1cycle[[#This Row],[stock]]</f>
        <v>100</v>
      </c>
      <c r="R496">
        <v>0</v>
      </c>
      <c r="S496">
        <f>stand_validation_1cycle[[#This Row],[aws]]</f>
        <v>524.13592529296795</v>
      </c>
      <c r="T496">
        <f>stand_validation_1cycle[[#This Row],[percent_tree_cover]]*100</f>
        <v>8.5351094128890992</v>
      </c>
    </row>
    <row r="497" spans="1:20" x14ac:dyDescent="0.2">
      <c r="A497">
        <v>1</v>
      </c>
      <c r="B497" t="s">
        <v>515</v>
      </c>
      <c r="C497">
        <v>25.409666666666599</v>
      </c>
      <c r="D497">
        <v>708.13676413657902</v>
      </c>
      <c r="E497">
        <v>6.5767592866759097</v>
      </c>
      <c r="F497">
        <v>25.259502865603501</v>
      </c>
      <c r="G497">
        <v>100</v>
      </c>
      <c r="H497">
        <v>524.18670654296795</v>
      </c>
      <c r="I497">
        <v>6.5547145805632007E-2</v>
      </c>
      <c r="K497" s="1" t="str">
        <f>TEXT(stand_validation_1cycle[[#This Row],[stand_age]], ".0")</f>
        <v>25.4</v>
      </c>
      <c r="L497" s="1" t="str">
        <f t="shared" si="7"/>
        <v>"25.4"</v>
      </c>
      <c r="M497">
        <v>100</v>
      </c>
      <c r="N497">
        <f>0.029*stand_validation_1cycle[[#This Row],[stand_level_biomass]]</f>
        <v>20.535966159960793</v>
      </c>
      <c r="O497">
        <f>0.213*stand_validation_1cycle[[#This Row],[stand_level_biomass]]</f>
        <v>150.83313076109133</v>
      </c>
      <c r="P497">
        <f>0.571*stand_validation_1cycle[[#This Row],[stand_level_biomass]]</f>
        <v>404.34609232198659</v>
      </c>
      <c r="Q497">
        <f>stand_validation_1cycle[[#This Row],[stock]]</f>
        <v>100</v>
      </c>
      <c r="R497">
        <v>0</v>
      </c>
      <c r="S497">
        <f>stand_validation_1cycle[[#This Row],[aws]]</f>
        <v>524.18670654296795</v>
      </c>
      <c r="T497">
        <f>stand_validation_1cycle[[#This Row],[percent_tree_cover]]*100</f>
        <v>6.5547145805632008</v>
      </c>
    </row>
    <row r="498" spans="1:20" x14ac:dyDescent="0.2">
      <c r="A498">
        <v>1</v>
      </c>
      <c r="B498" t="s">
        <v>516</v>
      </c>
      <c r="C498">
        <v>29.745944444444401</v>
      </c>
      <c r="D498">
        <v>1017.34852985894</v>
      </c>
      <c r="E498">
        <v>8.7832081922385701</v>
      </c>
      <c r="F498">
        <v>28.6944816657392</v>
      </c>
      <c r="G498">
        <v>100</v>
      </c>
      <c r="H498">
        <v>525.37139892578102</v>
      </c>
      <c r="I498">
        <v>8.7483987631909801E-2</v>
      </c>
      <c r="K498" s="1" t="str">
        <f>TEXT(stand_validation_1cycle[[#This Row],[stand_age]], ".0")</f>
        <v>29.7</v>
      </c>
      <c r="L498" s="1" t="str">
        <f t="shared" si="7"/>
        <v>"29.7"</v>
      </c>
      <c r="M498">
        <v>100</v>
      </c>
      <c r="N498">
        <f>0.029*stand_validation_1cycle[[#This Row],[stand_level_biomass]]</f>
        <v>29.503107365909262</v>
      </c>
      <c r="O498">
        <f>0.213*stand_validation_1cycle[[#This Row],[stand_level_biomass]]</f>
        <v>216.69523685995421</v>
      </c>
      <c r="P498">
        <f>0.571*stand_validation_1cycle[[#This Row],[stand_level_biomass]]</f>
        <v>580.90601054945466</v>
      </c>
      <c r="Q498">
        <f>stand_validation_1cycle[[#This Row],[stock]]</f>
        <v>100</v>
      </c>
      <c r="R498">
        <v>0</v>
      </c>
      <c r="S498">
        <f>stand_validation_1cycle[[#This Row],[aws]]</f>
        <v>525.37139892578102</v>
      </c>
      <c r="T498">
        <f>stand_validation_1cycle[[#This Row],[percent_tree_cover]]*100</f>
        <v>8.7483987631909805</v>
      </c>
    </row>
    <row r="499" spans="1:20" x14ac:dyDescent="0.2">
      <c r="A499">
        <v>1</v>
      </c>
      <c r="B499" t="s">
        <v>517</v>
      </c>
      <c r="C499">
        <v>27.613636363636299</v>
      </c>
      <c r="D499">
        <v>896.89369609976097</v>
      </c>
      <c r="E499">
        <v>7.8277964592067999</v>
      </c>
      <c r="F499">
        <v>27.0831789889119</v>
      </c>
      <c r="G499">
        <v>99</v>
      </c>
      <c r="H499">
        <v>524.23059082031205</v>
      </c>
      <c r="I499">
        <v>7.7736328612233493E-2</v>
      </c>
      <c r="K499" s="1" t="str">
        <f>TEXT(stand_validation_1cycle[[#This Row],[stand_age]], ".0")</f>
        <v>27.6</v>
      </c>
      <c r="L499" s="1" t="str">
        <f t="shared" si="7"/>
        <v>"27.6"</v>
      </c>
      <c r="M499">
        <v>100</v>
      </c>
      <c r="N499">
        <f>0.029*stand_validation_1cycle[[#This Row],[stand_level_biomass]]</f>
        <v>26.00991718689307</v>
      </c>
      <c r="O499">
        <f>0.213*stand_validation_1cycle[[#This Row],[stand_level_biomass]]</f>
        <v>191.03835726924908</v>
      </c>
      <c r="P499">
        <f>0.571*stand_validation_1cycle[[#This Row],[stand_level_biomass]]</f>
        <v>512.12630047296352</v>
      </c>
      <c r="Q499">
        <f>stand_validation_1cycle[[#This Row],[stock]]</f>
        <v>99</v>
      </c>
      <c r="R499">
        <v>0</v>
      </c>
      <c r="S499">
        <f>stand_validation_1cycle[[#This Row],[aws]]</f>
        <v>524.23059082031205</v>
      </c>
      <c r="T499">
        <f>stand_validation_1cycle[[#This Row],[percent_tree_cover]]*100</f>
        <v>7.7736328612233496</v>
      </c>
    </row>
    <row r="500" spans="1:20" x14ac:dyDescent="0.2">
      <c r="A500">
        <v>1</v>
      </c>
      <c r="B500" t="s">
        <v>518</v>
      </c>
      <c r="C500">
        <v>26.0719888888888</v>
      </c>
      <c r="D500">
        <v>752.13809493105805</v>
      </c>
      <c r="E500">
        <v>6.7900365141409802</v>
      </c>
      <c r="F500">
        <v>25.0869989990364</v>
      </c>
      <c r="G500">
        <v>100</v>
      </c>
      <c r="H500">
        <v>524.68328857421795</v>
      </c>
      <c r="I500">
        <v>6.7659412490693793E-2</v>
      </c>
      <c r="K500" s="1" t="str">
        <f>TEXT(stand_validation_1cycle[[#This Row],[stand_age]], ".0")</f>
        <v>26.1</v>
      </c>
      <c r="L500" s="1" t="str">
        <f t="shared" si="7"/>
        <v>"26.1"</v>
      </c>
      <c r="M500">
        <v>100</v>
      </c>
      <c r="N500">
        <f>0.029*stand_validation_1cycle[[#This Row],[stand_level_biomass]]</f>
        <v>21.812004753000686</v>
      </c>
      <c r="O500">
        <f>0.213*stand_validation_1cycle[[#This Row],[stand_level_biomass]]</f>
        <v>160.20541422031536</v>
      </c>
      <c r="P500">
        <f>0.571*stand_validation_1cycle[[#This Row],[stand_level_biomass]]</f>
        <v>429.47085220563412</v>
      </c>
      <c r="Q500">
        <f>stand_validation_1cycle[[#This Row],[stock]]</f>
        <v>100</v>
      </c>
      <c r="R500">
        <v>0</v>
      </c>
      <c r="S500">
        <f>stand_validation_1cycle[[#This Row],[aws]]</f>
        <v>524.68328857421795</v>
      </c>
      <c r="T500">
        <f>stand_validation_1cycle[[#This Row],[percent_tree_cover]]*100</f>
        <v>6.7659412490693791</v>
      </c>
    </row>
    <row r="501" spans="1:20" x14ac:dyDescent="0.2">
      <c r="A501">
        <v>1</v>
      </c>
      <c r="B501" t="s">
        <v>519</v>
      </c>
      <c r="C501">
        <v>30.098666666666599</v>
      </c>
      <c r="D501">
        <v>1197.2716532412201</v>
      </c>
      <c r="E501">
        <v>10.1278663966427</v>
      </c>
      <c r="F501">
        <v>30.685455598832799</v>
      </c>
      <c r="G501">
        <v>100</v>
      </c>
      <c r="H501">
        <v>571.95324707031205</v>
      </c>
      <c r="I501">
        <v>0.10088763045878101</v>
      </c>
      <c r="K501" s="1" t="str">
        <f>TEXT(stand_validation_1cycle[[#This Row],[stand_age]], ".0")</f>
        <v>30.1</v>
      </c>
      <c r="L501" s="1" t="str">
        <f t="shared" si="7"/>
        <v>"30.1"</v>
      </c>
      <c r="M501">
        <v>100</v>
      </c>
      <c r="N501">
        <f>0.029*stand_validation_1cycle[[#This Row],[stand_level_biomass]]</f>
        <v>34.720877943995383</v>
      </c>
      <c r="O501">
        <f>0.213*stand_validation_1cycle[[#This Row],[stand_level_biomass]]</f>
        <v>255.01886214037987</v>
      </c>
      <c r="P501">
        <f>0.571*stand_validation_1cycle[[#This Row],[stand_level_biomass]]</f>
        <v>683.64211400073657</v>
      </c>
      <c r="Q501">
        <f>stand_validation_1cycle[[#This Row],[stock]]</f>
        <v>100</v>
      </c>
      <c r="R501">
        <v>0</v>
      </c>
      <c r="S501">
        <f>stand_validation_1cycle[[#This Row],[aws]]</f>
        <v>571.95324707031205</v>
      </c>
      <c r="T501">
        <f>stand_validation_1cycle[[#This Row],[percent_tree_cover]]*100</f>
        <v>10.0887630458781</v>
      </c>
    </row>
    <row r="502" spans="1:20" x14ac:dyDescent="0.2">
      <c r="A502">
        <v>1</v>
      </c>
      <c r="B502" t="s">
        <v>520</v>
      </c>
      <c r="C502">
        <v>24.5284194053208</v>
      </c>
      <c r="D502">
        <v>590.80955361616702</v>
      </c>
      <c r="E502">
        <v>4.0415348559334499</v>
      </c>
      <c r="F502">
        <v>23.829575867506001</v>
      </c>
      <c r="G502">
        <v>71</v>
      </c>
      <c r="H502">
        <v>570.64080810546795</v>
      </c>
      <c r="I502">
        <v>5.6319181323989199E-2</v>
      </c>
      <c r="K502" s="1" t="str">
        <f>TEXT(stand_validation_1cycle[[#This Row],[stand_age]], ".0")</f>
        <v>24.5</v>
      </c>
      <c r="L502" s="1" t="str">
        <f t="shared" si="7"/>
        <v>"24.5"</v>
      </c>
      <c r="M502">
        <v>100</v>
      </c>
      <c r="N502">
        <f>0.029*stand_validation_1cycle[[#This Row],[stand_level_biomass]]</f>
        <v>17.133477054868845</v>
      </c>
      <c r="O502">
        <f>0.213*stand_validation_1cycle[[#This Row],[stand_level_biomass]]</f>
        <v>125.84243492024358</v>
      </c>
      <c r="P502">
        <f>0.571*stand_validation_1cycle[[#This Row],[stand_level_biomass]]</f>
        <v>337.35225511483134</v>
      </c>
      <c r="Q502">
        <f>stand_validation_1cycle[[#This Row],[stock]]</f>
        <v>71</v>
      </c>
      <c r="R502">
        <v>0</v>
      </c>
      <c r="S502">
        <f>stand_validation_1cycle[[#This Row],[aws]]</f>
        <v>570.64080810546795</v>
      </c>
      <c r="T502">
        <f>stand_validation_1cycle[[#This Row],[percent_tree_cover]]*100</f>
        <v>5.63191813239892</v>
      </c>
    </row>
    <row r="503" spans="1:20" x14ac:dyDescent="0.2">
      <c r="A503">
        <v>1</v>
      </c>
      <c r="B503" t="s">
        <v>521</v>
      </c>
      <c r="C503">
        <v>26.646968599033801</v>
      </c>
      <c r="D503">
        <v>827.62526743919705</v>
      </c>
      <c r="E503">
        <v>6.8616161319567004</v>
      </c>
      <c r="F503">
        <v>26.8251049988346</v>
      </c>
      <c r="G503">
        <v>92</v>
      </c>
      <c r="H503">
        <v>571</v>
      </c>
      <c r="I503">
        <v>7.1536677181081101E-2</v>
      </c>
      <c r="K503" s="1" t="str">
        <f>TEXT(stand_validation_1cycle[[#This Row],[stand_age]], ".0")</f>
        <v>26.6</v>
      </c>
      <c r="L503" s="1" t="str">
        <f t="shared" si="7"/>
        <v>"26.6"</v>
      </c>
      <c r="M503">
        <v>100</v>
      </c>
      <c r="N503">
        <f>0.029*stand_validation_1cycle[[#This Row],[stand_level_biomass]]</f>
        <v>24.001132755736716</v>
      </c>
      <c r="O503">
        <f>0.213*stand_validation_1cycle[[#This Row],[stand_level_biomass]]</f>
        <v>176.28418196454896</v>
      </c>
      <c r="P503">
        <f>0.571*stand_validation_1cycle[[#This Row],[stand_level_biomass]]</f>
        <v>472.57402770778145</v>
      </c>
      <c r="Q503">
        <f>stand_validation_1cycle[[#This Row],[stock]]</f>
        <v>92</v>
      </c>
      <c r="R503">
        <v>0</v>
      </c>
      <c r="S503">
        <f>stand_validation_1cycle[[#This Row],[aws]]</f>
        <v>571</v>
      </c>
      <c r="T503">
        <f>stand_validation_1cycle[[#This Row],[percent_tree_cover]]*100</f>
        <v>7.1536677181081103</v>
      </c>
    </row>
    <row r="504" spans="1:20" x14ac:dyDescent="0.2">
      <c r="A504">
        <v>1</v>
      </c>
      <c r="B504" t="s">
        <v>522</v>
      </c>
      <c r="C504">
        <v>25.991688888888799</v>
      </c>
      <c r="D504">
        <v>731.42277915998295</v>
      </c>
      <c r="E504">
        <v>6.67413609256658</v>
      </c>
      <c r="F504">
        <v>25.2989891322792</v>
      </c>
      <c r="G504">
        <v>100</v>
      </c>
      <c r="H504">
        <v>568.67242431640602</v>
      </c>
      <c r="I504">
        <v>6.6504055405163603E-2</v>
      </c>
      <c r="K504" s="1" t="str">
        <f>TEXT(stand_validation_1cycle[[#This Row],[stand_age]], ".0")</f>
        <v>26.0</v>
      </c>
      <c r="L504" s="1" t="str">
        <f t="shared" si="7"/>
        <v>"26.0"</v>
      </c>
      <c r="M504">
        <v>100</v>
      </c>
      <c r="N504">
        <f>0.029*stand_validation_1cycle[[#This Row],[stand_level_biomass]]</f>
        <v>21.211260595639505</v>
      </c>
      <c r="O504">
        <f>0.213*stand_validation_1cycle[[#This Row],[stand_level_biomass]]</f>
        <v>155.79305196107637</v>
      </c>
      <c r="P504">
        <f>0.571*stand_validation_1cycle[[#This Row],[stand_level_biomass]]</f>
        <v>417.64240690035024</v>
      </c>
      <c r="Q504">
        <f>stand_validation_1cycle[[#This Row],[stock]]</f>
        <v>100</v>
      </c>
      <c r="R504">
        <v>0</v>
      </c>
      <c r="S504">
        <f>stand_validation_1cycle[[#This Row],[aws]]</f>
        <v>568.67242431640602</v>
      </c>
      <c r="T504">
        <f>stand_validation_1cycle[[#This Row],[percent_tree_cover]]*100</f>
        <v>6.6504055405163607</v>
      </c>
    </row>
    <row r="505" spans="1:20" x14ac:dyDescent="0.2">
      <c r="A505">
        <v>1</v>
      </c>
      <c r="B505" t="s">
        <v>523</v>
      </c>
      <c r="C505">
        <v>26.706211111111099</v>
      </c>
      <c r="D505">
        <v>917.75104048583501</v>
      </c>
      <c r="E505">
        <v>7.9455464934560096</v>
      </c>
      <c r="F505">
        <v>26.613167065535698</v>
      </c>
      <c r="G505">
        <v>100</v>
      </c>
      <c r="H505">
        <v>568.39929199218705</v>
      </c>
      <c r="I505">
        <v>7.9162014105447695E-2</v>
      </c>
      <c r="K505" s="1" t="str">
        <f>TEXT(stand_validation_1cycle[[#This Row],[stand_age]], ".0")</f>
        <v>26.7</v>
      </c>
      <c r="L505" s="1" t="str">
        <f t="shared" si="7"/>
        <v>"26.7"</v>
      </c>
      <c r="M505">
        <v>100</v>
      </c>
      <c r="N505">
        <f>0.029*stand_validation_1cycle[[#This Row],[stand_level_biomass]]</f>
        <v>26.614780174089216</v>
      </c>
      <c r="O505">
        <f>0.213*stand_validation_1cycle[[#This Row],[stand_level_biomass]]</f>
        <v>195.48097162348284</v>
      </c>
      <c r="P505">
        <f>0.571*stand_validation_1cycle[[#This Row],[stand_level_biomass]]</f>
        <v>524.03584411741178</v>
      </c>
      <c r="Q505">
        <f>stand_validation_1cycle[[#This Row],[stock]]</f>
        <v>100</v>
      </c>
      <c r="R505">
        <v>0</v>
      </c>
      <c r="S505">
        <f>stand_validation_1cycle[[#This Row],[aws]]</f>
        <v>568.39929199218705</v>
      </c>
      <c r="T505">
        <f>stand_validation_1cycle[[#This Row],[percent_tree_cover]]*100</f>
        <v>7.9162014105447698</v>
      </c>
    </row>
    <row r="506" spans="1:20" x14ac:dyDescent="0.2">
      <c r="A506">
        <v>1</v>
      </c>
      <c r="B506" t="s">
        <v>524</v>
      </c>
      <c r="C506">
        <v>26.2972999999999</v>
      </c>
      <c r="D506">
        <v>682.26056133753502</v>
      </c>
      <c r="E506">
        <v>6.5175182740071698</v>
      </c>
      <c r="F506">
        <v>26.227219998859901</v>
      </c>
      <c r="G506">
        <v>100</v>
      </c>
      <c r="H506">
        <v>571.26214599609295</v>
      </c>
      <c r="I506">
        <v>6.4967043523765602E-2</v>
      </c>
      <c r="K506" s="1" t="str">
        <f>TEXT(stand_validation_1cycle[[#This Row],[stand_age]], ".0")</f>
        <v>26.3</v>
      </c>
      <c r="L506" s="1" t="str">
        <f t="shared" si="7"/>
        <v>"26.3"</v>
      </c>
      <c r="M506">
        <v>100</v>
      </c>
      <c r="N506">
        <f>0.029*stand_validation_1cycle[[#This Row],[stand_level_biomass]]</f>
        <v>19.785556278788516</v>
      </c>
      <c r="O506">
        <f>0.213*stand_validation_1cycle[[#This Row],[stand_level_biomass]]</f>
        <v>145.32149956489496</v>
      </c>
      <c r="P506">
        <f>0.571*stand_validation_1cycle[[#This Row],[stand_level_biomass]]</f>
        <v>389.57078052373248</v>
      </c>
      <c r="Q506">
        <f>stand_validation_1cycle[[#This Row],[stock]]</f>
        <v>100</v>
      </c>
      <c r="R506">
        <v>0</v>
      </c>
      <c r="S506">
        <f>stand_validation_1cycle[[#This Row],[aws]]</f>
        <v>571.26214599609295</v>
      </c>
      <c r="T506">
        <f>stand_validation_1cycle[[#This Row],[percent_tree_cover]]*100</f>
        <v>6.4967043523765602</v>
      </c>
    </row>
    <row r="507" spans="1:20" x14ac:dyDescent="0.2">
      <c r="A507">
        <v>1</v>
      </c>
      <c r="B507" t="s">
        <v>525</v>
      </c>
      <c r="C507">
        <v>26.340433333333301</v>
      </c>
      <c r="D507">
        <v>925.93358223350901</v>
      </c>
      <c r="E507">
        <v>8.18812221400845</v>
      </c>
      <c r="F507">
        <v>28.270793265223499</v>
      </c>
      <c r="G507">
        <v>100</v>
      </c>
      <c r="H507">
        <v>572.91229248046795</v>
      </c>
      <c r="I507">
        <v>8.1621643312701303E-2</v>
      </c>
      <c r="K507" s="1" t="str">
        <f>TEXT(stand_validation_1cycle[[#This Row],[stand_age]], ".0")</f>
        <v>26.3</v>
      </c>
      <c r="L507" s="1" t="str">
        <f t="shared" si="7"/>
        <v>"26.3"</v>
      </c>
      <c r="M507">
        <v>100</v>
      </c>
      <c r="N507">
        <f>0.029*stand_validation_1cycle[[#This Row],[stand_level_biomass]]</f>
        <v>26.852073884771762</v>
      </c>
      <c r="O507">
        <f>0.213*stand_validation_1cycle[[#This Row],[stand_level_biomass]]</f>
        <v>197.2238530157374</v>
      </c>
      <c r="P507">
        <f>0.571*stand_validation_1cycle[[#This Row],[stand_level_biomass]]</f>
        <v>528.70807545533364</v>
      </c>
      <c r="Q507">
        <f>stand_validation_1cycle[[#This Row],[stock]]</f>
        <v>100</v>
      </c>
      <c r="R507">
        <v>0</v>
      </c>
      <c r="S507">
        <f>stand_validation_1cycle[[#This Row],[aws]]</f>
        <v>572.91229248046795</v>
      </c>
      <c r="T507">
        <f>stand_validation_1cycle[[#This Row],[percent_tree_cover]]*100</f>
        <v>8.1621643312701302</v>
      </c>
    </row>
    <row r="508" spans="1:20" x14ac:dyDescent="0.2">
      <c r="A508">
        <v>1</v>
      </c>
      <c r="B508" t="s">
        <v>526</v>
      </c>
      <c r="C508">
        <v>26.846211111111099</v>
      </c>
      <c r="D508">
        <v>747.38912803682695</v>
      </c>
      <c r="E508">
        <v>6.7818463820930699</v>
      </c>
      <c r="F508">
        <v>25.193836599090702</v>
      </c>
      <c r="G508">
        <v>100</v>
      </c>
      <c r="H508">
        <v>568.63134765625</v>
      </c>
      <c r="I508">
        <v>6.7558813275634094E-2</v>
      </c>
      <c r="K508" s="1" t="str">
        <f>TEXT(stand_validation_1cycle[[#This Row],[stand_age]], ".0")</f>
        <v>26.8</v>
      </c>
      <c r="L508" s="1" t="str">
        <f t="shared" si="7"/>
        <v>"26.8"</v>
      </c>
      <c r="M508">
        <v>100</v>
      </c>
      <c r="N508">
        <f>0.029*stand_validation_1cycle[[#This Row],[stand_level_biomass]]</f>
        <v>21.674284713067983</v>
      </c>
      <c r="O508">
        <f>0.213*stand_validation_1cycle[[#This Row],[stand_level_biomass]]</f>
        <v>159.19388427184413</v>
      </c>
      <c r="P508">
        <f>0.571*stand_validation_1cycle[[#This Row],[stand_level_biomass]]</f>
        <v>426.75919210902816</v>
      </c>
      <c r="Q508">
        <f>stand_validation_1cycle[[#This Row],[stock]]</f>
        <v>100</v>
      </c>
      <c r="R508">
        <v>0</v>
      </c>
      <c r="S508">
        <f>stand_validation_1cycle[[#This Row],[aws]]</f>
        <v>568.63134765625</v>
      </c>
      <c r="T508">
        <f>stand_validation_1cycle[[#This Row],[percent_tree_cover]]*100</f>
        <v>6.7558813275634098</v>
      </c>
    </row>
    <row r="509" spans="1:20" x14ac:dyDescent="0.2">
      <c r="A509">
        <v>1</v>
      </c>
      <c r="B509" t="s">
        <v>527</v>
      </c>
      <c r="C509">
        <v>30.149786756453398</v>
      </c>
      <c r="D509">
        <v>1073.7464137986301</v>
      </c>
      <c r="E509">
        <v>9.0530867091452105</v>
      </c>
      <c r="F509">
        <v>28.875410562770501</v>
      </c>
      <c r="G509">
        <v>99</v>
      </c>
      <c r="H509">
        <v>573.527587890625</v>
      </c>
      <c r="I509">
        <v>9.01807855804556E-2</v>
      </c>
      <c r="K509" s="1" t="str">
        <f>TEXT(stand_validation_1cycle[[#This Row],[stand_age]], ".0")</f>
        <v>30.1</v>
      </c>
      <c r="L509" s="1" t="str">
        <f t="shared" si="7"/>
        <v>"30.1"</v>
      </c>
      <c r="M509">
        <v>100</v>
      </c>
      <c r="N509">
        <f>0.029*stand_validation_1cycle[[#This Row],[stand_level_biomass]]</f>
        <v>31.138646000160275</v>
      </c>
      <c r="O509">
        <f>0.213*stand_validation_1cycle[[#This Row],[stand_level_biomass]]</f>
        <v>228.70798613910821</v>
      </c>
      <c r="P509">
        <f>0.571*stand_validation_1cycle[[#This Row],[stand_level_biomass]]</f>
        <v>613.10920227901772</v>
      </c>
      <c r="Q509">
        <f>stand_validation_1cycle[[#This Row],[stock]]</f>
        <v>99</v>
      </c>
      <c r="R509">
        <v>0</v>
      </c>
      <c r="S509">
        <f>stand_validation_1cycle[[#This Row],[aws]]</f>
        <v>573.527587890625</v>
      </c>
      <c r="T509">
        <f>stand_validation_1cycle[[#This Row],[percent_tree_cover]]*100</f>
        <v>9.0180785580455591</v>
      </c>
    </row>
    <row r="510" spans="1:20" x14ac:dyDescent="0.2">
      <c r="A510">
        <v>1</v>
      </c>
      <c r="B510" t="s">
        <v>528</v>
      </c>
      <c r="C510">
        <v>26.105699999999999</v>
      </c>
      <c r="D510">
        <v>736.30246969030998</v>
      </c>
      <c r="E510">
        <v>6.6733043559115401</v>
      </c>
      <c r="F510">
        <v>25.056495314285701</v>
      </c>
      <c r="G510">
        <v>100</v>
      </c>
      <c r="H510">
        <v>568.61767578125</v>
      </c>
      <c r="I510">
        <v>6.6494105648033403E-2</v>
      </c>
      <c r="K510" s="1" t="str">
        <f>TEXT(stand_validation_1cycle[[#This Row],[stand_age]], ".0")</f>
        <v>26.1</v>
      </c>
      <c r="L510" s="1" t="str">
        <f t="shared" si="7"/>
        <v>"26.1"</v>
      </c>
      <c r="M510">
        <v>100</v>
      </c>
      <c r="N510">
        <f>0.029*stand_validation_1cycle[[#This Row],[stand_level_biomass]]</f>
        <v>21.352771621018992</v>
      </c>
      <c r="O510">
        <f>0.213*stand_validation_1cycle[[#This Row],[stand_level_biomass]]</f>
        <v>156.83242604403603</v>
      </c>
      <c r="P510">
        <f>0.571*stand_validation_1cycle[[#This Row],[stand_level_biomass]]</f>
        <v>420.42871019316698</v>
      </c>
      <c r="Q510">
        <f>stand_validation_1cycle[[#This Row],[stock]]</f>
        <v>100</v>
      </c>
      <c r="R510">
        <v>0</v>
      </c>
      <c r="S510">
        <f>stand_validation_1cycle[[#This Row],[aws]]</f>
        <v>568.61767578125</v>
      </c>
      <c r="T510">
        <f>stand_validation_1cycle[[#This Row],[percent_tree_cover]]*100</f>
        <v>6.6494105648033406</v>
      </c>
    </row>
    <row r="511" spans="1:20" x14ac:dyDescent="0.2">
      <c r="A511">
        <v>1</v>
      </c>
      <c r="B511" t="s">
        <v>529</v>
      </c>
      <c r="C511">
        <v>29.5913</v>
      </c>
      <c r="D511">
        <v>1020.44542758971</v>
      </c>
      <c r="E511">
        <v>8.7998256465797393</v>
      </c>
      <c r="F511">
        <v>28.461295542857101</v>
      </c>
      <c r="G511">
        <v>100</v>
      </c>
      <c r="H511">
        <v>574.35705566406205</v>
      </c>
      <c r="I511">
        <v>8.7653612694174404E-2</v>
      </c>
      <c r="K511" s="1" t="str">
        <f>TEXT(stand_validation_1cycle[[#This Row],[stand_age]], ".0")</f>
        <v>29.6</v>
      </c>
      <c r="L511" s="1" t="str">
        <f t="shared" si="7"/>
        <v>"29.6"</v>
      </c>
      <c r="M511">
        <v>100</v>
      </c>
      <c r="N511">
        <f>0.029*stand_validation_1cycle[[#This Row],[stand_level_biomass]]</f>
        <v>29.592917400101591</v>
      </c>
      <c r="O511">
        <f>0.213*stand_validation_1cycle[[#This Row],[stand_level_biomass]]</f>
        <v>217.35487607660824</v>
      </c>
      <c r="P511">
        <f>0.571*stand_validation_1cycle[[#This Row],[stand_level_biomass]]</f>
        <v>582.6743391537243</v>
      </c>
      <c r="Q511">
        <f>stand_validation_1cycle[[#This Row],[stock]]</f>
        <v>100</v>
      </c>
      <c r="R511">
        <v>0</v>
      </c>
      <c r="S511">
        <f>stand_validation_1cycle[[#This Row],[aws]]</f>
        <v>574.35705566406205</v>
      </c>
      <c r="T511">
        <f>stand_validation_1cycle[[#This Row],[percent_tree_cover]]*100</f>
        <v>8.7653612694174399</v>
      </c>
    </row>
    <row r="512" spans="1:20" x14ac:dyDescent="0.2">
      <c r="A512">
        <v>1</v>
      </c>
      <c r="B512" t="s">
        <v>530</v>
      </c>
      <c r="C512">
        <v>26.464700000000001</v>
      </c>
      <c r="D512">
        <v>909.610257967351</v>
      </c>
      <c r="E512">
        <v>7.8944736216865996</v>
      </c>
      <c r="F512">
        <v>26.742212799999901</v>
      </c>
      <c r="G512">
        <v>100</v>
      </c>
      <c r="H512">
        <v>523.688720703125</v>
      </c>
      <c r="I512">
        <v>7.8665815090092794E-2</v>
      </c>
      <c r="K512" s="1" t="str">
        <f>TEXT(stand_validation_1cycle[[#This Row],[stand_age]], ".0")</f>
        <v>26.5</v>
      </c>
      <c r="L512" s="1" t="str">
        <f t="shared" si="7"/>
        <v>"26.5"</v>
      </c>
      <c r="M512">
        <v>100</v>
      </c>
      <c r="N512">
        <f>0.029*stand_validation_1cycle[[#This Row],[stand_level_biomass]]</f>
        <v>26.37869748105318</v>
      </c>
      <c r="O512">
        <f>0.213*stand_validation_1cycle[[#This Row],[stand_level_biomass]]</f>
        <v>193.74698494704575</v>
      </c>
      <c r="P512">
        <f>0.571*stand_validation_1cycle[[#This Row],[stand_level_biomass]]</f>
        <v>519.38745729935738</v>
      </c>
      <c r="Q512">
        <f>stand_validation_1cycle[[#This Row],[stock]]</f>
        <v>100</v>
      </c>
      <c r="R512">
        <v>0</v>
      </c>
      <c r="S512">
        <f>stand_validation_1cycle[[#This Row],[aws]]</f>
        <v>523.688720703125</v>
      </c>
      <c r="T512">
        <f>stand_validation_1cycle[[#This Row],[percent_tree_cover]]*100</f>
        <v>7.8665815090092792</v>
      </c>
    </row>
    <row r="513" spans="1:20" x14ac:dyDescent="0.2">
      <c r="A513">
        <v>1</v>
      </c>
      <c r="B513" t="s">
        <v>531</v>
      </c>
      <c r="C513">
        <v>26.257455555555499</v>
      </c>
      <c r="D513">
        <v>789.18584029564204</v>
      </c>
      <c r="E513">
        <v>7.1427195594145996</v>
      </c>
      <c r="F513">
        <v>26.2145645714285</v>
      </c>
      <c r="G513">
        <v>100</v>
      </c>
      <c r="H513">
        <v>0</v>
      </c>
      <c r="I513">
        <v>7.1185559941231102E-2</v>
      </c>
      <c r="K513" s="1" t="str">
        <f>TEXT(stand_validation_1cycle[[#This Row],[stand_age]], ".0")</f>
        <v>26.3</v>
      </c>
      <c r="L513" s="1" t="str">
        <f t="shared" si="7"/>
        <v>"26.3"</v>
      </c>
      <c r="M513">
        <v>100</v>
      </c>
      <c r="N513">
        <f>0.029*stand_validation_1cycle[[#This Row],[stand_level_biomass]]</f>
        <v>22.886389368573621</v>
      </c>
      <c r="O513">
        <f>0.213*stand_validation_1cycle[[#This Row],[stand_level_biomass]]</f>
        <v>168.09658398297174</v>
      </c>
      <c r="P513">
        <f>0.571*stand_validation_1cycle[[#This Row],[stand_level_biomass]]</f>
        <v>450.62511480881159</v>
      </c>
      <c r="Q513">
        <f>stand_validation_1cycle[[#This Row],[stock]]</f>
        <v>100</v>
      </c>
      <c r="R513">
        <v>0</v>
      </c>
      <c r="S513">
        <f>stand_validation_1cycle[[#This Row],[aws]]</f>
        <v>0</v>
      </c>
      <c r="T513">
        <f>stand_validation_1cycle[[#This Row],[percent_tree_cover]]*100</f>
        <v>7.1185559941231098</v>
      </c>
    </row>
    <row r="514" spans="1:20" x14ac:dyDescent="0.2">
      <c r="A514">
        <v>1</v>
      </c>
      <c r="B514" t="s">
        <v>532</v>
      </c>
      <c r="C514">
        <v>24.752476851851799</v>
      </c>
      <c r="D514">
        <v>612.77715156025704</v>
      </c>
      <c r="E514">
        <v>2.86201289856887</v>
      </c>
      <c r="F514">
        <v>24.947624761904699</v>
      </c>
      <c r="G514">
        <v>48</v>
      </c>
      <c r="H514">
        <v>400</v>
      </c>
      <c r="I514">
        <v>5.8398734835010603E-2</v>
      </c>
      <c r="K514" s="1" t="str">
        <f>TEXT(stand_validation_1cycle[[#This Row],[stand_age]], ".0")</f>
        <v>24.8</v>
      </c>
      <c r="L514" s="1" t="str">
        <f t="shared" si="7"/>
        <v>"24.8"</v>
      </c>
      <c r="M514">
        <v>100</v>
      </c>
      <c r="N514">
        <f>0.029*stand_validation_1cycle[[#This Row],[stand_level_biomass]]</f>
        <v>17.770537395247455</v>
      </c>
      <c r="O514">
        <f>0.213*stand_validation_1cycle[[#This Row],[stand_level_biomass]]</f>
        <v>130.52153328233476</v>
      </c>
      <c r="P514">
        <f>0.571*stand_validation_1cycle[[#This Row],[stand_level_biomass]]</f>
        <v>349.89575354090675</v>
      </c>
      <c r="Q514">
        <f>stand_validation_1cycle[[#This Row],[stock]]</f>
        <v>48</v>
      </c>
      <c r="R514">
        <v>0</v>
      </c>
      <c r="S514">
        <f>stand_validation_1cycle[[#This Row],[aws]]</f>
        <v>400</v>
      </c>
      <c r="T514">
        <f>stand_validation_1cycle[[#This Row],[percent_tree_cover]]*100</f>
        <v>5.8398734835010604</v>
      </c>
    </row>
    <row r="515" spans="1:20" x14ac:dyDescent="0.2">
      <c r="A515">
        <v>1</v>
      </c>
      <c r="B515" t="s">
        <v>533</v>
      </c>
      <c r="C515">
        <v>30.8802777777777</v>
      </c>
      <c r="D515">
        <v>1145.27069429365</v>
      </c>
      <c r="E515">
        <v>0.38707484545063497</v>
      </c>
      <c r="F515">
        <v>30.720582857142801</v>
      </c>
      <c r="G515">
        <v>4</v>
      </c>
      <c r="H515">
        <v>0</v>
      </c>
      <c r="I515">
        <v>7.5942052451294997E-2</v>
      </c>
      <c r="K515" s="1" t="str">
        <f>TEXT(stand_validation_1cycle[[#This Row],[stand_age]], ".0")</f>
        <v>30.9</v>
      </c>
      <c r="L515" s="1" t="str">
        <f t="shared" ref="L515:L578" si="8">""""&amp;K515&amp;""""</f>
        <v>"30.9"</v>
      </c>
      <c r="M515">
        <v>100</v>
      </c>
      <c r="N515">
        <f>0.029*stand_validation_1cycle[[#This Row],[stand_level_biomass]]</f>
        <v>33.212850134515854</v>
      </c>
      <c r="O515">
        <f>0.213*stand_validation_1cycle[[#This Row],[stand_level_biomass]]</f>
        <v>243.94265788454743</v>
      </c>
      <c r="P515">
        <f>0.571*stand_validation_1cycle[[#This Row],[stand_level_biomass]]</f>
        <v>653.94956644167405</v>
      </c>
      <c r="Q515">
        <f>stand_validation_1cycle[[#This Row],[stock]]</f>
        <v>4</v>
      </c>
      <c r="R515">
        <v>0</v>
      </c>
      <c r="S515">
        <f>stand_validation_1cycle[[#This Row],[aws]]</f>
        <v>0</v>
      </c>
      <c r="T515">
        <f>stand_validation_1cycle[[#This Row],[percent_tree_cover]]*100</f>
        <v>7.5942052451294995</v>
      </c>
    </row>
    <row r="516" spans="1:20" x14ac:dyDescent="0.2">
      <c r="A516">
        <v>1</v>
      </c>
      <c r="B516" t="s">
        <v>534</v>
      </c>
      <c r="C516">
        <v>28.742467836257202</v>
      </c>
      <c r="D516">
        <v>988.43862882666997</v>
      </c>
      <c r="E516">
        <v>8.0151162773715896</v>
      </c>
      <c r="F516">
        <v>27.3154552973789</v>
      </c>
      <c r="G516">
        <v>95</v>
      </c>
      <c r="H516">
        <v>0</v>
      </c>
      <c r="I516">
        <v>8.3014677743098994E-2</v>
      </c>
      <c r="K516" s="1" t="str">
        <f>TEXT(stand_validation_1cycle[[#This Row],[stand_age]], ".0")</f>
        <v>28.7</v>
      </c>
      <c r="L516" s="1" t="str">
        <f t="shared" si="8"/>
        <v>"28.7"</v>
      </c>
      <c r="M516">
        <v>100</v>
      </c>
      <c r="N516">
        <f>0.029*stand_validation_1cycle[[#This Row],[stand_level_biomass]]</f>
        <v>28.66472023597343</v>
      </c>
      <c r="O516">
        <f>0.213*stand_validation_1cycle[[#This Row],[stand_level_biomass]]</f>
        <v>210.5374279400807</v>
      </c>
      <c r="P516">
        <f>0.571*stand_validation_1cycle[[#This Row],[stand_level_biomass]]</f>
        <v>564.39845706002848</v>
      </c>
      <c r="Q516">
        <f>stand_validation_1cycle[[#This Row],[stock]]</f>
        <v>95</v>
      </c>
      <c r="R516">
        <v>0</v>
      </c>
      <c r="S516">
        <f>stand_validation_1cycle[[#This Row],[aws]]</f>
        <v>0</v>
      </c>
      <c r="T516">
        <f>stand_validation_1cycle[[#This Row],[percent_tree_cover]]*100</f>
        <v>8.3014677743098986</v>
      </c>
    </row>
    <row r="517" spans="1:20" x14ac:dyDescent="0.2">
      <c r="A517">
        <v>1</v>
      </c>
      <c r="B517" t="s">
        <v>535</v>
      </c>
      <c r="C517">
        <v>27.229944444444399</v>
      </c>
      <c r="D517">
        <v>868.30405791134399</v>
      </c>
      <c r="E517">
        <v>7.7057400868277002</v>
      </c>
      <c r="F517">
        <v>27.0375951989142</v>
      </c>
      <c r="G517">
        <v>100</v>
      </c>
      <c r="H517">
        <v>525.18927001953102</v>
      </c>
      <c r="I517">
        <v>7.6781921797637001E-2</v>
      </c>
      <c r="K517" s="1" t="str">
        <f>TEXT(stand_validation_1cycle[[#This Row],[stand_age]], ".0")</f>
        <v>27.2</v>
      </c>
      <c r="L517" s="1" t="str">
        <f t="shared" si="8"/>
        <v>"27.2"</v>
      </c>
      <c r="M517">
        <v>100</v>
      </c>
      <c r="N517">
        <f>0.029*stand_validation_1cycle[[#This Row],[stand_level_biomass]]</f>
        <v>25.180817679428976</v>
      </c>
      <c r="O517">
        <f>0.213*stand_validation_1cycle[[#This Row],[stand_level_biomass]]</f>
        <v>184.94876433511627</v>
      </c>
      <c r="P517">
        <f>0.571*stand_validation_1cycle[[#This Row],[stand_level_biomass]]</f>
        <v>495.80161706737738</v>
      </c>
      <c r="Q517">
        <f>stand_validation_1cycle[[#This Row],[stock]]</f>
        <v>100</v>
      </c>
      <c r="R517">
        <v>0</v>
      </c>
      <c r="S517">
        <f>stand_validation_1cycle[[#This Row],[aws]]</f>
        <v>525.18927001953102</v>
      </c>
      <c r="T517">
        <f>stand_validation_1cycle[[#This Row],[percent_tree_cover]]*100</f>
        <v>7.6781921797637001</v>
      </c>
    </row>
    <row r="518" spans="1:20" x14ac:dyDescent="0.2">
      <c r="A518">
        <v>1</v>
      </c>
      <c r="B518" t="s">
        <v>536</v>
      </c>
      <c r="C518">
        <v>25.570280583613901</v>
      </c>
      <c r="D518">
        <v>688.98852530302202</v>
      </c>
      <c r="E518">
        <v>6.3494171489007201</v>
      </c>
      <c r="F518">
        <v>24.7203818845577</v>
      </c>
      <c r="G518">
        <v>99</v>
      </c>
      <c r="H518">
        <v>603.59899902343705</v>
      </c>
      <c r="I518">
        <v>6.2810479719575402E-2</v>
      </c>
      <c r="K518" s="1" t="str">
        <f>TEXT(stand_validation_1cycle[[#This Row],[stand_age]], ".0")</f>
        <v>25.6</v>
      </c>
      <c r="L518" s="1" t="str">
        <f t="shared" si="8"/>
        <v>"25.6"</v>
      </c>
      <c r="M518">
        <v>100</v>
      </c>
      <c r="N518">
        <f>0.029*stand_validation_1cycle[[#This Row],[stand_level_biomass]]</f>
        <v>19.980667233787639</v>
      </c>
      <c r="O518">
        <f>0.213*stand_validation_1cycle[[#This Row],[stand_level_biomass]]</f>
        <v>146.7545558895437</v>
      </c>
      <c r="P518">
        <f>0.571*stand_validation_1cycle[[#This Row],[stand_level_biomass]]</f>
        <v>393.41244794802554</v>
      </c>
      <c r="Q518">
        <f>stand_validation_1cycle[[#This Row],[stock]]</f>
        <v>99</v>
      </c>
      <c r="R518">
        <v>0</v>
      </c>
      <c r="S518">
        <f>stand_validation_1cycle[[#This Row],[aws]]</f>
        <v>603.59899902343705</v>
      </c>
      <c r="T518">
        <f>stand_validation_1cycle[[#This Row],[percent_tree_cover]]*100</f>
        <v>6.2810479719575403</v>
      </c>
    </row>
    <row r="519" spans="1:20" x14ac:dyDescent="0.2">
      <c r="A519">
        <v>1</v>
      </c>
      <c r="B519" t="s">
        <v>537</v>
      </c>
      <c r="C519">
        <v>27.654833333333301</v>
      </c>
      <c r="D519">
        <v>916.71947943394105</v>
      </c>
      <c r="E519">
        <v>8.1893914174405005</v>
      </c>
      <c r="F519">
        <v>28.373452932021401</v>
      </c>
      <c r="G519">
        <v>100</v>
      </c>
      <c r="H519">
        <v>524.85400390625</v>
      </c>
      <c r="I519">
        <v>8.1613619688828604E-2</v>
      </c>
      <c r="K519" s="1" t="str">
        <f>TEXT(stand_validation_1cycle[[#This Row],[stand_age]], ".0")</f>
        <v>27.7</v>
      </c>
      <c r="L519" s="1" t="str">
        <f t="shared" si="8"/>
        <v>"27.7"</v>
      </c>
      <c r="M519">
        <v>100</v>
      </c>
      <c r="N519">
        <f>0.029*stand_validation_1cycle[[#This Row],[stand_level_biomass]]</f>
        <v>26.584864903584293</v>
      </c>
      <c r="O519">
        <f>0.213*stand_validation_1cycle[[#This Row],[stand_level_biomass]]</f>
        <v>195.26124911942944</v>
      </c>
      <c r="P519">
        <f>0.571*stand_validation_1cycle[[#This Row],[stand_level_biomass]]</f>
        <v>523.44682275678031</v>
      </c>
      <c r="Q519">
        <f>stand_validation_1cycle[[#This Row],[stock]]</f>
        <v>100</v>
      </c>
      <c r="R519">
        <v>0</v>
      </c>
      <c r="S519">
        <f>stand_validation_1cycle[[#This Row],[aws]]</f>
        <v>524.85400390625</v>
      </c>
      <c r="T519">
        <f>stand_validation_1cycle[[#This Row],[percent_tree_cover]]*100</f>
        <v>8.1613619688828596</v>
      </c>
    </row>
    <row r="520" spans="1:20" x14ac:dyDescent="0.2">
      <c r="A520">
        <v>1</v>
      </c>
      <c r="B520" t="s">
        <v>538</v>
      </c>
      <c r="C520">
        <v>26.904320987654302</v>
      </c>
      <c r="D520">
        <v>823.81064502522202</v>
      </c>
      <c r="E520">
        <v>7.3218712366800496</v>
      </c>
      <c r="F520">
        <v>26.531079864259699</v>
      </c>
      <c r="G520">
        <v>99</v>
      </c>
      <c r="H520">
        <v>524.85400390625</v>
      </c>
      <c r="I520">
        <v>7.2650571263760705E-2</v>
      </c>
      <c r="K520" s="1" t="str">
        <f>TEXT(stand_validation_1cycle[[#This Row],[stand_age]], ".0")</f>
        <v>26.9</v>
      </c>
      <c r="L520" s="1" t="str">
        <f t="shared" si="8"/>
        <v>"26.9"</v>
      </c>
      <c r="M520">
        <v>100</v>
      </c>
      <c r="N520">
        <f>0.029*stand_validation_1cycle[[#This Row],[stand_level_biomass]]</f>
        <v>23.890508705731438</v>
      </c>
      <c r="O520">
        <f>0.213*stand_validation_1cycle[[#This Row],[stand_level_biomass]]</f>
        <v>175.47166739037229</v>
      </c>
      <c r="P520">
        <f>0.571*stand_validation_1cycle[[#This Row],[stand_level_biomass]]</f>
        <v>470.39587830940172</v>
      </c>
      <c r="Q520">
        <f>stand_validation_1cycle[[#This Row],[stock]]</f>
        <v>99</v>
      </c>
      <c r="R520">
        <v>0</v>
      </c>
      <c r="S520">
        <f>stand_validation_1cycle[[#This Row],[aws]]</f>
        <v>524.85400390625</v>
      </c>
      <c r="T520">
        <f>stand_validation_1cycle[[#This Row],[percent_tree_cover]]*100</f>
        <v>7.2650571263760702</v>
      </c>
    </row>
    <row r="521" spans="1:20" x14ac:dyDescent="0.2">
      <c r="A521">
        <v>1</v>
      </c>
      <c r="B521" t="s">
        <v>539</v>
      </c>
      <c r="C521">
        <v>27.810111111111102</v>
      </c>
      <c r="D521">
        <v>835.25235996523202</v>
      </c>
      <c r="E521">
        <v>7.5776667791188004</v>
      </c>
      <c r="F521">
        <v>27.2840544655221</v>
      </c>
      <c r="G521">
        <v>100</v>
      </c>
      <c r="H521">
        <v>525.26617431640602</v>
      </c>
      <c r="I521">
        <v>7.55093661315972E-2</v>
      </c>
      <c r="K521" s="1" t="str">
        <f>TEXT(stand_validation_1cycle[[#This Row],[stand_age]], ".0")</f>
        <v>27.8</v>
      </c>
      <c r="L521" s="1" t="str">
        <f t="shared" si="8"/>
        <v>"27.8"</v>
      </c>
      <c r="M521">
        <v>100</v>
      </c>
      <c r="N521">
        <f>0.029*stand_validation_1cycle[[#This Row],[stand_level_biomass]]</f>
        <v>24.222318438991731</v>
      </c>
      <c r="O521">
        <f>0.213*stand_validation_1cycle[[#This Row],[stand_level_biomass]]</f>
        <v>177.9087526725944</v>
      </c>
      <c r="P521">
        <f>0.571*stand_validation_1cycle[[#This Row],[stand_level_biomass]]</f>
        <v>476.92909754014744</v>
      </c>
      <c r="Q521">
        <f>stand_validation_1cycle[[#This Row],[stock]]</f>
        <v>100</v>
      </c>
      <c r="R521">
        <v>0</v>
      </c>
      <c r="S521">
        <f>stand_validation_1cycle[[#This Row],[aws]]</f>
        <v>525.26617431640602</v>
      </c>
      <c r="T521">
        <f>stand_validation_1cycle[[#This Row],[percent_tree_cover]]*100</f>
        <v>7.5509366131597204</v>
      </c>
    </row>
    <row r="522" spans="1:20" x14ac:dyDescent="0.2">
      <c r="A522">
        <v>1</v>
      </c>
      <c r="B522" t="s">
        <v>540</v>
      </c>
      <c r="C522">
        <v>26.9133888888888</v>
      </c>
      <c r="D522">
        <v>786.05572302724397</v>
      </c>
      <c r="E522">
        <v>7.0977076052721397</v>
      </c>
      <c r="F522">
        <v>25.939473332374199</v>
      </c>
      <c r="G522">
        <v>100</v>
      </c>
      <c r="H522">
        <v>524.48052978515602</v>
      </c>
      <c r="I522">
        <v>7.0718384294171294E-2</v>
      </c>
      <c r="K522" s="1" t="str">
        <f>TEXT(stand_validation_1cycle[[#This Row],[stand_age]], ".0")</f>
        <v>26.9</v>
      </c>
      <c r="L522" s="1" t="str">
        <f t="shared" si="8"/>
        <v>"26.9"</v>
      </c>
      <c r="M522">
        <v>100</v>
      </c>
      <c r="N522">
        <f>0.029*stand_validation_1cycle[[#This Row],[stand_level_biomass]]</f>
        <v>22.795615967790077</v>
      </c>
      <c r="O522">
        <f>0.213*stand_validation_1cycle[[#This Row],[stand_level_biomass]]</f>
        <v>167.42986900480295</v>
      </c>
      <c r="P522">
        <f>0.571*stand_validation_1cycle[[#This Row],[stand_level_biomass]]</f>
        <v>448.83781784855626</v>
      </c>
      <c r="Q522">
        <f>stand_validation_1cycle[[#This Row],[stock]]</f>
        <v>100</v>
      </c>
      <c r="R522">
        <v>0</v>
      </c>
      <c r="S522">
        <f>stand_validation_1cycle[[#This Row],[aws]]</f>
        <v>524.48052978515602</v>
      </c>
      <c r="T522">
        <f>stand_validation_1cycle[[#This Row],[percent_tree_cover]]*100</f>
        <v>7.071838429417129</v>
      </c>
    </row>
    <row r="523" spans="1:20" x14ac:dyDescent="0.2">
      <c r="A523">
        <v>1</v>
      </c>
      <c r="B523" t="s">
        <v>541</v>
      </c>
      <c r="C523">
        <v>26.6723999999999</v>
      </c>
      <c r="D523">
        <v>846.44369409344495</v>
      </c>
      <c r="E523">
        <v>7.4180361732045998</v>
      </c>
      <c r="F523">
        <v>25.826698998982099</v>
      </c>
      <c r="G523">
        <v>100</v>
      </c>
      <c r="H523">
        <v>572</v>
      </c>
      <c r="I523">
        <v>7.3902674473785401E-2</v>
      </c>
      <c r="K523" s="1" t="str">
        <f>TEXT(stand_validation_1cycle[[#This Row],[stand_age]], ".0")</f>
        <v>26.7</v>
      </c>
      <c r="L523" s="1" t="str">
        <f t="shared" si="8"/>
        <v>"26.7"</v>
      </c>
      <c r="M523">
        <v>100</v>
      </c>
      <c r="N523">
        <f>0.029*stand_validation_1cycle[[#This Row],[stand_level_biomass]]</f>
        <v>24.546867128709906</v>
      </c>
      <c r="O523">
        <f>0.213*stand_validation_1cycle[[#This Row],[stand_level_biomass]]</f>
        <v>180.29250684190376</v>
      </c>
      <c r="P523">
        <f>0.571*stand_validation_1cycle[[#This Row],[stand_level_biomass]]</f>
        <v>483.31934932735703</v>
      </c>
      <c r="Q523">
        <f>stand_validation_1cycle[[#This Row],[stock]]</f>
        <v>100</v>
      </c>
      <c r="R523">
        <v>0</v>
      </c>
      <c r="S523">
        <f>stand_validation_1cycle[[#This Row],[aws]]</f>
        <v>572</v>
      </c>
      <c r="T523">
        <f>stand_validation_1cycle[[#This Row],[percent_tree_cover]]*100</f>
        <v>7.3902674473785401</v>
      </c>
    </row>
    <row r="524" spans="1:20" x14ac:dyDescent="0.2">
      <c r="A524">
        <v>1</v>
      </c>
      <c r="B524" t="s">
        <v>542</v>
      </c>
      <c r="C524">
        <v>28.787411111111101</v>
      </c>
      <c r="D524">
        <v>1047.33094119621</v>
      </c>
      <c r="E524">
        <v>9.0241832713340209</v>
      </c>
      <c r="F524">
        <v>29.082308732197799</v>
      </c>
      <c r="G524">
        <v>100</v>
      </c>
      <c r="H524">
        <v>611.487060546875</v>
      </c>
      <c r="I524">
        <v>8.9911070578403696E-2</v>
      </c>
      <c r="K524" s="1" t="str">
        <f>TEXT(stand_validation_1cycle[[#This Row],[stand_age]], ".0")</f>
        <v>28.8</v>
      </c>
      <c r="L524" s="1" t="str">
        <f t="shared" si="8"/>
        <v>"28.8"</v>
      </c>
      <c r="M524">
        <v>100</v>
      </c>
      <c r="N524">
        <f>0.029*stand_validation_1cycle[[#This Row],[stand_level_biomass]]</f>
        <v>30.372597294690092</v>
      </c>
      <c r="O524">
        <f>0.213*stand_validation_1cycle[[#This Row],[stand_level_biomass]]</f>
        <v>223.08149047479273</v>
      </c>
      <c r="P524">
        <f>0.571*stand_validation_1cycle[[#This Row],[stand_level_biomass]]</f>
        <v>598.02596742303581</v>
      </c>
      <c r="Q524">
        <f>stand_validation_1cycle[[#This Row],[stock]]</f>
        <v>100</v>
      </c>
      <c r="R524">
        <v>0</v>
      </c>
      <c r="S524">
        <f>stand_validation_1cycle[[#This Row],[aws]]</f>
        <v>611.487060546875</v>
      </c>
      <c r="T524">
        <f>stand_validation_1cycle[[#This Row],[percent_tree_cover]]*100</f>
        <v>8.9911070578403702</v>
      </c>
    </row>
    <row r="525" spans="1:20" x14ac:dyDescent="0.2">
      <c r="A525">
        <v>1</v>
      </c>
      <c r="B525" t="s">
        <v>543</v>
      </c>
      <c r="C525">
        <v>28.355811111111102</v>
      </c>
      <c r="D525">
        <v>1018.26819476358</v>
      </c>
      <c r="E525">
        <v>8.7567261369651401</v>
      </c>
      <c r="F525">
        <v>28.676163932143499</v>
      </c>
      <c r="G525">
        <v>100</v>
      </c>
      <c r="H525">
        <v>569.210693359375</v>
      </c>
      <c r="I525">
        <v>8.7248870390986499E-2</v>
      </c>
      <c r="K525" s="1" t="str">
        <f>TEXT(stand_validation_1cycle[[#This Row],[stand_age]], ".0")</f>
        <v>28.4</v>
      </c>
      <c r="L525" s="1" t="str">
        <f t="shared" si="8"/>
        <v>"28.4"</v>
      </c>
      <c r="M525">
        <v>100</v>
      </c>
      <c r="N525">
        <f>0.029*stand_validation_1cycle[[#This Row],[stand_level_biomass]]</f>
        <v>29.529777648143821</v>
      </c>
      <c r="O525">
        <f>0.213*stand_validation_1cycle[[#This Row],[stand_level_biomass]]</f>
        <v>216.89112548464254</v>
      </c>
      <c r="P525">
        <f>0.571*stand_validation_1cycle[[#This Row],[stand_level_biomass]]</f>
        <v>581.43113921000418</v>
      </c>
      <c r="Q525">
        <f>stand_validation_1cycle[[#This Row],[stock]]</f>
        <v>100</v>
      </c>
      <c r="R525">
        <v>0</v>
      </c>
      <c r="S525">
        <f>stand_validation_1cycle[[#This Row],[aws]]</f>
        <v>569.210693359375</v>
      </c>
      <c r="T525">
        <f>stand_validation_1cycle[[#This Row],[percent_tree_cover]]*100</f>
        <v>8.7248870390986504</v>
      </c>
    </row>
    <row r="526" spans="1:20" x14ac:dyDescent="0.2">
      <c r="A526">
        <v>1</v>
      </c>
      <c r="B526" t="s">
        <v>544</v>
      </c>
      <c r="C526">
        <v>26.119450056116701</v>
      </c>
      <c r="D526">
        <v>902.62400834250002</v>
      </c>
      <c r="E526">
        <v>7.8779182138003403</v>
      </c>
      <c r="F526">
        <v>26.769192119991999</v>
      </c>
      <c r="G526">
        <v>99</v>
      </c>
      <c r="H526">
        <v>569.210693359375</v>
      </c>
      <c r="I526">
        <v>7.7643486850790505E-2</v>
      </c>
      <c r="K526" s="1" t="str">
        <f>TEXT(stand_validation_1cycle[[#This Row],[stand_age]], ".0")</f>
        <v>26.1</v>
      </c>
      <c r="L526" s="1" t="str">
        <f t="shared" si="8"/>
        <v>"26.1"</v>
      </c>
      <c r="M526">
        <v>100</v>
      </c>
      <c r="N526">
        <f>0.029*stand_validation_1cycle[[#This Row],[stand_level_biomass]]</f>
        <v>26.176096241932502</v>
      </c>
      <c r="O526">
        <f>0.213*stand_validation_1cycle[[#This Row],[stand_level_biomass]]</f>
        <v>192.25891377695251</v>
      </c>
      <c r="P526">
        <f>0.571*stand_validation_1cycle[[#This Row],[stand_level_biomass]]</f>
        <v>515.39830876356746</v>
      </c>
      <c r="Q526">
        <f>stand_validation_1cycle[[#This Row],[stock]]</f>
        <v>99</v>
      </c>
      <c r="R526">
        <v>0</v>
      </c>
      <c r="S526">
        <f>stand_validation_1cycle[[#This Row],[aws]]</f>
        <v>569.210693359375</v>
      </c>
      <c r="T526">
        <f>stand_validation_1cycle[[#This Row],[percent_tree_cover]]*100</f>
        <v>7.7643486850790504</v>
      </c>
    </row>
    <row r="527" spans="1:20" x14ac:dyDescent="0.2">
      <c r="A527">
        <v>1</v>
      </c>
      <c r="B527" t="s">
        <v>545</v>
      </c>
      <c r="C527">
        <v>25.807411111111101</v>
      </c>
      <c r="D527">
        <v>661.67869186269502</v>
      </c>
      <c r="E527">
        <v>6.1946481576179497</v>
      </c>
      <c r="F527">
        <v>24.453785665739201</v>
      </c>
      <c r="G527">
        <v>100</v>
      </c>
      <c r="H527">
        <v>524.67681884765602</v>
      </c>
      <c r="I527">
        <v>6.1740608688888497E-2</v>
      </c>
      <c r="K527" s="1" t="str">
        <f>TEXT(stand_validation_1cycle[[#This Row],[stand_age]], ".0")</f>
        <v>25.8</v>
      </c>
      <c r="L527" s="1" t="str">
        <f t="shared" si="8"/>
        <v>"25.8"</v>
      </c>
      <c r="M527">
        <v>100</v>
      </c>
      <c r="N527">
        <f>0.029*stand_validation_1cycle[[#This Row],[stand_level_biomass]]</f>
        <v>19.188682064018156</v>
      </c>
      <c r="O527">
        <f>0.213*stand_validation_1cycle[[#This Row],[stand_level_biomass]]</f>
        <v>140.93756136675404</v>
      </c>
      <c r="P527">
        <f>0.571*stand_validation_1cycle[[#This Row],[stand_level_biomass]]</f>
        <v>377.8185330535988</v>
      </c>
      <c r="Q527">
        <f>stand_validation_1cycle[[#This Row],[stock]]</f>
        <v>100</v>
      </c>
      <c r="R527">
        <v>0</v>
      </c>
      <c r="S527">
        <f>stand_validation_1cycle[[#This Row],[aws]]</f>
        <v>524.67681884765602</v>
      </c>
      <c r="T527">
        <f>stand_validation_1cycle[[#This Row],[percent_tree_cover]]*100</f>
        <v>6.1740608688888496</v>
      </c>
    </row>
    <row r="528" spans="1:20" x14ac:dyDescent="0.2">
      <c r="A528">
        <v>1</v>
      </c>
      <c r="B528" t="s">
        <v>546</v>
      </c>
      <c r="C528">
        <v>25.1993222222222</v>
      </c>
      <c r="D528">
        <v>612.77711241558495</v>
      </c>
      <c r="E528">
        <v>5.8199747491673604</v>
      </c>
      <c r="F528">
        <v>23.739184799077101</v>
      </c>
      <c r="G528">
        <v>100</v>
      </c>
      <c r="H528">
        <v>525.68963623046795</v>
      </c>
      <c r="I528">
        <v>5.8001167952854003E-2</v>
      </c>
      <c r="K528" s="1" t="str">
        <f>TEXT(stand_validation_1cycle[[#This Row],[stand_age]], ".0")</f>
        <v>25.2</v>
      </c>
      <c r="L528" s="1" t="str">
        <f t="shared" si="8"/>
        <v>"25.2"</v>
      </c>
      <c r="M528">
        <v>100</v>
      </c>
      <c r="N528">
        <f>0.029*stand_validation_1cycle[[#This Row],[stand_level_biomass]]</f>
        <v>17.770536260051966</v>
      </c>
      <c r="O528">
        <f>0.213*stand_validation_1cycle[[#This Row],[stand_level_biomass]]</f>
        <v>130.5215249445196</v>
      </c>
      <c r="P528">
        <f>0.571*stand_validation_1cycle[[#This Row],[stand_level_biomass]]</f>
        <v>349.895731189299</v>
      </c>
      <c r="Q528">
        <f>stand_validation_1cycle[[#This Row],[stock]]</f>
        <v>100</v>
      </c>
      <c r="R528">
        <v>0</v>
      </c>
      <c r="S528">
        <f>stand_validation_1cycle[[#This Row],[aws]]</f>
        <v>525.68963623046795</v>
      </c>
      <c r="T528">
        <f>stand_validation_1cycle[[#This Row],[percent_tree_cover]]*100</f>
        <v>5.8001167952854003</v>
      </c>
    </row>
    <row r="529" spans="1:20" x14ac:dyDescent="0.2">
      <c r="A529">
        <v>1</v>
      </c>
      <c r="B529" t="s">
        <v>547</v>
      </c>
      <c r="C529">
        <v>29.981955555555501</v>
      </c>
      <c r="D529">
        <v>1085.44060250033</v>
      </c>
      <c r="E529">
        <v>9.3500952348100803</v>
      </c>
      <c r="F529">
        <v>29.8549039989142</v>
      </c>
      <c r="G529">
        <v>100</v>
      </c>
      <c r="H529">
        <v>524.44305419921795</v>
      </c>
      <c r="I529">
        <v>9.3145155135146193E-2</v>
      </c>
      <c r="K529" s="1" t="str">
        <f>TEXT(stand_validation_1cycle[[#This Row],[stand_age]], ".0")</f>
        <v>30.0</v>
      </c>
      <c r="L529" s="1" t="str">
        <f t="shared" si="8"/>
        <v>"30.0"</v>
      </c>
      <c r="M529">
        <v>100</v>
      </c>
      <c r="N529">
        <f>0.029*stand_validation_1cycle[[#This Row],[stand_level_biomass]]</f>
        <v>31.477777472509572</v>
      </c>
      <c r="O529">
        <f>0.213*stand_validation_1cycle[[#This Row],[stand_level_biomass]]</f>
        <v>231.19884833257029</v>
      </c>
      <c r="P529">
        <f>0.571*stand_validation_1cycle[[#This Row],[stand_level_biomass]]</f>
        <v>619.78658402768838</v>
      </c>
      <c r="Q529">
        <f>stand_validation_1cycle[[#This Row],[stock]]</f>
        <v>100</v>
      </c>
      <c r="R529">
        <v>0</v>
      </c>
      <c r="S529">
        <f>stand_validation_1cycle[[#This Row],[aws]]</f>
        <v>524.44305419921795</v>
      </c>
      <c r="T529">
        <f>stand_validation_1cycle[[#This Row],[percent_tree_cover]]*100</f>
        <v>9.3145155135146194</v>
      </c>
    </row>
    <row r="530" spans="1:20" x14ac:dyDescent="0.2">
      <c r="A530">
        <v>1</v>
      </c>
      <c r="B530" t="s">
        <v>548</v>
      </c>
      <c r="C530">
        <v>27.2283222222222</v>
      </c>
      <c r="D530">
        <v>724.44029730249497</v>
      </c>
      <c r="E530">
        <v>6.6351544255226802</v>
      </c>
      <c r="F530">
        <v>25.1988273325642</v>
      </c>
      <c r="G530">
        <v>100</v>
      </c>
      <c r="H530">
        <v>524.366455078125</v>
      </c>
      <c r="I530">
        <v>6.6107480749568501E-2</v>
      </c>
      <c r="K530" s="1" t="str">
        <f>TEXT(stand_validation_1cycle[[#This Row],[stand_age]], ".0")</f>
        <v>27.2</v>
      </c>
      <c r="L530" s="1" t="str">
        <f t="shared" si="8"/>
        <v>"27.2"</v>
      </c>
      <c r="M530">
        <v>100</v>
      </c>
      <c r="N530">
        <f>0.029*stand_validation_1cycle[[#This Row],[stand_level_biomass]]</f>
        <v>21.008768621772354</v>
      </c>
      <c r="O530">
        <f>0.213*stand_validation_1cycle[[#This Row],[stand_level_biomass]]</f>
        <v>154.30578332543143</v>
      </c>
      <c r="P530">
        <f>0.571*stand_validation_1cycle[[#This Row],[stand_level_biomass]]</f>
        <v>413.65540975972459</v>
      </c>
      <c r="Q530">
        <f>stand_validation_1cycle[[#This Row],[stock]]</f>
        <v>100</v>
      </c>
      <c r="R530">
        <v>0</v>
      </c>
      <c r="S530">
        <f>stand_validation_1cycle[[#This Row],[aws]]</f>
        <v>524.366455078125</v>
      </c>
      <c r="T530">
        <f>stand_validation_1cycle[[#This Row],[percent_tree_cover]]*100</f>
        <v>6.6107480749568497</v>
      </c>
    </row>
    <row r="531" spans="1:20" x14ac:dyDescent="0.2">
      <c r="A531">
        <v>1</v>
      </c>
      <c r="B531" t="s">
        <v>549</v>
      </c>
      <c r="C531">
        <v>25.161344444444399</v>
      </c>
      <c r="D531">
        <v>661.13253515240501</v>
      </c>
      <c r="E531">
        <v>6.1965566751550103</v>
      </c>
      <c r="F531">
        <v>24.597287998914201</v>
      </c>
      <c r="G531">
        <v>100</v>
      </c>
      <c r="H531">
        <v>525.00775146484295</v>
      </c>
      <c r="I531">
        <v>6.17590749138213E-2</v>
      </c>
      <c r="K531" s="1" t="str">
        <f>TEXT(stand_validation_1cycle[[#This Row],[stand_age]], ".0")</f>
        <v>25.2</v>
      </c>
      <c r="L531" s="1" t="str">
        <f t="shared" si="8"/>
        <v>"25.2"</v>
      </c>
      <c r="M531">
        <v>100</v>
      </c>
      <c r="N531">
        <f>0.029*stand_validation_1cycle[[#This Row],[stand_level_biomass]]</f>
        <v>19.172843519419747</v>
      </c>
      <c r="O531">
        <f>0.213*stand_validation_1cycle[[#This Row],[stand_level_biomass]]</f>
        <v>140.82122998746226</v>
      </c>
      <c r="P531">
        <f>0.571*stand_validation_1cycle[[#This Row],[stand_level_biomass]]</f>
        <v>377.50667757202325</v>
      </c>
      <c r="Q531">
        <f>stand_validation_1cycle[[#This Row],[stock]]</f>
        <v>100</v>
      </c>
      <c r="R531">
        <v>0</v>
      </c>
      <c r="S531">
        <f>stand_validation_1cycle[[#This Row],[aws]]</f>
        <v>525.00775146484295</v>
      </c>
      <c r="T531">
        <f>stand_validation_1cycle[[#This Row],[percent_tree_cover]]*100</f>
        <v>6.1759074913821301</v>
      </c>
    </row>
    <row r="532" spans="1:20" x14ac:dyDescent="0.2">
      <c r="A532">
        <v>1</v>
      </c>
      <c r="B532" t="s">
        <v>550</v>
      </c>
      <c r="C532">
        <v>27.668133333333301</v>
      </c>
      <c r="D532">
        <v>1005.19121451398</v>
      </c>
      <c r="E532">
        <v>8.6166040360315694</v>
      </c>
      <c r="F532">
        <v>28.169034198819201</v>
      </c>
      <c r="G532">
        <v>100</v>
      </c>
      <c r="H532">
        <v>573.30944824218705</v>
      </c>
      <c r="I532">
        <v>8.5855315906229704E-2</v>
      </c>
      <c r="K532" s="1" t="str">
        <f>TEXT(stand_validation_1cycle[[#This Row],[stand_age]], ".0")</f>
        <v>27.7</v>
      </c>
      <c r="L532" s="1" t="str">
        <f t="shared" si="8"/>
        <v>"27.7"</v>
      </c>
      <c r="M532">
        <v>100</v>
      </c>
      <c r="N532">
        <f>0.029*stand_validation_1cycle[[#This Row],[stand_level_biomass]]</f>
        <v>29.150545220905421</v>
      </c>
      <c r="O532">
        <f>0.213*stand_validation_1cycle[[#This Row],[stand_level_biomass]]</f>
        <v>214.10572869147774</v>
      </c>
      <c r="P532">
        <f>0.571*stand_validation_1cycle[[#This Row],[stand_level_biomass]]</f>
        <v>573.9641834874825</v>
      </c>
      <c r="Q532">
        <f>stand_validation_1cycle[[#This Row],[stock]]</f>
        <v>100</v>
      </c>
      <c r="R532">
        <v>0</v>
      </c>
      <c r="S532">
        <f>stand_validation_1cycle[[#This Row],[aws]]</f>
        <v>573.30944824218705</v>
      </c>
      <c r="T532">
        <f>stand_validation_1cycle[[#This Row],[percent_tree_cover]]*100</f>
        <v>8.5855315906229706</v>
      </c>
    </row>
    <row r="533" spans="1:20" x14ac:dyDescent="0.2">
      <c r="A533">
        <v>1</v>
      </c>
      <c r="B533" t="s">
        <v>551</v>
      </c>
      <c r="C533">
        <v>26.525732860520101</v>
      </c>
      <c r="D533">
        <v>668.39721658579799</v>
      </c>
      <c r="E533">
        <v>5.94170046891968</v>
      </c>
      <c r="F533">
        <v>25.122843474248398</v>
      </c>
      <c r="G533">
        <v>94</v>
      </c>
      <c r="H533">
        <v>571.817626953125</v>
      </c>
      <c r="I533">
        <v>6.1977787059953299E-2</v>
      </c>
      <c r="K533" s="1" t="str">
        <f>TEXT(stand_validation_1cycle[[#This Row],[stand_age]], ".0")</f>
        <v>26.5</v>
      </c>
      <c r="L533" s="1" t="str">
        <f t="shared" si="8"/>
        <v>"26.5"</v>
      </c>
      <c r="M533">
        <v>100</v>
      </c>
      <c r="N533">
        <f>0.029*stand_validation_1cycle[[#This Row],[stand_level_biomass]]</f>
        <v>19.383519280988143</v>
      </c>
      <c r="O533">
        <f>0.213*stand_validation_1cycle[[#This Row],[stand_level_biomass]]</f>
        <v>142.36860713277497</v>
      </c>
      <c r="P533">
        <f>0.571*stand_validation_1cycle[[#This Row],[stand_level_biomass]]</f>
        <v>381.65481067049063</v>
      </c>
      <c r="Q533">
        <f>stand_validation_1cycle[[#This Row],[stock]]</f>
        <v>94</v>
      </c>
      <c r="R533">
        <v>0</v>
      </c>
      <c r="S533">
        <f>stand_validation_1cycle[[#This Row],[aws]]</f>
        <v>571.817626953125</v>
      </c>
      <c r="T533">
        <f>stand_validation_1cycle[[#This Row],[percent_tree_cover]]*100</f>
        <v>6.1977787059953302</v>
      </c>
    </row>
    <row r="534" spans="1:20" x14ac:dyDescent="0.2">
      <c r="A534">
        <v>1</v>
      </c>
      <c r="B534" t="s">
        <v>552</v>
      </c>
      <c r="C534">
        <v>29.058622222222201</v>
      </c>
      <c r="D534">
        <v>930.83078564882601</v>
      </c>
      <c r="E534">
        <v>6.1348605078274803</v>
      </c>
      <c r="F534">
        <v>27.5963353768066</v>
      </c>
      <c r="G534">
        <v>75</v>
      </c>
      <c r="H534">
        <v>571</v>
      </c>
      <c r="I534">
        <v>8.2216270742161701E-2</v>
      </c>
      <c r="K534" s="1" t="str">
        <f>TEXT(stand_validation_1cycle[[#This Row],[stand_age]], ".0")</f>
        <v>29.1</v>
      </c>
      <c r="L534" s="1" t="str">
        <f t="shared" si="8"/>
        <v>"29.1"</v>
      </c>
      <c r="M534">
        <v>100</v>
      </c>
      <c r="N534">
        <f>0.029*stand_validation_1cycle[[#This Row],[stand_level_biomass]]</f>
        <v>26.994092783815955</v>
      </c>
      <c r="O534">
        <f>0.213*stand_validation_1cycle[[#This Row],[stand_level_biomass]]</f>
        <v>198.26695734319995</v>
      </c>
      <c r="P534">
        <f>0.571*stand_validation_1cycle[[#This Row],[stand_level_biomass]]</f>
        <v>531.50437860547959</v>
      </c>
      <c r="Q534">
        <f>stand_validation_1cycle[[#This Row],[stock]]</f>
        <v>75</v>
      </c>
      <c r="R534">
        <v>0</v>
      </c>
      <c r="S534">
        <f>stand_validation_1cycle[[#This Row],[aws]]</f>
        <v>571</v>
      </c>
      <c r="T534">
        <f>stand_validation_1cycle[[#This Row],[percent_tree_cover]]*100</f>
        <v>8.2216270742161708</v>
      </c>
    </row>
    <row r="535" spans="1:20" x14ac:dyDescent="0.2">
      <c r="A535">
        <v>1</v>
      </c>
      <c r="B535" t="s">
        <v>553</v>
      </c>
      <c r="C535">
        <v>25.297177777777701</v>
      </c>
      <c r="D535">
        <v>738.21134674229495</v>
      </c>
      <c r="E535">
        <v>6.68801172191933</v>
      </c>
      <c r="F535">
        <v>25.088409398873502</v>
      </c>
      <c r="G535">
        <v>100</v>
      </c>
      <c r="H535">
        <v>566.92834472656205</v>
      </c>
      <c r="I535">
        <v>6.6658137977693502E-2</v>
      </c>
      <c r="K535" s="1" t="str">
        <f>TEXT(stand_validation_1cycle[[#This Row],[stand_age]], ".0")</f>
        <v>25.3</v>
      </c>
      <c r="L535" s="1" t="str">
        <f t="shared" si="8"/>
        <v>"25.3"</v>
      </c>
      <c r="M535">
        <v>100</v>
      </c>
      <c r="N535">
        <f>0.029*stand_validation_1cycle[[#This Row],[stand_level_biomass]]</f>
        <v>21.408129055526555</v>
      </c>
      <c r="O535">
        <f>0.213*stand_validation_1cycle[[#This Row],[stand_level_biomass]]</f>
        <v>157.23901685610883</v>
      </c>
      <c r="P535">
        <f>0.571*stand_validation_1cycle[[#This Row],[stand_level_biomass]]</f>
        <v>421.5186789898504</v>
      </c>
      <c r="Q535">
        <f>stand_validation_1cycle[[#This Row],[stock]]</f>
        <v>100</v>
      </c>
      <c r="R535">
        <v>0</v>
      </c>
      <c r="S535">
        <f>stand_validation_1cycle[[#This Row],[aws]]</f>
        <v>566.92834472656205</v>
      </c>
      <c r="T535">
        <f>stand_validation_1cycle[[#This Row],[percent_tree_cover]]*100</f>
        <v>6.6658137977693501</v>
      </c>
    </row>
    <row r="536" spans="1:20" x14ac:dyDescent="0.2">
      <c r="A536">
        <v>1</v>
      </c>
      <c r="B536" t="s">
        <v>554</v>
      </c>
      <c r="C536">
        <v>28.905701459034699</v>
      </c>
      <c r="D536">
        <v>883.30469164202202</v>
      </c>
      <c r="E536">
        <v>7.7514431913539603</v>
      </c>
      <c r="F536">
        <v>27.340831850951599</v>
      </c>
      <c r="G536">
        <v>99</v>
      </c>
      <c r="H536">
        <v>571.64923095703102</v>
      </c>
      <c r="I536">
        <v>7.7035738315741606E-2</v>
      </c>
      <c r="K536" s="1" t="str">
        <f>TEXT(stand_validation_1cycle[[#This Row],[stand_age]], ".0")</f>
        <v>28.9</v>
      </c>
      <c r="L536" s="1" t="str">
        <f t="shared" si="8"/>
        <v>"28.9"</v>
      </c>
      <c r="M536">
        <v>100</v>
      </c>
      <c r="N536">
        <f>0.029*stand_validation_1cycle[[#This Row],[stand_level_biomass]]</f>
        <v>25.61583605761864</v>
      </c>
      <c r="O536">
        <f>0.213*stand_validation_1cycle[[#This Row],[stand_level_biomass]]</f>
        <v>188.14389931975069</v>
      </c>
      <c r="P536">
        <f>0.571*stand_validation_1cycle[[#This Row],[stand_level_biomass]]</f>
        <v>504.36697892759452</v>
      </c>
      <c r="Q536">
        <f>stand_validation_1cycle[[#This Row],[stock]]</f>
        <v>99</v>
      </c>
      <c r="R536">
        <v>0</v>
      </c>
      <c r="S536">
        <f>stand_validation_1cycle[[#This Row],[aws]]</f>
        <v>571.64923095703102</v>
      </c>
      <c r="T536">
        <f>stand_validation_1cycle[[#This Row],[percent_tree_cover]]*100</f>
        <v>7.7035738315741602</v>
      </c>
    </row>
    <row r="537" spans="1:20" x14ac:dyDescent="0.2">
      <c r="A537">
        <v>1</v>
      </c>
      <c r="B537" t="s">
        <v>555</v>
      </c>
      <c r="C537">
        <v>27.468215488215399</v>
      </c>
      <c r="D537">
        <v>856.05330975717504</v>
      </c>
      <c r="E537">
        <v>7.4670489455914204</v>
      </c>
      <c r="F537">
        <v>26.085240133766199</v>
      </c>
      <c r="G537">
        <v>99</v>
      </c>
      <c r="H537">
        <v>566.92834472656205</v>
      </c>
      <c r="I537">
        <v>7.42872682034941E-2</v>
      </c>
      <c r="K537" s="1" t="str">
        <f>TEXT(stand_validation_1cycle[[#This Row],[stand_age]], ".0")</f>
        <v>27.5</v>
      </c>
      <c r="L537" s="1" t="str">
        <f t="shared" si="8"/>
        <v>"27.5"</v>
      </c>
      <c r="M537">
        <v>100</v>
      </c>
      <c r="N537">
        <f>0.029*stand_validation_1cycle[[#This Row],[stand_level_biomass]]</f>
        <v>24.825545982958076</v>
      </c>
      <c r="O537">
        <f>0.213*stand_validation_1cycle[[#This Row],[stand_level_biomass]]</f>
        <v>182.33935497827827</v>
      </c>
      <c r="P537">
        <f>0.571*stand_validation_1cycle[[#This Row],[stand_level_biomass]]</f>
        <v>488.80643987134692</v>
      </c>
      <c r="Q537">
        <f>stand_validation_1cycle[[#This Row],[stock]]</f>
        <v>99</v>
      </c>
      <c r="R537">
        <v>0</v>
      </c>
      <c r="S537">
        <f>stand_validation_1cycle[[#This Row],[aws]]</f>
        <v>566.92834472656205</v>
      </c>
      <c r="T537">
        <f>stand_validation_1cycle[[#This Row],[percent_tree_cover]]*100</f>
        <v>7.4287268203494099</v>
      </c>
    </row>
    <row r="538" spans="1:20" x14ac:dyDescent="0.2">
      <c r="A538">
        <v>1</v>
      </c>
      <c r="B538" t="s">
        <v>556</v>
      </c>
      <c r="C538">
        <v>29.247055555555502</v>
      </c>
      <c r="D538">
        <v>1026.8229378364699</v>
      </c>
      <c r="E538">
        <v>8.9027811356250197</v>
      </c>
      <c r="F538">
        <v>29.263718665454199</v>
      </c>
      <c r="G538">
        <v>100</v>
      </c>
      <c r="H538">
        <v>566.92834472656205</v>
      </c>
      <c r="I538">
        <v>8.8696634926880694E-2</v>
      </c>
      <c r="K538" s="1" t="str">
        <f>TEXT(stand_validation_1cycle[[#This Row],[stand_age]], ".0")</f>
        <v>29.2</v>
      </c>
      <c r="L538" s="1" t="str">
        <f t="shared" si="8"/>
        <v>"29.2"</v>
      </c>
      <c r="M538">
        <v>100</v>
      </c>
      <c r="N538">
        <f>0.029*stand_validation_1cycle[[#This Row],[stand_level_biomass]]</f>
        <v>29.777865197257629</v>
      </c>
      <c r="O538">
        <f>0.213*stand_validation_1cycle[[#This Row],[stand_level_biomass]]</f>
        <v>218.71328575916809</v>
      </c>
      <c r="P538">
        <f>0.571*stand_validation_1cycle[[#This Row],[stand_level_biomass]]</f>
        <v>586.31589750462422</v>
      </c>
      <c r="Q538">
        <f>stand_validation_1cycle[[#This Row],[stock]]</f>
        <v>100</v>
      </c>
      <c r="R538">
        <v>0</v>
      </c>
      <c r="S538">
        <f>stand_validation_1cycle[[#This Row],[aws]]</f>
        <v>566.92834472656205</v>
      </c>
      <c r="T538">
        <f>stand_validation_1cycle[[#This Row],[percent_tree_cover]]*100</f>
        <v>8.8696634926880691</v>
      </c>
    </row>
    <row r="539" spans="1:20" x14ac:dyDescent="0.2">
      <c r="A539">
        <v>1</v>
      </c>
      <c r="B539" t="s">
        <v>557</v>
      </c>
      <c r="C539">
        <v>26.562866666666601</v>
      </c>
      <c r="D539">
        <v>806.33854374551402</v>
      </c>
      <c r="E539">
        <v>7.2331157464290001</v>
      </c>
      <c r="F539">
        <v>26.144308265617099</v>
      </c>
      <c r="G539">
        <v>100</v>
      </c>
      <c r="H539">
        <v>569.04315185546795</v>
      </c>
      <c r="I539">
        <v>7.2079205769003798E-2</v>
      </c>
      <c r="K539" s="1" t="str">
        <f>TEXT(stand_validation_1cycle[[#This Row],[stand_age]], ".0")</f>
        <v>26.6</v>
      </c>
      <c r="L539" s="1" t="str">
        <f t="shared" si="8"/>
        <v>"26.6"</v>
      </c>
      <c r="M539">
        <v>100</v>
      </c>
      <c r="N539">
        <f>0.029*stand_validation_1cycle[[#This Row],[stand_level_biomass]]</f>
        <v>23.383817768619906</v>
      </c>
      <c r="O539">
        <f>0.213*stand_validation_1cycle[[#This Row],[stand_level_biomass]]</f>
        <v>171.75010981779448</v>
      </c>
      <c r="P539">
        <f>0.571*stand_validation_1cycle[[#This Row],[stand_level_biomass]]</f>
        <v>460.41930847868849</v>
      </c>
      <c r="Q539">
        <f>stand_validation_1cycle[[#This Row],[stock]]</f>
        <v>100</v>
      </c>
      <c r="R539">
        <v>0</v>
      </c>
      <c r="S539">
        <f>stand_validation_1cycle[[#This Row],[aws]]</f>
        <v>569.04315185546795</v>
      </c>
      <c r="T539">
        <f>stand_validation_1cycle[[#This Row],[percent_tree_cover]]*100</f>
        <v>7.2079205769003796</v>
      </c>
    </row>
    <row r="540" spans="1:20" x14ac:dyDescent="0.2">
      <c r="A540">
        <v>1</v>
      </c>
      <c r="B540" t="s">
        <v>558</v>
      </c>
      <c r="C540">
        <v>28.721156004489298</v>
      </c>
      <c r="D540">
        <v>949.90650742105299</v>
      </c>
      <c r="E540">
        <v>8.3090334758653306</v>
      </c>
      <c r="F540">
        <v>28.286681673881599</v>
      </c>
      <c r="G540">
        <v>99</v>
      </c>
      <c r="H540">
        <v>571.10504150390602</v>
      </c>
      <c r="I540">
        <v>8.22895601511721E-2</v>
      </c>
      <c r="K540" s="1" t="str">
        <f>TEXT(stand_validation_1cycle[[#This Row],[stand_age]], ".0")</f>
        <v>28.7</v>
      </c>
      <c r="L540" s="1" t="str">
        <f t="shared" si="8"/>
        <v>"28.7"</v>
      </c>
      <c r="M540">
        <v>100</v>
      </c>
      <c r="N540">
        <f>0.029*stand_validation_1cycle[[#This Row],[stand_level_biomass]]</f>
        <v>27.547288715210538</v>
      </c>
      <c r="O540">
        <f>0.213*stand_validation_1cycle[[#This Row],[stand_level_biomass]]</f>
        <v>202.33008608068428</v>
      </c>
      <c r="P540">
        <f>0.571*stand_validation_1cycle[[#This Row],[stand_level_biomass]]</f>
        <v>542.39661573742126</v>
      </c>
      <c r="Q540">
        <f>stand_validation_1cycle[[#This Row],[stock]]</f>
        <v>99</v>
      </c>
      <c r="R540">
        <v>0</v>
      </c>
      <c r="S540">
        <f>stand_validation_1cycle[[#This Row],[aws]]</f>
        <v>571.10504150390602</v>
      </c>
      <c r="T540">
        <f>stand_validation_1cycle[[#This Row],[percent_tree_cover]]*100</f>
        <v>8.2289560151172108</v>
      </c>
    </row>
    <row r="541" spans="1:20" x14ac:dyDescent="0.2">
      <c r="A541">
        <v>1</v>
      </c>
      <c r="B541" t="s">
        <v>559</v>
      </c>
      <c r="C541">
        <v>28.416255555555502</v>
      </c>
      <c r="D541">
        <v>961.71744943284602</v>
      </c>
      <c r="E541">
        <v>8.4686570131960597</v>
      </c>
      <c r="F541">
        <v>28.6748395428571</v>
      </c>
      <c r="G541">
        <v>100</v>
      </c>
      <c r="H541">
        <v>566.60467529296795</v>
      </c>
      <c r="I541">
        <v>8.4387576973576503E-2</v>
      </c>
      <c r="K541" s="1" t="str">
        <f>TEXT(stand_validation_1cycle[[#This Row],[stand_age]], ".0")</f>
        <v>28.4</v>
      </c>
      <c r="L541" s="1" t="str">
        <f t="shared" si="8"/>
        <v>"28.4"</v>
      </c>
      <c r="M541">
        <v>100</v>
      </c>
      <c r="N541">
        <f>0.029*stand_validation_1cycle[[#This Row],[stand_level_biomass]]</f>
        <v>27.889806033552535</v>
      </c>
      <c r="O541">
        <f>0.213*stand_validation_1cycle[[#This Row],[stand_level_biomass]]</f>
        <v>204.8458167291962</v>
      </c>
      <c r="P541">
        <f>0.571*stand_validation_1cycle[[#This Row],[stand_level_biomass]]</f>
        <v>549.14066362615506</v>
      </c>
      <c r="Q541">
        <f>stand_validation_1cycle[[#This Row],[stock]]</f>
        <v>100</v>
      </c>
      <c r="R541">
        <v>0</v>
      </c>
      <c r="S541">
        <f>stand_validation_1cycle[[#This Row],[aws]]</f>
        <v>566.60467529296795</v>
      </c>
      <c r="T541">
        <f>stand_validation_1cycle[[#This Row],[percent_tree_cover]]*100</f>
        <v>8.4387576973576497</v>
      </c>
    </row>
    <row r="542" spans="1:20" x14ac:dyDescent="0.2">
      <c r="A542">
        <v>1</v>
      </c>
      <c r="B542" t="s">
        <v>560</v>
      </c>
      <c r="C542">
        <v>29.853703703703701</v>
      </c>
      <c r="D542">
        <v>1132.59694194041</v>
      </c>
      <c r="E542">
        <v>9.5930966411670795</v>
      </c>
      <c r="F542">
        <v>30.3460031168831</v>
      </c>
      <c r="G542">
        <v>99</v>
      </c>
      <c r="H542">
        <v>576.74493408203102</v>
      </c>
      <c r="I542">
        <v>9.5359698933035406E-2</v>
      </c>
      <c r="K542" s="1" t="str">
        <f>TEXT(stand_validation_1cycle[[#This Row],[stand_age]], ".0")</f>
        <v>29.9</v>
      </c>
      <c r="L542" s="1" t="str">
        <f t="shared" si="8"/>
        <v>"29.9"</v>
      </c>
      <c r="M542">
        <v>100</v>
      </c>
      <c r="N542">
        <f>0.029*stand_validation_1cycle[[#This Row],[stand_level_biomass]]</f>
        <v>32.845311316271889</v>
      </c>
      <c r="O542">
        <f>0.213*stand_validation_1cycle[[#This Row],[stand_level_biomass]]</f>
        <v>241.24314863330733</v>
      </c>
      <c r="P542">
        <f>0.571*stand_validation_1cycle[[#This Row],[stand_level_biomass]]</f>
        <v>646.71285384797409</v>
      </c>
      <c r="Q542">
        <f>stand_validation_1cycle[[#This Row],[stock]]</f>
        <v>99</v>
      </c>
      <c r="R542">
        <v>0</v>
      </c>
      <c r="S542">
        <f>stand_validation_1cycle[[#This Row],[aws]]</f>
        <v>576.74493408203102</v>
      </c>
      <c r="T542">
        <f>stand_validation_1cycle[[#This Row],[percent_tree_cover]]*100</f>
        <v>9.5359698933035411</v>
      </c>
    </row>
    <row r="543" spans="1:20" x14ac:dyDescent="0.2">
      <c r="A543">
        <v>1</v>
      </c>
      <c r="B543" t="s">
        <v>561</v>
      </c>
      <c r="C543">
        <v>26.9832</v>
      </c>
      <c r="D543">
        <v>958.20587392037498</v>
      </c>
      <c r="E543">
        <v>8.16812754756468</v>
      </c>
      <c r="F543">
        <v>26.717802514285701</v>
      </c>
      <c r="G543">
        <v>100</v>
      </c>
      <c r="H543">
        <v>523.688720703125</v>
      </c>
      <c r="I543">
        <v>8.13816081754489E-2</v>
      </c>
      <c r="K543" s="1" t="str">
        <f>TEXT(stand_validation_1cycle[[#This Row],[stand_age]], ".0")</f>
        <v>27.0</v>
      </c>
      <c r="L543" s="1" t="str">
        <f t="shared" si="8"/>
        <v>"27.0"</v>
      </c>
      <c r="M543">
        <v>100</v>
      </c>
      <c r="N543">
        <f>0.029*stand_validation_1cycle[[#This Row],[stand_level_biomass]]</f>
        <v>27.787970343690876</v>
      </c>
      <c r="O543">
        <f>0.213*stand_validation_1cycle[[#This Row],[stand_level_biomass]]</f>
        <v>204.09785114503987</v>
      </c>
      <c r="P543">
        <f>0.571*stand_validation_1cycle[[#This Row],[stand_level_biomass]]</f>
        <v>547.13555400853409</v>
      </c>
      <c r="Q543">
        <f>stand_validation_1cycle[[#This Row],[stock]]</f>
        <v>100</v>
      </c>
      <c r="R543">
        <v>0</v>
      </c>
      <c r="S543">
        <f>stand_validation_1cycle[[#This Row],[aws]]</f>
        <v>523.688720703125</v>
      </c>
      <c r="T543">
        <f>stand_validation_1cycle[[#This Row],[percent_tree_cover]]*100</f>
        <v>8.1381608175448896</v>
      </c>
    </row>
    <row r="544" spans="1:20" x14ac:dyDescent="0.2">
      <c r="A544">
        <v>1</v>
      </c>
      <c r="B544" t="s">
        <v>562</v>
      </c>
      <c r="C544">
        <v>28.4776777777777</v>
      </c>
      <c r="D544">
        <v>913.67500988664995</v>
      </c>
      <c r="E544">
        <v>8.0265665971957603</v>
      </c>
      <c r="F544">
        <v>27.358868571428498</v>
      </c>
      <c r="G544">
        <v>100</v>
      </c>
      <c r="H544">
        <v>0</v>
      </c>
      <c r="I544">
        <v>7.99618847282796E-2</v>
      </c>
      <c r="K544" s="1" t="str">
        <f>TEXT(stand_validation_1cycle[[#This Row],[stand_age]], ".0")</f>
        <v>28.5</v>
      </c>
      <c r="L544" s="1" t="str">
        <f t="shared" si="8"/>
        <v>"28.5"</v>
      </c>
      <c r="M544">
        <v>100</v>
      </c>
      <c r="N544">
        <f>0.029*stand_validation_1cycle[[#This Row],[stand_level_biomass]]</f>
        <v>26.496575286712851</v>
      </c>
      <c r="O544">
        <f>0.213*stand_validation_1cycle[[#This Row],[stand_level_biomass]]</f>
        <v>194.61277710585642</v>
      </c>
      <c r="P544">
        <f>0.571*stand_validation_1cycle[[#This Row],[stand_level_biomass]]</f>
        <v>521.70843064527708</v>
      </c>
      <c r="Q544">
        <f>stand_validation_1cycle[[#This Row],[stock]]</f>
        <v>100</v>
      </c>
      <c r="R544">
        <v>0</v>
      </c>
      <c r="S544">
        <f>stand_validation_1cycle[[#This Row],[aws]]</f>
        <v>0</v>
      </c>
      <c r="T544">
        <f>stand_validation_1cycle[[#This Row],[percent_tree_cover]]*100</f>
        <v>7.99618847282796</v>
      </c>
    </row>
    <row r="545" spans="1:20" x14ac:dyDescent="0.2">
      <c r="A545">
        <v>1</v>
      </c>
      <c r="B545" t="s">
        <v>563</v>
      </c>
      <c r="C545">
        <v>27.319976359338</v>
      </c>
      <c r="D545">
        <v>759.57094197057995</v>
      </c>
      <c r="E545">
        <v>6.65560148130856</v>
      </c>
      <c r="F545">
        <v>26.934853981762899</v>
      </c>
      <c r="G545">
        <v>94</v>
      </c>
      <c r="H545">
        <v>0</v>
      </c>
      <c r="I545">
        <v>7.1417626125525796E-2</v>
      </c>
      <c r="K545" s="1" t="str">
        <f>TEXT(stand_validation_1cycle[[#This Row],[stand_age]], ".0")</f>
        <v>27.3</v>
      </c>
      <c r="L545" s="1" t="str">
        <f t="shared" si="8"/>
        <v>"27.3"</v>
      </c>
      <c r="M545">
        <v>100</v>
      </c>
      <c r="N545">
        <f>0.029*stand_validation_1cycle[[#This Row],[stand_level_biomass]]</f>
        <v>22.027557317146819</v>
      </c>
      <c r="O545">
        <f>0.213*stand_validation_1cycle[[#This Row],[stand_level_biomass]]</f>
        <v>161.78861063973352</v>
      </c>
      <c r="P545">
        <f>0.571*stand_validation_1cycle[[#This Row],[stand_level_biomass]]</f>
        <v>433.71500786520113</v>
      </c>
      <c r="Q545">
        <f>stand_validation_1cycle[[#This Row],[stock]]</f>
        <v>94</v>
      </c>
      <c r="R545">
        <v>0</v>
      </c>
      <c r="S545">
        <f>stand_validation_1cycle[[#This Row],[aws]]</f>
        <v>0</v>
      </c>
      <c r="T545">
        <f>stand_validation_1cycle[[#This Row],[percent_tree_cover]]*100</f>
        <v>7.1417626125525793</v>
      </c>
    </row>
    <row r="546" spans="1:20" x14ac:dyDescent="0.2">
      <c r="A546">
        <v>1</v>
      </c>
      <c r="B546" t="s">
        <v>564</v>
      </c>
      <c r="C546">
        <v>27.827716049382701</v>
      </c>
      <c r="D546">
        <v>1005.9676358115</v>
      </c>
      <c r="E546">
        <v>3.1126821471951298</v>
      </c>
      <c r="F546">
        <v>28.3227847619047</v>
      </c>
      <c r="G546">
        <v>36</v>
      </c>
      <c r="H546">
        <v>0</v>
      </c>
      <c r="I546">
        <v>8.1588198800408004E-2</v>
      </c>
      <c r="K546" s="1" t="str">
        <f>TEXT(stand_validation_1cycle[[#This Row],[stand_age]], ".0")</f>
        <v>27.8</v>
      </c>
      <c r="L546" s="1" t="str">
        <f t="shared" si="8"/>
        <v>"27.8"</v>
      </c>
      <c r="M546">
        <v>100</v>
      </c>
      <c r="N546">
        <f>0.029*stand_validation_1cycle[[#This Row],[stand_level_biomass]]</f>
        <v>29.173061438533502</v>
      </c>
      <c r="O546">
        <f>0.213*stand_validation_1cycle[[#This Row],[stand_level_biomass]]</f>
        <v>214.2711064278495</v>
      </c>
      <c r="P546">
        <f>0.571*stand_validation_1cycle[[#This Row],[stand_level_biomass]]</f>
        <v>574.40752004836645</v>
      </c>
      <c r="Q546">
        <f>stand_validation_1cycle[[#This Row],[stock]]</f>
        <v>36</v>
      </c>
      <c r="R546">
        <v>0</v>
      </c>
      <c r="S546">
        <f>stand_validation_1cycle[[#This Row],[aws]]</f>
        <v>0</v>
      </c>
      <c r="T546">
        <f>stand_validation_1cycle[[#This Row],[percent_tree_cover]]*100</f>
        <v>8.1588198800408005</v>
      </c>
    </row>
    <row r="547" spans="1:20" x14ac:dyDescent="0.2">
      <c r="A547">
        <v>1</v>
      </c>
      <c r="B547" t="s">
        <v>565</v>
      </c>
      <c r="C547">
        <v>27.7853472222222</v>
      </c>
      <c r="D547">
        <v>853.76505469774895</v>
      </c>
      <c r="E547">
        <v>6.1020347915882898</v>
      </c>
      <c r="F547">
        <v>26.671681832394601</v>
      </c>
      <c r="G547">
        <v>80</v>
      </c>
      <c r="H547">
        <v>524.85400390625</v>
      </c>
      <c r="I547">
        <v>7.1362294480268998E-2</v>
      </c>
      <c r="K547" s="1" t="str">
        <f>TEXT(stand_validation_1cycle[[#This Row],[stand_age]], ".0")</f>
        <v>27.8</v>
      </c>
      <c r="L547" s="1" t="str">
        <f t="shared" si="8"/>
        <v>"27.8"</v>
      </c>
      <c r="M547">
        <v>100</v>
      </c>
      <c r="N547">
        <f>0.029*stand_validation_1cycle[[#This Row],[stand_level_biomass]]</f>
        <v>24.759186586234719</v>
      </c>
      <c r="O547">
        <f>0.213*stand_validation_1cycle[[#This Row],[stand_level_biomass]]</f>
        <v>181.85195665062051</v>
      </c>
      <c r="P547">
        <f>0.571*stand_validation_1cycle[[#This Row],[stand_level_biomass]]</f>
        <v>487.4998462324146</v>
      </c>
      <c r="Q547">
        <f>stand_validation_1cycle[[#This Row],[stock]]</f>
        <v>80</v>
      </c>
      <c r="R547">
        <v>0</v>
      </c>
      <c r="S547">
        <f>stand_validation_1cycle[[#This Row],[aws]]</f>
        <v>524.85400390625</v>
      </c>
      <c r="T547">
        <f>stand_validation_1cycle[[#This Row],[percent_tree_cover]]*100</f>
        <v>7.1362294480269002</v>
      </c>
    </row>
    <row r="548" spans="1:20" x14ac:dyDescent="0.2">
      <c r="A548">
        <v>1</v>
      </c>
      <c r="B548" t="s">
        <v>566</v>
      </c>
      <c r="C548">
        <v>26.985222222222198</v>
      </c>
      <c r="D548">
        <v>648.557535335686</v>
      </c>
      <c r="E548">
        <v>6.2199136311362802</v>
      </c>
      <c r="F548">
        <v>25.501019265739199</v>
      </c>
      <c r="G548">
        <v>100</v>
      </c>
      <c r="H548">
        <v>525.5615234375</v>
      </c>
      <c r="I548">
        <v>6.2292063485528099E-2</v>
      </c>
      <c r="K548" s="1" t="str">
        <f>TEXT(stand_validation_1cycle[[#This Row],[stand_age]], ".0")</f>
        <v>27.0</v>
      </c>
      <c r="L548" s="1" t="str">
        <f t="shared" si="8"/>
        <v>"27.0"</v>
      </c>
      <c r="M548">
        <v>100</v>
      </c>
      <c r="N548">
        <f>0.029*stand_validation_1cycle[[#This Row],[stand_level_biomass]]</f>
        <v>18.808168524734896</v>
      </c>
      <c r="O548">
        <f>0.213*stand_validation_1cycle[[#This Row],[stand_level_biomass]]</f>
        <v>138.14275502650111</v>
      </c>
      <c r="P548">
        <f>0.571*stand_validation_1cycle[[#This Row],[stand_level_biomass]]</f>
        <v>370.32635267667666</v>
      </c>
      <c r="Q548">
        <f>stand_validation_1cycle[[#This Row],[stock]]</f>
        <v>100</v>
      </c>
      <c r="R548">
        <v>0</v>
      </c>
      <c r="S548">
        <f>stand_validation_1cycle[[#This Row],[aws]]</f>
        <v>525.5615234375</v>
      </c>
      <c r="T548">
        <f>stand_validation_1cycle[[#This Row],[percent_tree_cover]]*100</f>
        <v>6.2292063485528102</v>
      </c>
    </row>
    <row r="549" spans="1:20" x14ac:dyDescent="0.2">
      <c r="A549">
        <v>1</v>
      </c>
      <c r="B549" t="s">
        <v>567</v>
      </c>
      <c r="C549">
        <v>26.916222222222199</v>
      </c>
      <c r="D549">
        <v>652.24946018393905</v>
      </c>
      <c r="E549">
        <v>6.1662410914460297</v>
      </c>
      <c r="F549">
        <v>24.632413132496399</v>
      </c>
      <c r="G549">
        <v>100</v>
      </c>
      <c r="H549">
        <v>524.85400390625</v>
      </c>
      <c r="I549">
        <v>6.1447245025781597E-2</v>
      </c>
      <c r="K549" s="1" t="str">
        <f>TEXT(stand_validation_1cycle[[#This Row],[stand_age]], ".0")</f>
        <v>26.9</v>
      </c>
      <c r="L549" s="1" t="str">
        <f t="shared" si="8"/>
        <v>"26.9"</v>
      </c>
      <c r="M549">
        <v>100</v>
      </c>
      <c r="N549">
        <f>0.029*stand_validation_1cycle[[#This Row],[stand_level_biomass]]</f>
        <v>18.915234345334234</v>
      </c>
      <c r="O549">
        <f>0.213*stand_validation_1cycle[[#This Row],[stand_level_biomass]]</f>
        <v>138.929135019179</v>
      </c>
      <c r="P549">
        <f>0.571*stand_validation_1cycle[[#This Row],[stand_level_biomass]]</f>
        <v>372.43444176502919</v>
      </c>
      <c r="Q549">
        <f>stand_validation_1cycle[[#This Row],[stock]]</f>
        <v>100</v>
      </c>
      <c r="R549">
        <v>0</v>
      </c>
      <c r="S549">
        <f>stand_validation_1cycle[[#This Row],[aws]]</f>
        <v>524.85400390625</v>
      </c>
      <c r="T549">
        <f>stand_validation_1cycle[[#This Row],[percent_tree_cover]]*100</f>
        <v>6.1447245025781596</v>
      </c>
    </row>
    <row r="550" spans="1:20" x14ac:dyDescent="0.2">
      <c r="A550">
        <v>1</v>
      </c>
      <c r="B550" t="s">
        <v>568</v>
      </c>
      <c r="C550">
        <v>25.7924222222222</v>
      </c>
      <c r="D550">
        <v>677.12648577570303</v>
      </c>
      <c r="E550">
        <v>6.3303806682163</v>
      </c>
      <c r="F550">
        <v>24.9667690656171</v>
      </c>
      <c r="G550">
        <v>100</v>
      </c>
      <c r="H550">
        <v>603.955810546875</v>
      </c>
      <c r="I550">
        <v>6.3091933070538994E-2</v>
      </c>
      <c r="K550" s="1" t="str">
        <f>TEXT(stand_validation_1cycle[[#This Row],[stand_age]], ".0")</f>
        <v>25.8</v>
      </c>
      <c r="L550" s="1" t="str">
        <f t="shared" si="8"/>
        <v>"25.8"</v>
      </c>
      <c r="M550">
        <v>100</v>
      </c>
      <c r="N550">
        <f>0.029*stand_validation_1cycle[[#This Row],[stand_level_biomass]]</f>
        <v>19.636668087495387</v>
      </c>
      <c r="O550">
        <f>0.213*stand_validation_1cycle[[#This Row],[stand_level_biomass]]</f>
        <v>144.22794147022475</v>
      </c>
      <c r="P550">
        <f>0.571*stand_validation_1cycle[[#This Row],[stand_level_biomass]]</f>
        <v>386.63922337792638</v>
      </c>
      <c r="Q550">
        <f>stand_validation_1cycle[[#This Row],[stock]]</f>
        <v>100</v>
      </c>
      <c r="R550">
        <v>0</v>
      </c>
      <c r="S550">
        <f>stand_validation_1cycle[[#This Row],[aws]]</f>
        <v>603.955810546875</v>
      </c>
      <c r="T550">
        <f>stand_validation_1cycle[[#This Row],[percent_tree_cover]]*100</f>
        <v>6.3091933070538992</v>
      </c>
    </row>
    <row r="551" spans="1:20" x14ac:dyDescent="0.2">
      <c r="A551">
        <v>1</v>
      </c>
      <c r="B551" t="s">
        <v>569</v>
      </c>
      <c r="C551">
        <v>28.253108866442201</v>
      </c>
      <c r="D551">
        <v>799.24246522756596</v>
      </c>
      <c r="E551">
        <v>7.3296725966370797</v>
      </c>
      <c r="F551">
        <v>27.756198180707798</v>
      </c>
      <c r="G551">
        <v>99</v>
      </c>
      <c r="H551">
        <v>524.85400390625</v>
      </c>
      <c r="I551">
        <v>7.2850227405888701E-2</v>
      </c>
      <c r="K551" s="1" t="str">
        <f>TEXT(stand_validation_1cycle[[#This Row],[stand_age]], ".0")</f>
        <v>28.3</v>
      </c>
      <c r="L551" s="1" t="str">
        <f t="shared" si="8"/>
        <v>"28.3"</v>
      </c>
      <c r="M551">
        <v>100</v>
      </c>
      <c r="N551">
        <f>0.029*stand_validation_1cycle[[#This Row],[stand_level_biomass]]</f>
        <v>23.178031491599413</v>
      </c>
      <c r="O551">
        <f>0.213*stand_validation_1cycle[[#This Row],[stand_level_biomass]]</f>
        <v>170.23864509347155</v>
      </c>
      <c r="P551">
        <f>0.571*stand_validation_1cycle[[#This Row],[stand_level_biomass]]</f>
        <v>456.36744764494011</v>
      </c>
      <c r="Q551">
        <f>stand_validation_1cycle[[#This Row],[stock]]</f>
        <v>99</v>
      </c>
      <c r="R551">
        <v>0</v>
      </c>
      <c r="S551">
        <f>stand_validation_1cycle[[#This Row],[aws]]</f>
        <v>524.85400390625</v>
      </c>
      <c r="T551">
        <f>stand_validation_1cycle[[#This Row],[percent_tree_cover]]*100</f>
        <v>7.2850227405888699</v>
      </c>
    </row>
    <row r="552" spans="1:20" x14ac:dyDescent="0.2">
      <c r="A552">
        <v>1</v>
      </c>
      <c r="B552" t="s">
        <v>570</v>
      </c>
      <c r="C552">
        <v>27.241043771043699</v>
      </c>
      <c r="D552">
        <v>926.31195870262002</v>
      </c>
      <c r="E552">
        <v>8.07057559788357</v>
      </c>
      <c r="F552">
        <v>27.501244847251002</v>
      </c>
      <c r="G552">
        <v>99</v>
      </c>
      <c r="H552">
        <v>577.40692138671795</v>
      </c>
      <c r="I552">
        <v>7.9912667372892598E-2</v>
      </c>
      <c r="K552" s="1" t="str">
        <f>TEXT(stand_validation_1cycle[[#This Row],[stand_age]], ".0")</f>
        <v>27.2</v>
      </c>
      <c r="L552" s="1" t="str">
        <f t="shared" si="8"/>
        <v>"27.2"</v>
      </c>
      <c r="M552">
        <v>100</v>
      </c>
      <c r="N552">
        <f>0.029*stand_validation_1cycle[[#This Row],[stand_level_biomass]]</f>
        <v>26.863046802375983</v>
      </c>
      <c r="O552">
        <f>0.213*stand_validation_1cycle[[#This Row],[stand_level_biomass]]</f>
        <v>197.30444720365807</v>
      </c>
      <c r="P552">
        <f>0.571*stand_validation_1cycle[[#This Row],[stand_level_biomass]]</f>
        <v>528.92412841919599</v>
      </c>
      <c r="Q552">
        <f>stand_validation_1cycle[[#This Row],[stock]]</f>
        <v>99</v>
      </c>
      <c r="R552">
        <v>0</v>
      </c>
      <c r="S552">
        <f>stand_validation_1cycle[[#This Row],[aws]]</f>
        <v>577.40692138671795</v>
      </c>
      <c r="T552">
        <f>stand_validation_1cycle[[#This Row],[percent_tree_cover]]*100</f>
        <v>7.9912667372892603</v>
      </c>
    </row>
    <row r="553" spans="1:20" x14ac:dyDescent="0.2">
      <c r="A553">
        <v>1</v>
      </c>
      <c r="B553" t="s">
        <v>571</v>
      </c>
      <c r="C553">
        <v>26.630415263748599</v>
      </c>
      <c r="D553">
        <v>756.28989642649799</v>
      </c>
      <c r="E553">
        <v>6.9106658180571898</v>
      </c>
      <c r="F553">
        <v>26.0170160258759</v>
      </c>
      <c r="G553">
        <v>99</v>
      </c>
      <c r="H553">
        <v>573.52606201171795</v>
      </c>
      <c r="I553">
        <v>6.8265255991318302E-2</v>
      </c>
      <c r="K553" s="1" t="str">
        <f>TEXT(stand_validation_1cycle[[#This Row],[stand_age]], ".0")</f>
        <v>26.6</v>
      </c>
      <c r="L553" s="1" t="str">
        <f t="shared" si="8"/>
        <v>"26.6"</v>
      </c>
      <c r="M553">
        <v>100</v>
      </c>
      <c r="N553">
        <f>0.029*stand_validation_1cycle[[#This Row],[stand_level_biomass]]</f>
        <v>21.932406996368442</v>
      </c>
      <c r="O553">
        <f>0.213*stand_validation_1cycle[[#This Row],[stand_level_biomass]]</f>
        <v>161.08974793884406</v>
      </c>
      <c r="P553">
        <f>0.571*stand_validation_1cycle[[#This Row],[stand_level_biomass]]</f>
        <v>431.84153085953034</v>
      </c>
      <c r="Q553">
        <f>stand_validation_1cycle[[#This Row],[stock]]</f>
        <v>99</v>
      </c>
      <c r="R553">
        <v>0</v>
      </c>
      <c r="S553">
        <f>stand_validation_1cycle[[#This Row],[aws]]</f>
        <v>573.52606201171795</v>
      </c>
      <c r="T553">
        <f>stand_validation_1cycle[[#This Row],[percent_tree_cover]]*100</f>
        <v>6.8265255991318305</v>
      </c>
    </row>
    <row r="554" spans="1:20" x14ac:dyDescent="0.2">
      <c r="A554">
        <v>1</v>
      </c>
      <c r="B554" t="s">
        <v>572</v>
      </c>
      <c r="C554">
        <v>28.149566666666601</v>
      </c>
      <c r="D554">
        <v>909.30918282026096</v>
      </c>
      <c r="E554">
        <v>8.0390614965772507</v>
      </c>
      <c r="F554">
        <v>27.817364798914198</v>
      </c>
      <c r="G554">
        <v>100</v>
      </c>
      <c r="H554">
        <v>524.13592529296795</v>
      </c>
      <c r="I554">
        <v>8.0103127082120404E-2</v>
      </c>
      <c r="K554" s="1" t="str">
        <f>TEXT(stand_validation_1cycle[[#This Row],[stand_age]], ".0")</f>
        <v>28.1</v>
      </c>
      <c r="L554" s="1" t="str">
        <f t="shared" si="8"/>
        <v>"28.1"</v>
      </c>
      <c r="M554">
        <v>100</v>
      </c>
      <c r="N554">
        <f>0.029*stand_validation_1cycle[[#This Row],[stand_level_biomass]]</f>
        <v>26.369966301787571</v>
      </c>
      <c r="O554">
        <f>0.213*stand_validation_1cycle[[#This Row],[stand_level_biomass]]</f>
        <v>193.68285594071557</v>
      </c>
      <c r="P554">
        <f>0.571*stand_validation_1cycle[[#This Row],[stand_level_biomass]]</f>
        <v>519.21554339036891</v>
      </c>
      <c r="Q554">
        <f>stand_validation_1cycle[[#This Row],[stock]]</f>
        <v>100</v>
      </c>
      <c r="R554">
        <v>0</v>
      </c>
      <c r="S554">
        <f>stand_validation_1cycle[[#This Row],[aws]]</f>
        <v>524.13592529296795</v>
      </c>
      <c r="T554">
        <f>stand_validation_1cycle[[#This Row],[percent_tree_cover]]*100</f>
        <v>8.0103127082120409</v>
      </c>
    </row>
    <row r="555" spans="1:20" x14ac:dyDescent="0.2">
      <c r="A555">
        <v>1</v>
      </c>
      <c r="B555" t="s">
        <v>573</v>
      </c>
      <c r="C555">
        <v>26.988711111111101</v>
      </c>
      <c r="D555">
        <v>957.16990293190202</v>
      </c>
      <c r="E555">
        <v>8.2608626503096705</v>
      </c>
      <c r="F555">
        <v>27.198592065522099</v>
      </c>
      <c r="G555">
        <v>100</v>
      </c>
      <c r="H555">
        <v>572</v>
      </c>
      <c r="I555">
        <v>8.2301928937930396E-2</v>
      </c>
      <c r="K555" s="1" t="str">
        <f>TEXT(stand_validation_1cycle[[#This Row],[stand_age]], ".0")</f>
        <v>27.0</v>
      </c>
      <c r="L555" s="1" t="str">
        <f t="shared" si="8"/>
        <v>"27.0"</v>
      </c>
      <c r="M555">
        <v>100</v>
      </c>
      <c r="N555">
        <f>0.029*stand_validation_1cycle[[#This Row],[stand_level_biomass]]</f>
        <v>27.75792718502516</v>
      </c>
      <c r="O555">
        <f>0.213*stand_validation_1cycle[[#This Row],[stand_level_biomass]]</f>
        <v>203.87718932449513</v>
      </c>
      <c r="P555">
        <f>0.571*stand_validation_1cycle[[#This Row],[stand_level_biomass]]</f>
        <v>546.54401457411598</v>
      </c>
      <c r="Q555">
        <f>stand_validation_1cycle[[#This Row],[stock]]</f>
        <v>100</v>
      </c>
      <c r="R555">
        <v>0</v>
      </c>
      <c r="S555">
        <f>stand_validation_1cycle[[#This Row],[aws]]</f>
        <v>572</v>
      </c>
      <c r="T555">
        <f>stand_validation_1cycle[[#This Row],[percent_tree_cover]]*100</f>
        <v>8.2301928937930402</v>
      </c>
    </row>
    <row r="556" spans="1:20" x14ac:dyDescent="0.2">
      <c r="A556">
        <v>1</v>
      </c>
      <c r="B556" t="s">
        <v>574</v>
      </c>
      <c r="C556">
        <v>25.035933333333301</v>
      </c>
      <c r="D556">
        <v>592.845671897388</v>
      </c>
      <c r="E556">
        <v>5.73438362811663</v>
      </c>
      <c r="F556">
        <v>24.042443132306399</v>
      </c>
      <c r="G556">
        <v>100</v>
      </c>
      <c r="H556">
        <v>625.44598388671795</v>
      </c>
      <c r="I556">
        <v>5.7170108535911902E-2</v>
      </c>
      <c r="K556" s="1" t="str">
        <f>TEXT(stand_validation_1cycle[[#This Row],[stand_age]], ".0")</f>
        <v>25.0</v>
      </c>
      <c r="L556" s="1" t="str">
        <f t="shared" si="8"/>
        <v>"25.0"</v>
      </c>
      <c r="M556">
        <v>100</v>
      </c>
      <c r="N556">
        <f>0.029*stand_validation_1cycle[[#This Row],[stand_level_biomass]]</f>
        <v>17.192524485024254</v>
      </c>
      <c r="O556">
        <f>0.213*stand_validation_1cycle[[#This Row],[stand_level_biomass]]</f>
        <v>126.27612811414365</v>
      </c>
      <c r="P556">
        <f>0.571*stand_validation_1cycle[[#This Row],[stand_level_biomass]]</f>
        <v>338.51487865340852</v>
      </c>
      <c r="Q556">
        <f>stand_validation_1cycle[[#This Row],[stock]]</f>
        <v>100</v>
      </c>
      <c r="R556">
        <v>0</v>
      </c>
      <c r="S556">
        <f>stand_validation_1cycle[[#This Row],[aws]]</f>
        <v>625.44598388671795</v>
      </c>
      <c r="T556">
        <f>stand_validation_1cycle[[#This Row],[percent_tree_cover]]*100</f>
        <v>5.7170108535911899</v>
      </c>
    </row>
    <row r="557" spans="1:20" x14ac:dyDescent="0.2">
      <c r="A557">
        <v>1</v>
      </c>
      <c r="B557" t="s">
        <v>575</v>
      </c>
      <c r="C557">
        <v>26.218316498316501</v>
      </c>
      <c r="D557">
        <v>808.22511228138399</v>
      </c>
      <c r="E557">
        <v>7.1289366070451496</v>
      </c>
      <c r="F557">
        <v>25.743566463577199</v>
      </c>
      <c r="G557">
        <v>99</v>
      </c>
      <c r="H557">
        <v>567.02972412109295</v>
      </c>
      <c r="I557">
        <v>7.0939353400814198E-2</v>
      </c>
      <c r="K557" s="1" t="str">
        <f>TEXT(stand_validation_1cycle[[#This Row],[stand_age]], ".0")</f>
        <v>26.2</v>
      </c>
      <c r="L557" s="1" t="str">
        <f t="shared" si="8"/>
        <v>"26.2"</v>
      </c>
      <c r="M557">
        <v>100</v>
      </c>
      <c r="N557">
        <f>0.029*stand_validation_1cycle[[#This Row],[stand_level_biomass]]</f>
        <v>23.438528256160136</v>
      </c>
      <c r="O557">
        <f>0.213*stand_validation_1cycle[[#This Row],[stand_level_biomass]]</f>
        <v>172.15194891593478</v>
      </c>
      <c r="P557">
        <f>0.571*stand_validation_1cycle[[#This Row],[stand_level_biomass]]</f>
        <v>461.49653911267023</v>
      </c>
      <c r="Q557">
        <f>stand_validation_1cycle[[#This Row],[stock]]</f>
        <v>99</v>
      </c>
      <c r="R557">
        <v>0</v>
      </c>
      <c r="S557">
        <f>stand_validation_1cycle[[#This Row],[aws]]</f>
        <v>567.02972412109295</v>
      </c>
      <c r="T557">
        <f>stand_validation_1cycle[[#This Row],[percent_tree_cover]]*100</f>
        <v>7.09393534008142</v>
      </c>
    </row>
    <row r="558" spans="1:20" x14ac:dyDescent="0.2">
      <c r="A558">
        <v>1</v>
      </c>
      <c r="B558" t="s">
        <v>576</v>
      </c>
      <c r="C558">
        <v>27.203966666666599</v>
      </c>
      <c r="D558">
        <v>892.03311460625105</v>
      </c>
      <c r="E558">
        <v>7.9433175334682797</v>
      </c>
      <c r="F558">
        <v>27.751131732102799</v>
      </c>
      <c r="G558">
        <v>100</v>
      </c>
      <c r="H558">
        <v>569.68493652343705</v>
      </c>
      <c r="I558">
        <v>7.9161511487892605E-2</v>
      </c>
      <c r="K558" s="1" t="str">
        <f>TEXT(stand_validation_1cycle[[#This Row],[stand_age]], ".0")</f>
        <v>27.2</v>
      </c>
      <c r="L558" s="1" t="str">
        <f t="shared" si="8"/>
        <v>"27.2"</v>
      </c>
      <c r="M558">
        <v>100</v>
      </c>
      <c r="N558">
        <f>0.029*stand_validation_1cycle[[#This Row],[stand_level_biomass]]</f>
        <v>25.86896032358128</v>
      </c>
      <c r="O558">
        <f>0.213*stand_validation_1cycle[[#This Row],[stand_level_biomass]]</f>
        <v>190.00305341113148</v>
      </c>
      <c r="P558">
        <f>0.571*stand_validation_1cycle[[#This Row],[stand_level_biomass]]</f>
        <v>509.35090844016929</v>
      </c>
      <c r="Q558">
        <f>stand_validation_1cycle[[#This Row],[stock]]</f>
        <v>100</v>
      </c>
      <c r="R558">
        <v>0</v>
      </c>
      <c r="S558">
        <f>stand_validation_1cycle[[#This Row],[aws]]</f>
        <v>569.68493652343705</v>
      </c>
      <c r="T558">
        <f>stand_validation_1cycle[[#This Row],[percent_tree_cover]]*100</f>
        <v>7.9161511487892602</v>
      </c>
    </row>
    <row r="559" spans="1:20" x14ac:dyDescent="0.2">
      <c r="A559">
        <v>1</v>
      </c>
      <c r="B559" t="s">
        <v>577</v>
      </c>
      <c r="C559">
        <v>27.772076318742901</v>
      </c>
      <c r="D559">
        <v>745.61191342926895</v>
      </c>
      <c r="E559">
        <v>6.8922419479402199</v>
      </c>
      <c r="F559">
        <v>26.604355419787801</v>
      </c>
      <c r="G559">
        <v>99</v>
      </c>
      <c r="H559">
        <v>574.56951904296795</v>
      </c>
      <c r="I559">
        <v>6.85599599644931E-2</v>
      </c>
      <c r="K559" s="1" t="str">
        <f>TEXT(stand_validation_1cycle[[#This Row],[stand_age]], ".0")</f>
        <v>27.8</v>
      </c>
      <c r="L559" s="1" t="str">
        <f t="shared" si="8"/>
        <v>"27.8"</v>
      </c>
      <c r="M559">
        <v>100</v>
      </c>
      <c r="N559">
        <f>0.029*stand_validation_1cycle[[#This Row],[stand_level_biomass]]</f>
        <v>21.6227454894488</v>
      </c>
      <c r="O559">
        <f>0.213*stand_validation_1cycle[[#This Row],[stand_level_biomass]]</f>
        <v>158.81533756043427</v>
      </c>
      <c r="P559">
        <f>0.571*stand_validation_1cycle[[#This Row],[stand_level_biomass]]</f>
        <v>425.74440256811255</v>
      </c>
      <c r="Q559">
        <f>stand_validation_1cycle[[#This Row],[stock]]</f>
        <v>99</v>
      </c>
      <c r="R559">
        <v>0</v>
      </c>
      <c r="S559">
        <f>stand_validation_1cycle[[#This Row],[aws]]</f>
        <v>574.56951904296795</v>
      </c>
      <c r="T559">
        <f>stand_validation_1cycle[[#This Row],[percent_tree_cover]]*100</f>
        <v>6.8559959964493098</v>
      </c>
    </row>
    <row r="560" spans="1:20" x14ac:dyDescent="0.2">
      <c r="A560">
        <v>1</v>
      </c>
      <c r="B560" t="s">
        <v>578</v>
      </c>
      <c r="C560">
        <v>28.0427664399093</v>
      </c>
      <c r="D560">
        <v>738.94969656586602</v>
      </c>
      <c r="E560">
        <v>6.68679435476606</v>
      </c>
      <c r="F560">
        <v>25.621859795184399</v>
      </c>
      <c r="G560">
        <v>98</v>
      </c>
      <c r="H560">
        <v>571.60577392578102</v>
      </c>
      <c r="I560">
        <v>6.6086225411940605E-2</v>
      </c>
      <c r="K560" s="1" t="str">
        <f>TEXT(stand_validation_1cycle[[#This Row],[stand_age]], ".0")</f>
        <v>28.0</v>
      </c>
      <c r="L560" s="1" t="str">
        <f t="shared" si="8"/>
        <v>"28.0"</v>
      </c>
      <c r="M560">
        <v>100</v>
      </c>
      <c r="N560">
        <f>0.029*stand_validation_1cycle[[#This Row],[stand_level_biomass]]</f>
        <v>21.429541200410117</v>
      </c>
      <c r="O560">
        <f>0.213*stand_validation_1cycle[[#This Row],[stand_level_biomass]]</f>
        <v>157.39628536852945</v>
      </c>
      <c r="P560">
        <f>0.571*stand_validation_1cycle[[#This Row],[stand_level_biomass]]</f>
        <v>421.94027673910944</v>
      </c>
      <c r="Q560">
        <f>stand_validation_1cycle[[#This Row],[stock]]</f>
        <v>98</v>
      </c>
      <c r="R560">
        <v>0</v>
      </c>
      <c r="S560">
        <f>stand_validation_1cycle[[#This Row],[aws]]</f>
        <v>571.60577392578102</v>
      </c>
      <c r="T560">
        <f>stand_validation_1cycle[[#This Row],[percent_tree_cover]]*100</f>
        <v>6.6086225411940607</v>
      </c>
    </row>
    <row r="561" spans="1:20" x14ac:dyDescent="0.2">
      <c r="A561">
        <v>1</v>
      </c>
      <c r="B561" t="s">
        <v>579</v>
      </c>
      <c r="C561">
        <v>27.225666666666601</v>
      </c>
      <c r="D561">
        <v>917.91508284708402</v>
      </c>
      <c r="E561">
        <v>8.1384347845992693</v>
      </c>
      <c r="F561">
        <v>28.0110756653864</v>
      </c>
      <c r="G561">
        <v>100</v>
      </c>
      <c r="H561">
        <v>571.60577392578102</v>
      </c>
      <c r="I561">
        <v>8.1104680638363805E-2</v>
      </c>
      <c r="K561" s="1" t="str">
        <f>TEXT(stand_validation_1cycle[[#This Row],[stand_age]], ".0")</f>
        <v>27.2</v>
      </c>
      <c r="L561" s="1" t="str">
        <f t="shared" si="8"/>
        <v>"27.2"</v>
      </c>
      <c r="M561">
        <v>100</v>
      </c>
      <c r="N561">
        <f>0.029*stand_validation_1cycle[[#This Row],[stand_level_biomass]]</f>
        <v>26.619537402565438</v>
      </c>
      <c r="O561">
        <f>0.213*stand_validation_1cycle[[#This Row],[stand_level_biomass]]</f>
        <v>195.51591264642889</v>
      </c>
      <c r="P561">
        <f>0.571*stand_validation_1cycle[[#This Row],[stand_level_biomass]]</f>
        <v>524.1295123056849</v>
      </c>
      <c r="Q561">
        <f>stand_validation_1cycle[[#This Row],[stock]]</f>
        <v>100</v>
      </c>
      <c r="R561">
        <v>0</v>
      </c>
      <c r="S561">
        <f>stand_validation_1cycle[[#This Row],[aws]]</f>
        <v>571.60577392578102</v>
      </c>
      <c r="T561">
        <f>stand_validation_1cycle[[#This Row],[percent_tree_cover]]*100</f>
        <v>8.1104680638363806</v>
      </c>
    </row>
    <row r="562" spans="1:20" x14ac:dyDescent="0.2">
      <c r="A562">
        <v>1</v>
      </c>
      <c r="B562" t="s">
        <v>580</v>
      </c>
      <c r="C562">
        <v>27.374488888888798</v>
      </c>
      <c r="D562">
        <v>905.92869781183595</v>
      </c>
      <c r="E562">
        <v>8.0153644631912204</v>
      </c>
      <c r="F562">
        <v>27.800532865413501</v>
      </c>
      <c r="G562">
        <v>100</v>
      </c>
      <c r="H562">
        <v>567.02972412109295</v>
      </c>
      <c r="I562">
        <v>7.9871746352233694E-2</v>
      </c>
      <c r="K562" s="1" t="str">
        <f>TEXT(stand_validation_1cycle[[#This Row],[stand_age]], ".0")</f>
        <v>27.4</v>
      </c>
      <c r="L562" s="1" t="str">
        <f t="shared" si="8"/>
        <v>"27.4"</v>
      </c>
      <c r="M562">
        <v>100</v>
      </c>
      <c r="N562">
        <f>0.029*stand_validation_1cycle[[#This Row],[stand_level_biomass]]</f>
        <v>26.271932236543243</v>
      </c>
      <c r="O562">
        <f>0.213*stand_validation_1cycle[[#This Row],[stand_level_biomass]]</f>
        <v>192.96281263392106</v>
      </c>
      <c r="P562">
        <f>0.571*stand_validation_1cycle[[#This Row],[stand_level_biomass]]</f>
        <v>517.28528645055826</v>
      </c>
      <c r="Q562">
        <f>stand_validation_1cycle[[#This Row],[stock]]</f>
        <v>100</v>
      </c>
      <c r="R562">
        <v>0</v>
      </c>
      <c r="S562">
        <f>stand_validation_1cycle[[#This Row],[aws]]</f>
        <v>567.02972412109295</v>
      </c>
      <c r="T562">
        <f>stand_validation_1cycle[[#This Row],[percent_tree_cover]]*100</f>
        <v>7.9871746352233695</v>
      </c>
    </row>
    <row r="563" spans="1:20" x14ac:dyDescent="0.2">
      <c r="A563">
        <v>1</v>
      </c>
      <c r="B563" t="s">
        <v>581</v>
      </c>
      <c r="C563">
        <v>28.0489450056116</v>
      </c>
      <c r="D563">
        <v>810.20769394982506</v>
      </c>
      <c r="E563">
        <v>7.22493660995538</v>
      </c>
      <c r="F563">
        <v>26.458331177528098</v>
      </c>
      <c r="G563">
        <v>99</v>
      </c>
      <c r="H563">
        <v>579.43377685546795</v>
      </c>
      <c r="I563">
        <v>7.1857623421572203E-2</v>
      </c>
      <c r="K563" s="1" t="str">
        <f>TEXT(stand_validation_1cycle[[#This Row],[stand_age]], ".0")</f>
        <v>28.0</v>
      </c>
      <c r="L563" s="1" t="str">
        <f t="shared" si="8"/>
        <v>"28.0"</v>
      </c>
      <c r="M563">
        <v>100</v>
      </c>
      <c r="N563">
        <f>0.029*stand_validation_1cycle[[#This Row],[stand_level_biomass]]</f>
        <v>23.496023124544926</v>
      </c>
      <c r="O563">
        <f>0.213*stand_validation_1cycle[[#This Row],[stand_level_biomass]]</f>
        <v>172.57423881131274</v>
      </c>
      <c r="P563">
        <f>0.571*stand_validation_1cycle[[#This Row],[stand_level_biomass]]</f>
        <v>462.62859324535009</v>
      </c>
      <c r="Q563">
        <f>stand_validation_1cycle[[#This Row],[stock]]</f>
        <v>99</v>
      </c>
      <c r="R563">
        <v>0</v>
      </c>
      <c r="S563">
        <f>stand_validation_1cycle[[#This Row],[aws]]</f>
        <v>579.43377685546795</v>
      </c>
      <c r="T563">
        <f>stand_validation_1cycle[[#This Row],[percent_tree_cover]]*100</f>
        <v>7.1857623421572203</v>
      </c>
    </row>
    <row r="564" spans="1:20" x14ac:dyDescent="0.2">
      <c r="A564">
        <v>1</v>
      </c>
      <c r="B564" t="s">
        <v>582</v>
      </c>
      <c r="C564">
        <v>28.271911111111098</v>
      </c>
      <c r="D564">
        <v>906.84036433452502</v>
      </c>
      <c r="E564">
        <v>8.0455912969077392</v>
      </c>
      <c r="F564">
        <v>27.847293198887101</v>
      </c>
      <c r="G564">
        <v>100</v>
      </c>
      <c r="H564">
        <v>574.43249511718705</v>
      </c>
      <c r="I564">
        <v>8.0162410932421102E-2</v>
      </c>
      <c r="K564" s="1" t="str">
        <f>TEXT(stand_validation_1cycle[[#This Row],[stand_age]], ".0")</f>
        <v>28.3</v>
      </c>
      <c r="L564" s="1" t="str">
        <f t="shared" si="8"/>
        <v>"28.3"</v>
      </c>
      <c r="M564">
        <v>100</v>
      </c>
      <c r="N564">
        <f>0.029*stand_validation_1cycle[[#This Row],[stand_level_biomass]]</f>
        <v>26.298370565701227</v>
      </c>
      <c r="O564">
        <f>0.213*stand_validation_1cycle[[#This Row],[stand_level_biomass]]</f>
        <v>193.15699760325381</v>
      </c>
      <c r="P564">
        <f>0.571*stand_validation_1cycle[[#This Row],[stand_level_biomass]]</f>
        <v>517.8058480350137</v>
      </c>
      <c r="Q564">
        <f>stand_validation_1cycle[[#This Row],[stock]]</f>
        <v>100</v>
      </c>
      <c r="R564">
        <v>0</v>
      </c>
      <c r="S564">
        <f>stand_validation_1cycle[[#This Row],[aws]]</f>
        <v>574.43249511718705</v>
      </c>
      <c r="T564">
        <f>stand_validation_1cycle[[#This Row],[percent_tree_cover]]*100</f>
        <v>8.01624109324211</v>
      </c>
    </row>
    <row r="565" spans="1:20" x14ac:dyDescent="0.2">
      <c r="A565">
        <v>1</v>
      </c>
      <c r="B565" t="s">
        <v>583</v>
      </c>
      <c r="C565">
        <v>28.2081037037036</v>
      </c>
      <c r="D565">
        <v>797.50422446866105</v>
      </c>
      <c r="E565">
        <v>5.5094338131471599</v>
      </c>
      <c r="F565">
        <v>26.968055821184699</v>
      </c>
      <c r="G565">
        <v>75</v>
      </c>
      <c r="H565">
        <v>575.84033203125</v>
      </c>
      <c r="I565">
        <v>7.0338597829707902E-2</v>
      </c>
      <c r="K565" s="1" t="str">
        <f>TEXT(stand_validation_1cycle[[#This Row],[stand_age]], ".0")</f>
        <v>28.2</v>
      </c>
      <c r="L565" s="1" t="str">
        <f t="shared" si="8"/>
        <v>"28.2"</v>
      </c>
      <c r="M565">
        <v>100</v>
      </c>
      <c r="N565">
        <f>0.029*stand_validation_1cycle[[#This Row],[stand_level_biomass]]</f>
        <v>23.127622509591173</v>
      </c>
      <c r="O565">
        <f>0.213*stand_validation_1cycle[[#This Row],[stand_level_biomass]]</f>
        <v>169.86839981182479</v>
      </c>
      <c r="P565">
        <f>0.571*stand_validation_1cycle[[#This Row],[stand_level_biomass]]</f>
        <v>455.37491217160544</v>
      </c>
      <c r="Q565">
        <f>stand_validation_1cycle[[#This Row],[stock]]</f>
        <v>75</v>
      </c>
      <c r="R565">
        <v>0</v>
      </c>
      <c r="S565">
        <f>stand_validation_1cycle[[#This Row],[aws]]</f>
        <v>575.84033203125</v>
      </c>
      <c r="T565">
        <f>stand_validation_1cycle[[#This Row],[percent_tree_cover]]*100</f>
        <v>7.0338597829707901</v>
      </c>
    </row>
    <row r="566" spans="1:20" x14ac:dyDescent="0.2">
      <c r="A566">
        <v>1</v>
      </c>
      <c r="B566" t="s">
        <v>584</v>
      </c>
      <c r="C566">
        <v>27.506212121212101</v>
      </c>
      <c r="D566">
        <v>1050.13389699556</v>
      </c>
      <c r="E566">
        <v>7.7585282681859704</v>
      </c>
      <c r="F566">
        <v>27.408014923168</v>
      </c>
      <c r="G566">
        <v>88</v>
      </c>
      <c r="H566">
        <v>574</v>
      </c>
      <c r="I566">
        <v>8.8341407023794699E-2</v>
      </c>
      <c r="K566" s="1" t="str">
        <f>TEXT(stand_validation_1cycle[[#This Row],[stand_age]], ".0")</f>
        <v>27.5</v>
      </c>
      <c r="L566" s="1" t="str">
        <f t="shared" si="8"/>
        <v>"27.5"</v>
      </c>
      <c r="M566">
        <v>100</v>
      </c>
      <c r="N566">
        <f>0.029*stand_validation_1cycle[[#This Row],[stand_level_biomass]]</f>
        <v>30.453883012871241</v>
      </c>
      <c r="O566">
        <f>0.213*stand_validation_1cycle[[#This Row],[stand_level_biomass]]</f>
        <v>223.67852006005427</v>
      </c>
      <c r="P566">
        <f>0.571*stand_validation_1cycle[[#This Row],[stand_level_biomass]]</f>
        <v>599.6264551844647</v>
      </c>
      <c r="Q566">
        <f>stand_validation_1cycle[[#This Row],[stock]]</f>
        <v>88</v>
      </c>
      <c r="R566">
        <v>0</v>
      </c>
      <c r="S566">
        <f>stand_validation_1cycle[[#This Row],[aws]]</f>
        <v>574</v>
      </c>
      <c r="T566">
        <f>stand_validation_1cycle[[#This Row],[percent_tree_cover]]*100</f>
        <v>8.8341407023794698</v>
      </c>
    </row>
    <row r="567" spans="1:20" x14ac:dyDescent="0.2">
      <c r="A567">
        <v>1</v>
      </c>
      <c r="B567" t="s">
        <v>585</v>
      </c>
      <c r="C567">
        <v>27.494022222222199</v>
      </c>
      <c r="D567">
        <v>829.858986684255</v>
      </c>
      <c r="E567">
        <v>7.3937037527043898</v>
      </c>
      <c r="F567">
        <v>26.243119932414899</v>
      </c>
      <c r="G567">
        <v>100</v>
      </c>
      <c r="H567">
        <v>568.94219970703102</v>
      </c>
      <c r="I567">
        <v>7.3656468815027201E-2</v>
      </c>
      <c r="K567" s="1" t="str">
        <f>TEXT(stand_validation_1cycle[[#This Row],[stand_age]], ".0")</f>
        <v>27.5</v>
      </c>
      <c r="L567" s="1" t="str">
        <f t="shared" si="8"/>
        <v>"27.5"</v>
      </c>
      <c r="M567">
        <v>100</v>
      </c>
      <c r="N567">
        <f>0.029*stand_validation_1cycle[[#This Row],[stand_level_biomass]]</f>
        <v>24.065910613843396</v>
      </c>
      <c r="O567">
        <f>0.213*stand_validation_1cycle[[#This Row],[stand_level_biomass]]</f>
        <v>176.7599641637463</v>
      </c>
      <c r="P567">
        <f>0.571*stand_validation_1cycle[[#This Row],[stand_level_biomass]]</f>
        <v>473.84948139670956</v>
      </c>
      <c r="Q567">
        <f>stand_validation_1cycle[[#This Row],[stock]]</f>
        <v>100</v>
      </c>
      <c r="R567">
        <v>0</v>
      </c>
      <c r="S567">
        <f>stand_validation_1cycle[[#This Row],[aws]]</f>
        <v>568.94219970703102</v>
      </c>
      <c r="T567">
        <f>stand_validation_1cycle[[#This Row],[percent_tree_cover]]*100</f>
        <v>7.3656468815027205</v>
      </c>
    </row>
    <row r="568" spans="1:20" x14ac:dyDescent="0.2">
      <c r="A568">
        <v>1</v>
      </c>
      <c r="B568" t="s">
        <v>586</v>
      </c>
      <c r="C568">
        <v>26.863611111111101</v>
      </c>
      <c r="D568">
        <v>792.25006202771397</v>
      </c>
      <c r="E568">
        <v>7.0974107247663696</v>
      </c>
      <c r="F568">
        <v>25.652257999104201</v>
      </c>
      <c r="G568">
        <v>100</v>
      </c>
      <c r="H568">
        <v>571.84405517578102</v>
      </c>
      <c r="I568">
        <v>7.0707686331107897E-2</v>
      </c>
      <c r="K568" s="1" t="str">
        <f>TEXT(stand_validation_1cycle[[#This Row],[stand_age]], ".0")</f>
        <v>26.9</v>
      </c>
      <c r="L568" s="1" t="str">
        <f t="shared" si="8"/>
        <v>"26.9"</v>
      </c>
      <c r="M568">
        <v>100</v>
      </c>
      <c r="N568">
        <f>0.029*stand_validation_1cycle[[#This Row],[stand_level_biomass]]</f>
        <v>22.975251798803708</v>
      </c>
      <c r="O568">
        <f>0.213*stand_validation_1cycle[[#This Row],[stand_level_biomass]]</f>
        <v>168.74926321190307</v>
      </c>
      <c r="P568">
        <f>0.571*stand_validation_1cycle[[#This Row],[stand_level_biomass]]</f>
        <v>452.37478541782463</v>
      </c>
      <c r="Q568">
        <f>stand_validation_1cycle[[#This Row],[stock]]</f>
        <v>100</v>
      </c>
      <c r="R568">
        <v>0</v>
      </c>
      <c r="S568">
        <f>stand_validation_1cycle[[#This Row],[aws]]</f>
        <v>571.84405517578102</v>
      </c>
      <c r="T568">
        <f>stand_validation_1cycle[[#This Row],[percent_tree_cover]]*100</f>
        <v>7.0707686331107897</v>
      </c>
    </row>
    <row r="569" spans="1:20" x14ac:dyDescent="0.2">
      <c r="A569">
        <v>1</v>
      </c>
      <c r="B569" t="s">
        <v>587</v>
      </c>
      <c r="C569">
        <v>28.052355555555501</v>
      </c>
      <c r="D569">
        <v>901.73298562450498</v>
      </c>
      <c r="E569">
        <v>7.8323808282865599</v>
      </c>
      <c r="F569">
        <v>26.485589065779902</v>
      </c>
      <c r="G569">
        <v>100</v>
      </c>
      <c r="H569">
        <v>570.35113525390602</v>
      </c>
      <c r="I569">
        <v>7.8018342630659598E-2</v>
      </c>
      <c r="K569" s="1" t="str">
        <f>TEXT(stand_validation_1cycle[[#This Row],[stand_age]], ".0")</f>
        <v>28.1</v>
      </c>
      <c r="L569" s="1" t="str">
        <f t="shared" si="8"/>
        <v>"28.1"</v>
      </c>
      <c r="M569">
        <v>100</v>
      </c>
      <c r="N569">
        <f>0.029*stand_validation_1cycle[[#This Row],[stand_level_biomass]]</f>
        <v>26.150256583110647</v>
      </c>
      <c r="O569">
        <f>0.213*stand_validation_1cycle[[#This Row],[stand_level_biomass]]</f>
        <v>192.06912593801957</v>
      </c>
      <c r="P569">
        <f>0.571*stand_validation_1cycle[[#This Row],[stand_level_biomass]]</f>
        <v>514.88953479159227</v>
      </c>
      <c r="Q569">
        <f>stand_validation_1cycle[[#This Row],[stock]]</f>
        <v>100</v>
      </c>
      <c r="R569">
        <v>0</v>
      </c>
      <c r="S569">
        <f>stand_validation_1cycle[[#This Row],[aws]]</f>
        <v>570.35113525390602</v>
      </c>
      <c r="T569">
        <f>stand_validation_1cycle[[#This Row],[percent_tree_cover]]*100</f>
        <v>7.8018342630659596</v>
      </c>
    </row>
    <row r="570" spans="1:20" x14ac:dyDescent="0.2">
      <c r="A570">
        <v>1</v>
      </c>
      <c r="B570" t="s">
        <v>588</v>
      </c>
      <c r="C570">
        <v>28.000900000000001</v>
      </c>
      <c r="D570">
        <v>927.37044202737297</v>
      </c>
      <c r="E570">
        <v>8.1216516112456301</v>
      </c>
      <c r="F570">
        <v>27.5337451989414</v>
      </c>
      <c r="G570">
        <v>100</v>
      </c>
      <c r="H570">
        <v>571.74517822265602</v>
      </c>
      <c r="I570">
        <v>8.0912224829944604E-2</v>
      </c>
      <c r="K570" s="1" t="str">
        <f>TEXT(stand_validation_1cycle[[#This Row],[stand_age]], ".0")</f>
        <v>28.0</v>
      </c>
      <c r="L570" s="1" t="str">
        <f t="shared" si="8"/>
        <v>"28.0"</v>
      </c>
      <c r="M570">
        <v>100</v>
      </c>
      <c r="N570">
        <f>0.029*stand_validation_1cycle[[#This Row],[stand_level_biomass]]</f>
        <v>26.893742818793818</v>
      </c>
      <c r="O570">
        <f>0.213*stand_validation_1cycle[[#This Row],[stand_level_biomass]]</f>
        <v>197.52990415183044</v>
      </c>
      <c r="P570">
        <f>0.571*stand_validation_1cycle[[#This Row],[stand_level_biomass]]</f>
        <v>529.5285223976299</v>
      </c>
      <c r="Q570">
        <f>stand_validation_1cycle[[#This Row],[stock]]</f>
        <v>100</v>
      </c>
      <c r="R570">
        <v>0</v>
      </c>
      <c r="S570">
        <f>stand_validation_1cycle[[#This Row],[aws]]</f>
        <v>571.74517822265602</v>
      </c>
      <c r="T570">
        <f>stand_validation_1cycle[[#This Row],[percent_tree_cover]]*100</f>
        <v>8.0912224829944606</v>
      </c>
    </row>
    <row r="571" spans="1:20" x14ac:dyDescent="0.2">
      <c r="A571">
        <v>1</v>
      </c>
      <c r="B571" t="s">
        <v>589</v>
      </c>
      <c r="C571">
        <v>26.604747474747398</v>
      </c>
      <c r="D571">
        <v>752.92133783037605</v>
      </c>
      <c r="E571">
        <v>6.8149776182178297</v>
      </c>
      <c r="F571">
        <v>25.526716632018701</v>
      </c>
      <c r="G571">
        <v>99</v>
      </c>
      <c r="H571">
        <v>572.73687744140602</v>
      </c>
      <c r="I571">
        <v>6.7434951164910995E-2</v>
      </c>
      <c r="K571" s="1" t="str">
        <f>TEXT(stand_validation_1cycle[[#This Row],[stand_age]], ".0")</f>
        <v>26.6</v>
      </c>
      <c r="L571" s="1" t="str">
        <f t="shared" si="8"/>
        <v>"26.6"</v>
      </c>
      <c r="M571">
        <v>100</v>
      </c>
      <c r="N571">
        <f>0.029*stand_validation_1cycle[[#This Row],[stand_level_biomass]]</f>
        <v>21.834718797080907</v>
      </c>
      <c r="O571">
        <f>0.213*stand_validation_1cycle[[#This Row],[stand_level_biomass]]</f>
        <v>160.37224495787009</v>
      </c>
      <c r="P571">
        <f>0.571*stand_validation_1cycle[[#This Row],[stand_level_biomass]]</f>
        <v>429.91808390114471</v>
      </c>
      <c r="Q571">
        <f>stand_validation_1cycle[[#This Row],[stock]]</f>
        <v>99</v>
      </c>
      <c r="R571">
        <v>0</v>
      </c>
      <c r="S571">
        <f>stand_validation_1cycle[[#This Row],[aws]]</f>
        <v>572.73687744140602</v>
      </c>
      <c r="T571">
        <f>stand_validation_1cycle[[#This Row],[percent_tree_cover]]*100</f>
        <v>6.7434951164910997</v>
      </c>
    </row>
    <row r="572" spans="1:20" x14ac:dyDescent="0.2">
      <c r="A572">
        <v>1</v>
      </c>
      <c r="B572" t="s">
        <v>590</v>
      </c>
      <c r="C572">
        <v>30.7039222222222</v>
      </c>
      <c r="D572">
        <v>1196.7329409731899</v>
      </c>
      <c r="E572">
        <v>10.0290593806965</v>
      </c>
      <c r="F572">
        <v>30.051934628571399</v>
      </c>
      <c r="G572">
        <v>100</v>
      </c>
      <c r="H572">
        <v>569.45184326171795</v>
      </c>
      <c r="I572">
        <v>9.9891170642587998E-2</v>
      </c>
      <c r="K572" s="1" t="str">
        <f>TEXT(stand_validation_1cycle[[#This Row],[stand_age]], ".0")</f>
        <v>30.7</v>
      </c>
      <c r="L572" s="1" t="str">
        <f t="shared" si="8"/>
        <v>"30.7"</v>
      </c>
      <c r="M572">
        <v>100</v>
      </c>
      <c r="N572">
        <f>0.029*stand_validation_1cycle[[#This Row],[stand_level_biomass]]</f>
        <v>34.70525528822251</v>
      </c>
      <c r="O572">
        <f>0.213*stand_validation_1cycle[[#This Row],[stand_level_biomass]]</f>
        <v>254.90411642728944</v>
      </c>
      <c r="P572">
        <f>0.571*stand_validation_1cycle[[#This Row],[stand_level_biomass]]</f>
        <v>683.33450929569142</v>
      </c>
      <c r="Q572">
        <f>stand_validation_1cycle[[#This Row],[stock]]</f>
        <v>100</v>
      </c>
      <c r="R572">
        <v>0</v>
      </c>
      <c r="S572">
        <f>stand_validation_1cycle[[#This Row],[aws]]</f>
        <v>569.45184326171795</v>
      </c>
      <c r="T572">
        <f>stand_validation_1cycle[[#This Row],[percent_tree_cover]]*100</f>
        <v>9.9891170642587994</v>
      </c>
    </row>
    <row r="573" spans="1:20" x14ac:dyDescent="0.2">
      <c r="A573">
        <v>1</v>
      </c>
      <c r="B573" t="s">
        <v>591</v>
      </c>
      <c r="C573">
        <v>25.7982333333333</v>
      </c>
      <c r="D573">
        <v>706.85496682261999</v>
      </c>
      <c r="E573">
        <v>6.5051898790363198</v>
      </c>
      <c r="F573">
        <v>24.8684185142857</v>
      </c>
      <c r="G573">
        <v>100</v>
      </c>
      <c r="H573">
        <v>566.60467529296795</v>
      </c>
      <c r="I573">
        <v>6.4826663805690701E-2</v>
      </c>
      <c r="K573" s="1" t="str">
        <f>TEXT(stand_validation_1cycle[[#This Row],[stand_age]], ".0")</f>
        <v>25.8</v>
      </c>
      <c r="L573" s="1" t="str">
        <f t="shared" si="8"/>
        <v>"25.8"</v>
      </c>
      <c r="M573">
        <v>100</v>
      </c>
      <c r="N573">
        <f>0.029*stand_validation_1cycle[[#This Row],[stand_level_biomass]]</f>
        <v>20.49879403785598</v>
      </c>
      <c r="O573">
        <f>0.213*stand_validation_1cycle[[#This Row],[stand_level_biomass]]</f>
        <v>150.56010793321806</v>
      </c>
      <c r="P573">
        <f>0.571*stand_validation_1cycle[[#This Row],[stand_level_biomass]]</f>
        <v>403.614186055716</v>
      </c>
      <c r="Q573">
        <f>stand_validation_1cycle[[#This Row],[stock]]</f>
        <v>100</v>
      </c>
      <c r="R573">
        <v>0</v>
      </c>
      <c r="S573">
        <f>stand_validation_1cycle[[#This Row],[aws]]</f>
        <v>566.60467529296795</v>
      </c>
      <c r="T573">
        <f>stand_validation_1cycle[[#This Row],[percent_tree_cover]]*100</f>
        <v>6.4826663805690705</v>
      </c>
    </row>
    <row r="574" spans="1:20" x14ac:dyDescent="0.2">
      <c r="A574">
        <v>1</v>
      </c>
      <c r="B574" t="s">
        <v>592</v>
      </c>
      <c r="C574">
        <v>26.570444444444401</v>
      </c>
      <c r="D574">
        <v>787.05067165596802</v>
      </c>
      <c r="E574">
        <v>7.0869083805254203</v>
      </c>
      <c r="F574">
        <v>25.8876166857142</v>
      </c>
      <c r="G574">
        <v>100</v>
      </c>
      <c r="H574">
        <v>576.84661865234295</v>
      </c>
      <c r="I574">
        <v>7.0624499578197705E-2</v>
      </c>
      <c r="K574" s="1" t="str">
        <f>TEXT(stand_validation_1cycle[[#This Row],[stand_age]], ".0")</f>
        <v>26.6</v>
      </c>
      <c r="L574" s="1" t="str">
        <f t="shared" si="8"/>
        <v>"26.6"</v>
      </c>
      <c r="M574">
        <v>100</v>
      </c>
      <c r="N574">
        <f>0.029*stand_validation_1cycle[[#This Row],[stand_level_biomass]]</f>
        <v>22.824469478023072</v>
      </c>
      <c r="O574">
        <f>0.213*stand_validation_1cycle[[#This Row],[stand_level_biomass]]</f>
        <v>167.64179306272118</v>
      </c>
      <c r="P574">
        <f>0.571*stand_validation_1cycle[[#This Row],[stand_level_biomass]]</f>
        <v>449.40593351555771</v>
      </c>
      <c r="Q574">
        <f>stand_validation_1cycle[[#This Row],[stock]]</f>
        <v>100</v>
      </c>
      <c r="R574">
        <v>0</v>
      </c>
      <c r="S574">
        <f>stand_validation_1cycle[[#This Row],[aws]]</f>
        <v>576.84661865234295</v>
      </c>
      <c r="T574">
        <f>stand_validation_1cycle[[#This Row],[percent_tree_cover]]*100</f>
        <v>7.0624499578197701</v>
      </c>
    </row>
    <row r="575" spans="1:20" x14ac:dyDescent="0.2">
      <c r="A575">
        <v>1</v>
      </c>
      <c r="B575" t="s">
        <v>593</v>
      </c>
      <c r="C575">
        <v>25.8318222222222</v>
      </c>
      <c r="D575">
        <v>815.23211347854203</v>
      </c>
      <c r="E575">
        <v>7.3721524271007599</v>
      </c>
      <c r="F575">
        <v>26.864546285714201</v>
      </c>
      <c r="G575">
        <v>100</v>
      </c>
      <c r="H575">
        <v>566.60467529296795</v>
      </c>
      <c r="I575">
        <v>7.3481681935043397E-2</v>
      </c>
      <c r="K575" s="1" t="str">
        <f>TEXT(stand_validation_1cycle[[#This Row],[stand_age]], ".0")</f>
        <v>25.8</v>
      </c>
      <c r="L575" s="1" t="str">
        <f t="shared" si="8"/>
        <v>"25.8"</v>
      </c>
      <c r="M575">
        <v>100</v>
      </c>
      <c r="N575">
        <f>0.029*stand_validation_1cycle[[#This Row],[stand_level_biomass]]</f>
        <v>23.641731290877718</v>
      </c>
      <c r="O575">
        <f>0.213*stand_validation_1cycle[[#This Row],[stand_level_biomass]]</f>
        <v>173.64444017092944</v>
      </c>
      <c r="P575">
        <f>0.571*stand_validation_1cycle[[#This Row],[stand_level_biomass]]</f>
        <v>465.49753679624746</v>
      </c>
      <c r="Q575">
        <f>stand_validation_1cycle[[#This Row],[stock]]</f>
        <v>100</v>
      </c>
      <c r="R575">
        <v>0</v>
      </c>
      <c r="S575">
        <f>stand_validation_1cycle[[#This Row],[aws]]</f>
        <v>566.60467529296795</v>
      </c>
      <c r="T575">
        <f>stand_validation_1cycle[[#This Row],[percent_tree_cover]]*100</f>
        <v>7.3481681935043399</v>
      </c>
    </row>
    <row r="576" spans="1:20" x14ac:dyDescent="0.2">
      <c r="A576">
        <v>1</v>
      </c>
      <c r="B576" t="s">
        <v>594</v>
      </c>
      <c r="C576">
        <v>27.507188888888798</v>
      </c>
      <c r="D576">
        <v>975.25327811815305</v>
      </c>
      <c r="E576">
        <v>8.4212385990809402</v>
      </c>
      <c r="F576">
        <v>27.785609142857101</v>
      </c>
      <c r="G576">
        <v>100</v>
      </c>
      <c r="H576">
        <v>575.700927734375</v>
      </c>
      <c r="I576">
        <v>8.39021753907747E-2</v>
      </c>
      <c r="K576" s="1" t="str">
        <f>TEXT(stand_validation_1cycle[[#This Row],[stand_age]], ".0")</f>
        <v>27.5</v>
      </c>
      <c r="L576" s="1" t="str">
        <f t="shared" si="8"/>
        <v>"27.5"</v>
      </c>
      <c r="M576">
        <v>100</v>
      </c>
      <c r="N576">
        <f>0.029*stand_validation_1cycle[[#This Row],[stand_level_biomass]]</f>
        <v>28.282345065426441</v>
      </c>
      <c r="O576">
        <f>0.213*stand_validation_1cycle[[#This Row],[stand_level_biomass]]</f>
        <v>207.72894823916658</v>
      </c>
      <c r="P576">
        <f>0.571*stand_validation_1cycle[[#This Row],[stand_level_biomass]]</f>
        <v>556.86962180546539</v>
      </c>
      <c r="Q576">
        <f>stand_validation_1cycle[[#This Row],[stock]]</f>
        <v>100</v>
      </c>
      <c r="R576">
        <v>0</v>
      </c>
      <c r="S576">
        <f>stand_validation_1cycle[[#This Row],[aws]]</f>
        <v>575.700927734375</v>
      </c>
      <c r="T576">
        <f>stand_validation_1cycle[[#This Row],[percent_tree_cover]]*100</f>
        <v>8.3902175390774705</v>
      </c>
    </row>
    <row r="577" spans="1:20" x14ac:dyDescent="0.2">
      <c r="A577">
        <v>1</v>
      </c>
      <c r="B577" t="s">
        <v>595</v>
      </c>
      <c r="C577">
        <v>25.684693877550998</v>
      </c>
      <c r="D577">
        <v>729.00574136303396</v>
      </c>
      <c r="E577">
        <v>3.3065011351620202</v>
      </c>
      <c r="F577">
        <v>25.975625422740499</v>
      </c>
      <c r="G577">
        <v>49</v>
      </c>
      <c r="H577">
        <v>400</v>
      </c>
      <c r="I577">
        <v>6.6546846199305107E-2</v>
      </c>
      <c r="K577" s="1" t="str">
        <f>TEXT(stand_validation_1cycle[[#This Row],[stand_age]], ".0")</f>
        <v>25.7</v>
      </c>
      <c r="L577" s="1" t="str">
        <f t="shared" si="8"/>
        <v>"25.7"</v>
      </c>
      <c r="M577">
        <v>100</v>
      </c>
      <c r="N577">
        <f>0.029*stand_validation_1cycle[[#This Row],[stand_level_biomass]]</f>
        <v>21.141166499527987</v>
      </c>
      <c r="O577">
        <f>0.213*stand_validation_1cycle[[#This Row],[stand_level_biomass]]</f>
        <v>155.27822291032624</v>
      </c>
      <c r="P577">
        <f>0.571*stand_validation_1cycle[[#This Row],[stand_level_biomass]]</f>
        <v>416.26227831829237</v>
      </c>
      <c r="Q577">
        <f>stand_validation_1cycle[[#This Row],[stock]]</f>
        <v>49</v>
      </c>
      <c r="R577">
        <v>0</v>
      </c>
      <c r="S577">
        <f>stand_validation_1cycle[[#This Row],[aws]]</f>
        <v>400</v>
      </c>
      <c r="T577">
        <f>stand_validation_1cycle[[#This Row],[percent_tree_cover]]*100</f>
        <v>6.654684619930511</v>
      </c>
    </row>
    <row r="578" spans="1:20" x14ac:dyDescent="0.2">
      <c r="A578">
        <v>1</v>
      </c>
      <c r="B578" t="s">
        <v>596</v>
      </c>
      <c r="C578">
        <v>29.095873015873</v>
      </c>
      <c r="D578">
        <v>1020.11145187591</v>
      </c>
      <c r="E578">
        <v>0.62943615230447303</v>
      </c>
      <c r="F578">
        <v>30.518981224489799</v>
      </c>
      <c r="G578">
        <v>7</v>
      </c>
      <c r="H578">
        <v>0</v>
      </c>
      <c r="I578">
        <v>0.11229761397525601</v>
      </c>
      <c r="K578" s="1" t="str">
        <f>TEXT(stand_validation_1cycle[[#This Row],[stand_age]], ".0")</f>
        <v>29.1</v>
      </c>
      <c r="L578" s="1" t="str">
        <f t="shared" si="8"/>
        <v>"29.1"</v>
      </c>
      <c r="M578">
        <v>100</v>
      </c>
      <c r="N578">
        <f>0.029*stand_validation_1cycle[[#This Row],[stand_level_biomass]]</f>
        <v>29.583232104401393</v>
      </c>
      <c r="O578">
        <f>0.213*stand_validation_1cycle[[#This Row],[stand_level_biomass]]</f>
        <v>217.28373924956884</v>
      </c>
      <c r="P578">
        <f>0.571*stand_validation_1cycle[[#This Row],[stand_level_biomass]]</f>
        <v>582.48363902114454</v>
      </c>
      <c r="Q578">
        <f>stand_validation_1cycle[[#This Row],[stock]]</f>
        <v>7</v>
      </c>
      <c r="R578">
        <v>0</v>
      </c>
      <c r="S578">
        <f>stand_validation_1cycle[[#This Row],[aws]]</f>
        <v>0</v>
      </c>
      <c r="T578">
        <f>stand_validation_1cycle[[#This Row],[percent_tree_cover]]*100</f>
        <v>11.2297613975256</v>
      </c>
    </row>
    <row r="579" spans="1:20" x14ac:dyDescent="0.2">
      <c r="A579">
        <v>1</v>
      </c>
      <c r="B579" t="s">
        <v>597</v>
      </c>
      <c r="C579">
        <v>26.266529209622</v>
      </c>
      <c r="D579">
        <v>884.50163615813801</v>
      </c>
      <c r="E579">
        <v>7.3984318496480297</v>
      </c>
      <c r="F579">
        <v>25.745824191441798</v>
      </c>
      <c r="G579">
        <v>97</v>
      </c>
      <c r="H579">
        <v>524.92321777343705</v>
      </c>
      <c r="I579">
        <v>7.5638703016117706E-2</v>
      </c>
      <c r="K579" s="1" t="str">
        <f>TEXT(stand_validation_1cycle[[#This Row],[stand_age]], ".0")</f>
        <v>26.3</v>
      </c>
      <c r="L579" s="1" t="str">
        <f t="shared" ref="L579:L642" si="9">""""&amp;K579&amp;""""</f>
        <v>"26.3"</v>
      </c>
      <c r="M579">
        <v>100</v>
      </c>
      <c r="N579">
        <f>0.029*stand_validation_1cycle[[#This Row],[stand_level_biomass]]</f>
        <v>25.650547448586003</v>
      </c>
      <c r="O579">
        <f>0.213*stand_validation_1cycle[[#This Row],[stand_level_biomass]]</f>
        <v>188.3988485016834</v>
      </c>
      <c r="P579">
        <f>0.571*stand_validation_1cycle[[#This Row],[stand_level_biomass]]</f>
        <v>505.05043424629679</v>
      </c>
      <c r="Q579">
        <f>stand_validation_1cycle[[#This Row],[stock]]</f>
        <v>97</v>
      </c>
      <c r="R579">
        <v>0</v>
      </c>
      <c r="S579">
        <f>stand_validation_1cycle[[#This Row],[aws]]</f>
        <v>524.92321777343705</v>
      </c>
      <c r="T579">
        <f>stand_validation_1cycle[[#This Row],[percent_tree_cover]]*100</f>
        <v>7.5638703016117708</v>
      </c>
    </row>
    <row r="580" spans="1:20" x14ac:dyDescent="0.2">
      <c r="A580">
        <v>1</v>
      </c>
      <c r="B580" t="s">
        <v>598</v>
      </c>
      <c r="C580">
        <v>27.282388888888899</v>
      </c>
      <c r="D580">
        <v>768.66341859186002</v>
      </c>
      <c r="E580">
        <v>7.0091461083674398</v>
      </c>
      <c r="F580">
        <v>26.070736398995699</v>
      </c>
      <c r="G580">
        <v>100</v>
      </c>
      <c r="H580">
        <v>525.37493896484295</v>
      </c>
      <c r="I580">
        <v>6.9843726972749196E-2</v>
      </c>
      <c r="K580" s="1" t="str">
        <f>TEXT(stand_validation_1cycle[[#This Row],[stand_age]], ".0")</f>
        <v>27.3</v>
      </c>
      <c r="L580" s="1" t="str">
        <f t="shared" si="9"/>
        <v>"27.3"</v>
      </c>
      <c r="M580">
        <v>100</v>
      </c>
      <c r="N580">
        <f>0.029*stand_validation_1cycle[[#This Row],[stand_level_biomass]]</f>
        <v>22.291239139163942</v>
      </c>
      <c r="O580">
        <f>0.213*stand_validation_1cycle[[#This Row],[stand_level_biomass]]</f>
        <v>163.72530816006619</v>
      </c>
      <c r="P580">
        <f>0.571*stand_validation_1cycle[[#This Row],[stand_level_biomass]]</f>
        <v>438.90681201595203</v>
      </c>
      <c r="Q580">
        <f>stand_validation_1cycle[[#This Row],[stock]]</f>
        <v>100</v>
      </c>
      <c r="R580">
        <v>0</v>
      </c>
      <c r="S580">
        <f>stand_validation_1cycle[[#This Row],[aws]]</f>
        <v>525.37493896484295</v>
      </c>
      <c r="T580">
        <f>stand_validation_1cycle[[#This Row],[percent_tree_cover]]*100</f>
        <v>6.9843726972749192</v>
      </c>
    </row>
    <row r="581" spans="1:20" x14ac:dyDescent="0.2">
      <c r="A581">
        <v>1</v>
      </c>
      <c r="B581" t="s">
        <v>599</v>
      </c>
      <c r="C581">
        <v>26.766399999999901</v>
      </c>
      <c r="D581">
        <v>873.90591357307596</v>
      </c>
      <c r="E581">
        <v>7.6709932866808304</v>
      </c>
      <c r="F581">
        <v>26.342388665589901</v>
      </c>
      <c r="G581">
        <v>100</v>
      </c>
      <c r="H581">
        <v>525.10583496093705</v>
      </c>
      <c r="I581">
        <v>7.6434267628068403E-2</v>
      </c>
      <c r="K581" s="1" t="str">
        <f>TEXT(stand_validation_1cycle[[#This Row],[stand_age]], ".0")</f>
        <v>26.8</v>
      </c>
      <c r="L581" s="1" t="str">
        <f t="shared" si="9"/>
        <v>"26.8"</v>
      </c>
      <c r="M581">
        <v>100</v>
      </c>
      <c r="N581">
        <f>0.029*stand_validation_1cycle[[#This Row],[stand_level_biomass]]</f>
        <v>25.343271493619206</v>
      </c>
      <c r="O581">
        <f>0.213*stand_validation_1cycle[[#This Row],[stand_level_biomass]]</f>
        <v>186.14195959106519</v>
      </c>
      <c r="P581">
        <f>0.571*stand_validation_1cycle[[#This Row],[stand_level_biomass]]</f>
        <v>499.00027665022634</v>
      </c>
      <c r="Q581">
        <f>stand_validation_1cycle[[#This Row],[stock]]</f>
        <v>100</v>
      </c>
      <c r="R581">
        <v>0</v>
      </c>
      <c r="S581">
        <f>stand_validation_1cycle[[#This Row],[aws]]</f>
        <v>525.10583496093705</v>
      </c>
      <c r="T581">
        <f>stand_validation_1cycle[[#This Row],[percent_tree_cover]]*100</f>
        <v>7.6434267628068406</v>
      </c>
    </row>
    <row r="582" spans="1:20" x14ac:dyDescent="0.2">
      <c r="A582">
        <v>1</v>
      </c>
      <c r="B582" t="s">
        <v>600</v>
      </c>
      <c r="C582">
        <v>26.781043771043699</v>
      </c>
      <c r="D582">
        <v>826.56874117074904</v>
      </c>
      <c r="E582">
        <v>7.3631431247684302</v>
      </c>
      <c r="F582">
        <v>26.936921884379501</v>
      </c>
      <c r="G582">
        <v>99</v>
      </c>
      <c r="H582">
        <v>616.071044921875</v>
      </c>
      <c r="I582">
        <v>7.3374014035240895E-2</v>
      </c>
      <c r="K582" s="1" t="str">
        <f>TEXT(stand_validation_1cycle[[#This Row],[stand_age]], ".0")</f>
        <v>26.8</v>
      </c>
      <c r="L582" s="1" t="str">
        <f t="shared" si="9"/>
        <v>"26.8"</v>
      </c>
      <c r="M582">
        <v>100</v>
      </c>
      <c r="N582">
        <f>0.029*stand_validation_1cycle[[#This Row],[stand_level_biomass]]</f>
        <v>23.970493493951722</v>
      </c>
      <c r="O582">
        <f>0.213*stand_validation_1cycle[[#This Row],[stand_level_biomass]]</f>
        <v>176.05914186936954</v>
      </c>
      <c r="P582">
        <f>0.571*stand_validation_1cycle[[#This Row],[stand_level_biomass]]</f>
        <v>471.97075120849763</v>
      </c>
      <c r="Q582">
        <f>stand_validation_1cycle[[#This Row],[stock]]</f>
        <v>99</v>
      </c>
      <c r="R582">
        <v>0</v>
      </c>
      <c r="S582">
        <f>stand_validation_1cycle[[#This Row],[aws]]</f>
        <v>616.071044921875</v>
      </c>
      <c r="T582">
        <f>stand_validation_1cycle[[#This Row],[percent_tree_cover]]*100</f>
        <v>7.3374014035240895</v>
      </c>
    </row>
    <row r="583" spans="1:20" x14ac:dyDescent="0.2">
      <c r="A583">
        <v>1</v>
      </c>
      <c r="B583" t="s">
        <v>601</v>
      </c>
      <c r="C583">
        <v>28.2916777777777</v>
      </c>
      <c r="D583">
        <v>805.245739162012</v>
      </c>
      <c r="E583">
        <v>7.2210590992226802</v>
      </c>
      <c r="F583">
        <v>26.1954624658478</v>
      </c>
      <c r="G583">
        <v>100</v>
      </c>
      <c r="H583">
        <v>524.85400390625</v>
      </c>
      <c r="I583">
        <v>7.1932404752676399E-2</v>
      </c>
      <c r="K583" s="1" t="str">
        <f>TEXT(stand_validation_1cycle[[#This Row],[stand_age]], ".0")</f>
        <v>28.3</v>
      </c>
      <c r="L583" s="1" t="str">
        <f t="shared" si="9"/>
        <v>"28.3"</v>
      </c>
      <c r="M583">
        <v>100</v>
      </c>
      <c r="N583">
        <f>0.029*stand_validation_1cycle[[#This Row],[stand_level_biomass]]</f>
        <v>23.352126435698349</v>
      </c>
      <c r="O583">
        <f>0.213*stand_validation_1cycle[[#This Row],[stand_level_biomass]]</f>
        <v>171.51734244150856</v>
      </c>
      <c r="P583">
        <f>0.571*stand_validation_1cycle[[#This Row],[stand_level_biomass]]</f>
        <v>459.7953170615088</v>
      </c>
      <c r="Q583">
        <f>stand_validation_1cycle[[#This Row],[stock]]</f>
        <v>100</v>
      </c>
      <c r="R583">
        <v>0</v>
      </c>
      <c r="S583">
        <f>stand_validation_1cycle[[#This Row],[aws]]</f>
        <v>524.85400390625</v>
      </c>
      <c r="T583">
        <f>stand_validation_1cycle[[#This Row],[percent_tree_cover]]*100</f>
        <v>7.1932404752676398</v>
      </c>
    </row>
    <row r="584" spans="1:20" x14ac:dyDescent="0.2">
      <c r="A584">
        <v>1</v>
      </c>
      <c r="B584" t="s">
        <v>602</v>
      </c>
      <c r="C584">
        <v>30.7885777777777</v>
      </c>
      <c r="D584">
        <v>1214.12820783505</v>
      </c>
      <c r="E584">
        <v>10.162094048603601</v>
      </c>
      <c r="F584">
        <v>30.560648132238502</v>
      </c>
      <c r="G584">
        <v>100</v>
      </c>
      <c r="H584">
        <v>567.52862548828102</v>
      </c>
      <c r="I584">
        <v>0.101217642724017</v>
      </c>
      <c r="K584" s="1" t="str">
        <f>TEXT(stand_validation_1cycle[[#This Row],[stand_age]], ".0")</f>
        <v>30.8</v>
      </c>
      <c r="L584" s="1" t="str">
        <f t="shared" si="9"/>
        <v>"30.8"</v>
      </c>
      <c r="M584">
        <v>100</v>
      </c>
      <c r="N584">
        <f>0.029*stand_validation_1cycle[[#This Row],[stand_level_biomass]]</f>
        <v>35.209718027216454</v>
      </c>
      <c r="O584">
        <f>0.213*stand_validation_1cycle[[#This Row],[stand_level_biomass]]</f>
        <v>258.60930826886568</v>
      </c>
      <c r="P584">
        <f>0.571*stand_validation_1cycle[[#This Row],[stand_level_biomass]]</f>
        <v>693.26720667381346</v>
      </c>
      <c r="Q584">
        <f>stand_validation_1cycle[[#This Row],[stock]]</f>
        <v>100</v>
      </c>
      <c r="R584">
        <v>0</v>
      </c>
      <c r="S584">
        <f>stand_validation_1cycle[[#This Row],[aws]]</f>
        <v>567.52862548828102</v>
      </c>
      <c r="T584">
        <f>stand_validation_1cycle[[#This Row],[percent_tree_cover]]*100</f>
        <v>10.1217642724017</v>
      </c>
    </row>
    <row r="585" spans="1:20" x14ac:dyDescent="0.2">
      <c r="A585">
        <v>1</v>
      </c>
      <c r="B585" t="s">
        <v>603</v>
      </c>
      <c r="C585">
        <v>27.093187429854002</v>
      </c>
      <c r="D585">
        <v>879.88109584328504</v>
      </c>
      <c r="E585">
        <v>7.69859060734629</v>
      </c>
      <c r="F585">
        <v>26.697796362594499</v>
      </c>
      <c r="G585">
        <v>99</v>
      </c>
      <c r="H585">
        <v>579.51086425781205</v>
      </c>
      <c r="I585">
        <v>7.6195124758513297E-2</v>
      </c>
      <c r="K585" s="1" t="str">
        <f>TEXT(stand_validation_1cycle[[#This Row],[stand_age]], ".0")</f>
        <v>27.1</v>
      </c>
      <c r="L585" s="1" t="str">
        <f t="shared" si="9"/>
        <v>"27.1"</v>
      </c>
      <c r="M585">
        <v>100</v>
      </c>
      <c r="N585">
        <f>0.029*stand_validation_1cycle[[#This Row],[stand_level_biomass]]</f>
        <v>25.516551779455266</v>
      </c>
      <c r="O585">
        <f>0.213*stand_validation_1cycle[[#This Row],[stand_level_biomass]]</f>
        <v>187.4146734146197</v>
      </c>
      <c r="P585">
        <f>0.571*stand_validation_1cycle[[#This Row],[stand_level_biomass]]</f>
        <v>502.41210572651573</v>
      </c>
      <c r="Q585">
        <f>stand_validation_1cycle[[#This Row],[stock]]</f>
        <v>99</v>
      </c>
      <c r="R585">
        <v>0</v>
      </c>
      <c r="S585">
        <f>stand_validation_1cycle[[#This Row],[aws]]</f>
        <v>579.51086425781205</v>
      </c>
      <c r="T585">
        <f>stand_validation_1cycle[[#This Row],[percent_tree_cover]]*100</f>
        <v>7.6195124758513293</v>
      </c>
    </row>
    <row r="586" spans="1:20" x14ac:dyDescent="0.2">
      <c r="A586">
        <v>1</v>
      </c>
      <c r="B586" t="s">
        <v>604</v>
      </c>
      <c r="C586">
        <v>26.881599999999999</v>
      </c>
      <c r="D586">
        <v>880.89425682445699</v>
      </c>
      <c r="E586">
        <v>7.7464347072659701</v>
      </c>
      <c r="F586">
        <v>26.750248598927801</v>
      </c>
      <c r="G586">
        <v>100</v>
      </c>
      <c r="H586">
        <v>524.13592529296795</v>
      </c>
      <c r="I586">
        <v>7.7185242360742201E-2</v>
      </c>
      <c r="K586" s="1" t="str">
        <f>TEXT(stand_validation_1cycle[[#This Row],[stand_age]], ".0")</f>
        <v>26.9</v>
      </c>
      <c r="L586" s="1" t="str">
        <f t="shared" si="9"/>
        <v>"26.9"</v>
      </c>
      <c r="M586">
        <v>100</v>
      </c>
      <c r="N586">
        <f>0.029*stand_validation_1cycle[[#This Row],[stand_level_biomass]]</f>
        <v>25.545933447909253</v>
      </c>
      <c r="O586">
        <f>0.213*stand_validation_1cycle[[#This Row],[stand_level_biomass]]</f>
        <v>187.63047670360933</v>
      </c>
      <c r="P586">
        <f>0.571*stand_validation_1cycle[[#This Row],[stand_level_biomass]]</f>
        <v>502.99062064676491</v>
      </c>
      <c r="Q586">
        <f>stand_validation_1cycle[[#This Row],[stock]]</f>
        <v>100</v>
      </c>
      <c r="R586">
        <v>0</v>
      </c>
      <c r="S586">
        <f>stand_validation_1cycle[[#This Row],[aws]]</f>
        <v>524.13592529296795</v>
      </c>
      <c r="T586">
        <f>stand_validation_1cycle[[#This Row],[percent_tree_cover]]*100</f>
        <v>7.7185242360742201</v>
      </c>
    </row>
    <row r="587" spans="1:20" x14ac:dyDescent="0.2">
      <c r="A587">
        <v>1</v>
      </c>
      <c r="B587" t="s">
        <v>605</v>
      </c>
      <c r="C587">
        <v>30.149988662131499</v>
      </c>
      <c r="D587">
        <v>971.56971266767505</v>
      </c>
      <c r="E587">
        <v>8.5173697634844601</v>
      </c>
      <c r="F587">
        <v>29.159663468349098</v>
      </c>
      <c r="G587">
        <v>98</v>
      </c>
      <c r="H587">
        <v>574</v>
      </c>
      <c r="I587">
        <v>8.3519411597850701E-2</v>
      </c>
      <c r="K587" s="1" t="str">
        <f>TEXT(stand_validation_1cycle[[#This Row],[stand_age]], ".0")</f>
        <v>30.1</v>
      </c>
      <c r="L587" s="1" t="str">
        <f t="shared" si="9"/>
        <v>"30.1"</v>
      </c>
      <c r="M587">
        <v>100</v>
      </c>
      <c r="N587">
        <f>0.029*stand_validation_1cycle[[#This Row],[stand_level_biomass]]</f>
        <v>28.175521667362577</v>
      </c>
      <c r="O587">
        <f>0.213*stand_validation_1cycle[[#This Row],[stand_level_biomass]]</f>
        <v>206.94434879821478</v>
      </c>
      <c r="P587">
        <f>0.571*stand_validation_1cycle[[#This Row],[stand_level_biomass]]</f>
        <v>554.76630593324239</v>
      </c>
      <c r="Q587">
        <f>stand_validation_1cycle[[#This Row],[stock]]</f>
        <v>98</v>
      </c>
      <c r="R587">
        <v>0</v>
      </c>
      <c r="S587">
        <f>stand_validation_1cycle[[#This Row],[aws]]</f>
        <v>574</v>
      </c>
      <c r="T587">
        <f>stand_validation_1cycle[[#This Row],[percent_tree_cover]]*100</f>
        <v>8.3519411597850706</v>
      </c>
    </row>
    <row r="588" spans="1:20" x14ac:dyDescent="0.2">
      <c r="A588">
        <v>1</v>
      </c>
      <c r="B588" t="s">
        <v>606</v>
      </c>
      <c r="C588">
        <v>26.182570145903501</v>
      </c>
      <c r="D588">
        <v>742.32634219071304</v>
      </c>
      <c r="E588">
        <v>6.7336716295465999</v>
      </c>
      <c r="F588">
        <v>25.4591713793975</v>
      </c>
      <c r="G588">
        <v>99</v>
      </c>
      <c r="H588">
        <v>623.625244140625</v>
      </c>
      <c r="I588">
        <v>6.68958333588201E-2</v>
      </c>
      <c r="K588" s="1" t="str">
        <f>TEXT(stand_validation_1cycle[[#This Row],[stand_age]], ".0")</f>
        <v>26.2</v>
      </c>
      <c r="L588" s="1" t="str">
        <f t="shared" si="9"/>
        <v>"26.2"</v>
      </c>
      <c r="M588">
        <v>100</v>
      </c>
      <c r="N588">
        <f>0.029*stand_validation_1cycle[[#This Row],[stand_level_biomass]]</f>
        <v>21.527463923530679</v>
      </c>
      <c r="O588">
        <f>0.213*stand_validation_1cycle[[#This Row],[stand_level_biomass]]</f>
        <v>158.11551088662188</v>
      </c>
      <c r="P588">
        <f>0.571*stand_validation_1cycle[[#This Row],[stand_level_biomass]]</f>
        <v>423.86834139089711</v>
      </c>
      <c r="Q588">
        <f>stand_validation_1cycle[[#This Row],[stock]]</f>
        <v>99</v>
      </c>
      <c r="R588">
        <v>0</v>
      </c>
      <c r="S588">
        <f>stand_validation_1cycle[[#This Row],[aws]]</f>
        <v>623.625244140625</v>
      </c>
      <c r="T588">
        <f>stand_validation_1cycle[[#This Row],[percent_tree_cover]]*100</f>
        <v>6.68958333588201</v>
      </c>
    </row>
    <row r="589" spans="1:20" x14ac:dyDescent="0.2">
      <c r="A589">
        <v>1</v>
      </c>
      <c r="B589" t="s">
        <v>607</v>
      </c>
      <c r="C589">
        <v>28.697721661054999</v>
      </c>
      <c r="D589">
        <v>811.52182821273095</v>
      </c>
      <c r="E589">
        <v>7.3377865450631399</v>
      </c>
      <c r="F589">
        <v>27.451583298658001</v>
      </c>
      <c r="G589">
        <v>99</v>
      </c>
      <c r="H589">
        <v>567.02972412109295</v>
      </c>
      <c r="I589">
        <v>7.2996606894612501E-2</v>
      </c>
      <c r="K589" s="1" t="str">
        <f>TEXT(stand_validation_1cycle[[#This Row],[stand_age]], ".0")</f>
        <v>28.7</v>
      </c>
      <c r="L589" s="1" t="str">
        <f t="shared" si="9"/>
        <v>"28.7"</v>
      </c>
      <c r="M589">
        <v>100</v>
      </c>
      <c r="N589">
        <f>0.029*stand_validation_1cycle[[#This Row],[stand_level_biomass]]</f>
        <v>23.5341330181692</v>
      </c>
      <c r="O589">
        <f>0.213*stand_validation_1cycle[[#This Row],[stand_level_biomass]]</f>
        <v>172.8541494093117</v>
      </c>
      <c r="P589">
        <f>0.571*stand_validation_1cycle[[#This Row],[stand_level_biomass]]</f>
        <v>463.37896390946935</v>
      </c>
      <c r="Q589">
        <f>stand_validation_1cycle[[#This Row],[stock]]</f>
        <v>99</v>
      </c>
      <c r="R589">
        <v>0</v>
      </c>
      <c r="S589">
        <f>stand_validation_1cycle[[#This Row],[aws]]</f>
        <v>567.02972412109295</v>
      </c>
      <c r="T589">
        <f>stand_validation_1cycle[[#This Row],[percent_tree_cover]]*100</f>
        <v>7.2996606894612501</v>
      </c>
    </row>
    <row r="590" spans="1:20" x14ac:dyDescent="0.2">
      <c r="A590">
        <v>1</v>
      </c>
      <c r="B590" t="s">
        <v>608</v>
      </c>
      <c r="C590">
        <v>26.645133333333298</v>
      </c>
      <c r="D590">
        <v>760.73454457744697</v>
      </c>
      <c r="E590">
        <v>6.8683532774023197</v>
      </c>
      <c r="F590">
        <v>25.494420399049901</v>
      </c>
      <c r="G590">
        <v>100</v>
      </c>
      <c r="H590">
        <v>567.02972412109295</v>
      </c>
      <c r="I590">
        <v>6.8436315404599393E-2</v>
      </c>
      <c r="K590" s="1" t="str">
        <f>TEXT(stand_validation_1cycle[[#This Row],[stand_age]], ".0")</f>
        <v>26.6</v>
      </c>
      <c r="L590" s="1" t="str">
        <f t="shared" si="9"/>
        <v>"26.6"</v>
      </c>
      <c r="M590">
        <v>100</v>
      </c>
      <c r="N590">
        <f>0.029*stand_validation_1cycle[[#This Row],[stand_level_biomass]]</f>
        <v>22.061301792745962</v>
      </c>
      <c r="O590">
        <f>0.213*stand_validation_1cycle[[#This Row],[stand_level_biomass]]</f>
        <v>162.0364579949962</v>
      </c>
      <c r="P590">
        <f>0.571*stand_validation_1cycle[[#This Row],[stand_level_biomass]]</f>
        <v>434.37942495372221</v>
      </c>
      <c r="Q590">
        <f>stand_validation_1cycle[[#This Row],[stock]]</f>
        <v>100</v>
      </c>
      <c r="R590">
        <v>0</v>
      </c>
      <c r="S590">
        <f>stand_validation_1cycle[[#This Row],[aws]]</f>
        <v>567.02972412109295</v>
      </c>
      <c r="T590">
        <f>stand_validation_1cycle[[#This Row],[percent_tree_cover]]*100</f>
        <v>6.8436315404599393</v>
      </c>
    </row>
    <row r="591" spans="1:20" x14ac:dyDescent="0.2">
      <c r="A591">
        <v>1</v>
      </c>
      <c r="B591" t="s">
        <v>609</v>
      </c>
      <c r="C591">
        <v>30.254466666666598</v>
      </c>
      <c r="D591">
        <v>1097.3187500695201</v>
      </c>
      <c r="E591">
        <v>9.3716811179328907</v>
      </c>
      <c r="F591">
        <v>29.567064332279202</v>
      </c>
      <c r="G591">
        <v>100</v>
      </c>
      <c r="H591">
        <v>572.76416015625</v>
      </c>
      <c r="I591">
        <v>9.3356374885461904E-2</v>
      </c>
      <c r="K591" s="1" t="str">
        <f>TEXT(stand_validation_1cycle[[#This Row],[stand_age]], ".0")</f>
        <v>30.3</v>
      </c>
      <c r="L591" s="1" t="str">
        <f t="shared" si="9"/>
        <v>"30.3"</v>
      </c>
      <c r="M591">
        <v>100</v>
      </c>
      <c r="N591">
        <f>0.029*stand_validation_1cycle[[#This Row],[stand_level_biomass]]</f>
        <v>31.822243752016085</v>
      </c>
      <c r="O591">
        <f>0.213*stand_validation_1cycle[[#This Row],[stand_level_biomass]]</f>
        <v>233.72889376480776</v>
      </c>
      <c r="P591">
        <f>0.571*stand_validation_1cycle[[#This Row],[stand_level_biomass]]</f>
        <v>626.56900628969595</v>
      </c>
      <c r="Q591">
        <f>stand_validation_1cycle[[#This Row],[stock]]</f>
        <v>100</v>
      </c>
      <c r="R591">
        <v>0</v>
      </c>
      <c r="S591">
        <f>stand_validation_1cycle[[#This Row],[aws]]</f>
        <v>572.76416015625</v>
      </c>
      <c r="T591">
        <f>stand_validation_1cycle[[#This Row],[percent_tree_cover]]*100</f>
        <v>9.3356374885461904</v>
      </c>
    </row>
    <row r="592" spans="1:20" x14ac:dyDescent="0.2">
      <c r="A592">
        <v>1</v>
      </c>
      <c r="B592" t="s">
        <v>610</v>
      </c>
      <c r="C592">
        <v>27.714611111111001</v>
      </c>
      <c r="D592">
        <v>849.61678660723101</v>
      </c>
      <c r="E592">
        <v>7.5679152755220596</v>
      </c>
      <c r="F592">
        <v>27.050862998927801</v>
      </c>
      <c r="G592">
        <v>100</v>
      </c>
      <c r="H592">
        <v>567.02972412109295</v>
      </c>
      <c r="I592">
        <v>7.5408151579665794E-2</v>
      </c>
      <c r="K592" s="1" t="str">
        <f>TEXT(stand_validation_1cycle[[#This Row],[stand_age]], ".0")</f>
        <v>27.7</v>
      </c>
      <c r="L592" s="1" t="str">
        <f t="shared" si="9"/>
        <v>"27.7"</v>
      </c>
      <c r="M592">
        <v>100</v>
      </c>
      <c r="N592">
        <f>0.029*stand_validation_1cycle[[#This Row],[stand_level_biomass]]</f>
        <v>24.638886811609702</v>
      </c>
      <c r="O592">
        <f>0.213*stand_validation_1cycle[[#This Row],[stand_level_biomass]]</f>
        <v>180.9683755473402</v>
      </c>
      <c r="P592">
        <f>0.571*stand_validation_1cycle[[#This Row],[stand_level_biomass]]</f>
        <v>485.13118515272885</v>
      </c>
      <c r="Q592">
        <f>stand_validation_1cycle[[#This Row],[stock]]</f>
        <v>100</v>
      </c>
      <c r="R592">
        <v>0</v>
      </c>
      <c r="S592">
        <f>stand_validation_1cycle[[#This Row],[aws]]</f>
        <v>567.02972412109295</v>
      </c>
      <c r="T592">
        <f>stand_validation_1cycle[[#This Row],[percent_tree_cover]]*100</f>
        <v>7.5408151579665796</v>
      </c>
    </row>
    <row r="593" spans="1:20" x14ac:dyDescent="0.2">
      <c r="A593">
        <v>1</v>
      </c>
      <c r="B593" t="s">
        <v>611</v>
      </c>
      <c r="C593">
        <v>30.280596205961999</v>
      </c>
      <c r="D593">
        <v>1033.8578463295401</v>
      </c>
      <c r="E593">
        <v>7.3068740587499796</v>
      </c>
      <c r="F593">
        <v>28.850433901528699</v>
      </c>
      <c r="G593">
        <v>82</v>
      </c>
      <c r="H593">
        <v>576.87860107421795</v>
      </c>
      <c r="I593">
        <v>8.8481093522815094E-2</v>
      </c>
      <c r="K593" s="1" t="str">
        <f>TEXT(stand_validation_1cycle[[#This Row],[stand_age]], ".0")</f>
        <v>30.3</v>
      </c>
      <c r="L593" s="1" t="str">
        <f t="shared" si="9"/>
        <v>"30.3"</v>
      </c>
      <c r="M593">
        <v>100</v>
      </c>
      <c r="N593">
        <f>0.029*stand_validation_1cycle[[#This Row],[stand_level_biomass]]</f>
        <v>29.981877543556664</v>
      </c>
      <c r="O593">
        <f>0.213*stand_validation_1cycle[[#This Row],[stand_level_biomass]]</f>
        <v>220.21172126819204</v>
      </c>
      <c r="P593">
        <f>0.571*stand_validation_1cycle[[#This Row],[stand_level_biomass]]</f>
        <v>590.33283025416733</v>
      </c>
      <c r="Q593">
        <f>stand_validation_1cycle[[#This Row],[stock]]</f>
        <v>82</v>
      </c>
      <c r="R593">
        <v>0</v>
      </c>
      <c r="S593">
        <f>stand_validation_1cycle[[#This Row],[aws]]</f>
        <v>576.87860107421795</v>
      </c>
      <c r="T593">
        <f>stand_validation_1cycle[[#This Row],[percent_tree_cover]]*100</f>
        <v>8.8481093522815097</v>
      </c>
    </row>
    <row r="594" spans="1:20" x14ac:dyDescent="0.2">
      <c r="A594">
        <v>1</v>
      </c>
      <c r="B594" t="s">
        <v>612</v>
      </c>
      <c r="C594">
        <v>27.125108024691301</v>
      </c>
      <c r="D594">
        <v>905.81636132043798</v>
      </c>
      <c r="E594">
        <v>5.74021285328537</v>
      </c>
      <c r="F594">
        <v>27.3979774062262</v>
      </c>
      <c r="G594">
        <v>72</v>
      </c>
      <c r="H594">
        <v>568.44873046875</v>
      </c>
      <c r="I594">
        <v>7.9837242660800195E-2</v>
      </c>
      <c r="K594" s="1" t="str">
        <f>TEXT(stand_validation_1cycle[[#This Row],[stand_age]], ".0")</f>
        <v>27.1</v>
      </c>
      <c r="L594" s="1" t="str">
        <f t="shared" si="9"/>
        <v>"27.1"</v>
      </c>
      <c r="M594">
        <v>100</v>
      </c>
      <c r="N594">
        <f>0.029*stand_validation_1cycle[[#This Row],[stand_level_biomass]]</f>
        <v>26.268674478292702</v>
      </c>
      <c r="O594">
        <f>0.213*stand_validation_1cycle[[#This Row],[stand_level_biomass]]</f>
        <v>192.93888496125328</v>
      </c>
      <c r="P594">
        <f>0.571*stand_validation_1cycle[[#This Row],[stand_level_biomass]]</f>
        <v>517.22114231397006</v>
      </c>
      <c r="Q594">
        <f>stand_validation_1cycle[[#This Row],[stock]]</f>
        <v>72</v>
      </c>
      <c r="R594">
        <v>0</v>
      </c>
      <c r="S594">
        <f>stand_validation_1cycle[[#This Row],[aws]]</f>
        <v>568.44873046875</v>
      </c>
      <c r="T594">
        <f>stand_validation_1cycle[[#This Row],[percent_tree_cover]]*100</f>
        <v>7.9837242660800198</v>
      </c>
    </row>
    <row r="595" spans="1:20" x14ac:dyDescent="0.2">
      <c r="A595">
        <v>1</v>
      </c>
      <c r="B595" t="s">
        <v>613</v>
      </c>
      <c r="C595">
        <v>29.095488888888799</v>
      </c>
      <c r="D595">
        <v>949.64285861893097</v>
      </c>
      <c r="E595">
        <v>8.2932587537534896</v>
      </c>
      <c r="F595">
        <v>27.8138967323607</v>
      </c>
      <c r="G595">
        <v>100</v>
      </c>
      <c r="H595">
        <v>578</v>
      </c>
      <c r="I595">
        <v>8.2613710321452899E-2</v>
      </c>
      <c r="K595" s="1" t="str">
        <f>TEXT(stand_validation_1cycle[[#This Row],[stand_age]], ".0")</f>
        <v>29.1</v>
      </c>
      <c r="L595" s="1" t="str">
        <f t="shared" si="9"/>
        <v>"29.1"</v>
      </c>
      <c r="M595">
        <v>100</v>
      </c>
      <c r="N595">
        <f>0.029*stand_validation_1cycle[[#This Row],[stand_level_biomass]]</f>
        <v>27.539642899949001</v>
      </c>
      <c r="O595">
        <f>0.213*stand_validation_1cycle[[#This Row],[stand_level_biomass]]</f>
        <v>202.27392888583231</v>
      </c>
      <c r="P595">
        <f>0.571*stand_validation_1cycle[[#This Row],[stand_level_biomass]]</f>
        <v>542.2460722714095</v>
      </c>
      <c r="Q595">
        <f>stand_validation_1cycle[[#This Row],[stock]]</f>
        <v>100</v>
      </c>
      <c r="R595">
        <v>0</v>
      </c>
      <c r="S595">
        <f>stand_validation_1cycle[[#This Row],[aws]]</f>
        <v>578</v>
      </c>
      <c r="T595">
        <f>stand_validation_1cycle[[#This Row],[percent_tree_cover]]*100</f>
        <v>8.2613710321452896</v>
      </c>
    </row>
    <row r="596" spans="1:20" x14ac:dyDescent="0.2">
      <c r="A596">
        <v>1</v>
      </c>
      <c r="B596" t="s">
        <v>614</v>
      </c>
      <c r="C596">
        <v>26.287488888888799</v>
      </c>
      <c r="D596">
        <v>822.17889370637897</v>
      </c>
      <c r="E596">
        <v>7.2943626660070597</v>
      </c>
      <c r="F596">
        <v>26.000992732252101</v>
      </c>
      <c r="G596">
        <v>100</v>
      </c>
      <c r="H596">
        <v>566.92834472656205</v>
      </c>
      <c r="I596">
        <v>7.2689473105508495E-2</v>
      </c>
      <c r="K596" s="1" t="str">
        <f>TEXT(stand_validation_1cycle[[#This Row],[stand_age]], ".0")</f>
        <v>26.3</v>
      </c>
      <c r="L596" s="1" t="str">
        <f t="shared" si="9"/>
        <v>"26.3"</v>
      </c>
      <c r="M596">
        <v>100</v>
      </c>
      <c r="N596">
        <f>0.029*stand_validation_1cycle[[#This Row],[stand_level_biomass]]</f>
        <v>23.84318791748499</v>
      </c>
      <c r="O596">
        <f>0.213*stand_validation_1cycle[[#This Row],[stand_level_biomass]]</f>
        <v>175.12410435945873</v>
      </c>
      <c r="P596">
        <f>0.571*stand_validation_1cycle[[#This Row],[stand_level_biomass]]</f>
        <v>469.46414830634234</v>
      </c>
      <c r="Q596">
        <f>stand_validation_1cycle[[#This Row],[stock]]</f>
        <v>100</v>
      </c>
      <c r="R596">
        <v>0</v>
      </c>
      <c r="S596">
        <f>stand_validation_1cycle[[#This Row],[aws]]</f>
        <v>566.92834472656205</v>
      </c>
      <c r="T596">
        <f>stand_validation_1cycle[[#This Row],[percent_tree_cover]]*100</f>
        <v>7.2689473105508497</v>
      </c>
    </row>
    <row r="597" spans="1:20" x14ac:dyDescent="0.2">
      <c r="A597">
        <v>1</v>
      </c>
      <c r="B597" t="s">
        <v>615</v>
      </c>
      <c r="C597">
        <v>26.474133333333299</v>
      </c>
      <c r="D597">
        <v>735.83791505514398</v>
      </c>
      <c r="E597">
        <v>6.7275895061692497</v>
      </c>
      <c r="F597">
        <v>25.534751932306399</v>
      </c>
      <c r="G597">
        <v>100</v>
      </c>
      <c r="H597">
        <v>574.78210449218705</v>
      </c>
      <c r="I597">
        <v>6.7046488131883603E-2</v>
      </c>
      <c r="K597" s="1" t="str">
        <f>TEXT(stand_validation_1cycle[[#This Row],[stand_age]], ".0")</f>
        <v>26.5</v>
      </c>
      <c r="L597" s="1" t="str">
        <f t="shared" si="9"/>
        <v>"26.5"</v>
      </c>
      <c r="M597">
        <v>100</v>
      </c>
      <c r="N597">
        <f>0.029*stand_validation_1cycle[[#This Row],[stand_level_biomass]]</f>
        <v>21.339299536599178</v>
      </c>
      <c r="O597">
        <f>0.213*stand_validation_1cycle[[#This Row],[stand_level_biomass]]</f>
        <v>156.73347590674567</v>
      </c>
      <c r="P597">
        <f>0.571*stand_validation_1cycle[[#This Row],[stand_level_biomass]]</f>
        <v>420.1634494964872</v>
      </c>
      <c r="Q597">
        <f>stand_validation_1cycle[[#This Row],[stock]]</f>
        <v>100</v>
      </c>
      <c r="R597">
        <v>0</v>
      </c>
      <c r="S597">
        <f>stand_validation_1cycle[[#This Row],[aws]]</f>
        <v>574.78210449218705</v>
      </c>
      <c r="T597">
        <f>stand_validation_1cycle[[#This Row],[percent_tree_cover]]*100</f>
        <v>6.7046488131883599</v>
      </c>
    </row>
    <row r="598" spans="1:20" x14ac:dyDescent="0.2">
      <c r="A598">
        <v>1</v>
      </c>
      <c r="B598" t="s">
        <v>616</v>
      </c>
      <c r="C598">
        <v>25.736633333333302</v>
      </c>
      <c r="D598">
        <v>842.32985624370201</v>
      </c>
      <c r="E598">
        <v>7.4247301217512396</v>
      </c>
      <c r="F598">
        <v>26.173633532089202</v>
      </c>
      <c r="G598">
        <v>100</v>
      </c>
      <c r="H598">
        <v>566.92834472656205</v>
      </c>
      <c r="I598">
        <v>7.3993491829889194E-2</v>
      </c>
      <c r="K598" s="1" t="str">
        <f>TEXT(stand_validation_1cycle[[#This Row],[stand_age]], ".0")</f>
        <v>25.7</v>
      </c>
      <c r="L598" s="1" t="str">
        <f t="shared" si="9"/>
        <v>"25.7"</v>
      </c>
      <c r="M598">
        <v>100</v>
      </c>
      <c r="N598">
        <f>0.029*stand_validation_1cycle[[#This Row],[stand_level_biomass]]</f>
        <v>24.427565831067358</v>
      </c>
      <c r="O598">
        <f>0.213*stand_validation_1cycle[[#This Row],[stand_level_biomass]]</f>
        <v>179.41625937990852</v>
      </c>
      <c r="P598">
        <f>0.571*stand_validation_1cycle[[#This Row],[stand_level_biomass]]</f>
        <v>480.97034791515381</v>
      </c>
      <c r="Q598">
        <f>stand_validation_1cycle[[#This Row],[stock]]</f>
        <v>100</v>
      </c>
      <c r="R598">
        <v>0</v>
      </c>
      <c r="S598">
        <f>stand_validation_1cycle[[#This Row],[aws]]</f>
        <v>566.92834472656205</v>
      </c>
      <c r="T598">
        <f>stand_validation_1cycle[[#This Row],[percent_tree_cover]]*100</f>
        <v>7.3993491829889191</v>
      </c>
    </row>
    <row r="599" spans="1:20" x14ac:dyDescent="0.2">
      <c r="A599">
        <v>1</v>
      </c>
      <c r="B599" t="s">
        <v>617</v>
      </c>
      <c r="C599">
        <v>26.5134222222222</v>
      </c>
      <c r="D599">
        <v>791.22777848715305</v>
      </c>
      <c r="E599">
        <v>7.0872838008475201</v>
      </c>
      <c r="F599">
        <v>25.693910265698499</v>
      </c>
      <c r="G599">
        <v>100</v>
      </c>
      <c r="H599">
        <v>566.92834472656205</v>
      </c>
      <c r="I599">
        <v>7.0616352878377905E-2</v>
      </c>
      <c r="K599" s="1" t="str">
        <f>TEXT(stand_validation_1cycle[[#This Row],[stand_age]], ".0")</f>
        <v>26.5</v>
      </c>
      <c r="L599" s="1" t="str">
        <f t="shared" si="9"/>
        <v>"26.5"</v>
      </c>
      <c r="M599">
        <v>100</v>
      </c>
      <c r="N599">
        <f>0.029*stand_validation_1cycle[[#This Row],[stand_level_biomass]]</f>
        <v>22.945605576127438</v>
      </c>
      <c r="O599">
        <f>0.213*stand_validation_1cycle[[#This Row],[stand_level_biomass]]</f>
        <v>168.53151681776359</v>
      </c>
      <c r="P599">
        <f>0.571*stand_validation_1cycle[[#This Row],[stand_level_biomass]]</f>
        <v>451.79106151616435</v>
      </c>
      <c r="Q599">
        <f>stand_validation_1cycle[[#This Row],[stock]]</f>
        <v>100</v>
      </c>
      <c r="R599">
        <v>0</v>
      </c>
      <c r="S599">
        <f>stand_validation_1cycle[[#This Row],[aws]]</f>
        <v>566.92834472656205</v>
      </c>
      <c r="T599">
        <f>stand_validation_1cycle[[#This Row],[percent_tree_cover]]*100</f>
        <v>7.0616352878377908</v>
      </c>
    </row>
    <row r="600" spans="1:20" x14ac:dyDescent="0.2">
      <c r="A600">
        <v>1</v>
      </c>
      <c r="B600" t="s">
        <v>618</v>
      </c>
      <c r="C600">
        <v>27.4217444444444</v>
      </c>
      <c r="D600">
        <v>829.42013443323799</v>
      </c>
      <c r="E600">
        <v>7.5016276705313096</v>
      </c>
      <c r="F600">
        <v>27.344025398873502</v>
      </c>
      <c r="G600">
        <v>100</v>
      </c>
      <c r="H600">
        <v>568.42883300781205</v>
      </c>
      <c r="I600">
        <v>7.4758661018280007E-2</v>
      </c>
      <c r="K600" s="1" t="str">
        <f>TEXT(stand_validation_1cycle[[#This Row],[stand_age]], ".0")</f>
        <v>27.4</v>
      </c>
      <c r="L600" s="1" t="str">
        <f t="shared" si="9"/>
        <v>"27.4"</v>
      </c>
      <c r="M600">
        <v>100</v>
      </c>
      <c r="N600">
        <f>0.029*stand_validation_1cycle[[#This Row],[stand_level_biomass]]</f>
        <v>24.053183898563901</v>
      </c>
      <c r="O600">
        <f>0.213*stand_validation_1cycle[[#This Row],[stand_level_biomass]]</f>
        <v>176.66648863427969</v>
      </c>
      <c r="P600">
        <f>0.571*stand_validation_1cycle[[#This Row],[stand_level_biomass]]</f>
        <v>473.59889676137885</v>
      </c>
      <c r="Q600">
        <f>stand_validation_1cycle[[#This Row],[stock]]</f>
        <v>100</v>
      </c>
      <c r="R600">
        <v>0</v>
      </c>
      <c r="S600">
        <f>stand_validation_1cycle[[#This Row],[aws]]</f>
        <v>568.42883300781205</v>
      </c>
      <c r="T600">
        <f>stand_validation_1cycle[[#This Row],[percent_tree_cover]]*100</f>
        <v>7.475866101828001</v>
      </c>
    </row>
    <row r="601" spans="1:20" x14ac:dyDescent="0.2">
      <c r="A601">
        <v>1</v>
      </c>
      <c r="B601" t="s">
        <v>619</v>
      </c>
      <c r="C601">
        <v>28.472098765432101</v>
      </c>
      <c r="D601">
        <v>972.11780046568595</v>
      </c>
      <c r="E601">
        <v>8.40034543713824</v>
      </c>
      <c r="F601">
        <v>27.9750709379509</v>
      </c>
      <c r="G601">
        <v>99</v>
      </c>
      <c r="H601">
        <v>568.57458496093705</v>
      </c>
      <c r="I601">
        <v>8.3089805011970497E-2</v>
      </c>
      <c r="K601" s="1" t="str">
        <f>TEXT(stand_validation_1cycle[[#This Row],[stand_age]], ".0")</f>
        <v>28.5</v>
      </c>
      <c r="L601" s="1" t="str">
        <f t="shared" si="9"/>
        <v>"28.5"</v>
      </c>
      <c r="M601">
        <v>100</v>
      </c>
      <c r="N601">
        <f>0.029*stand_validation_1cycle[[#This Row],[stand_level_biomass]]</f>
        <v>28.191416213504894</v>
      </c>
      <c r="O601">
        <f>0.213*stand_validation_1cycle[[#This Row],[stand_level_biomass]]</f>
        <v>207.06109149919109</v>
      </c>
      <c r="P601">
        <f>0.571*stand_validation_1cycle[[#This Row],[stand_level_biomass]]</f>
        <v>555.07926406590661</v>
      </c>
      <c r="Q601">
        <f>stand_validation_1cycle[[#This Row],[stock]]</f>
        <v>99</v>
      </c>
      <c r="R601">
        <v>0</v>
      </c>
      <c r="S601">
        <f>stand_validation_1cycle[[#This Row],[aws]]</f>
        <v>568.57458496093705</v>
      </c>
      <c r="T601">
        <f>stand_validation_1cycle[[#This Row],[percent_tree_cover]]*100</f>
        <v>8.3089805011970501</v>
      </c>
    </row>
    <row r="602" spans="1:20" x14ac:dyDescent="0.2">
      <c r="A602">
        <v>1</v>
      </c>
      <c r="B602" t="s">
        <v>620</v>
      </c>
      <c r="C602">
        <v>27.1704111111111</v>
      </c>
      <c r="D602">
        <v>849.76067408697497</v>
      </c>
      <c r="E602">
        <v>7.5844573316395403</v>
      </c>
      <c r="F602">
        <v>26.967409371428499</v>
      </c>
      <c r="G602">
        <v>100</v>
      </c>
      <c r="H602">
        <v>567.52435302734295</v>
      </c>
      <c r="I602">
        <v>7.5581769237520205E-2</v>
      </c>
      <c r="K602" s="1" t="str">
        <f>TEXT(stand_validation_1cycle[[#This Row],[stand_age]], ".0")</f>
        <v>27.2</v>
      </c>
      <c r="L602" s="1" t="str">
        <f t="shared" si="9"/>
        <v>"27.2"</v>
      </c>
      <c r="M602">
        <v>100</v>
      </c>
      <c r="N602">
        <f>0.029*stand_validation_1cycle[[#This Row],[stand_level_biomass]]</f>
        <v>24.643059548522274</v>
      </c>
      <c r="O602">
        <f>0.213*stand_validation_1cycle[[#This Row],[stand_level_biomass]]</f>
        <v>180.99902358052566</v>
      </c>
      <c r="P602">
        <f>0.571*stand_validation_1cycle[[#This Row],[stand_level_biomass]]</f>
        <v>485.21334490366269</v>
      </c>
      <c r="Q602">
        <f>stand_validation_1cycle[[#This Row],[stock]]</f>
        <v>100</v>
      </c>
      <c r="R602">
        <v>0</v>
      </c>
      <c r="S602">
        <f>stand_validation_1cycle[[#This Row],[aws]]</f>
        <v>567.52435302734295</v>
      </c>
      <c r="T602">
        <f>stand_validation_1cycle[[#This Row],[percent_tree_cover]]*100</f>
        <v>7.5581769237520202</v>
      </c>
    </row>
    <row r="603" spans="1:20" x14ac:dyDescent="0.2">
      <c r="A603">
        <v>1</v>
      </c>
      <c r="B603" t="s">
        <v>621</v>
      </c>
      <c r="C603">
        <v>26.3445</v>
      </c>
      <c r="D603">
        <v>791.12981701071305</v>
      </c>
      <c r="E603">
        <v>7.1988786696901803</v>
      </c>
      <c r="F603">
        <v>26.4987181714285</v>
      </c>
      <c r="G603">
        <v>100</v>
      </c>
      <c r="H603">
        <v>568.75451660156205</v>
      </c>
      <c r="I603">
        <v>7.1754323721199706E-2</v>
      </c>
      <c r="K603" s="1" t="str">
        <f>TEXT(stand_validation_1cycle[[#This Row],[stand_age]], ".0")</f>
        <v>26.3</v>
      </c>
      <c r="L603" s="1" t="str">
        <f t="shared" si="9"/>
        <v>"26.3"</v>
      </c>
      <c r="M603">
        <v>100</v>
      </c>
      <c r="N603">
        <f>0.029*stand_validation_1cycle[[#This Row],[stand_level_biomass]]</f>
        <v>22.942764693310679</v>
      </c>
      <c r="O603">
        <f>0.213*stand_validation_1cycle[[#This Row],[stand_level_biomass]]</f>
        <v>168.51065102328187</v>
      </c>
      <c r="P603">
        <f>0.571*stand_validation_1cycle[[#This Row],[stand_level_biomass]]</f>
        <v>451.73512551311711</v>
      </c>
      <c r="Q603">
        <f>stand_validation_1cycle[[#This Row],[stock]]</f>
        <v>100</v>
      </c>
      <c r="R603">
        <v>0</v>
      </c>
      <c r="S603">
        <f>stand_validation_1cycle[[#This Row],[aws]]</f>
        <v>568.75451660156205</v>
      </c>
      <c r="T603">
        <f>stand_validation_1cycle[[#This Row],[percent_tree_cover]]*100</f>
        <v>7.1754323721199702</v>
      </c>
    </row>
    <row r="604" spans="1:20" x14ac:dyDescent="0.2">
      <c r="A604">
        <v>1</v>
      </c>
      <c r="B604" t="s">
        <v>622</v>
      </c>
      <c r="C604">
        <v>26.702499999999901</v>
      </c>
      <c r="D604">
        <v>825.47347286749903</v>
      </c>
      <c r="E604">
        <v>7.3388515449727096</v>
      </c>
      <c r="F604">
        <v>25.9629346285714</v>
      </c>
      <c r="G604">
        <v>100</v>
      </c>
      <c r="H604">
        <v>566.60467529296795</v>
      </c>
      <c r="I604">
        <v>7.31196850714117E-2</v>
      </c>
      <c r="K604" s="1" t="str">
        <f>TEXT(stand_validation_1cycle[[#This Row],[stand_age]], ".0")</f>
        <v>26.7</v>
      </c>
      <c r="L604" s="1" t="str">
        <f t="shared" si="9"/>
        <v>"26.7"</v>
      </c>
      <c r="M604">
        <v>100</v>
      </c>
      <c r="N604">
        <f>0.029*stand_validation_1cycle[[#This Row],[stand_level_biomass]]</f>
        <v>23.938730713157472</v>
      </c>
      <c r="O604">
        <f>0.213*stand_validation_1cycle[[#This Row],[stand_level_biomass]]</f>
        <v>175.82584972077728</v>
      </c>
      <c r="P604">
        <f>0.571*stand_validation_1cycle[[#This Row],[stand_level_biomass]]</f>
        <v>471.34535300734188</v>
      </c>
      <c r="Q604">
        <f>stand_validation_1cycle[[#This Row],[stock]]</f>
        <v>100</v>
      </c>
      <c r="R604">
        <v>0</v>
      </c>
      <c r="S604">
        <f>stand_validation_1cycle[[#This Row],[aws]]</f>
        <v>566.60467529296795</v>
      </c>
      <c r="T604">
        <f>stand_validation_1cycle[[#This Row],[percent_tree_cover]]*100</f>
        <v>7.3119685071411702</v>
      </c>
    </row>
    <row r="605" spans="1:20" x14ac:dyDescent="0.2">
      <c r="A605">
        <v>1</v>
      </c>
      <c r="B605" t="s">
        <v>623</v>
      </c>
      <c r="C605">
        <v>26.523699999999899</v>
      </c>
      <c r="D605">
        <v>811.338941092146</v>
      </c>
      <c r="E605">
        <v>7.2002287691330604</v>
      </c>
      <c r="F605">
        <v>25.393317028571399</v>
      </c>
      <c r="G605">
        <v>100</v>
      </c>
      <c r="H605">
        <v>570.440673828125</v>
      </c>
      <c r="I605">
        <v>7.1730624777177093E-2</v>
      </c>
      <c r="K605" s="1" t="str">
        <f>TEXT(stand_validation_1cycle[[#This Row],[stand_age]], ".0")</f>
        <v>26.5</v>
      </c>
      <c r="L605" s="1" t="str">
        <f t="shared" si="9"/>
        <v>"26.5"</v>
      </c>
      <c r="M605">
        <v>100</v>
      </c>
      <c r="N605">
        <f>0.029*stand_validation_1cycle[[#This Row],[stand_level_biomass]]</f>
        <v>23.528829291672235</v>
      </c>
      <c r="O605">
        <f>0.213*stand_validation_1cycle[[#This Row],[stand_level_biomass]]</f>
        <v>172.81519445262708</v>
      </c>
      <c r="P605">
        <f>0.571*stand_validation_1cycle[[#This Row],[stand_level_biomass]]</f>
        <v>463.27453536361531</v>
      </c>
      <c r="Q605">
        <f>stand_validation_1cycle[[#This Row],[stock]]</f>
        <v>100</v>
      </c>
      <c r="R605">
        <v>0</v>
      </c>
      <c r="S605">
        <f>stand_validation_1cycle[[#This Row],[aws]]</f>
        <v>570.440673828125</v>
      </c>
      <c r="T605">
        <f>stand_validation_1cycle[[#This Row],[percent_tree_cover]]*100</f>
        <v>7.1730624777177097</v>
      </c>
    </row>
    <row r="606" spans="1:20" x14ac:dyDescent="0.2">
      <c r="A606">
        <v>1</v>
      </c>
      <c r="B606" t="s">
        <v>624</v>
      </c>
      <c r="C606">
        <v>27.915194444444399</v>
      </c>
      <c r="D606">
        <v>1013.53708658551</v>
      </c>
      <c r="E606">
        <v>3.4406494976648001</v>
      </c>
      <c r="F606">
        <v>27.638770285714202</v>
      </c>
      <c r="G606">
        <v>40</v>
      </c>
      <c r="H606">
        <v>570.440673828125</v>
      </c>
      <c r="I606">
        <v>8.1473729599835495E-2</v>
      </c>
      <c r="K606" s="1" t="str">
        <f>TEXT(stand_validation_1cycle[[#This Row],[stand_age]], ".0")</f>
        <v>27.9</v>
      </c>
      <c r="L606" s="1" t="str">
        <f t="shared" si="9"/>
        <v>"27.9"</v>
      </c>
      <c r="M606">
        <v>100</v>
      </c>
      <c r="N606">
        <f>0.029*stand_validation_1cycle[[#This Row],[stand_level_biomass]]</f>
        <v>29.392575510979793</v>
      </c>
      <c r="O606">
        <f>0.213*stand_validation_1cycle[[#This Row],[stand_level_biomass]]</f>
        <v>215.88339944271362</v>
      </c>
      <c r="P606">
        <f>0.571*stand_validation_1cycle[[#This Row],[stand_level_biomass]]</f>
        <v>578.72967644032622</v>
      </c>
      <c r="Q606">
        <f>stand_validation_1cycle[[#This Row],[stock]]</f>
        <v>40</v>
      </c>
      <c r="R606">
        <v>0</v>
      </c>
      <c r="S606">
        <f>stand_validation_1cycle[[#This Row],[aws]]</f>
        <v>570.440673828125</v>
      </c>
      <c r="T606">
        <f>stand_validation_1cycle[[#This Row],[percent_tree_cover]]*100</f>
        <v>8.1473729599835494</v>
      </c>
    </row>
    <row r="607" spans="1:20" x14ac:dyDescent="0.2">
      <c r="A607">
        <v>1</v>
      </c>
      <c r="B607" t="s">
        <v>625</v>
      </c>
      <c r="C607">
        <v>28.7370949074074</v>
      </c>
      <c r="D607">
        <v>997.93394296755503</v>
      </c>
      <c r="E607">
        <v>8.2985546935692707</v>
      </c>
      <c r="F607">
        <v>28.2310624989255</v>
      </c>
      <c r="G607">
        <v>96</v>
      </c>
      <c r="H607">
        <v>573.68023681640602</v>
      </c>
      <c r="I607">
        <v>8.4820899330649402E-2</v>
      </c>
      <c r="K607" s="1" t="str">
        <f>TEXT(stand_validation_1cycle[[#This Row],[stand_age]], ".0")</f>
        <v>28.7</v>
      </c>
      <c r="L607" s="1" t="str">
        <f t="shared" si="9"/>
        <v>"28.7"</v>
      </c>
      <c r="M607">
        <v>100</v>
      </c>
      <c r="N607">
        <f>0.029*stand_validation_1cycle[[#This Row],[stand_level_biomass]]</f>
        <v>28.940084346059098</v>
      </c>
      <c r="O607">
        <f>0.213*stand_validation_1cycle[[#This Row],[stand_level_biomass]]</f>
        <v>212.55992985208923</v>
      </c>
      <c r="P607">
        <f>0.571*stand_validation_1cycle[[#This Row],[stand_level_biomass]]</f>
        <v>569.82028143447383</v>
      </c>
      <c r="Q607">
        <f>stand_validation_1cycle[[#This Row],[stock]]</f>
        <v>96</v>
      </c>
      <c r="R607">
        <v>0</v>
      </c>
      <c r="S607">
        <f>stand_validation_1cycle[[#This Row],[aws]]</f>
        <v>573.68023681640602</v>
      </c>
      <c r="T607">
        <f>stand_validation_1cycle[[#This Row],[percent_tree_cover]]*100</f>
        <v>8.4820899330649411</v>
      </c>
    </row>
    <row r="608" spans="1:20" x14ac:dyDescent="0.2">
      <c r="A608">
        <v>1</v>
      </c>
      <c r="B608" t="s">
        <v>626</v>
      </c>
      <c r="C608">
        <v>25.508422222222201</v>
      </c>
      <c r="D608">
        <v>677.02985198784199</v>
      </c>
      <c r="E608">
        <v>6.28755212096807</v>
      </c>
      <c r="F608">
        <v>24.504234599009202</v>
      </c>
      <c r="G608">
        <v>100</v>
      </c>
      <c r="H608">
        <v>573.138671875</v>
      </c>
      <c r="I608">
        <v>6.2656391213781706E-2</v>
      </c>
      <c r="K608" s="1" t="str">
        <f>TEXT(stand_validation_1cycle[[#This Row],[stand_age]], ".0")</f>
        <v>25.5</v>
      </c>
      <c r="L608" s="1" t="str">
        <f t="shared" si="9"/>
        <v>"25.5"</v>
      </c>
      <c r="M608">
        <v>100</v>
      </c>
      <c r="N608">
        <f>0.029*stand_validation_1cycle[[#This Row],[stand_level_biomass]]</f>
        <v>19.63386570764742</v>
      </c>
      <c r="O608">
        <f>0.213*stand_validation_1cycle[[#This Row],[stand_level_biomass]]</f>
        <v>144.20735847341035</v>
      </c>
      <c r="P608">
        <f>0.571*stand_validation_1cycle[[#This Row],[stand_level_biomass]]</f>
        <v>386.58404548505774</v>
      </c>
      <c r="Q608">
        <f>stand_validation_1cycle[[#This Row],[stock]]</f>
        <v>100</v>
      </c>
      <c r="R608">
        <v>0</v>
      </c>
      <c r="S608">
        <f>stand_validation_1cycle[[#This Row],[aws]]</f>
        <v>573.138671875</v>
      </c>
      <c r="T608">
        <f>stand_validation_1cycle[[#This Row],[percent_tree_cover]]*100</f>
        <v>6.2656391213781708</v>
      </c>
    </row>
    <row r="609" spans="1:20" x14ac:dyDescent="0.2">
      <c r="A609">
        <v>1</v>
      </c>
      <c r="B609" t="s">
        <v>627</v>
      </c>
      <c r="C609">
        <v>25.322222222222202</v>
      </c>
      <c r="D609">
        <v>773.23765570530998</v>
      </c>
      <c r="E609">
        <v>6.9348364465357504</v>
      </c>
      <c r="F609">
        <v>25.427378798832802</v>
      </c>
      <c r="G609">
        <v>100</v>
      </c>
      <c r="H609">
        <v>571.99285888671795</v>
      </c>
      <c r="I609">
        <v>6.9113990337868803E-2</v>
      </c>
      <c r="K609" s="1" t="str">
        <f>TEXT(stand_validation_1cycle[[#This Row],[stand_age]], ".0")</f>
        <v>25.3</v>
      </c>
      <c r="L609" s="1" t="str">
        <f t="shared" si="9"/>
        <v>"25.3"</v>
      </c>
      <c r="M609">
        <v>100</v>
      </c>
      <c r="N609">
        <f>0.029*stand_validation_1cycle[[#This Row],[stand_level_biomass]]</f>
        <v>22.42389201545399</v>
      </c>
      <c r="O609">
        <f>0.213*stand_validation_1cycle[[#This Row],[stand_level_biomass]]</f>
        <v>164.69962066523101</v>
      </c>
      <c r="P609">
        <f>0.571*stand_validation_1cycle[[#This Row],[stand_level_biomass]]</f>
        <v>441.51870140773195</v>
      </c>
      <c r="Q609">
        <f>stand_validation_1cycle[[#This Row],[stock]]</f>
        <v>100</v>
      </c>
      <c r="R609">
        <v>0</v>
      </c>
      <c r="S609">
        <f>stand_validation_1cycle[[#This Row],[aws]]</f>
        <v>571.99285888671795</v>
      </c>
      <c r="T609">
        <f>stand_validation_1cycle[[#This Row],[percent_tree_cover]]*100</f>
        <v>6.9113990337868803</v>
      </c>
    </row>
    <row r="610" spans="1:20" x14ac:dyDescent="0.2">
      <c r="A610">
        <v>1</v>
      </c>
      <c r="B610" t="s">
        <v>628</v>
      </c>
      <c r="C610">
        <v>25.134264870931499</v>
      </c>
      <c r="D610">
        <v>707.69395956253697</v>
      </c>
      <c r="E610">
        <v>6.4551710116021903</v>
      </c>
      <c r="F610">
        <v>24.667836160615401</v>
      </c>
      <c r="G610">
        <v>99</v>
      </c>
      <c r="H610">
        <v>673.98126220703102</v>
      </c>
      <c r="I610">
        <v>6.3971881686336704E-2</v>
      </c>
      <c r="K610" s="1" t="str">
        <f>TEXT(stand_validation_1cycle[[#This Row],[stand_age]], ".0")</f>
        <v>25.1</v>
      </c>
      <c r="L610" s="1" t="str">
        <f t="shared" si="9"/>
        <v>"25.1"</v>
      </c>
      <c r="M610">
        <v>100</v>
      </c>
      <c r="N610">
        <f>0.029*stand_validation_1cycle[[#This Row],[stand_level_biomass]]</f>
        <v>20.523124827313573</v>
      </c>
      <c r="O610">
        <f>0.213*stand_validation_1cycle[[#This Row],[stand_level_biomass]]</f>
        <v>150.73881338682037</v>
      </c>
      <c r="P610">
        <f>0.571*stand_validation_1cycle[[#This Row],[stand_level_biomass]]</f>
        <v>404.09325091020855</v>
      </c>
      <c r="Q610">
        <f>stand_validation_1cycle[[#This Row],[stock]]</f>
        <v>99</v>
      </c>
      <c r="R610">
        <v>0</v>
      </c>
      <c r="S610">
        <f>stand_validation_1cycle[[#This Row],[aws]]</f>
        <v>673.98126220703102</v>
      </c>
      <c r="T610">
        <f>stand_validation_1cycle[[#This Row],[percent_tree_cover]]*100</f>
        <v>6.3971881686336705</v>
      </c>
    </row>
    <row r="611" spans="1:20" x14ac:dyDescent="0.2">
      <c r="A611">
        <v>1</v>
      </c>
      <c r="B611" t="s">
        <v>629</v>
      </c>
      <c r="C611">
        <v>29.301500000000001</v>
      </c>
      <c r="D611">
        <v>995.70758480540701</v>
      </c>
      <c r="E611">
        <v>8.65591321410961</v>
      </c>
      <c r="F611">
        <v>28.6418370656714</v>
      </c>
      <c r="G611">
        <v>100</v>
      </c>
      <c r="H611">
        <v>572.44818115234295</v>
      </c>
      <c r="I611">
        <v>8.6234223066467899E-2</v>
      </c>
      <c r="K611" s="1" t="str">
        <f>TEXT(stand_validation_1cycle[[#This Row],[stand_age]], ".0")</f>
        <v>29.3</v>
      </c>
      <c r="L611" s="1" t="str">
        <f t="shared" si="9"/>
        <v>"29.3"</v>
      </c>
      <c r="M611">
        <v>100</v>
      </c>
      <c r="N611">
        <f>0.029*stand_validation_1cycle[[#This Row],[stand_level_biomass]]</f>
        <v>28.875519959356804</v>
      </c>
      <c r="O611">
        <f>0.213*stand_validation_1cycle[[#This Row],[stand_level_biomass]]</f>
        <v>212.0857155635517</v>
      </c>
      <c r="P611">
        <f>0.571*stand_validation_1cycle[[#This Row],[stand_level_biomass]]</f>
        <v>568.54903092388736</v>
      </c>
      <c r="Q611">
        <f>stand_validation_1cycle[[#This Row],[stock]]</f>
        <v>100</v>
      </c>
      <c r="R611">
        <v>0</v>
      </c>
      <c r="S611">
        <f>stand_validation_1cycle[[#This Row],[aws]]</f>
        <v>572.44818115234295</v>
      </c>
      <c r="T611">
        <f>stand_validation_1cycle[[#This Row],[percent_tree_cover]]*100</f>
        <v>8.6234223066467894</v>
      </c>
    </row>
    <row r="612" spans="1:20" x14ac:dyDescent="0.2">
      <c r="A612">
        <v>1</v>
      </c>
      <c r="B612" t="s">
        <v>630</v>
      </c>
      <c r="C612">
        <v>28.052505668934199</v>
      </c>
      <c r="D612">
        <v>1083.0674233490199</v>
      </c>
      <c r="E612">
        <v>9.1779650171253895</v>
      </c>
      <c r="F612">
        <v>29.739622651690201</v>
      </c>
      <c r="G612">
        <v>98</v>
      </c>
      <c r="H612">
        <v>524.85400390625</v>
      </c>
      <c r="I612">
        <v>9.0745984152051803E-2</v>
      </c>
      <c r="K612" s="1" t="str">
        <f>TEXT(stand_validation_1cycle[[#This Row],[stand_age]], ".0")</f>
        <v>28.1</v>
      </c>
      <c r="L612" s="1" t="str">
        <f t="shared" si="9"/>
        <v>"28.1"</v>
      </c>
      <c r="M612">
        <v>100</v>
      </c>
      <c r="N612">
        <f>0.029*stand_validation_1cycle[[#This Row],[stand_level_biomass]]</f>
        <v>31.408955277121578</v>
      </c>
      <c r="O612">
        <f>0.213*stand_validation_1cycle[[#This Row],[stand_level_biomass]]</f>
        <v>230.69336117334123</v>
      </c>
      <c r="P612">
        <f>0.571*stand_validation_1cycle[[#This Row],[stand_level_biomass]]</f>
        <v>618.43149873229027</v>
      </c>
      <c r="Q612">
        <f>stand_validation_1cycle[[#This Row],[stock]]</f>
        <v>98</v>
      </c>
      <c r="R612">
        <v>0</v>
      </c>
      <c r="S612">
        <f>stand_validation_1cycle[[#This Row],[aws]]</f>
        <v>524.85400390625</v>
      </c>
      <c r="T612">
        <f>stand_validation_1cycle[[#This Row],[percent_tree_cover]]*100</f>
        <v>9.0745984152051804</v>
      </c>
    </row>
    <row r="613" spans="1:20" x14ac:dyDescent="0.2">
      <c r="A613">
        <v>1</v>
      </c>
      <c r="B613" t="s">
        <v>631</v>
      </c>
      <c r="C613">
        <v>28.104274376417202</v>
      </c>
      <c r="D613">
        <v>738.25603052144504</v>
      </c>
      <c r="E613">
        <v>6.78797013157308</v>
      </c>
      <c r="F613">
        <v>26.545453536551701</v>
      </c>
      <c r="G613">
        <v>98</v>
      </c>
      <c r="H613">
        <v>526.90374755859295</v>
      </c>
      <c r="I613">
        <v>6.7416228958854393E-2</v>
      </c>
      <c r="K613" s="1" t="str">
        <f>TEXT(stand_validation_1cycle[[#This Row],[stand_age]], ".0")</f>
        <v>28.1</v>
      </c>
      <c r="L613" s="1" t="str">
        <f t="shared" si="9"/>
        <v>"28.1"</v>
      </c>
      <c r="M613">
        <v>100</v>
      </c>
      <c r="N613">
        <f>0.029*stand_validation_1cycle[[#This Row],[stand_level_biomass]]</f>
        <v>21.409424885121908</v>
      </c>
      <c r="O613">
        <f>0.213*stand_validation_1cycle[[#This Row],[stand_level_biomass]]</f>
        <v>157.24853450106778</v>
      </c>
      <c r="P613">
        <f>0.571*stand_validation_1cycle[[#This Row],[stand_level_biomass]]</f>
        <v>421.54419342774509</v>
      </c>
      <c r="Q613">
        <f>stand_validation_1cycle[[#This Row],[stock]]</f>
        <v>98</v>
      </c>
      <c r="R613">
        <v>0</v>
      </c>
      <c r="S613">
        <f>stand_validation_1cycle[[#This Row],[aws]]</f>
        <v>526.90374755859295</v>
      </c>
      <c r="T613">
        <f>stand_validation_1cycle[[#This Row],[percent_tree_cover]]*100</f>
        <v>6.7416228958854392</v>
      </c>
    </row>
    <row r="614" spans="1:20" x14ac:dyDescent="0.2">
      <c r="A614">
        <v>1</v>
      </c>
      <c r="B614" t="s">
        <v>632</v>
      </c>
      <c r="C614">
        <v>28.219753086419701</v>
      </c>
      <c r="D614">
        <v>909.61496862743195</v>
      </c>
      <c r="E614">
        <v>7.9900023856987898</v>
      </c>
      <c r="F614">
        <v>27.9128498305714</v>
      </c>
      <c r="G614">
        <v>99</v>
      </c>
      <c r="H614">
        <v>524.13592529296795</v>
      </c>
      <c r="I614">
        <v>7.9607271635674506E-2</v>
      </c>
      <c r="K614" s="1" t="str">
        <f>TEXT(stand_validation_1cycle[[#This Row],[stand_age]], ".0")</f>
        <v>28.2</v>
      </c>
      <c r="L614" s="1" t="str">
        <f t="shared" si="9"/>
        <v>"28.2"</v>
      </c>
      <c r="M614">
        <v>100</v>
      </c>
      <c r="N614">
        <f>0.029*stand_validation_1cycle[[#This Row],[stand_level_biomass]]</f>
        <v>26.378834090195529</v>
      </c>
      <c r="O614">
        <f>0.213*stand_validation_1cycle[[#This Row],[stand_level_biomass]]</f>
        <v>193.74798831764301</v>
      </c>
      <c r="P614">
        <f>0.571*stand_validation_1cycle[[#This Row],[stand_level_biomass]]</f>
        <v>519.3901470862636</v>
      </c>
      <c r="Q614">
        <f>stand_validation_1cycle[[#This Row],[stock]]</f>
        <v>99</v>
      </c>
      <c r="R614">
        <v>0</v>
      </c>
      <c r="S614">
        <f>stand_validation_1cycle[[#This Row],[aws]]</f>
        <v>524.13592529296795</v>
      </c>
      <c r="T614">
        <f>stand_validation_1cycle[[#This Row],[percent_tree_cover]]*100</f>
        <v>7.9607271635674506</v>
      </c>
    </row>
    <row r="615" spans="1:20" x14ac:dyDescent="0.2">
      <c r="A615">
        <v>1</v>
      </c>
      <c r="B615" t="s">
        <v>633</v>
      </c>
      <c r="C615">
        <v>26.5878444444444</v>
      </c>
      <c r="D615">
        <v>680.15847722799697</v>
      </c>
      <c r="E615">
        <v>6.3645769042506197</v>
      </c>
      <c r="F615">
        <v>24.967200332387801</v>
      </c>
      <c r="G615">
        <v>100</v>
      </c>
      <c r="H615">
        <v>571</v>
      </c>
      <c r="I615">
        <v>6.3426336743640094E-2</v>
      </c>
      <c r="K615" s="1" t="str">
        <f>TEXT(stand_validation_1cycle[[#This Row],[stand_age]], ".0")</f>
        <v>26.6</v>
      </c>
      <c r="L615" s="1" t="str">
        <f t="shared" si="9"/>
        <v>"26.6"</v>
      </c>
      <c r="M615">
        <v>100</v>
      </c>
      <c r="N615">
        <f>0.029*stand_validation_1cycle[[#This Row],[stand_level_biomass]]</f>
        <v>19.724595839611911</v>
      </c>
      <c r="O615">
        <f>0.213*stand_validation_1cycle[[#This Row],[stand_level_biomass]]</f>
        <v>144.87375564956335</v>
      </c>
      <c r="P615">
        <f>0.571*stand_validation_1cycle[[#This Row],[stand_level_biomass]]</f>
        <v>388.37049049718621</v>
      </c>
      <c r="Q615">
        <f>stand_validation_1cycle[[#This Row],[stock]]</f>
        <v>100</v>
      </c>
      <c r="R615">
        <v>0</v>
      </c>
      <c r="S615">
        <f>stand_validation_1cycle[[#This Row],[aws]]</f>
        <v>571</v>
      </c>
      <c r="T615">
        <f>stand_validation_1cycle[[#This Row],[percent_tree_cover]]*100</f>
        <v>6.3426336743640093</v>
      </c>
    </row>
    <row r="616" spans="1:20" x14ac:dyDescent="0.2">
      <c r="A616">
        <v>1</v>
      </c>
      <c r="B616" t="s">
        <v>634</v>
      </c>
      <c r="C616">
        <v>27.973184421534899</v>
      </c>
      <c r="D616">
        <v>901.21827677330896</v>
      </c>
      <c r="E616">
        <v>7.7703736432863302</v>
      </c>
      <c r="F616">
        <v>27.392712370084599</v>
      </c>
      <c r="G616">
        <v>97</v>
      </c>
      <c r="H616">
        <v>616.06829833984295</v>
      </c>
      <c r="I616">
        <v>7.6878159187654699E-2</v>
      </c>
      <c r="K616" s="1" t="str">
        <f>TEXT(stand_validation_1cycle[[#This Row],[stand_age]], ".0")</f>
        <v>28.0</v>
      </c>
      <c r="L616" s="1" t="str">
        <f t="shared" si="9"/>
        <v>"28.0"</v>
      </c>
      <c r="M616">
        <v>100</v>
      </c>
      <c r="N616">
        <f>0.029*stand_validation_1cycle[[#This Row],[stand_level_biomass]]</f>
        <v>26.135330026425962</v>
      </c>
      <c r="O616">
        <f>0.213*stand_validation_1cycle[[#This Row],[stand_level_biomass]]</f>
        <v>191.95949295271481</v>
      </c>
      <c r="P616">
        <f>0.571*stand_validation_1cycle[[#This Row],[stand_level_biomass]]</f>
        <v>514.59563603755942</v>
      </c>
      <c r="Q616">
        <f>stand_validation_1cycle[[#This Row],[stock]]</f>
        <v>97</v>
      </c>
      <c r="R616">
        <v>0</v>
      </c>
      <c r="S616">
        <f>stand_validation_1cycle[[#This Row],[aws]]</f>
        <v>616.06829833984295</v>
      </c>
      <c r="T616">
        <f>stand_validation_1cycle[[#This Row],[percent_tree_cover]]*100</f>
        <v>7.6878159187654695</v>
      </c>
    </row>
    <row r="617" spans="1:20" x14ac:dyDescent="0.2">
      <c r="A617">
        <v>1</v>
      </c>
      <c r="B617" t="s">
        <v>635</v>
      </c>
      <c r="C617">
        <v>27.138444444444399</v>
      </c>
      <c r="D617">
        <v>874.35231817846397</v>
      </c>
      <c r="E617">
        <v>7.6173914328252899</v>
      </c>
      <c r="F617">
        <v>26.0661525990364</v>
      </c>
      <c r="G617">
        <v>100</v>
      </c>
      <c r="H617">
        <v>572.00231933593705</v>
      </c>
      <c r="I617">
        <v>7.5883572015207304E-2</v>
      </c>
      <c r="K617" s="1" t="str">
        <f>TEXT(stand_validation_1cycle[[#This Row],[stand_age]], ".0")</f>
        <v>27.1</v>
      </c>
      <c r="L617" s="1" t="str">
        <f t="shared" si="9"/>
        <v>"27.1"</v>
      </c>
      <c r="M617">
        <v>100</v>
      </c>
      <c r="N617">
        <f>0.029*stand_validation_1cycle[[#This Row],[stand_level_biomass]]</f>
        <v>25.356217227175456</v>
      </c>
      <c r="O617">
        <f>0.213*stand_validation_1cycle[[#This Row],[stand_level_biomass]]</f>
        <v>186.23704377201281</v>
      </c>
      <c r="P617">
        <f>0.571*stand_validation_1cycle[[#This Row],[stand_level_biomass]]</f>
        <v>499.2551736799029</v>
      </c>
      <c r="Q617">
        <f>stand_validation_1cycle[[#This Row],[stock]]</f>
        <v>100</v>
      </c>
      <c r="R617">
        <v>0</v>
      </c>
      <c r="S617">
        <f>stand_validation_1cycle[[#This Row],[aws]]</f>
        <v>572.00231933593705</v>
      </c>
      <c r="T617">
        <f>stand_validation_1cycle[[#This Row],[percent_tree_cover]]*100</f>
        <v>7.5883572015207301</v>
      </c>
    </row>
    <row r="618" spans="1:20" x14ac:dyDescent="0.2">
      <c r="A618">
        <v>1</v>
      </c>
      <c r="B618" t="s">
        <v>636</v>
      </c>
      <c r="C618">
        <v>26.662099999999899</v>
      </c>
      <c r="D618">
        <v>683.09485996558101</v>
      </c>
      <c r="E618">
        <v>6.4100522433095</v>
      </c>
      <c r="F618">
        <v>25.0871895324692</v>
      </c>
      <c r="G618">
        <v>100</v>
      </c>
      <c r="H618">
        <v>567.02972412109295</v>
      </c>
      <c r="I618">
        <v>6.3864879590116497E-2</v>
      </c>
      <c r="K618" s="1" t="str">
        <f>TEXT(stand_validation_1cycle[[#This Row],[stand_age]], ".0")</f>
        <v>26.7</v>
      </c>
      <c r="L618" s="1" t="str">
        <f t="shared" si="9"/>
        <v>"26.7"</v>
      </c>
      <c r="M618">
        <v>100</v>
      </c>
      <c r="N618">
        <f>0.029*stand_validation_1cycle[[#This Row],[stand_level_biomass]]</f>
        <v>19.809750939001852</v>
      </c>
      <c r="O618">
        <f>0.213*stand_validation_1cycle[[#This Row],[stand_level_biomass]]</f>
        <v>145.49920517266875</v>
      </c>
      <c r="P618">
        <f>0.571*stand_validation_1cycle[[#This Row],[stand_level_biomass]]</f>
        <v>390.04716504034673</v>
      </c>
      <c r="Q618">
        <f>stand_validation_1cycle[[#This Row],[stock]]</f>
        <v>100</v>
      </c>
      <c r="R618">
        <v>0</v>
      </c>
      <c r="S618">
        <f>stand_validation_1cycle[[#This Row],[aws]]</f>
        <v>567.02972412109295</v>
      </c>
      <c r="T618">
        <f>stand_validation_1cycle[[#This Row],[percent_tree_cover]]*100</f>
        <v>6.3864879590116495</v>
      </c>
    </row>
    <row r="619" spans="1:20" x14ac:dyDescent="0.2">
      <c r="A619">
        <v>1</v>
      </c>
      <c r="B619" t="s">
        <v>637</v>
      </c>
      <c r="C619">
        <v>26.102166666666601</v>
      </c>
      <c r="D619">
        <v>734.53186591724295</v>
      </c>
      <c r="E619">
        <v>6.6749843225830503</v>
      </c>
      <c r="F619">
        <v>25.110135465725701</v>
      </c>
      <c r="G619">
        <v>100</v>
      </c>
      <c r="H619">
        <v>575.04486083984295</v>
      </c>
      <c r="I619">
        <v>6.65133532160994E-2</v>
      </c>
      <c r="K619" s="1" t="str">
        <f>TEXT(stand_validation_1cycle[[#This Row],[stand_age]], ".0")</f>
        <v>26.1</v>
      </c>
      <c r="L619" s="1" t="str">
        <f t="shared" si="9"/>
        <v>"26.1"</v>
      </c>
      <c r="M619">
        <v>100</v>
      </c>
      <c r="N619">
        <f>0.029*stand_validation_1cycle[[#This Row],[stand_level_biomass]]</f>
        <v>21.301424111600046</v>
      </c>
      <c r="O619">
        <f>0.213*stand_validation_1cycle[[#This Row],[stand_level_biomass]]</f>
        <v>156.45528744037276</v>
      </c>
      <c r="P619">
        <f>0.571*stand_validation_1cycle[[#This Row],[stand_level_biomass]]</f>
        <v>419.41769543874568</v>
      </c>
      <c r="Q619">
        <f>stand_validation_1cycle[[#This Row],[stock]]</f>
        <v>100</v>
      </c>
      <c r="R619">
        <v>0</v>
      </c>
      <c r="S619">
        <f>stand_validation_1cycle[[#This Row],[aws]]</f>
        <v>575.04486083984295</v>
      </c>
      <c r="T619">
        <f>stand_validation_1cycle[[#This Row],[percent_tree_cover]]*100</f>
        <v>6.65133532160994</v>
      </c>
    </row>
    <row r="620" spans="1:20" x14ac:dyDescent="0.2">
      <c r="A620">
        <v>1</v>
      </c>
      <c r="B620" t="s">
        <v>638</v>
      </c>
      <c r="C620">
        <v>27.924522222222201</v>
      </c>
      <c r="D620">
        <v>968.21089322005105</v>
      </c>
      <c r="E620">
        <v>8.4690057299806103</v>
      </c>
      <c r="F620">
        <v>28.343730598792099</v>
      </c>
      <c r="G620">
        <v>100</v>
      </c>
      <c r="H620">
        <v>574.16613769531205</v>
      </c>
      <c r="I620">
        <v>8.4391605037849496E-2</v>
      </c>
      <c r="K620" s="1" t="str">
        <f>TEXT(stand_validation_1cycle[[#This Row],[stand_age]], ".0")</f>
        <v>27.9</v>
      </c>
      <c r="L620" s="1" t="str">
        <f t="shared" si="9"/>
        <v>"27.9"</v>
      </c>
      <c r="M620">
        <v>100</v>
      </c>
      <c r="N620">
        <f>0.029*stand_validation_1cycle[[#This Row],[stand_level_biomass]]</f>
        <v>28.07811590338148</v>
      </c>
      <c r="O620">
        <f>0.213*stand_validation_1cycle[[#This Row],[stand_level_biomass]]</f>
        <v>206.22892025587086</v>
      </c>
      <c r="P620">
        <f>0.571*stand_validation_1cycle[[#This Row],[stand_level_biomass]]</f>
        <v>552.84842002864912</v>
      </c>
      <c r="Q620">
        <f>stand_validation_1cycle[[#This Row],[stock]]</f>
        <v>100</v>
      </c>
      <c r="R620">
        <v>0</v>
      </c>
      <c r="S620">
        <f>stand_validation_1cycle[[#This Row],[aws]]</f>
        <v>574.16613769531205</v>
      </c>
      <c r="T620">
        <f>stand_validation_1cycle[[#This Row],[percent_tree_cover]]*100</f>
        <v>8.4391605037849491</v>
      </c>
    </row>
    <row r="621" spans="1:20" x14ac:dyDescent="0.2">
      <c r="A621">
        <v>1</v>
      </c>
      <c r="B621" t="s">
        <v>639</v>
      </c>
      <c r="C621">
        <v>27.841155555555499</v>
      </c>
      <c r="D621">
        <v>1026.3449702298301</v>
      </c>
      <c r="E621">
        <v>8.8094679798317692</v>
      </c>
      <c r="F621">
        <v>28.559860332116401</v>
      </c>
      <c r="G621">
        <v>100</v>
      </c>
      <c r="H621">
        <v>571.445556640625</v>
      </c>
      <c r="I621">
        <v>8.7777042916140205E-2</v>
      </c>
      <c r="K621" s="1" t="str">
        <f>TEXT(stand_validation_1cycle[[#This Row],[stand_age]], ".0")</f>
        <v>27.8</v>
      </c>
      <c r="L621" s="1" t="str">
        <f t="shared" si="9"/>
        <v>"27.8"</v>
      </c>
      <c r="M621">
        <v>100</v>
      </c>
      <c r="N621">
        <f>0.029*stand_validation_1cycle[[#This Row],[stand_level_biomass]]</f>
        <v>29.764004136665076</v>
      </c>
      <c r="O621">
        <f>0.213*stand_validation_1cycle[[#This Row],[stand_level_biomass]]</f>
        <v>218.61147865895381</v>
      </c>
      <c r="P621">
        <f>0.571*stand_validation_1cycle[[#This Row],[stand_level_biomass]]</f>
        <v>586.04297800123288</v>
      </c>
      <c r="Q621">
        <f>stand_validation_1cycle[[#This Row],[stock]]</f>
        <v>100</v>
      </c>
      <c r="R621">
        <v>0</v>
      </c>
      <c r="S621">
        <f>stand_validation_1cycle[[#This Row],[aws]]</f>
        <v>571.445556640625</v>
      </c>
      <c r="T621">
        <f>stand_validation_1cycle[[#This Row],[percent_tree_cover]]*100</f>
        <v>8.77770429161402</v>
      </c>
    </row>
    <row r="622" spans="1:20" x14ac:dyDescent="0.2">
      <c r="A622">
        <v>1</v>
      </c>
      <c r="B622" t="s">
        <v>640</v>
      </c>
      <c r="C622">
        <v>26.183399999999999</v>
      </c>
      <c r="D622">
        <v>678.83086061227402</v>
      </c>
      <c r="E622">
        <v>6.3221622618345101</v>
      </c>
      <c r="F622">
        <v>24.696503932414998</v>
      </c>
      <c r="G622">
        <v>100</v>
      </c>
      <c r="H622">
        <v>567.02972412109295</v>
      </c>
      <c r="I622">
        <v>6.3003149705846404E-2</v>
      </c>
      <c r="K622" s="1" t="str">
        <f>TEXT(stand_validation_1cycle[[#This Row],[stand_age]], ".0")</f>
        <v>26.2</v>
      </c>
      <c r="L622" s="1" t="str">
        <f t="shared" si="9"/>
        <v>"26.2"</v>
      </c>
      <c r="M622">
        <v>100</v>
      </c>
      <c r="N622">
        <f>0.029*stand_validation_1cycle[[#This Row],[stand_level_biomass]]</f>
        <v>19.686094957755948</v>
      </c>
      <c r="O622">
        <f>0.213*stand_validation_1cycle[[#This Row],[stand_level_biomass]]</f>
        <v>144.59097331041437</v>
      </c>
      <c r="P622">
        <f>0.571*stand_validation_1cycle[[#This Row],[stand_level_biomass]]</f>
        <v>387.61242140960843</v>
      </c>
      <c r="Q622">
        <f>stand_validation_1cycle[[#This Row],[stock]]</f>
        <v>100</v>
      </c>
      <c r="R622">
        <v>0</v>
      </c>
      <c r="S622">
        <f>stand_validation_1cycle[[#This Row],[aws]]</f>
        <v>567.02972412109295</v>
      </c>
      <c r="T622">
        <f>stand_validation_1cycle[[#This Row],[percent_tree_cover]]*100</f>
        <v>6.3003149705846404</v>
      </c>
    </row>
    <row r="623" spans="1:20" x14ac:dyDescent="0.2">
      <c r="A623">
        <v>1</v>
      </c>
      <c r="B623" t="s">
        <v>641</v>
      </c>
      <c r="C623">
        <v>25.841449275362301</v>
      </c>
      <c r="D623">
        <v>783.80294496731005</v>
      </c>
      <c r="E623">
        <v>4.7435920640182996</v>
      </c>
      <c r="F623">
        <v>24.259659516095201</v>
      </c>
      <c r="G623">
        <v>69</v>
      </c>
      <c r="H623">
        <v>577.26940917968705</v>
      </c>
      <c r="I623">
        <v>6.8712621648241295E-2</v>
      </c>
      <c r="K623" s="1" t="str">
        <f>TEXT(stand_validation_1cycle[[#This Row],[stand_age]], ".0")</f>
        <v>25.8</v>
      </c>
      <c r="L623" s="1" t="str">
        <f t="shared" si="9"/>
        <v>"25.8"</v>
      </c>
      <c r="M623">
        <v>100</v>
      </c>
      <c r="N623">
        <f>0.029*stand_validation_1cycle[[#This Row],[stand_level_biomass]]</f>
        <v>22.730285404051994</v>
      </c>
      <c r="O623">
        <f>0.213*stand_validation_1cycle[[#This Row],[stand_level_biomass]]</f>
        <v>166.95002727803703</v>
      </c>
      <c r="P623">
        <f>0.571*stand_validation_1cycle[[#This Row],[stand_level_biomass]]</f>
        <v>447.55148157633403</v>
      </c>
      <c r="Q623">
        <f>stand_validation_1cycle[[#This Row],[stock]]</f>
        <v>69</v>
      </c>
      <c r="R623">
        <v>0</v>
      </c>
      <c r="S623">
        <f>stand_validation_1cycle[[#This Row],[aws]]</f>
        <v>577.26940917968705</v>
      </c>
      <c r="T623">
        <f>stand_validation_1cycle[[#This Row],[percent_tree_cover]]*100</f>
        <v>6.8712621648241292</v>
      </c>
    </row>
    <row r="624" spans="1:20" x14ac:dyDescent="0.2">
      <c r="A624">
        <v>1</v>
      </c>
      <c r="B624" t="s">
        <v>642</v>
      </c>
      <c r="C624">
        <v>27.417999999999999</v>
      </c>
      <c r="D624">
        <v>840.78361560094697</v>
      </c>
      <c r="E624">
        <v>7.47531840285383</v>
      </c>
      <c r="F624">
        <v>26.546168132347098</v>
      </c>
      <c r="G624">
        <v>100</v>
      </c>
      <c r="H624">
        <v>567.16552734375</v>
      </c>
      <c r="I624">
        <v>7.4487398184380493E-2</v>
      </c>
      <c r="K624" s="1" t="str">
        <f>TEXT(stand_validation_1cycle[[#This Row],[stand_age]], ".0")</f>
        <v>27.4</v>
      </c>
      <c r="L624" s="1" t="str">
        <f t="shared" si="9"/>
        <v>"27.4"</v>
      </c>
      <c r="M624">
        <v>100</v>
      </c>
      <c r="N624">
        <f>0.029*stand_validation_1cycle[[#This Row],[stand_level_biomass]]</f>
        <v>24.382724852427465</v>
      </c>
      <c r="O624">
        <f>0.213*stand_validation_1cycle[[#This Row],[stand_level_biomass]]</f>
        <v>179.0869101230017</v>
      </c>
      <c r="P624">
        <f>0.571*stand_validation_1cycle[[#This Row],[stand_level_biomass]]</f>
        <v>480.08744450814066</v>
      </c>
      <c r="Q624">
        <f>stand_validation_1cycle[[#This Row],[stock]]</f>
        <v>100</v>
      </c>
      <c r="R624">
        <v>0</v>
      </c>
      <c r="S624">
        <f>stand_validation_1cycle[[#This Row],[aws]]</f>
        <v>567.16552734375</v>
      </c>
      <c r="T624">
        <f>stand_validation_1cycle[[#This Row],[percent_tree_cover]]*100</f>
        <v>7.4487398184380496</v>
      </c>
    </row>
    <row r="625" spans="1:20" x14ac:dyDescent="0.2">
      <c r="A625">
        <v>1</v>
      </c>
      <c r="B625" t="s">
        <v>643</v>
      </c>
      <c r="C625">
        <v>27.390711111111099</v>
      </c>
      <c r="D625">
        <v>827.62878845685202</v>
      </c>
      <c r="E625">
        <v>7.4505547987619103</v>
      </c>
      <c r="F625">
        <v>26.9315609322928</v>
      </c>
      <c r="G625">
        <v>100</v>
      </c>
      <c r="H625">
        <v>577</v>
      </c>
      <c r="I625">
        <v>7.4251775834139805E-2</v>
      </c>
      <c r="K625" s="1" t="str">
        <f>TEXT(stand_validation_1cycle[[#This Row],[stand_age]], ".0")</f>
        <v>27.4</v>
      </c>
      <c r="L625" s="1" t="str">
        <f t="shared" si="9"/>
        <v>"27.4"</v>
      </c>
      <c r="M625">
        <v>100</v>
      </c>
      <c r="N625">
        <f>0.029*stand_validation_1cycle[[#This Row],[stand_level_biomass]]</f>
        <v>24.001234865248708</v>
      </c>
      <c r="O625">
        <f>0.213*stand_validation_1cycle[[#This Row],[stand_level_biomass]]</f>
        <v>176.28493194130948</v>
      </c>
      <c r="P625">
        <f>0.571*stand_validation_1cycle[[#This Row],[stand_level_biomass]]</f>
        <v>472.57603820886249</v>
      </c>
      <c r="Q625">
        <f>stand_validation_1cycle[[#This Row],[stock]]</f>
        <v>100</v>
      </c>
      <c r="R625">
        <v>0</v>
      </c>
      <c r="S625">
        <f>stand_validation_1cycle[[#This Row],[aws]]</f>
        <v>577</v>
      </c>
      <c r="T625">
        <f>stand_validation_1cycle[[#This Row],[percent_tree_cover]]*100</f>
        <v>7.4251775834139808</v>
      </c>
    </row>
    <row r="626" spans="1:20" x14ac:dyDescent="0.2">
      <c r="A626">
        <v>1</v>
      </c>
      <c r="B626" t="s">
        <v>644</v>
      </c>
      <c r="C626">
        <v>26.6513888888888</v>
      </c>
      <c r="D626">
        <v>712.005171007836</v>
      </c>
      <c r="E626">
        <v>6.6309596139319797</v>
      </c>
      <c r="F626">
        <v>25.587610265644201</v>
      </c>
      <c r="G626">
        <v>100</v>
      </c>
      <c r="H626">
        <v>566.92834472656205</v>
      </c>
      <c r="I626">
        <v>6.6084457048702E-2</v>
      </c>
      <c r="K626" s="1" t="str">
        <f>TEXT(stand_validation_1cycle[[#This Row],[stand_age]], ".0")</f>
        <v>26.7</v>
      </c>
      <c r="L626" s="1" t="str">
        <f t="shared" si="9"/>
        <v>"26.7"</v>
      </c>
      <c r="M626">
        <v>100</v>
      </c>
      <c r="N626">
        <f>0.029*stand_validation_1cycle[[#This Row],[stand_level_biomass]]</f>
        <v>20.648149959227243</v>
      </c>
      <c r="O626">
        <f>0.213*stand_validation_1cycle[[#This Row],[stand_level_biomass]]</f>
        <v>151.65710142466907</v>
      </c>
      <c r="P626">
        <f>0.571*stand_validation_1cycle[[#This Row],[stand_level_biomass]]</f>
        <v>406.55495264547432</v>
      </c>
      <c r="Q626">
        <f>stand_validation_1cycle[[#This Row],[stock]]</f>
        <v>100</v>
      </c>
      <c r="R626">
        <v>0</v>
      </c>
      <c r="S626">
        <f>stand_validation_1cycle[[#This Row],[aws]]</f>
        <v>566.92834472656205</v>
      </c>
      <c r="T626">
        <f>stand_validation_1cycle[[#This Row],[percent_tree_cover]]*100</f>
        <v>6.6084457048702001</v>
      </c>
    </row>
    <row r="627" spans="1:20" x14ac:dyDescent="0.2">
      <c r="A627">
        <v>1</v>
      </c>
      <c r="B627" t="s">
        <v>645</v>
      </c>
      <c r="C627">
        <v>29.565294784580502</v>
      </c>
      <c r="D627">
        <v>1019.85614178766</v>
      </c>
      <c r="E627">
        <v>8.7005026240401708</v>
      </c>
      <c r="F627">
        <v>29.201157549912502</v>
      </c>
      <c r="G627">
        <v>98</v>
      </c>
      <c r="H627">
        <v>574.86389160156205</v>
      </c>
      <c r="I627">
        <v>8.6555229659555005E-2</v>
      </c>
      <c r="K627" s="1" t="str">
        <f>TEXT(stand_validation_1cycle[[#This Row],[stand_age]], ".0")</f>
        <v>29.6</v>
      </c>
      <c r="L627" s="1" t="str">
        <f t="shared" si="9"/>
        <v>"29.6"</v>
      </c>
      <c r="M627">
        <v>100</v>
      </c>
      <c r="N627">
        <f>0.029*stand_validation_1cycle[[#This Row],[stand_level_biomass]]</f>
        <v>29.575828111842142</v>
      </c>
      <c r="O627">
        <f>0.213*stand_validation_1cycle[[#This Row],[stand_level_biomass]]</f>
        <v>217.22935820077157</v>
      </c>
      <c r="P627">
        <f>0.571*stand_validation_1cycle[[#This Row],[stand_level_biomass]]</f>
        <v>582.33785696075381</v>
      </c>
      <c r="Q627">
        <f>stand_validation_1cycle[[#This Row],[stock]]</f>
        <v>98</v>
      </c>
      <c r="R627">
        <v>0</v>
      </c>
      <c r="S627">
        <f>stand_validation_1cycle[[#This Row],[aws]]</f>
        <v>574.86389160156205</v>
      </c>
      <c r="T627">
        <f>stand_validation_1cycle[[#This Row],[percent_tree_cover]]*100</f>
        <v>8.6555229659555</v>
      </c>
    </row>
    <row r="628" spans="1:20" x14ac:dyDescent="0.2">
      <c r="A628">
        <v>1</v>
      </c>
      <c r="B628" t="s">
        <v>646</v>
      </c>
      <c r="C628">
        <v>27.6453423120089</v>
      </c>
      <c r="D628">
        <v>871.69143941268601</v>
      </c>
      <c r="E628">
        <v>7.6553740734053504</v>
      </c>
      <c r="F628">
        <v>26.666396766689701</v>
      </c>
      <c r="G628">
        <v>99</v>
      </c>
      <c r="H628">
        <v>571.76062011718705</v>
      </c>
      <c r="I628">
        <v>7.5597948213580901E-2</v>
      </c>
      <c r="K628" s="1" t="str">
        <f>TEXT(stand_validation_1cycle[[#This Row],[stand_age]], ".0")</f>
        <v>27.6</v>
      </c>
      <c r="L628" s="1" t="str">
        <f t="shared" si="9"/>
        <v>"27.6"</v>
      </c>
      <c r="M628">
        <v>100</v>
      </c>
      <c r="N628">
        <f>0.029*stand_validation_1cycle[[#This Row],[stand_level_biomass]]</f>
        <v>25.279051742967894</v>
      </c>
      <c r="O628">
        <f>0.213*stand_validation_1cycle[[#This Row],[stand_level_biomass]]</f>
        <v>185.67027659490211</v>
      </c>
      <c r="P628">
        <f>0.571*stand_validation_1cycle[[#This Row],[stand_level_biomass]]</f>
        <v>497.7358119046437</v>
      </c>
      <c r="Q628">
        <f>stand_validation_1cycle[[#This Row],[stock]]</f>
        <v>99</v>
      </c>
      <c r="R628">
        <v>0</v>
      </c>
      <c r="S628">
        <f>stand_validation_1cycle[[#This Row],[aws]]</f>
        <v>571.76062011718705</v>
      </c>
      <c r="T628">
        <f>stand_validation_1cycle[[#This Row],[percent_tree_cover]]*100</f>
        <v>7.5597948213580901</v>
      </c>
    </row>
    <row r="629" spans="1:20" x14ac:dyDescent="0.2">
      <c r="A629">
        <v>1</v>
      </c>
      <c r="B629" t="s">
        <v>647</v>
      </c>
      <c r="C629">
        <v>25.612671156004399</v>
      </c>
      <c r="D629">
        <v>743.50989161342898</v>
      </c>
      <c r="E629">
        <v>6.6357049896352196</v>
      </c>
      <c r="F629">
        <v>24.7574521202799</v>
      </c>
      <c r="G629">
        <v>99</v>
      </c>
      <c r="H629">
        <v>566.92834472656205</v>
      </c>
      <c r="I629">
        <v>6.6006117125257002E-2</v>
      </c>
      <c r="K629" s="1" t="str">
        <f>TEXT(stand_validation_1cycle[[#This Row],[stand_age]], ".0")</f>
        <v>25.6</v>
      </c>
      <c r="L629" s="1" t="str">
        <f t="shared" si="9"/>
        <v>"25.6"</v>
      </c>
      <c r="M629">
        <v>100</v>
      </c>
      <c r="N629">
        <f>0.029*stand_validation_1cycle[[#This Row],[stand_level_biomass]]</f>
        <v>21.561786856789443</v>
      </c>
      <c r="O629">
        <f>0.213*stand_validation_1cycle[[#This Row],[stand_level_biomass]]</f>
        <v>158.36760691366038</v>
      </c>
      <c r="P629">
        <f>0.571*stand_validation_1cycle[[#This Row],[stand_level_biomass]]</f>
        <v>424.54414811126793</v>
      </c>
      <c r="Q629">
        <f>stand_validation_1cycle[[#This Row],[stock]]</f>
        <v>99</v>
      </c>
      <c r="R629">
        <v>0</v>
      </c>
      <c r="S629">
        <f>stand_validation_1cycle[[#This Row],[aws]]</f>
        <v>566.92834472656205</v>
      </c>
      <c r="T629">
        <f>stand_validation_1cycle[[#This Row],[percent_tree_cover]]*100</f>
        <v>6.6006117125257004</v>
      </c>
    </row>
    <row r="630" spans="1:20" x14ac:dyDescent="0.2">
      <c r="A630">
        <v>1</v>
      </c>
      <c r="B630" t="s">
        <v>648</v>
      </c>
      <c r="C630">
        <v>27.945222222222199</v>
      </c>
      <c r="D630">
        <v>717.41003516199601</v>
      </c>
      <c r="E630">
        <v>6.8110042889092002</v>
      </c>
      <c r="F630">
        <v>26.703075885714199</v>
      </c>
      <c r="G630">
        <v>100</v>
      </c>
      <c r="H630">
        <v>572.35162353515602</v>
      </c>
      <c r="I630">
        <v>6.7877899249634305E-2</v>
      </c>
      <c r="K630" s="1" t="str">
        <f>TEXT(stand_validation_1cycle[[#This Row],[stand_age]], ".0")</f>
        <v>27.9</v>
      </c>
      <c r="L630" s="1" t="str">
        <f t="shared" si="9"/>
        <v>"27.9"</v>
      </c>
      <c r="M630">
        <v>100</v>
      </c>
      <c r="N630">
        <f>0.029*stand_validation_1cycle[[#This Row],[stand_level_biomass]]</f>
        <v>20.804891019697884</v>
      </c>
      <c r="O630">
        <f>0.213*stand_validation_1cycle[[#This Row],[stand_level_biomass]]</f>
        <v>152.80833748950513</v>
      </c>
      <c r="P630">
        <f>0.571*stand_validation_1cycle[[#This Row],[stand_level_biomass]]</f>
        <v>409.64113007749967</v>
      </c>
      <c r="Q630">
        <f>stand_validation_1cycle[[#This Row],[stock]]</f>
        <v>100</v>
      </c>
      <c r="R630">
        <v>0</v>
      </c>
      <c r="S630">
        <f>stand_validation_1cycle[[#This Row],[aws]]</f>
        <v>572.35162353515602</v>
      </c>
      <c r="T630">
        <f>stand_validation_1cycle[[#This Row],[percent_tree_cover]]*100</f>
        <v>6.7877899249634304</v>
      </c>
    </row>
    <row r="631" spans="1:20" x14ac:dyDescent="0.2">
      <c r="A631">
        <v>1</v>
      </c>
      <c r="B631" t="s">
        <v>649</v>
      </c>
      <c r="C631">
        <v>28.137811111111098</v>
      </c>
      <c r="D631">
        <v>968.18594135002297</v>
      </c>
      <c r="E631">
        <v>8.4322844388509601</v>
      </c>
      <c r="F631">
        <v>28.1116397714285</v>
      </c>
      <c r="G631">
        <v>100</v>
      </c>
      <c r="H631">
        <v>570.9267578125</v>
      </c>
      <c r="I631">
        <v>8.4014611810121903E-2</v>
      </c>
      <c r="K631" s="1" t="str">
        <f>TEXT(stand_validation_1cycle[[#This Row],[stand_age]], ".0")</f>
        <v>28.1</v>
      </c>
      <c r="L631" s="1" t="str">
        <f t="shared" si="9"/>
        <v>"28.1"</v>
      </c>
      <c r="M631">
        <v>100</v>
      </c>
      <c r="N631">
        <f>0.029*stand_validation_1cycle[[#This Row],[stand_level_biomass]]</f>
        <v>28.077392299150667</v>
      </c>
      <c r="O631">
        <f>0.213*stand_validation_1cycle[[#This Row],[stand_level_biomass]]</f>
        <v>206.22360550755488</v>
      </c>
      <c r="P631">
        <f>0.571*stand_validation_1cycle[[#This Row],[stand_level_biomass]]</f>
        <v>552.83417251086303</v>
      </c>
      <c r="Q631">
        <f>stand_validation_1cycle[[#This Row],[stock]]</f>
        <v>100</v>
      </c>
      <c r="R631">
        <v>0</v>
      </c>
      <c r="S631">
        <f>stand_validation_1cycle[[#This Row],[aws]]</f>
        <v>570.9267578125</v>
      </c>
      <c r="T631">
        <f>stand_validation_1cycle[[#This Row],[percent_tree_cover]]*100</f>
        <v>8.4014611810121895</v>
      </c>
    </row>
    <row r="632" spans="1:20" x14ac:dyDescent="0.2">
      <c r="A632">
        <v>1</v>
      </c>
      <c r="B632" t="s">
        <v>650</v>
      </c>
      <c r="C632">
        <v>26.377233333333301</v>
      </c>
      <c r="D632">
        <v>735.69286005579602</v>
      </c>
      <c r="E632">
        <v>6.7700693366329299</v>
      </c>
      <c r="F632">
        <v>25.607627428571401</v>
      </c>
      <c r="G632">
        <v>100</v>
      </c>
      <c r="H632">
        <v>571.97131347656205</v>
      </c>
      <c r="I632">
        <v>6.7475180814122501E-2</v>
      </c>
      <c r="K632" s="1" t="str">
        <f>TEXT(stand_validation_1cycle[[#This Row],[stand_age]], ".0")</f>
        <v>26.4</v>
      </c>
      <c r="L632" s="1" t="str">
        <f t="shared" si="9"/>
        <v>"26.4"</v>
      </c>
      <c r="M632">
        <v>100</v>
      </c>
      <c r="N632">
        <f>0.029*stand_validation_1cycle[[#This Row],[stand_level_biomass]]</f>
        <v>21.335092941618086</v>
      </c>
      <c r="O632">
        <f>0.213*stand_validation_1cycle[[#This Row],[stand_level_biomass]]</f>
        <v>156.70257919188455</v>
      </c>
      <c r="P632">
        <f>0.571*stand_validation_1cycle[[#This Row],[stand_level_biomass]]</f>
        <v>420.08062309185948</v>
      </c>
      <c r="Q632">
        <f>stand_validation_1cycle[[#This Row],[stock]]</f>
        <v>100</v>
      </c>
      <c r="R632">
        <v>0</v>
      </c>
      <c r="S632">
        <f>stand_validation_1cycle[[#This Row],[aws]]</f>
        <v>571.97131347656205</v>
      </c>
      <c r="T632">
        <f>stand_validation_1cycle[[#This Row],[percent_tree_cover]]*100</f>
        <v>6.7475180814122497</v>
      </c>
    </row>
    <row r="633" spans="1:20" x14ac:dyDescent="0.2">
      <c r="A633">
        <v>1</v>
      </c>
      <c r="B633" t="s">
        <v>651</v>
      </c>
      <c r="C633">
        <v>28.7263666666666</v>
      </c>
      <c r="D633">
        <v>934.87254629433903</v>
      </c>
      <c r="E633">
        <v>8.1893128776241593</v>
      </c>
      <c r="F633">
        <v>27.635143542857101</v>
      </c>
      <c r="G633">
        <v>100</v>
      </c>
      <c r="H633">
        <v>566.60467529296795</v>
      </c>
      <c r="I633">
        <v>8.1580665778136996E-2</v>
      </c>
      <c r="K633" s="1" t="str">
        <f>TEXT(stand_validation_1cycle[[#This Row],[stand_age]], ".0")</f>
        <v>28.7</v>
      </c>
      <c r="L633" s="1" t="str">
        <f t="shared" si="9"/>
        <v>"28.7"</v>
      </c>
      <c r="M633">
        <v>100</v>
      </c>
      <c r="N633">
        <f>0.029*stand_validation_1cycle[[#This Row],[stand_level_biomass]]</f>
        <v>27.111303842535833</v>
      </c>
      <c r="O633">
        <f>0.213*stand_validation_1cycle[[#This Row],[stand_level_biomass]]</f>
        <v>199.12785236069422</v>
      </c>
      <c r="P633">
        <f>0.571*stand_validation_1cycle[[#This Row],[stand_level_biomass]]</f>
        <v>533.81222393406756</v>
      </c>
      <c r="Q633">
        <f>stand_validation_1cycle[[#This Row],[stock]]</f>
        <v>100</v>
      </c>
      <c r="R633">
        <v>0</v>
      </c>
      <c r="S633">
        <f>stand_validation_1cycle[[#This Row],[aws]]</f>
        <v>566.60467529296795</v>
      </c>
      <c r="T633">
        <f>stand_validation_1cycle[[#This Row],[percent_tree_cover]]*100</f>
        <v>8.1580665778136989</v>
      </c>
    </row>
    <row r="634" spans="1:20" x14ac:dyDescent="0.2">
      <c r="A634">
        <v>1</v>
      </c>
      <c r="B634" t="s">
        <v>652</v>
      </c>
      <c r="C634">
        <v>27.072091503267899</v>
      </c>
      <c r="D634">
        <v>699.69155956729298</v>
      </c>
      <c r="E634">
        <v>3.30890131194937</v>
      </c>
      <c r="F634">
        <v>24.9809272829131</v>
      </c>
      <c r="G634">
        <v>51</v>
      </c>
      <c r="H634">
        <v>571.94464111328102</v>
      </c>
      <c r="I634">
        <v>6.71244348320236E-2</v>
      </c>
      <c r="K634" s="1" t="str">
        <f>TEXT(stand_validation_1cycle[[#This Row],[stand_age]], ".0")</f>
        <v>27.1</v>
      </c>
      <c r="L634" s="1" t="str">
        <f t="shared" si="9"/>
        <v>"27.1"</v>
      </c>
      <c r="M634">
        <v>100</v>
      </c>
      <c r="N634">
        <f>0.029*stand_validation_1cycle[[#This Row],[stand_level_biomass]]</f>
        <v>20.291055227451498</v>
      </c>
      <c r="O634">
        <f>0.213*stand_validation_1cycle[[#This Row],[stand_level_biomass]]</f>
        <v>149.03430218783339</v>
      </c>
      <c r="P634">
        <f>0.571*stand_validation_1cycle[[#This Row],[stand_level_biomass]]</f>
        <v>399.52388051292428</v>
      </c>
      <c r="Q634">
        <f>stand_validation_1cycle[[#This Row],[stock]]</f>
        <v>51</v>
      </c>
      <c r="R634">
        <v>0</v>
      </c>
      <c r="S634">
        <f>stand_validation_1cycle[[#This Row],[aws]]</f>
        <v>571.94464111328102</v>
      </c>
      <c r="T634">
        <f>stand_validation_1cycle[[#This Row],[percent_tree_cover]]*100</f>
        <v>6.7124434832023603</v>
      </c>
    </row>
    <row r="635" spans="1:20" x14ac:dyDescent="0.2">
      <c r="A635">
        <v>1</v>
      </c>
      <c r="B635" t="s">
        <v>653</v>
      </c>
      <c r="C635">
        <v>22.714888888888801</v>
      </c>
      <c r="D635">
        <v>386.63516470544698</v>
      </c>
      <c r="E635">
        <v>0.22165506967402701</v>
      </c>
      <c r="F635">
        <v>23.0065737142857</v>
      </c>
      <c r="G635">
        <v>5</v>
      </c>
      <c r="H635">
        <v>570.440673828125</v>
      </c>
      <c r="I635">
        <v>3.7394663568304697E-2</v>
      </c>
      <c r="K635" s="1" t="str">
        <f>TEXT(stand_validation_1cycle[[#This Row],[stand_age]], ".0")</f>
        <v>22.7</v>
      </c>
      <c r="L635" s="1" t="str">
        <f t="shared" si="9"/>
        <v>"22.7"</v>
      </c>
      <c r="M635">
        <v>100</v>
      </c>
      <c r="N635">
        <f>0.029*stand_validation_1cycle[[#This Row],[stand_level_biomass]]</f>
        <v>11.212419776457963</v>
      </c>
      <c r="O635">
        <f>0.213*stand_validation_1cycle[[#This Row],[stand_level_biomass]]</f>
        <v>82.353290082260202</v>
      </c>
      <c r="P635">
        <f>0.571*stand_validation_1cycle[[#This Row],[stand_level_biomass]]</f>
        <v>220.76867904681021</v>
      </c>
      <c r="Q635">
        <f>stand_validation_1cycle[[#This Row],[stock]]</f>
        <v>5</v>
      </c>
      <c r="R635">
        <v>0</v>
      </c>
      <c r="S635">
        <f>stand_validation_1cycle[[#This Row],[aws]]</f>
        <v>570.440673828125</v>
      </c>
      <c r="T635">
        <f>stand_validation_1cycle[[#This Row],[percent_tree_cover]]*100</f>
        <v>3.7394663568304698</v>
      </c>
    </row>
    <row r="636" spans="1:20" x14ac:dyDescent="0.2">
      <c r="A636">
        <v>1</v>
      </c>
      <c r="B636" t="s">
        <v>654</v>
      </c>
      <c r="C636">
        <v>25.7494104308389</v>
      </c>
      <c r="D636">
        <v>681.47865680121902</v>
      </c>
      <c r="E636">
        <v>6.3338607674783098</v>
      </c>
      <c r="F636">
        <v>25.203772924071401</v>
      </c>
      <c r="G636">
        <v>98</v>
      </c>
      <c r="H636">
        <v>567.52862548828102</v>
      </c>
      <c r="I636">
        <v>6.4160669128872194E-2</v>
      </c>
      <c r="K636" s="1" t="str">
        <f>TEXT(stand_validation_1cycle[[#This Row],[stand_age]], ".0")</f>
        <v>25.7</v>
      </c>
      <c r="L636" s="1" t="str">
        <f t="shared" si="9"/>
        <v>"25.7"</v>
      </c>
      <c r="M636">
        <v>100</v>
      </c>
      <c r="N636">
        <f>0.029*stand_validation_1cycle[[#This Row],[stand_level_biomass]]</f>
        <v>19.762881047235354</v>
      </c>
      <c r="O636">
        <f>0.213*stand_validation_1cycle[[#This Row],[stand_level_biomass]]</f>
        <v>145.15495389865964</v>
      </c>
      <c r="P636">
        <f>0.571*stand_validation_1cycle[[#This Row],[stand_level_biomass]]</f>
        <v>389.12431303349604</v>
      </c>
      <c r="Q636">
        <f>stand_validation_1cycle[[#This Row],[stock]]</f>
        <v>98</v>
      </c>
      <c r="R636">
        <v>0</v>
      </c>
      <c r="S636">
        <f>stand_validation_1cycle[[#This Row],[aws]]</f>
        <v>567.52862548828102</v>
      </c>
      <c r="T636">
        <f>stand_validation_1cycle[[#This Row],[percent_tree_cover]]*100</f>
        <v>6.416066912887219</v>
      </c>
    </row>
    <row r="637" spans="1:20" x14ac:dyDescent="0.2">
      <c r="A637">
        <v>1</v>
      </c>
      <c r="B637" t="s">
        <v>655</v>
      </c>
      <c r="C637">
        <v>27.7789450056116</v>
      </c>
      <c r="D637">
        <v>914.85207169673299</v>
      </c>
      <c r="E637">
        <v>8.0332605457423991</v>
      </c>
      <c r="F637">
        <v>27.603791918067799</v>
      </c>
      <c r="G637">
        <v>99</v>
      </c>
      <c r="H637">
        <v>572.67083740234295</v>
      </c>
      <c r="I637">
        <v>7.9631145162736394E-2</v>
      </c>
      <c r="K637" s="1" t="str">
        <f>TEXT(stand_validation_1cycle[[#This Row],[stand_age]], ".0")</f>
        <v>27.8</v>
      </c>
      <c r="L637" s="1" t="str">
        <f t="shared" si="9"/>
        <v>"27.8"</v>
      </c>
      <c r="M637">
        <v>100</v>
      </c>
      <c r="N637">
        <f>0.029*stand_validation_1cycle[[#This Row],[stand_level_biomass]]</f>
        <v>26.530710079205257</v>
      </c>
      <c r="O637">
        <f>0.213*stand_validation_1cycle[[#This Row],[stand_level_biomass]]</f>
        <v>194.86349127140411</v>
      </c>
      <c r="P637">
        <f>0.571*stand_validation_1cycle[[#This Row],[stand_level_biomass]]</f>
        <v>522.38053293883445</v>
      </c>
      <c r="Q637">
        <f>stand_validation_1cycle[[#This Row],[stock]]</f>
        <v>99</v>
      </c>
      <c r="R637">
        <v>0</v>
      </c>
      <c r="S637">
        <f>stand_validation_1cycle[[#This Row],[aws]]</f>
        <v>572.67083740234295</v>
      </c>
      <c r="T637">
        <f>stand_validation_1cycle[[#This Row],[percent_tree_cover]]*100</f>
        <v>7.9631145162736399</v>
      </c>
    </row>
    <row r="638" spans="1:20" x14ac:dyDescent="0.2">
      <c r="A638">
        <v>1</v>
      </c>
      <c r="B638" t="s">
        <v>656</v>
      </c>
      <c r="C638">
        <v>31.106206509539799</v>
      </c>
      <c r="D638">
        <v>1130.44892127139</v>
      </c>
      <c r="E638">
        <v>9.6007338529079593</v>
      </c>
      <c r="F638">
        <v>30.275982961870799</v>
      </c>
      <c r="G638">
        <v>99</v>
      </c>
      <c r="H638">
        <v>567.69787597656205</v>
      </c>
      <c r="I638">
        <v>9.4958566290327895E-2</v>
      </c>
      <c r="K638" s="1" t="str">
        <f>TEXT(stand_validation_1cycle[[#This Row],[stand_age]], ".0")</f>
        <v>31.1</v>
      </c>
      <c r="L638" s="1" t="str">
        <f t="shared" si="9"/>
        <v>"31.1"</v>
      </c>
      <c r="M638">
        <v>100</v>
      </c>
      <c r="N638">
        <f>0.029*stand_validation_1cycle[[#This Row],[stand_level_biomass]]</f>
        <v>32.783018716870309</v>
      </c>
      <c r="O638">
        <f>0.213*stand_validation_1cycle[[#This Row],[stand_level_biomass]]</f>
        <v>240.78562023080605</v>
      </c>
      <c r="P638">
        <f>0.571*stand_validation_1cycle[[#This Row],[stand_level_biomass]]</f>
        <v>645.48633404596364</v>
      </c>
      <c r="Q638">
        <f>stand_validation_1cycle[[#This Row],[stock]]</f>
        <v>99</v>
      </c>
      <c r="R638">
        <v>0</v>
      </c>
      <c r="S638">
        <f>stand_validation_1cycle[[#This Row],[aws]]</f>
        <v>567.69787597656205</v>
      </c>
      <c r="T638">
        <f>stand_validation_1cycle[[#This Row],[percent_tree_cover]]*100</f>
        <v>9.4958566290327902</v>
      </c>
    </row>
    <row r="639" spans="1:20" x14ac:dyDescent="0.2">
      <c r="A639">
        <v>1</v>
      </c>
      <c r="B639" t="s">
        <v>657</v>
      </c>
      <c r="C639">
        <v>30.431988888888899</v>
      </c>
      <c r="D639">
        <v>1144.5109692434401</v>
      </c>
      <c r="E639">
        <v>9.7150752591280192</v>
      </c>
      <c r="F639">
        <v>30.170122932157099</v>
      </c>
      <c r="G639">
        <v>100</v>
      </c>
      <c r="H639">
        <v>645.81042480468705</v>
      </c>
      <c r="I639">
        <v>9.6770501789354396E-2</v>
      </c>
      <c r="K639" s="1" t="str">
        <f>TEXT(stand_validation_1cycle[[#This Row],[stand_age]], ".0")</f>
        <v>30.4</v>
      </c>
      <c r="L639" s="1" t="str">
        <f t="shared" si="9"/>
        <v>"30.4"</v>
      </c>
      <c r="M639">
        <v>100</v>
      </c>
      <c r="N639">
        <f>0.029*stand_validation_1cycle[[#This Row],[stand_level_biomass]]</f>
        <v>33.190818108059766</v>
      </c>
      <c r="O639">
        <f>0.213*stand_validation_1cycle[[#This Row],[stand_level_biomass]]</f>
        <v>243.78083644885274</v>
      </c>
      <c r="P639">
        <f>0.571*stand_validation_1cycle[[#This Row],[stand_level_biomass]]</f>
        <v>653.51576343800423</v>
      </c>
      <c r="Q639">
        <f>stand_validation_1cycle[[#This Row],[stock]]</f>
        <v>100</v>
      </c>
      <c r="R639">
        <v>0</v>
      </c>
      <c r="S639">
        <f>stand_validation_1cycle[[#This Row],[aws]]</f>
        <v>645.81042480468705</v>
      </c>
      <c r="T639">
        <f>stand_validation_1cycle[[#This Row],[percent_tree_cover]]*100</f>
        <v>9.6770501789354402</v>
      </c>
    </row>
    <row r="640" spans="1:20" x14ac:dyDescent="0.2">
      <c r="A640">
        <v>1</v>
      </c>
      <c r="B640" t="s">
        <v>658</v>
      </c>
      <c r="C640">
        <v>27.052044444444402</v>
      </c>
      <c r="D640">
        <v>826.43103059558405</v>
      </c>
      <c r="E640">
        <v>7.4747764781210799</v>
      </c>
      <c r="F640">
        <v>27.0760377987921</v>
      </c>
      <c r="G640">
        <v>100</v>
      </c>
      <c r="H640">
        <v>567.52862548828102</v>
      </c>
      <c r="I640">
        <v>7.4497448246784406E-2</v>
      </c>
      <c r="K640" s="1" t="str">
        <f>TEXT(stand_validation_1cycle[[#This Row],[stand_age]], ".0")</f>
        <v>27.1</v>
      </c>
      <c r="L640" s="1" t="str">
        <f t="shared" si="9"/>
        <v>"27.1"</v>
      </c>
      <c r="M640">
        <v>100</v>
      </c>
      <c r="N640">
        <f>0.029*stand_validation_1cycle[[#This Row],[stand_level_biomass]]</f>
        <v>23.96649988727194</v>
      </c>
      <c r="O640">
        <f>0.213*stand_validation_1cycle[[#This Row],[stand_level_biomass]]</f>
        <v>176.02980951685939</v>
      </c>
      <c r="P640">
        <f>0.571*stand_validation_1cycle[[#This Row],[stand_level_biomass]]</f>
        <v>471.89211847007846</v>
      </c>
      <c r="Q640">
        <f>stand_validation_1cycle[[#This Row],[stock]]</f>
        <v>100</v>
      </c>
      <c r="R640">
        <v>0</v>
      </c>
      <c r="S640">
        <f>stand_validation_1cycle[[#This Row],[aws]]</f>
        <v>567.52862548828102</v>
      </c>
      <c r="T640">
        <f>stand_validation_1cycle[[#This Row],[percent_tree_cover]]*100</f>
        <v>7.449744824678441</v>
      </c>
    </row>
    <row r="641" spans="1:20" x14ac:dyDescent="0.2">
      <c r="A641">
        <v>1</v>
      </c>
      <c r="B641" t="s">
        <v>659</v>
      </c>
      <c r="C641">
        <v>28.828622222222201</v>
      </c>
      <c r="D641">
        <v>982.56597570660597</v>
      </c>
      <c r="E641">
        <v>8.4873801200132899</v>
      </c>
      <c r="F641">
        <v>27.9524582656442</v>
      </c>
      <c r="G641">
        <v>100</v>
      </c>
      <c r="H641">
        <v>524.924560546875</v>
      </c>
      <c r="I641">
        <v>8.4545707337598905E-2</v>
      </c>
      <c r="K641" s="1" t="str">
        <f>TEXT(stand_validation_1cycle[[#This Row],[stand_age]], ".0")</f>
        <v>28.8</v>
      </c>
      <c r="L641" s="1" t="str">
        <f t="shared" si="9"/>
        <v>"28.8"</v>
      </c>
      <c r="M641">
        <v>100</v>
      </c>
      <c r="N641">
        <f>0.029*stand_validation_1cycle[[#This Row],[stand_level_biomass]]</f>
        <v>28.494413295491576</v>
      </c>
      <c r="O641">
        <f>0.213*stand_validation_1cycle[[#This Row],[stand_level_biomass]]</f>
        <v>209.28655282550707</v>
      </c>
      <c r="P641">
        <f>0.571*stand_validation_1cycle[[#This Row],[stand_level_biomass]]</f>
        <v>561.0451721284719</v>
      </c>
      <c r="Q641">
        <f>stand_validation_1cycle[[#This Row],[stock]]</f>
        <v>100</v>
      </c>
      <c r="R641">
        <v>0</v>
      </c>
      <c r="S641">
        <f>stand_validation_1cycle[[#This Row],[aws]]</f>
        <v>524.924560546875</v>
      </c>
      <c r="T641">
        <f>stand_validation_1cycle[[#This Row],[percent_tree_cover]]*100</f>
        <v>8.4545707337598905</v>
      </c>
    </row>
    <row r="642" spans="1:20" x14ac:dyDescent="0.2">
      <c r="A642">
        <v>1</v>
      </c>
      <c r="B642" t="s">
        <v>660</v>
      </c>
      <c r="C642">
        <v>27.9552413019079</v>
      </c>
      <c r="D642">
        <v>890.58564922308199</v>
      </c>
      <c r="E642">
        <v>7.8185201214989197</v>
      </c>
      <c r="F642">
        <v>27.3492286858542</v>
      </c>
      <c r="G642">
        <v>99</v>
      </c>
      <c r="H642">
        <v>525.39300537109295</v>
      </c>
      <c r="I642">
        <v>7.7544100986328204E-2</v>
      </c>
      <c r="K642" s="1" t="str">
        <f>TEXT(stand_validation_1cycle[[#This Row],[stand_age]], ".0")</f>
        <v>28.0</v>
      </c>
      <c r="L642" s="1" t="str">
        <f t="shared" si="9"/>
        <v>"28.0"</v>
      </c>
      <c r="M642">
        <v>100</v>
      </c>
      <c r="N642">
        <f>0.029*stand_validation_1cycle[[#This Row],[stand_level_biomass]]</f>
        <v>25.82698382746938</v>
      </c>
      <c r="O642">
        <f>0.213*stand_validation_1cycle[[#This Row],[stand_level_biomass]]</f>
        <v>189.69474328451645</v>
      </c>
      <c r="P642">
        <f>0.571*stand_validation_1cycle[[#This Row],[stand_level_biomass]]</f>
        <v>508.52440570637975</v>
      </c>
      <c r="Q642">
        <f>stand_validation_1cycle[[#This Row],[stock]]</f>
        <v>99</v>
      </c>
      <c r="R642">
        <v>0</v>
      </c>
      <c r="S642">
        <f>stand_validation_1cycle[[#This Row],[aws]]</f>
        <v>525.39300537109295</v>
      </c>
      <c r="T642">
        <f>stand_validation_1cycle[[#This Row],[percent_tree_cover]]*100</f>
        <v>7.7544100986328202</v>
      </c>
    </row>
    <row r="643" spans="1:20" x14ac:dyDescent="0.2">
      <c r="A643">
        <v>1</v>
      </c>
      <c r="B643" t="s">
        <v>661</v>
      </c>
      <c r="C643">
        <v>30.3620666666666</v>
      </c>
      <c r="D643">
        <v>1267.30833402489</v>
      </c>
      <c r="E643">
        <v>10.4554795325407</v>
      </c>
      <c r="F643">
        <v>30.578377198832801</v>
      </c>
      <c r="G643">
        <v>100</v>
      </c>
      <c r="H643">
        <v>524.13592529296795</v>
      </c>
      <c r="I643">
        <v>0.104142555580527</v>
      </c>
      <c r="K643" s="1" t="str">
        <f>TEXT(stand_validation_1cycle[[#This Row],[stand_age]], ".0")</f>
        <v>30.4</v>
      </c>
      <c r="L643" s="1" t="str">
        <f t="shared" ref="L643:L706" si="10">""""&amp;K643&amp;""""</f>
        <v>"30.4"</v>
      </c>
      <c r="M643">
        <v>100</v>
      </c>
      <c r="N643">
        <f>0.029*stand_validation_1cycle[[#This Row],[stand_level_biomass]]</f>
        <v>36.751941686721814</v>
      </c>
      <c r="O643">
        <f>0.213*stand_validation_1cycle[[#This Row],[stand_level_biomass]]</f>
        <v>269.93667514730157</v>
      </c>
      <c r="P643">
        <f>0.571*stand_validation_1cycle[[#This Row],[stand_level_biomass]]</f>
        <v>723.63305872821206</v>
      </c>
      <c r="Q643">
        <f>stand_validation_1cycle[[#This Row],[stock]]</f>
        <v>100</v>
      </c>
      <c r="R643">
        <v>0</v>
      </c>
      <c r="S643">
        <f>stand_validation_1cycle[[#This Row],[aws]]</f>
        <v>524.13592529296795</v>
      </c>
      <c r="T643">
        <f>stand_validation_1cycle[[#This Row],[percent_tree_cover]]*100</f>
        <v>10.4142555580527</v>
      </c>
    </row>
    <row r="644" spans="1:20" x14ac:dyDescent="0.2">
      <c r="A644">
        <v>1</v>
      </c>
      <c r="B644" t="s">
        <v>662</v>
      </c>
      <c r="C644">
        <v>26.797676767676698</v>
      </c>
      <c r="D644">
        <v>663.044020406355</v>
      </c>
      <c r="E644">
        <v>6.3211208238698404</v>
      </c>
      <c r="F644">
        <v>24.870614342543298</v>
      </c>
      <c r="G644">
        <v>99</v>
      </c>
      <c r="H644">
        <v>570</v>
      </c>
      <c r="I644">
        <v>6.1763385553684901E-2</v>
      </c>
      <c r="K644" s="1" t="str">
        <f>TEXT(stand_validation_1cycle[[#This Row],[stand_age]], ".0")</f>
        <v>26.8</v>
      </c>
      <c r="L644" s="1" t="str">
        <f t="shared" si="10"/>
        <v>"26.8"</v>
      </c>
      <c r="M644">
        <v>100</v>
      </c>
      <c r="N644">
        <f>0.029*stand_validation_1cycle[[#This Row],[stand_level_biomass]]</f>
        <v>19.228276591784297</v>
      </c>
      <c r="O644">
        <f>0.213*stand_validation_1cycle[[#This Row],[stand_level_biomass]]</f>
        <v>141.2283763465536</v>
      </c>
      <c r="P644">
        <f>0.571*stand_validation_1cycle[[#This Row],[stand_level_biomass]]</f>
        <v>378.5981356520287</v>
      </c>
      <c r="Q644">
        <f>stand_validation_1cycle[[#This Row],[stock]]</f>
        <v>99</v>
      </c>
      <c r="R644">
        <v>0</v>
      </c>
      <c r="S644">
        <f>stand_validation_1cycle[[#This Row],[aws]]</f>
        <v>570</v>
      </c>
      <c r="T644">
        <f>stand_validation_1cycle[[#This Row],[percent_tree_cover]]*100</f>
        <v>6.1763385553684902</v>
      </c>
    </row>
    <row r="645" spans="1:20" x14ac:dyDescent="0.2">
      <c r="A645">
        <v>1</v>
      </c>
      <c r="B645" t="s">
        <v>663</v>
      </c>
      <c r="C645">
        <v>26.826812570145901</v>
      </c>
      <c r="D645">
        <v>925.50166847672597</v>
      </c>
      <c r="E645">
        <v>7.9046484548934099</v>
      </c>
      <c r="F645">
        <v>26.5703354872193</v>
      </c>
      <c r="G645">
        <v>99</v>
      </c>
      <c r="H645">
        <v>619.84698486328102</v>
      </c>
      <c r="I645">
        <v>7.8739214979245103E-2</v>
      </c>
      <c r="K645" s="1" t="str">
        <f>TEXT(stand_validation_1cycle[[#This Row],[stand_age]], ".0")</f>
        <v>26.8</v>
      </c>
      <c r="L645" s="1" t="str">
        <f t="shared" si="10"/>
        <v>"26.8"</v>
      </c>
      <c r="M645">
        <v>100</v>
      </c>
      <c r="N645">
        <f>0.029*stand_validation_1cycle[[#This Row],[stand_level_biomass]]</f>
        <v>26.839548385825054</v>
      </c>
      <c r="O645">
        <f>0.213*stand_validation_1cycle[[#This Row],[stand_level_biomass]]</f>
        <v>197.13185538554262</v>
      </c>
      <c r="P645">
        <f>0.571*stand_validation_1cycle[[#This Row],[stand_level_biomass]]</f>
        <v>528.46145270021043</v>
      </c>
      <c r="Q645">
        <f>stand_validation_1cycle[[#This Row],[stock]]</f>
        <v>99</v>
      </c>
      <c r="R645">
        <v>0</v>
      </c>
      <c r="S645">
        <f>stand_validation_1cycle[[#This Row],[aws]]</f>
        <v>619.84698486328102</v>
      </c>
      <c r="T645">
        <f>stand_validation_1cycle[[#This Row],[percent_tree_cover]]*100</f>
        <v>7.8739214979245107</v>
      </c>
    </row>
    <row r="646" spans="1:20" x14ac:dyDescent="0.2">
      <c r="A646">
        <v>1</v>
      </c>
      <c r="B646" t="s">
        <v>664</v>
      </c>
      <c r="C646">
        <v>30.394199999999898</v>
      </c>
      <c r="D646">
        <v>900.61796743719901</v>
      </c>
      <c r="E646">
        <v>8.0325136320889996</v>
      </c>
      <c r="F646">
        <v>28.238324865739202</v>
      </c>
      <c r="G646">
        <v>100</v>
      </c>
      <c r="H646">
        <v>567.02972412109295</v>
      </c>
      <c r="I646">
        <v>8.0015125253748098E-2</v>
      </c>
      <c r="K646" s="1" t="str">
        <f>TEXT(stand_validation_1cycle[[#This Row],[stand_age]], ".0")</f>
        <v>30.4</v>
      </c>
      <c r="L646" s="1" t="str">
        <f t="shared" si="10"/>
        <v>"30.4"</v>
      </c>
      <c r="M646">
        <v>100</v>
      </c>
      <c r="N646">
        <f>0.029*stand_validation_1cycle[[#This Row],[stand_level_biomass]]</f>
        <v>26.117921055678774</v>
      </c>
      <c r="O646">
        <f>0.213*stand_validation_1cycle[[#This Row],[stand_level_biomass]]</f>
        <v>191.83162706412338</v>
      </c>
      <c r="P646">
        <f>0.571*stand_validation_1cycle[[#This Row],[stand_level_biomass]]</f>
        <v>514.2528594066406</v>
      </c>
      <c r="Q646">
        <f>stand_validation_1cycle[[#This Row],[stock]]</f>
        <v>100</v>
      </c>
      <c r="R646">
        <v>0</v>
      </c>
      <c r="S646">
        <f>stand_validation_1cycle[[#This Row],[aws]]</f>
        <v>567.02972412109295</v>
      </c>
      <c r="T646">
        <f>stand_validation_1cycle[[#This Row],[percent_tree_cover]]*100</f>
        <v>8.0015125253748103</v>
      </c>
    </row>
    <row r="647" spans="1:20" x14ac:dyDescent="0.2">
      <c r="A647">
        <v>1</v>
      </c>
      <c r="B647" t="s">
        <v>665</v>
      </c>
      <c r="C647">
        <v>28.171700000000001</v>
      </c>
      <c r="D647">
        <v>841.10502062732201</v>
      </c>
      <c r="E647">
        <v>7.48388788221465</v>
      </c>
      <c r="F647">
        <v>26.710824665752799</v>
      </c>
      <c r="G647">
        <v>100</v>
      </c>
      <c r="H647">
        <v>567.02972412109295</v>
      </c>
      <c r="I647">
        <v>7.4550184871005398E-2</v>
      </c>
      <c r="K647" s="1" t="str">
        <f>TEXT(stand_validation_1cycle[[#This Row],[stand_age]], ".0")</f>
        <v>28.2</v>
      </c>
      <c r="L647" s="1" t="str">
        <f t="shared" si="10"/>
        <v>"28.2"</v>
      </c>
      <c r="M647">
        <v>100</v>
      </c>
      <c r="N647">
        <f>0.029*stand_validation_1cycle[[#This Row],[stand_level_biomass]]</f>
        <v>24.39204559819234</v>
      </c>
      <c r="O647">
        <f>0.213*stand_validation_1cycle[[#This Row],[stand_level_biomass]]</f>
        <v>179.15536939361959</v>
      </c>
      <c r="P647">
        <f>0.571*stand_validation_1cycle[[#This Row],[stand_level_biomass]]</f>
        <v>480.27096677820083</v>
      </c>
      <c r="Q647">
        <f>stand_validation_1cycle[[#This Row],[stock]]</f>
        <v>100</v>
      </c>
      <c r="R647">
        <v>0</v>
      </c>
      <c r="S647">
        <f>stand_validation_1cycle[[#This Row],[aws]]</f>
        <v>567.02972412109295</v>
      </c>
      <c r="T647">
        <f>stand_validation_1cycle[[#This Row],[percent_tree_cover]]*100</f>
        <v>7.4550184871005403</v>
      </c>
    </row>
    <row r="648" spans="1:20" x14ac:dyDescent="0.2">
      <c r="A648">
        <v>1</v>
      </c>
      <c r="B648" t="s">
        <v>666</v>
      </c>
      <c r="C648">
        <v>28.9108555555555</v>
      </c>
      <c r="D648">
        <v>753.40886683045699</v>
      </c>
      <c r="E648">
        <v>6.9976997155340799</v>
      </c>
      <c r="F648">
        <v>26.516859999185701</v>
      </c>
      <c r="G648">
        <v>100</v>
      </c>
      <c r="H648">
        <v>567.02972412109295</v>
      </c>
      <c r="I648">
        <v>6.9715916936847297E-2</v>
      </c>
      <c r="K648" s="1" t="str">
        <f>TEXT(stand_validation_1cycle[[#This Row],[stand_age]], ".0")</f>
        <v>28.9</v>
      </c>
      <c r="L648" s="1" t="str">
        <f t="shared" si="10"/>
        <v>"28.9"</v>
      </c>
      <c r="M648">
        <v>100</v>
      </c>
      <c r="N648">
        <f>0.029*stand_validation_1cycle[[#This Row],[stand_level_biomass]]</f>
        <v>21.848857138083254</v>
      </c>
      <c r="O648">
        <f>0.213*stand_validation_1cycle[[#This Row],[stand_level_biomass]]</f>
        <v>160.47608863488733</v>
      </c>
      <c r="P648">
        <f>0.571*stand_validation_1cycle[[#This Row],[stand_level_biomass]]</f>
        <v>430.1964629601909</v>
      </c>
      <c r="Q648">
        <f>stand_validation_1cycle[[#This Row],[stock]]</f>
        <v>100</v>
      </c>
      <c r="R648">
        <v>0</v>
      </c>
      <c r="S648">
        <f>stand_validation_1cycle[[#This Row],[aws]]</f>
        <v>567.02972412109295</v>
      </c>
      <c r="T648">
        <f>stand_validation_1cycle[[#This Row],[percent_tree_cover]]*100</f>
        <v>6.9715916936847293</v>
      </c>
    </row>
    <row r="649" spans="1:20" x14ac:dyDescent="0.2">
      <c r="A649">
        <v>1</v>
      </c>
      <c r="B649" t="s">
        <v>667</v>
      </c>
      <c r="C649">
        <v>25.6484666666666</v>
      </c>
      <c r="D649">
        <v>730.95236020175605</v>
      </c>
      <c r="E649">
        <v>6.7027465768628298</v>
      </c>
      <c r="F649">
        <v>25.4270902655357</v>
      </c>
      <c r="G649">
        <v>100</v>
      </c>
      <c r="H649">
        <v>568.93243408203102</v>
      </c>
      <c r="I649">
        <v>6.6808416092431502E-2</v>
      </c>
      <c r="K649" s="1" t="str">
        <f>TEXT(stand_validation_1cycle[[#This Row],[stand_age]], ".0")</f>
        <v>25.6</v>
      </c>
      <c r="L649" s="1" t="str">
        <f t="shared" si="10"/>
        <v>"25.6"</v>
      </c>
      <c r="M649">
        <v>100</v>
      </c>
      <c r="N649">
        <f>0.029*stand_validation_1cycle[[#This Row],[stand_level_biomass]]</f>
        <v>21.197618445850928</v>
      </c>
      <c r="O649">
        <f>0.213*stand_validation_1cycle[[#This Row],[stand_level_biomass]]</f>
        <v>155.69285272297404</v>
      </c>
      <c r="P649">
        <f>0.571*stand_validation_1cycle[[#This Row],[stand_level_biomass]]</f>
        <v>417.3737976752027</v>
      </c>
      <c r="Q649">
        <f>stand_validation_1cycle[[#This Row],[stock]]</f>
        <v>100</v>
      </c>
      <c r="R649">
        <v>0</v>
      </c>
      <c r="S649">
        <f>stand_validation_1cycle[[#This Row],[aws]]</f>
        <v>568.93243408203102</v>
      </c>
      <c r="T649">
        <f>stand_validation_1cycle[[#This Row],[percent_tree_cover]]*100</f>
        <v>6.6808416092431502</v>
      </c>
    </row>
    <row r="650" spans="1:20" x14ac:dyDescent="0.2">
      <c r="A650">
        <v>1</v>
      </c>
      <c r="B650" t="s">
        <v>668</v>
      </c>
      <c r="C650">
        <v>26.3736251402918</v>
      </c>
      <c r="D650">
        <v>823.56306195596699</v>
      </c>
      <c r="E650">
        <v>7.3028630303295099</v>
      </c>
      <c r="F650">
        <v>26.1895037699516</v>
      </c>
      <c r="G650">
        <v>99</v>
      </c>
      <c r="H650">
        <v>570.63934326171795</v>
      </c>
      <c r="I650">
        <v>7.2361067741147103E-2</v>
      </c>
      <c r="K650" s="1" t="str">
        <f>TEXT(stand_validation_1cycle[[#This Row],[stand_age]], ".0")</f>
        <v>26.4</v>
      </c>
      <c r="L650" s="1" t="str">
        <f t="shared" si="10"/>
        <v>"26.4"</v>
      </c>
      <c r="M650">
        <v>100</v>
      </c>
      <c r="N650">
        <f>0.029*stand_validation_1cycle[[#This Row],[stand_level_biomass]]</f>
        <v>23.883328796723045</v>
      </c>
      <c r="O650">
        <f>0.213*stand_validation_1cycle[[#This Row],[stand_level_biomass]]</f>
        <v>175.41893219662097</v>
      </c>
      <c r="P650">
        <f>0.571*stand_validation_1cycle[[#This Row],[stand_level_biomass]]</f>
        <v>470.25450837685713</v>
      </c>
      <c r="Q650">
        <f>stand_validation_1cycle[[#This Row],[stock]]</f>
        <v>99</v>
      </c>
      <c r="R650">
        <v>0</v>
      </c>
      <c r="S650">
        <f>stand_validation_1cycle[[#This Row],[aws]]</f>
        <v>570.63934326171795</v>
      </c>
      <c r="T650">
        <f>stand_validation_1cycle[[#This Row],[percent_tree_cover]]*100</f>
        <v>7.2361067741147105</v>
      </c>
    </row>
    <row r="651" spans="1:20" x14ac:dyDescent="0.2">
      <c r="A651">
        <v>1</v>
      </c>
      <c r="B651" t="s">
        <v>669</v>
      </c>
      <c r="C651">
        <v>27.082944444444401</v>
      </c>
      <c r="D651">
        <v>837.97561983760602</v>
      </c>
      <c r="E651">
        <v>7.5076556014353901</v>
      </c>
      <c r="F651">
        <v>26.945685532252099</v>
      </c>
      <c r="G651">
        <v>100</v>
      </c>
      <c r="H651">
        <v>567.02972412109295</v>
      </c>
      <c r="I651">
        <v>7.4817779046491395E-2</v>
      </c>
      <c r="K651" s="1" t="str">
        <f>TEXT(stand_validation_1cycle[[#This Row],[stand_age]], ".0")</f>
        <v>27.1</v>
      </c>
      <c r="L651" s="1" t="str">
        <f t="shared" si="10"/>
        <v>"27.1"</v>
      </c>
      <c r="M651">
        <v>100</v>
      </c>
      <c r="N651">
        <f>0.029*stand_validation_1cycle[[#This Row],[stand_level_biomass]]</f>
        <v>24.301292975290576</v>
      </c>
      <c r="O651">
        <f>0.213*stand_validation_1cycle[[#This Row],[stand_level_biomass]]</f>
        <v>178.48880702541007</v>
      </c>
      <c r="P651">
        <f>0.571*stand_validation_1cycle[[#This Row],[stand_level_biomass]]</f>
        <v>478.484078927273</v>
      </c>
      <c r="Q651">
        <f>stand_validation_1cycle[[#This Row],[stock]]</f>
        <v>100</v>
      </c>
      <c r="R651">
        <v>0</v>
      </c>
      <c r="S651">
        <f>stand_validation_1cycle[[#This Row],[aws]]</f>
        <v>567.02972412109295</v>
      </c>
      <c r="T651">
        <f>stand_validation_1cycle[[#This Row],[percent_tree_cover]]*100</f>
        <v>7.4817779046491397</v>
      </c>
    </row>
    <row r="652" spans="1:20" x14ac:dyDescent="0.2">
      <c r="A652">
        <v>1</v>
      </c>
      <c r="B652" t="s">
        <v>670</v>
      </c>
      <c r="C652">
        <v>26.406706349206299</v>
      </c>
      <c r="D652">
        <v>672.09179280299497</v>
      </c>
      <c r="E652">
        <v>3.51304435877412</v>
      </c>
      <c r="F652">
        <v>24.411826784963001</v>
      </c>
      <c r="G652">
        <v>56</v>
      </c>
      <c r="H652">
        <v>571.71868896484295</v>
      </c>
      <c r="I652">
        <v>5.9536649151934497E-2</v>
      </c>
      <c r="K652" s="1" t="str">
        <f>TEXT(stand_validation_1cycle[[#This Row],[stand_age]], ".0")</f>
        <v>26.4</v>
      </c>
      <c r="L652" s="1" t="str">
        <f t="shared" si="10"/>
        <v>"26.4"</v>
      </c>
      <c r="M652">
        <v>100</v>
      </c>
      <c r="N652">
        <f>0.029*stand_validation_1cycle[[#This Row],[stand_level_biomass]]</f>
        <v>19.490661991286856</v>
      </c>
      <c r="O652">
        <f>0.213*stand_validation_1cycle[[#This Row],[stand_level_biomass]]</f>
        <v>143.15555186703793</v>
      </c>
      <c r="P652">
        <f>0.571*stand_validation_1cycle[[#This Row],[stand_level_biomass]]</f>
        <v>383.76441369051008</v>
      </c>
      <c r="Q652">
        <f>stand_validation_1cycle[[#This Row],[stock]]</f>
        <v>56</v>
      </c>
      <c r="R652">
        <v>0</v>
      </c>
      <c r="S652">
        <f>stand_validation_1cycle[[#This Row],[aws]]</f>
        <v>571.71868896484295</v>
      </c>
      <c r="T652">
        <f>stand_validation_1cycle[[#This Row],[percent_tree_cover]]*100</f>
        <v>5.9536649151934498</v>
      </c>
    </row>
    <row r="653" spans="1:20" x14ac:dyDescent="0.2">
      <c r="A653">
        <v>1</v>
      </c>
      <c r="B653" t="s">
        <v>671</v>
      </c>
      <c r="C653">
        <v>26.549841269841199</v>
      </c>
      <c r="D653">
        <v>770.273658854882</v>
      </c>
      <c r="E653">
        <v>6.3646978555677904</v>
      </c>
      <c r="F653">
        <v>25.697894724186</v>
      </c>
      <c r="G653">
        <v>91</v>
      </c>
      <c r="H653">
        <v>569.88299560546795</v>
      </c>
      <c r="I653">
        <v>6.9701376815257995E-2</v>
      </c>
      <c r="K653" s="1" t="str">
        <f>TEXT(stand_validation_1cycle[[#This Row],[stand_age]], ".0")</f>
        <v>26.5</v>
      </c>
      <c r="L653" s="1" t="str">
        <f t="shared" si="10"/>
        <v>"26.5"</v>
      </c>
      <c r="M653">
        <v>100</v>
      </c>
      <c r="N653">
        <f>0.029*stand_validation_1cycle[[#This Row],[stand_level_biomass]]</f>
        <v>22.337936106791581</v>
      </c>
      <c r="O653">
        <f>0.213*stand_validation_1cycle[[#This Row],[stand_level_biomass]]</f>
        <v>164.06828933608986</v>
      </c>
      <c r="P653">
        <f>0.571*stand_validation_1cycle[[#This Row],[stand_level_biomass]]</f>
        <v>439.82625920613759</v>
      </c>
      <c r="Q653">
        <f>stand_validation_1cycle[[#This Row],[stock]]</f>
        <v>91</v>
      </c>
      <c r="R653">
        <v>0</v>
      </c>
      <c r="S653">
        <f>stand_validation_1cycle[[#This Row],[aws]]</f>
        <v>569.88299560546795</v>
      </c>
      <c r="T653">
        <f>stand_validation_1cycle[[#This Row],[percent_tree_cover]]*100</f>
        <v>6.9701376815257996</v>
      </c>
    </row>
    <row r="654" spans="1:20" x14ac:dyDescent="0.2">
      <c r="A654">
        <v>1</v>
      </c>
      <c r="B654" t="s">
        <v>672</v>
      </c>
      <c r="C654">
        <v>27.9751444444444</v>
      </c>
      <c r="D654">
        <v>779.74725679038897</v>
      </c>
      <c r="E654">
        <v>7.1272597819662904</v>
      </c>
      <c r="F654">
        <v>26.508290665725699</v>
      </c>
      <c r="G654">
        <v>100</v>
      </c>
      <c r="H654">
        <v>572</v>
      </c>
      <c r="I654">
        <v>7.1009790148696197E-2</v>
      </c>
      <c r="K654" s="1" t="str">
        <f>TEXT(stand_validation_1cycle[[#This Row],[stand_age]], ".0")</f>
        <v>28.0</v>
      </c>
      <c r="L654" s="1" t="str">
        <f t="shared" si="10"/>
        <v>"28.0"</v>
      </c>
      <c r="M654">
        <v>100</v>
      </c>
      <c r="N654">
        <f>0.029*stand_validation_1cycle[[#This Row],[stand_level_biomass]]</f>
        <v>22.612670446921282</v>
      </c>
      <c r="O654">
        <f>0.213*stand_validation_1cycle[[#This Row],[stand_level_biomass]]</f>
        <v>166.08616569635285</v>
      </c>
      <c r="P654">
        <f>0.571*stand_validation_1cycle[[#This Row],[stand_level_biomass]]</f>
        <v>445.23568362731208</v>
      </c>
      <c r="Q654">
        <f>stand_validation_1cycle[[#This Row],[stock]]</f>
        <v>100</v>
      </c>
      <c r="R654">
        <v>0</v>
      </c>
      <c r="S654">
        <f>stand_validation_1cycle[[#This Row],[aws]]</f>
        <v>572</v>
      </c>
      <c r="T654">
        <f>stand_validation_1cycle[[#This Row],[percent_tree_cover]]*100</f>
        <v>7.1009790148696199</v>
      </c>
    </row>
    <row r="655" spans="1:20" x14ac:dyDescent="0.2">
      <c r="A655">
        <v>1</v>
      </c>
      <c r="B655" t="s">
        <v>673</v>
      </c>
      <c r="C655">
        <v>27.641032547699201</v>
      </c>
      <c r="D655">
        <v>950.05249157740798</v>
      </c>
      <c r="E655">
        <v>8.1854597142345291</v>
      </c>
      <c r="F655">
        <v>27.8239216150101</v>
      </c>
      <c r="G655">
        <v>99</v>
      </c>
      <c r="H655">
        <v>567.85052490234295</v>
      </c>
      <c r="I655">
        <v>8.1548108104998906E-2</v>
      </c>
      <c r="K655" s="1" t="str">
        <f>TEXT(stand_validation_1cycle[[#This Row],[stand_age]], ".0")</f>
        <v>27.6</v>
      </c>
      <c r="L655" s="1" t="str">
        <f t="shared" si="10"/>
        <v>"27.6"</v>
      </c>
      <c r="M655">
        <v>100</v>
      </c>
      <c r="N655">
        <f>0.029*stand_validation_1cycle[[#This Row],[stand_level_biomass]]</f>
        <v>27.551522255744832</v>
      </c>
      <c r="O655">
        <f>0.213*stand_validation_1cycle[[#This Row],[stand_level_biomass]]</f>
        <v>202.36118070598789</v>
      </c>
      <c r="P655">
        <f>0.571*stand_validation_1cycle[[#This Row],[stand_level_biomass]]</f>
        <v>542.47997269069992</v>
      </c>
      <c r="Q655">
        <f>stand_validation_1cycle[[#This Row],[stock]]</f>
        <v>99</v>
      </c>
      <c r="R655">
        <v>0</v>
      </c>
      <c r="S655">
        <f>stand_validation_1cycle[[#This Row],[aws]]</f>
        <v>567.85052490234295</v>
      </c>
      <c r="T655">
        <f>stand_validation_1cycle[[#This Row],[percent_tree_cover]]*100</f>
        <v>8.1548108104998906</v>
      </c>
    </row>
    <row r="656" spans="1:20" x14ac:dyDescent="0.2">
      <c r="A656">
        <v>1</v>
      </c>
      <c r="B656" t="s">
        <v>674</v>
      </c>
      <c r="C656">
        <v>27.970233333333301</v>
      </c>
      <c r="D656">
        <v>912.64140761008105</v>
      </c>
      <c r="E656">
        <v>8.0595156209466108</v>
      </c>
      <c r="F656">
        <v>27.7966771988871</v>
      </c>
      <c r="G656">
        <v>100</v>
      </c>
      <c r="H656">
        <v>576.03717041015602</v>
      </c>
      <c r="I656">
        <v>8.0303804485079303E-2</v>
      </c>
      <c r="K656" s="1" t="str">
        <f>TEXT(stand_validation_1cycle[[#This Row],[stand_age]], ".0")</f>
        <v>28.0</v>
      </c>
      <c r="L656" s="1" t="str">
        <f t="shared" si="10"/>
        <v>"28.0"</v>
      </c>
      <c r="M656">
        <v>100</v>
      </c>
      <c r="N656">
        <f>0.029*stand_validation_1cycle[[#This Row],[stand_level_biomass]]</f>
        <v>26.466600820692353</v>
      </c>
      <c r="O656">
        <f>0.213*stand_validation_1cycle[[#This Row],[stand_level_biomass]]</f>
        <v>194.39261982094726</v>
      </c>
      <c r="P656">
        <f>0.571*stand_validation_1cycle[[#This Row],[stand_level_biomass]]</f>
        <v>521.11824374535627</v>
      </c>
      <c r="Q656">
        <f>stand_validation_1cycle[[#This Row],[stock]]</f>
        <v>100</v>
      </c>
      <c r="R656">
        <v>0</v>
      </c>
      <c r="S656">
        <f>stand_validation_1cycle[[#This Row],[aws]]</f>
        <v>576.03717041015602</v>
      </c>
      <c r="T656">
        <f>stand_validation_1cycle[[#This Row],[percent_tree_cover]]*100</f>
        <v>8.0303804485079304</v>
      </c>
    </row>
    <row r="657" spans="1:20" x14ac:dyDescent="0.2">
      <c r="A657">
        <v>1</v>
      </c>
      <c r="B657" t="s">
        <v>675</v>
      </c>
      <c r="C657">
        <v>28.528511111111101</v>
      </c>
      <c r="D657">
        <v>961.89859025358601</v>
      </c>
      <c r="E657">
        <v>8.2695334460335808</v>
      </c>
      <c r="F657">
        <v>27.2252599990771</v>
      </c>
      <c r="G657">
        <v>100</v>
      </c>
      <c r="H657">
        <v>573.37268066406205</v>
      </c>
      <c r="I657">
        <v>8.2378550061426706E-2</v>
      </c>
      <c r="K657" s="1" t="str">
        <f>TEXT(stand_validation_1cycle[[#This Row],[stand_age]], ".0")</f>
        <v>28.5</v>
      </c>
      <c r="L657" s="1" t="str">
        <f t="shared" si="10"/>
        <v>"28.5"</v>
      </c>
      <c r="M657">
        <v>100</v>
      </c>
      <c r="N657">
        <f>0.029*stand_validation_1cycle[[#This Row],[stand_level_biomass]]</f>
        <v>27.895059117353995</v>
      </c>
      <c r="O657">
        <f>0.213*stand_validation_1cycle[[#This Row],[stand_level_biomass]]</f>
        <v>204.8843997240138</v>
      </c>
      <c r="P657">
        <f>0.571*stand_validation_1cycle[[#This Row],[stand_level_biomass]]</f>
        <v>549.24409503479751</v>
      </c>
      <c r="Q657">
        <f>stand_validation_1cycle[[#This Row],[stock]]</f>
        <v>100</v>
      </c>
      <c r="R657">
        <v>0</v>
      </c>
      <c r="S657">
        <f>stand_validation_1cycle[[#This Row],[aws]]</f>
        <v>573.37268066406205</v>
      </c>
      <c r="T657">
        <f>stand_validation_1cycle[[#This Row],[percent_tree_cover]]*100</f>
        <v>8.2378550061426701</v>
      </c>
    </row>
    <row r="658" spans="1:20" x14ac:dyDescent="0.2">
      <c r="A658">
        <v>1</v>
      </c>
      <c r="B658" t="s">
        <v>676</v>
      </c>
      <c r="C658">
        <v>27.762422222222199</v>
      </c>
      <c r="D658">
        <v>905.20057704994497</v>
      </c>
      <c r="E658">
        <v>8.0885172335282292</v>
      </c>
      <c r="F658">
        <v>28.307763265413499</v>
      </c>
      <c r="G658">
        <v>100</v>
      </c>
      <c r="H658">
        <v>570.543701171875</v>
      </c>
      <c r="I658">
        <v>8.0605544990677694E-2</v>
      </c>
      <c r="K658" s="1" t="str">
        <f>TEXT(stand_validation_1cycle[[#This Row],[stand_age]], ".0")</f>
        <v>27.8</v>
      </c>
      <c r="L658" s="1" t="str">
        <f t="shared" si="10"/>
        <v>"27.8"</v>
      </c>
      <c r="M658">
        <v>100</v>
      </c>
      <c r="N658">
        <f>0.029*stand_validation_1cycle[[#This Row],[stand_level_biomass]]</f>
        <v>26.250816734448406</v>
      </c>
      <c r="O658">
        <f>0.213*stand_validation_1cycle[[#This Row],[stand_level_biomass]]</f>
        <v>192.80772291163828</v>
      </c>
      <c r="P658">
        <f>0.571*stand_validation_1cycle[[#This Row],[stand_level_biomass]]</f>
        <v>516.86952949551858</v>
      </c>
      <c r="Q658">
        <f>stand_validation_1cycle[[#This Row],[stock]]</f>
        <v>100</v>
      </c>
      <c r="R658">
        <v>0</v>
      </c>
      <c r="S658">
        <f>stand_validation_1cycle[[#This Row],[aws]]</f>
        <v>570.543701171875</v>
      </c>
      <c r="T658">
        <f>stand_validation_1cycle[[#This Row],[percent_tree_cover]]*100</f>
        <v>8.06055449906777</v>
      </c>
    </row>
    <row r="659" spans="1:20" x14ac:dyDescent="0.2">
      <c r="A659">
        <v>1</v>
      </c>
      <c r="B659" t="s">
        <v>677</v>
      </c>
      <c r="C659">
        <v>28.0017888888889</v>
      </c>
      <c r="D659">
        <v>1169.45446166328</v>
      </c>
      <c r="E659">
        <v>9.8223991327581093</v>
      </c>
      <c r="F659">
        <v>29.665913732021401</v>
      </c>
      <c r="G659">
        <v>100</v>
      </c>
      <c r="H659">
        <v>569.34466552734295</v>
      </c>
      <c r="I659">
        <v>9.7868629408794497E-2</v>
      </c>
      <c r="K659" s="1" t="str">
        <f>TEXT(stand_validation_1cycle[[#This Row],[stand_age]], ".0")</f>
        <v>28.0</v>
      </c>
      <c r="L659" s="1" t="str">
        <f t="shared" si="10"/>
        <v>"28.0"</v>
      </c>
      <c r="M659">
        <v>100</v>
      </c>
      <c r="N659">
        <f>0.029*stand_validation_1cycle[[#This Row],[stand_level_biomass]]</f>
        <v>33.914179388235119</v>
      </c>
      <c r="O659">
        <f>0.213*stand_validation_1cycle[[#This Row],[stand_level_biomass]]</f>
        <v>249.09380033427863</v>
      </c>
      <c r="P659">
        <f>0.571*stand_validation_1cycle[[#This Row],[stand_level_biomass]]</f>
        <v>667.75849760973279</v>
      </c>
      <c r="Q659">
        <f>stand_validation_1cycle[[#This Row],[stock]]</f>
        <v>100</v>
      </c>
      <c r="R659">
        <v>0</v>
      </c>
      <c r="S659">
        <f>stand_validation_1cycle[[#This Row],[aws]]</f>
        <v>569.34466552734295</v>
      </c>
      <c r="T659">
        <f>stand_validation_1cycle[[#This Row],[percent_tree_cover]]*100</f>
        <v>9.7868629408794501</v>
      </c>
    </row>
    <row r="660" spans="1:20" x14ac:dyDescent="0.2">
      <c r="A660">
        <v>1</v>
      </c>
      <c r="B660" t="s">
        <v>678</v>
      </c>
      <c r="C660">
        <v>28.876822222222199</v>
      </c>
      <c r="D660">
        <v>1135.01171600218</v>
      </c>
      <c r="E660">
        <v>9.6084558876504804</v>
      </c>
      <c r="F660">
        <v>29.860544685714199</v>
      </c>
      <c r="G660">
        <v>100</v>
      </c>
      <c r="H660">
        <v>569.697021484375</v>
      </c>
      <c r="I660">
        <v>9.5731605543184398E-2</v>
      </c>
      <c r="K660" s="1" t="str">
        <f>TEXT(stand_validation_1cycle[[#This Row],[stand_age]], ".0")</f>
        <v>28.9</v>
      </c>
      <c r="L660" s="1" t="str">
        <f t="shared" si="10"/>
        <v>"28.9"</v>
      </c>
      <c r="M660">
        <v>100</v>
      </c>
      <c r="N660">
        <f>0.029*stand_validation_1cycle[[#This Row],[stand_level_biomass]]</f>
        <v>32.915339764063219</v>
      </c>
      <c r="O660">
        <f>0.213*stand_validation_1cycle[[#This Row],[stand_level_biomass]]</f>
        <v>241.75749550846433</v>
      </c>
      <c r="P660">
        <f>0.571*stand_validation_1cycle[[#This Row],[stand_level_biomass]]</f>
        <v>648.09168983724476</v>
      </c>
      <c r="Q660">
        <f>stand_validation_1cycle[[#This Row],[stock]]</f>
        <v>100</v>
      </c>
      <c r="R660">
        <v>0</v>
      </c>
      <c r="S660">
        <f>stand_validation_1cycle[[#This Row],[aws]]</f>
        <v>569.697021484375</v>
      </c>
      <c r="T660">
        <f>stand_validation_1cycle[[#This Row],[percent_tree_cover]]*100</f>
        <v>9.5731605543184397</v>
      </c>
    </row>
    <row r="661" spans="1:20" x14ac:dyDescent="0.2">
      <c r="A661">
        <v>1</v>
      </c>
      <c r="B661" t="s">
        <v>679</v>
      </c>
      <c r="C661">
        <v>27.805791245791202</v>
      </c>
      <c r="D661">
        <v>908.01407810102296</v>
      </c>
      <c r="E661">
        <v>7.99147579265333</v>
      </c>
      <c r="F661">
        <v>27.5410394227994</v>
      </c>
      <c r="G661">
        <v>99</v>
      </c>
      <c r="H661">
        <v>567.55285644531205</v>
      </c>
      <c r="I661">
        <v>7.8955193320294798E-2</v>
      </c>
      <c r="K661" s="1" t="str">
        <f>TEXT(stand_validation_1cycle[[#This Row],[stand_age]], ".0")</f>
        <v>27.8</v>
      </c>
      <c r="L661" s="1" t="str">
        <f t="shared" si="10"/>
        <v>"27.8"</v>
      </c>
      <c r="M661">
        <v>100</v>
      </c>
      <c r="N661">
        <f>0.029*stand_validation_1cycle[[#This Row],[stand_level_biomass]]</f>
        <v>26.332408264929668</v>
      </c>
      <c r="O661">
        <f>0.213*stand_validation_1cycle[[#This Row],[stand_level_biomass]]</f>
        <v>193.40699863551788</v>
      </c>
      <c r="P661">
        <f>0.571*stand_validation_1cycle[[#This Row],[stand_level_biomass]]</f>
        <v>518.47603859568403</v>
      </c>
      <c r="Q661">
        <f>stand_validation_1cycle[[#This Row],[stock]]</f>
        <v>99</v>
      </c>
      <c r="R661">
        <v>0</v>
      </c>
      <c r="S661">
        <f>stand_validation_1cycle[[#This Row],[aws]]</f>
        <v>567.55285644531205</v>
      </c>
      <c r="T661">
        <f>stand_validation_1cycle[[#This Row],[percent_tree_cover]]*100</f>
        <v>7.8955193320294796</v>
      </c>
    </row>
    <row r="662" spans="1:20" x14ac:dyDescent="0.2">
      <c r="A662">
        <v>1</v>
      </c>
      <c r="B662" t="s">
        <v>680</v>
      </c>
      <c r="C662">
        <v>30.228999999999999</v>
      </c>
      <c r="D662">
        <v>1225.56796385487</v>
      </c>
      <c r="E662">
        <v>10.2168221634254</v>
      </c>
      <c r="F662">
        <v>30.3925753142857</v>
      </c>
      <c r="G662">
        <v>100</v>
      </c>
      <c r="H662">
        <v>575.31402587890602</v>
      </c>
      <c r="I662">
        <v>0.101759546844921</v>
      </c>
      <c r="K662" s="1" t="str">
        <f>TEXT(stand_validation_1cycle[[#This Row],[stand_age]], ".0")</f>
        <v>30.2</v>
      </c>
      <c r="L662" s="1" t="str">
        <f t="shared" si="10"/>
        <v>"30.2"</v>
      </c>
      <c r="M662">
        <v>100</v>
      </c>
      <c r="N662">
        <f>0.029*stand_validation_1cycle[[#This Row],[stand_level_biomass]]</f>
        <v>35.541470951791233</v>
      </c>
      <c r="O662">
        <f>0.213*stand_validation_1cycle[[#This Row],[stand_level_biomass]]</f>
        <v>261.04597630108731</v>
      </c>
      <c r="P662">
        <f>0.571*stand_validation_1cycle[[#This Row],[stand_level_biomass]]</f>
        <v>699.79930736113067</v>
      </c>
      <c r="Q662">
        <f>stand_validation_1cycle[[#This Row],[stock]]</f>
        <v>100</v>
      </c>
      <c r="R662">
        <v>0</v>
      </c>
      <c r="S662">
        <f>stand_validation_1cycle[[#This Row],[aws]]</f>
        <v>575.31402587890602</v>
      </c>
      <c r="T662">
        <f>stand_validation_1cycle[[#This Row],[percent_tree_cover]]*100</f>
        <v>10.175954684492099</v>
      </c>
    </row>
    <row r="663" spans="1:20" x14ac:dyDescent="0.2">
      <c r="A663">
        <v>1</v>
      </c>
      <c r="B663" t="s">
        <v>681</v>
      </c>
      <c r="C663">
        <v>27.626049382716001</v>
      </c>
      <c r="D663">
        <v>733.68126647906695</v>
      </c>
      <c r="E663">
        <v>6.7531691389529396</v>
      </c>
      <c r="F663">
        <v>26.2349989033189</v>
      </c>
      <c r="G663">
        <v>99</v>
      </c>
      <c r="H663">
        <v>566.60467529296795</v>
      </c>
      <c r="I663">
        <v>6.7179814912967303E-2</v>
      </c>
      <c r="K663" s="1" t="str">
        <f>TEXT(stand_validation_1cycle[[#This Row],[stand_age]], ".0")</f>
        <v>27.6</v>
      </c>
      <c r="L663" s="1" t="str">
        <f t="shared" si="10"/>
        <v>"27.6"</v>
      </c>
      <c r="M663">
        <v>100</v>
      </c>
      <c r="N663">
        <f>0.029*stand_validation_1cycle[[#This Row],[stand_level_biomass]]</f>
        <v>21.276756727892941</v>
      </c>
      <c r="O663">
        <f>0.213*stand_validation_1cycle[[#This Row],[stand_level_biomass]]</f>
        <v>156.27410976004126</v>
      </c>
      <c r="P663">
        <f>0.571*stand_validation_1cycle[[#This Row],[stand_level_biomass]]</f>
        <v>418.93200315954721</v>
      </c>
      <c r="Q663">
        <f>stand_validation_1cycle[[#This Row],[stock]]</f>
        <v>99</v>
      </c>
      <c r="R663">
        <v>0</v>
      </c>
      <c r="S663">
        <f>stand_validation_1cycle[[#This Row],[aws]]</f>
        <v>566.60467529296795</v>
      </c>
      <c r="T663">
        <f>stand_validation_1cycle[[#This Row],[percent_tree_cover]]*100</f>
        <v>6.7179814912967304</v>
      </c>
    </row>
    <row r="664" spans="1:20" x14ac:dyDescent="0.2">
      <c r="A664">
        <v>1</v>
      </c>
      <c r="B664" t="s">
        <v>682</v>
      </c>
      <c r="C664">
        <v>28.255839506172801</v>
      </c>
      <c r="D664">
        <v>737.06303879573397</v>
      </c>
      <c r="E664">
        <v>6.1227669469074897</v>
      </c>
      <c r="F664">
        <v>25.794747174603099</v>
      </c>
      <c r="G664">
        <v>90</v>
      </c>
      <c r="H664">
        <v>571.25408935546795</v>
      </c>
      <c r="I664">
        <v>6.6684464731237694E-2</v>
      </c>
      <c r="K664" s="1" t="str">
        <f>TEXT(stand_validation_1cycle[[#This Row],[stand_age]], ".0")</f>
        <v>28.3</v>
      </c>
      <c r="L664" s="1" t="str">
        <f t="shared" si="10"/>
        <v>"28.3"</v>
      </c>
      <c r="M664">
        <v>100</v>
      </c>
      <c r="N664">
        <f>0.029*stand_validation_1cycle[[#This Row],[stand_level_biomass]]</f>
        <v>21.374828125076288</v>
      </c>
      <c r="O664">
        <f>0.213*stand_validation_1cycle[[#This Row],[stand_level_biomass]]</f>
        <v>156.99442726349133</v>
      </c>
      <c r="P664">
        <f>0.571*stand_validation_1cycle[[#This Row],[stand_level_biomass]]</f>
        <v>420.86299515236408</v>
      </c>
      <c r="Q664">
        <f>stand_validation_1cycle[[#This Row],[stock]]</f>
        <v>90</v>
      </c>
      <c r="R664">
        <v>0</v>
      </c>
      <c r="S664">
        <f>stand_validation_1cycle[[#This Row],[aws]]</f>
        <v>571.25408935546795</v>
      </c>
      <c r="T664">
        <f>stand_validation_1cycle[[#This Row],[percent_tree_cover]]*100</f>
        <v>6.6684464731237698</v>
      </c>
    </row>
    <row r="665" spans="1:20" x14ac:dyDescent="0.2">
      <c r="A665">
        <v>1</v>
      </c>
      <c r="B665" t="s">
        <v>683</v>
      </c>
      <c r="C665">
        <v>30.0621621621621</v>
      </c>
      <c r="D665">
        <v>1143.44428374839</v>
      </c>
      <c r="E665">
        <v>3.6045613089676798</v>
      </c>
      <c r="F665">
        <v>30.4968024710424</v>
      </c>
      <c r="G665">
        <v>37</v>
      </c>
      <c r="H665">
        <v>571.25408935546795</v>
      </c>
      <c r="I665">
        <v>0.100004593302068</v>
      </c>
      <c r="K665" s="1" t="str">
        <f>TEXT(stand_validation_1cycle[[#This Row],[stand_age]], ".0")</f>
        <v>30.1</v>
      </c>
      <c r="L665" s="1" t="str">
        <f t="shared" si="10"/>
        <v>"30.1"</v>
      </c>
      <c r="M665">
        <v>100</v>
      </c>
      <c r="N665">
        <f>0.029*stand_validation_1cycle[[#This Row],[stand_level_biomass]]</f>
        <v>33.159884228703312</v>
      </c>
      <c r="O665">
        <f>0.213*stand_validation_1cycle[[#This Row],[stand_level_biomass]]</f>
        <v>243.55363243840708</v>
      </c>
      <c r="P665">
        <f>0.571*stand_validation_1cycle[[#This Row],[stand_level_biomass]]</f>
        <v>652.90668602033065</v>
      </c>
      <c r="Q665">
        <f>stand_validation_1cycle[[#This Row],[stock]]</f>
        <v>37</v>
      </c>
      <c r="R665">
        <v>0</v>
      </c>
      <c r="S665">
        <f>stand_validation_1cycle[[#This Row],[aws]]</f>
        <v>571.25408935546795</v>
      </c>
      <c r="T665">
        <f>stand_validation_1cycle[[#This Row],[percent_tree_cover]]*100</f>
        <v>10.0004593302068</v>
      </c>
    </row>
    <row r="666" spans="1:20" x14ac:dyDescent="0.2">
      <c r="A666">
        <v>1</v>
      </c>
      <c r="B666" t="s">
        <v>684</v>
      </c>
      <c r="C666">
        <v>28.924870801033599</v>
      </c>
      <c r="D666">
        <v>1229.84370520431</v>
      </c>
      <c r="E666">
        <v>8.8173800809298299</v>
      </c>
      <c r="F666">
        <v>30.272439533589701</v>
      </c>
      <c r="G666">
        <v>86</v>
      </c>
      <c r="H666">
        <v>570.28326416015602</v>
      </c>
      <c r="I666">
        <v>0.104951378317925</v>
      </c>
      <c r="K666" s="1" t="str">
        <f>TEXT(stand_validation_1cycle[[#This Row],[stand_age]], ".0")</f>
        <v>28.9</v>
      </c>
      <c r="L666" s="1" t="str">
        <f t="shared" si="10"/>
        <v>"28.9"</v>
      </c>
      <c r="M666">
        <v>100</v>
      </c>
      <c r="N666">
        <f>0.029*stand_validation_1cycle[[#This Row],[stand_level_biomass]]</f>
        <v>35.665467450924993</v>
      </c>
      <c r="O666">
        <f>0.213*stand_validation_1cycle[[#This Row],[stand_level_biomass]]</f>
        <v>261.95670920851802</v>
      </c>
      <c r="P666">
        <f>0.571*stand_validation_1cycle[[#This Row],[stand_level_biomass]]</f>
        <v>702.24075567166096</v>
      </c>
      <c r="Q666">
        <f>stand_validation_1cycle[[#This Row],[stock]]</f>
        <v>86</v>
      </c>
      <c r="R666">
        <v>0</v>
      </c>
      <c r="S666">
        <f>stand_validation_1cycle[[#This Row],[aws]]</f>
        <v>570.28326416015602</v>
      </c>
      <c r="T666">
        <f>stand_validation_1cycle[[#This Row],[percent_tree_cover]]*100</f>
        <v>10.495137831792501</v>
      </c>
    </row>
    <row r="667" spans="1:20" x14ac:dyDescent="0.2">
      <c r="A667">
        <v>1</v>
      </c>
      <c r="B667" t="s">
        <v>685</v>
      </c>
      <c r="C667">
        <v>29.189607182940499</v>
      </c>
      <c r="D667">
        <v>1055.77827300385</v>
      </c>
      <c r="E667">
        <v>9.0247299084557397</v>
      </c>
      <c r="F667">
        <v>29.377432860792201</v>
      </c>
      <c r="G667">
        <v>99</v>
      </c>
      <c r="H667">
        <v>568.08978271484295</v>
      </c>
      <c r="I667">
        <v>8.9944660191755496E-2</v>
      </c>
      <c r="K667" s="1" t="str">
        <f>TEXT(stand_validation_1cycle[[#This Row],[stand_age]], ".0")</f>
        <v>29.2</v>
      </c>
      <c r="L667" s="1" t="str">
        <f t="shared" si="10"/>
        <v>"29.2"</v>
      </c>
      <c r="M667">
        <v>100</v>
      </c>
      <c r="N667">
        <f>0.029*stand_validation_1cycle[[#This Row],[stand_level_biomass]]</f>
        <v>30.617569917111652</v>
      </c>
      <c r="O667">
        <f>0.213*stand_validation_1cycle[[#This Row],[stand_level_biomass]]</f>
        <v>224.88077214982005</v>
      </c>
      <c r="P667">
        <f>0.571*stand_validation_1cycle[[#This Row],[stand_level_biomass]]</f>
        <v>602.84939388519831</v>
      </c>
      <c r="Q667">
        <f>stand_validation_1cycle[[#This Row],[stock]]</f>
        <v>99</v>
      </c>
      <c r="R667">
        <v>0</v>
      </c>
      <c r="S667">
        <f>stand_validation_1cycle[[#This Row],[aws]]</f>
        <v>568.08978271484295</v>
      </c>
      <c r="T667">
        <f>stand_validation_1cycle[[#This Row],[percent_tree_cover]]*100</f>
        <v>8.9944660191755492</v>
      </c>
    </row>
    <row r="668" spans="1:20" x14ac:dyDescent="0.2">
      <c r="A668">
        <v>1</v>
      </c>
      <c r="B668" t="s">
        <v>686</v>
      </c>
      <c r="C668">
        <v>28.799943883277201</v>
      </c>
      <c r="D668">
        <v>1034.00345754663</v>
      </c>
      <c r="E668">
        <v>8.9028188347368609</v>
      </c>
      <c r="F668">
        <v>28.570454948398201</v>
      </c>
      <c r="G668">
        <v>99</v>
      </c>
      <c r="H668">
        <v>575.25183105468705</v>
      </c>
      <c r="I668">
        <v>8.7473047494065301E-2</v>
      </c>
      <c r="K668" s="1" t="str">
        <f>TEXT(stand_validation_1cycle[[#This Row],[stand_age]], ".0")</f>
        <v>28.8</v>
      </c>
      <c r="L668" s="1" t="str">
        <f t="shared" si="10"/>
        <v>"28.8"</v>
      </c>
      <c r="M668">
        <v>100</v>
      </c>
      <c r="N668">
        <f>0.029*stand_validation_1cycle[[#This Row],[stand_level_biomass]]</f>
        <v>29.986100268852272</v>
      </c>
      <c r="O668">
        <f>0.213*stand_validation_1cycle[[#This Row],[stand_level_biomass]]</f>
        <v>220.24273645743219</v>
      </c>
      <c r="P668">
        <f>0.571*stand_validation_1cycle[[#This Row],[stand_level_biomass]]</f>
        <v>590.41597425912562</v>
      </c>
      <c r="Q668">
        <f>stand_validation_1cycle[[#This Row],[stock]]</f>
        <v>99</v>
      </c>
      <c r="R668">
        <v>0</v>
      </c>
      <c r="S668">
        <f>stand_validation_1cycle[[#This Row],[aws]]</f>
        <v>575.25183105468705</v>
      </c>
      <c r="T668">
        <f>stand_validation_1cycle[[#This Row],[percent_tree_cover]]*100</f>
        <v>8.7473047494065295</v>
      </c>
    </row>
    <row r="669" spans="1:20" x14ac:dyDescent="0.2">
      <c r="A669">
        <v>1</v>
      </c>
      <c r="B669" t="s">
        <v>687</v>
      </c>
      <c r="C669">
        <v>24.3206846240179</v>
      </c>
      <c r="D669">
        <v>666.20119677848595</v>
      </c>
      <c r="E669">
        <v>6.1512509820994197</v>
      </c>
      <c r="F669">
        <v>24.441305588037501</v>
      </c>
      <c r="G669">
        <v>99</v>
      </c>
      <c r="H669">
        <v>576.76318359375</v>
      </c>
      <c r="I669">
        <v>6.1142101268684197E-2</v>
      </c>
      <c r="K669" s="1" t="str">
        <f>TEXT(stand_validation_1cycle[[#This Row],[stand_age]], ".0")</f>
        <v>24.3</v>
      </c>
      <c r="L669" s="1" t="str">
        <f t="shared" si="10"/>
        <v>"24.3"</v>
      </c>
      <c r="M669">
        <v>100</v>
      </c>
      <c r="N669">
        <f>0.029*stand_validation_1cycle[[#This Row],[stand_level_biomass]]</f>
        <v>19.319834706576092</v>
      </c>
      <c r="O669">
        <f>0.213*stand_validation_1cycle[[#This Row],[stand_level_biomass]]</f>
        <v>141.90085491381751</v>
      </c>
      <c r="P669">
        <f>0.571*stand_validation_1cycle[[#This Row],[stand_level_biomass]]</f>
        <v>380.40088336051542</v>
      </c>
      <c r="Q669">
        <f>stand_validation_1cycle[[#This Row],[stock]]</f>
        <v>99</v>
      </c>
      <c r="R669">
        <v>0</v>
      </c>
      <c r="S669">
        <f>stand_validation_1cycle[[#This Row],[aws]]</f>
        <v>576.76318359375</v>
      </c>
      <c r="T669">
        <f>stand_validation_1cycle[[#This Row],[percent_tree_cover]]*100</f>
        <v>6.1142101268684197</v>
      </c>
    </row>
    <row r="670" spans="1:20" x14ac:dyDescent="0.2">
      <c r="A670">
        <v>1</v>
      </c>
      <c r="B670" t="s">
        <v>688</v>
      </c>
      <c r="C670">
        <v>27.087033333333299</v>
      </c>
      <c r="D670">
        <v>812.66421101873698</v>
      </c>
      <c r="E670">
        <v>7.3377496313494603</v>
      </c>
      <c r="F670">
        <v>26.745547465562801</v>
      </c>
      <c r="G670">
        <v>100</v>
      </c>
      <c r="H670">
        <v>720.14019775390602</v>
      </c>
      <c r="I670">
        <v>7.3122463168139501E-2</v>
      </c>
      <c r="K670" s="1" t="str">
        <f>TEXT(stand_validation_1cycle[[#This Row],[stand_age]], ".0")</f>
        <v>27.1</v>
      </c>
      <c r="L670" s="1" t="str">
        <f t="shared" si="10"/>
        <v>"27.1"</v>
      </c>
      <c r="M670">
        <v>100</v>
      </c>
      <c r="N670">
        <f>0.029*stand_validation_1cycle[[#This Row],[stand_level_biomass]]</f>
        <v>23.567262119543372</v>
      </c>
      <c r="O670">
        <f>0.213*stand_validation_1cycle[[#This Row],[stand_level_biomass]]</f>
        <v>173.09747694699098</v>
      </c>
      <c r="P670">
        <f>0.571*stand_validation_1cycle[[#This Row],[stand_level_biomass]]</f>
        <v>464.03126449169878</v>
      </c>
      <c r="Q670">
        <f>stand_validation_1cycle[[#This Row],[stock]]</f>
        <v>100</v>
      </c>
      <c r="R670">
        <v>0</v>
      </c>
      <c r="S670">
        <f>stand_validation_1cycle[[#This Row],[aws]]</f>
        <v>720.14019775390602</v>
      </c>
      <c r="T670">
        <f>stand_validation_1cycle[[#This Row],[percent_tree_cover]]*100</f>
        <v>7.3122463168139502</v>
      </c>
    </row>
    <row r="671" spans="1:20" x14ac:dyDescent="0.2">
      <c r="A671">
        <v>1</v>
      </c>
      <c r="B671" t="s">
        <v>689</v>
      </c>
      <c r="C671">
        <v>28.6647</v>
      </c>
      <c r="D671">
        <v>963.89062535236997</v>
      </c>
      <c r="E671">
        <v>8.3536762928709898</v>
      </c>
      <c r="F671">
        <v>27.848252132292799</v>
      </c>
      <c r="G671">
        <v>100</v>
      </c>
      <c r="H671">
        <v>574.34405517578102</v>
      </c>
      <c r="I671">
        <v>8.3230371315495294E-2</v>
      </c>
      <c r="K671" s="1" t="str">
        <f>TEXT(stand_validation_1cycle[[#This Row],[stand_age]], ".0")</f>
        <v>28.7</v>
      </c>
      <c r="L671" s="1" t="str">
        <f t="shared" si="10"/>
        <v>"28.7"</v>
      </c>
      <c r="M671">
        <v>100</v>
      </c>
      <c r="N671">
        <f>0.029*stand_validation_1cycle[[#This Row],[stand_level_biomass]]</f>
        <v>27.952828135218731</v>
      </c>
      <c r="O671">
        <f>0.213*stand_validation_1cycle[[#This Row],[stand_level_biomass]]</f>
        <v>205.30870320005479</v>
      </c>
      <c r="P671">
        <f>0.571*stand_validation_1cycle[[#This Row],[stand_level_biomass]]</f>
        <v>550.38154707620322</v>
      </c>
      <c r="Q671">
        <f>stand_validation_1cycle[[#This Row],[stock]]</f>
        <v>100</v>
      </c>
      <c r="R671">
        <v>0</v>
      </c>
      <c r="S671">
        <f>stand_validation_1cycle[[#This Row],[aws]]</f>
        <v>574.34405517578102</v>
      </c>
      <c r="T671">
        <f>stand_validation_1cycle[[#This Row],[percent_tree_cover]]*100</f>
        <v>8.3230371315495297</v>
      </c>
    </row>
    <row r="672" spans="1:20" x14ac:dyDescent="0.2">
      <c r="A672">
        <v>1</v>
      </c>
      <c r="B672" t="s">
        <v>690</v>
      </c>
      <c r="C672">
        <v>28.178233333333299</v>
      </c>
      <c r="D672">
        <v>931.94384182898705</v>
      </c>
      <c r="E672">
        <v>8.0731446352760496</v>
      </c>
      <c r="F672">
        <v>27.0493543989685</v>
      </c>
      <c r="G672">
        <v>100</v>
      </c>
      <c r="H672">
        <v>571.06854248046795</v>
      </c>
      <c r="I672">
        <v>8.0428529489667305E-2</v>
      </c>
      <c r="K672" s="1" t="str">
        <f>TEXT(stand_validation_1cycle[[#This Row],[stand_age]], ".0")</f>
        <v>28.2</v>
      </c>
      <c r="L672" s="1" t="str">
        <f t="shared" si="10"/>
        <v>"28.2"</v>
      </c>
      <c r="M672">
        <v>100</v>
      </c>
      <c r="N672">
        <f>0.029*stand_validation_1cycle[[#This Row],[stand_level_biomass]]</f>
        <v>27.026371413040625</v>
      </c>
      <c r="O672">
        <f>0.213*stand_validation_1cycle[[#This Row],[stand_level_biomass]]</f>
        <v>198.50403830957424</v>
      </c>
      <c r="P672">
        <f>0.571*stand_validation_1cycle[[#This Row],[stand_level_biomass]]</f>
        <v>532.1399336843516</v>
      </c>
      <c r="Q672">
        <f>stand_validation_1cycle[[#This Row],[stock]]</f>
        <v>100</v>
      </c>
      <c r="R672">
        <v>0</v>
      </c>
      <c r="S672">
        <f>stand_validation_1cycle[[#This Row],[aws]]</f>
        <v>571.06854248046795</v>
      </c>
      <c r="T672">
        <f>stand_validation_1cycle[[#This Row],[percent_tree_cover]]*100</f>
        <v>8.0428529489667309</v>
      </c>
    </row>
    <row r="673" spans="1:20" x14ac:dyDescent="0.2">
      <c r="A673">
        <v>1</v>
      </c>
      <c r="B673" t="s">
        <v>691</v>
      </c>
      <c r="C673">
        <v>29.544266666666601</v>
      </c>
      <c r="D673">
        <v>1134.31104215959</v>
      </c>
      <c r="E673">
        <v>9.5540749188168501</v>
      </c>
      <c r="F673">
        <v>29.7275323988328</v>
      </c>
      <c r="G673">
        <v>100</v>
      </c>
      <c r="H673">
        <v>578.19097900390602</v>
      </c>
      <c r="I673">
        <v>9.5175767961742305E-2</v>
      </c>
      <c r="K673" s="1" t="str">
        <f>TEXT(stand_validation_1cycle[[#This Row],[stand_age]], ".0")</f>
        <v>29.5</v>
      </c>
      <c r="L673" s="1" t="str">
        <f t="shared" si="10"/>
        <v>"29.5"</v>
      </c>
      <c r="M673">
        <v>100</v>
      </c>
      <c r="N673">
        <f>0.029*stand_validation_1cycle[[#This Row],[stand_level_biomass]]</f>
        <v>32.895020222628112</v>
      </c>
      <c r="O673">
        <f>0.213*stand_validation_1cycle[[#This Row],[stand_level_biomass]]</f>
        <v>241.60825197999267</v>
      </c>
      <c r="P673">
        <f>0.571*stand_validation_1cycle[[#This Row],[stand_level_biomass]]</f>
        <v>647.69160507312586</v>
      </c>
      <c r="Q673">
        <f>stand_validation_1cycle[[#This Row],[stock]]</f>
        <v>100</v>
      </c>
      <c r="R673">
        <v>0</v>
      </c>
      <c r="S673">
        <f>stand_validation_1cycle[[#This Row],[aws]]</f>
        <v>578.19097900390602</v>
      </c>
      <c r="T673">
        <f>stand_validation_1cycle[[#This Row],[percent_tree_cover]]*100</f>
        <v>9.5175767961742306</v>
      </c>
    </row>
    <row r="674" spans="1:20" x14ac:dyDescent="0.2">
      <c r="A674">
        <v>1</v>
      </c>
      <c r="B674" t="s">
        <v>692</v>
      </c>
      <c r="C674">
        <v>26.178276643990898</v>
      </c>
      <c r="D674">
        <v>750.30694650464204</v>
      </c>
      <c r="E674">
        <v>6.7109437774942098</v>
      </c>
      <c r="F674">
        <v>25.407345772594699</v>
      </c>
      <c r="G674">
        <v>98</v>
      </c>
      <c r="H674">
        <v>567.23937988281205</v>
      </c>
      <c r="I674">
        <v>6.6696244333826801E-2</v>
      </c>
      <c r="K674" s="1" t="str">
        <f>TEXT(stand_validation_1cycle[[#This Row],[stand_age]], ".0")</f>
        <v>26.2</v>
      </c>
      <c r="L674" s="1" t="str">
        <f t="shared" si="10"/>
        <v>"26.2"</v>
      </c>
      <c r="M674">
        <v>100</v>
      </c>
      <c r="N674">
        <f>0.029*stand_validation_1cycle[[#This Row],[stand_level_biomass]]</f>
        <v>21.758901448634621</v>
      </c>
      <c r="O674">
        <f>0.213*stand_validation_1cycle[[#This Row],[stand_level_biomass]]</f>
        <v>159.81537960548874</v>
      </c>
      <c r="P674">
        <f>0.571*stand_validation_1cycle[[#This Row],[stand_level_biomass]]</f>
        <v>428.42526645415057</v>
      </c>
      <c r="Q674">
        <f>stand_validation_1cycle[[#This Row],[stock]]</f>
        <v>98</v>
      </c>
      <c r="R674">
        <v>0</v>
      </c>
      <c r="S674">
        <f>stand_validation_1cycle[[#This Row],[aws]]</f>
        <v>567.23937988281205</v>
      </c>
      <c r="T674">
        <f>stand_validation_1cycle[[#This Row],[percent_tree_cover]]*100</f>
        <v>6.6696244333826797</v>
      </c>
    </row>
    <row r="675" spans="1:20" x14ac:dyDescent="0.2">
      <c r="A675">
        <v>1</v>
      </c>
      <c r="B675" t="s">
        <v>693</v>
      </c>
      <c r="C675">
        <v>28.439722222222201</v>
      </c>
      <c r="D675">
        <v>840.987219703547</v>
      </c>
      <c r="E675">
        <v>7.6625471148316597</v>
      </c>
      <c r="F675">
        <v>27.979650514285701</v>
      </c>
      <c r="G675">
        <v>100</v>
      </c>
      <c r="H675">
        <v>569</v>
      </c>
      <c r="I675">
        <v>7.6360016524457702E-2</v>
      </c>
      <c r="K675" s="1" t="str">
        <f>TEXT(stand_validation_1cycle[[#This Row],[stand_age]], ".0")</f>
        <v>28.4</v>
      </c>
      <c r="L675" s="1" t="str">
        <f t="shared" si="10"/>
        <v>"28.4"</v>
      </c>
      <c r="M675">
        <v>100</v>
      </c>
      <c r="N675">
        <f>0.029*stand_validation_1cycle[[#This Row],[stand_level_biomass]]</f>
        <v>24.388629371402864</v>
      </c>
      <c r="O675">
        <f>0.213*stand_validation_1cycle[[#This Row],[stand_level_biomass]]</f>
        <v>179.13027779685549</v>
      </c>
      <c r="P675">
        <f>0.571*stand_validation_1cycle[[#This Row],[stand_level_biomass]]</f>
        <v>480.2037024507253</v>
      </c>
      <c r="Q675">
        <f>stand_validation_1cycle[[#This Row],[stock]]</f>
        <v>100</v>
      </c>
      <c r="R675">
        <v>0</v>
      </c>
      <c r="S675">
        <f>stand_validation_1cycle[[#This Row],[aws]]</f>
        <v>569</v>
      </c>
      <c r="T675">
        <f>stand_validation_1cycle[[#This Row],[percent_tree_cover]]*100</f>
        <v>7.6360016524457706</v>
      </c>
    </row>
    <row r="676" spans="1:20" x14ac:dyDescent="0.2">
      <c r="A676">
        <v>1</v>
      </c>
      <c r="B676" t="s">
        <v>694</v>
      </c>
      <c r="C676">
        <v>26.438988888888801</v>
      </c>
      <c r="D676">
        <v>607.07041776772803</v>
      </c>
      <c r="E676">
        <v>5.9216932361052903</v>
      </c>
      <c r="F676">
        <v>24.764515200000002</v>
      </c>
      <c r="G676">
        <v>100</v>
      </c>
      <c r="H676">
        <v>697.74108886718705</v>
      </c>
      <c r="I676">
        <v>5.9023551079698297E-2</v>
      </c>
      <c r="K676" s="1" t="str">
        <f>TEXT(stand_validation_1cycle[[#This Row],[stand_age]], ".0")</f>
        <v>26.4</v>
      </c>
      <c r="L676" s="1" t="str">
        <f t="shared" si="10"/>
        <v>"26.4"</v>
      </c>
      <c r="M676">
        <v>100</v>
      </c>
      <c r="N676">
        <f>0.029*stand_validation_1cycle[[#This Row],[stand_level_biomass]]</f>
        <v>17.605042115264112</v>
      </c>
      <c r="O676">
        <f>0.213*stand_validation_1cycle[[#This Row],[stand_level_biomass]]</f>
        <v>129.30599898452607</v>
      </c>
      <c r="P676">
        <f>0.571*stand_validation_1cycle[[#This Row],[stand_level_biomass]]</f>
        <v>346.63720854537269</v>
      </c>
      <c r="Q676">
        <f>stand_validation_1cycle[[#This Row],[stock]]</f>
        <v>100</v>
      </c>
      <c r="R676">
        <v>0</v>
      </c>
      <c r="S676">
        <f>stand_validation_1cycle[[#This Row],[aws]]</f>
        <v>697.74108886718705</v>
      </c>
      <c r="T676">
        <f>stand_validation_1cycle[[#This Row],[percent_tree_cover]]*100</f>
        <v>5.9023551079698295</v>
      </c>
    </row>
    <row r="677" spans="1:20" x14ac:dyDescent="0.2">
      <c r="A677">
        <v>1</v>
      </c>
      <c r="B677" t="s">
        <v>695</v>
      </c>
      <c r="C677">
        <v>28.919733333333301</v>
      </c>
      <c r="D677">
        <v>904.70696771292796</v>
      </c>
      <c r="E677">
        <v>8.0741907856296908</v>
      </c>
      <c r="F677">
        <v>28.221473828571401</v>
      </c>
      <c r="G677">
        <v>100</v>
      </c>
      <c r="H677">
        <v>569.39349365234295</v>
      </c>
      <c r="I677">
        <v>8.0451658517051897E-2</v>
      </c>
      <c r="K677" s="1" t="str">
        <f>TEXT(stand_validation_1cycle[[#This Row],[stand_age]], ".0")</f>
        <v>28.9</v>
      </c>
      <c r="L677" s="1" t="str">
        <f t="shared" si="10"/>
        <v>"28.9"</v>
      </c>
      <c r="M677">
        <v>100</v>
      </c>
      <c r="N677">
        <f>0.029*stand_validation_1cycle[[#This Row],[stand_level_biomass]]</f>
        <v>26.236502063674912</v>
      </c>
      <c r="O677">
        <f>0.213*stand_validation_1cycle[[#This Row],[stand_level_biomass]]</f>
        <v>192.70258412285366</v>
      </c>
      <c r="P677">
        <f>0.571*stand_validation_1cycle[[#This Row],[stand_level_biomass]]</f>
        <v>516.58767856408178</v>
      </c>
      <c r="Q677">
        <f>stand_validation_1cycle[[#This Row],[stock]]</f>
        <v>100</v>
      </c>
      <c r="R677">
        <v>0</v>
      </c>
      <c r="S677">
        <f>stand_validation_1cycle[[#This Row],[aws]]</f>
        <v>569.39349365234295</v>
      </c>
      <c r="T677">
        <f>stand_validation_1cycle[[#This Row],[percent_tree_cover]]*100</f>
        <v>8.0451658517051889</v>
      </c>
    </row>
    <row r="678" spans="1:20" x14ac:dyDescent="0.2">
      <c r="A678">
        <v>1</v>
      </c>
      <c r="B678" t="s">
        <v>696</v>
      </c>
      <c r="C678">
        <v>28.6796111111111</v>
      </c>
      <c r="D678">
        <v>906.67984838805</v>
      </c>
      <c r="E678">
        <v>8.0806852430428293</v>
      </c>
      <c r="F678">
        <v>28.0323647999999</v>
      </c>
      <c r="G678">
        <v>100</v>
      </c>
      <c r="H678">
        <v>569.16387939453102</v>
      </c>
      <c r="I678">
        <v>8.0517150914708097E-2</v>
      </c>
      <c r="K678" s="1" t="str">
        <f>TEXT(stand_validation_1cycle[[#This Row],[stand_age]], ".0")</f>
        <v>28.7</v>
      </c>
      <c r="L678" s="1" t="str">
        <f t="shared" si="10"/>
        <v>"28.7"</v>
      </c>
      <c r="M678">
        <v>100</v>
      </c>
      <c r="N678">
        <f>0.029*stand_validation_1cycle[[#This Row],[stand_level_biomass]]</f>
        <v>26.293715603253453</v>
      </c>
      <c r="O678">
        <f>0.213*stand_validation_1cycle[[#This Row],[stand_level_biomass]]</f>
        <v>193.12280770665464</v>
      </c>
      <c r="P678">
        <f>0.571*stand_validation_1cycle[[#This Row],[stand_level_biomass]]</f>
        <v>517.71419342957654</v>
      </c>
      <c r="Q678">
        <f>stand_validation_1cycle[[#This Row],[stock]]</f>
        <v>100</v>
      </c>
      <c r="R678">
        <v>0</v>
      </c>
      <c r="S678">
        <f>stand_validation_1cycle[[#This Row],[aws]]</f>
        <v>569.16387939453102</v>
      </c>
      <c r="T678">
        <f>stand_validation_1cycle[[#This Row],[percent_tree_cover]]*100</f>
        <v>8.0517150914708093</v>
      </c>
    </row>
    <row r="679" spans="1:20" x14ac:dyDescent="0.2">
      <c r="A679">
        <v>1</v>
      </c>
      <c r="B679" t="s">
        <v>697</v>
      </c>
      <c r="C679">
        <v>27.103877777777701</v>
      </c>
      <c r="D679">
        <v>759.46856372435002</v>
      </c>
      <c r="E679">
        <v>6.8839889840392399</v>
      </c>
      <c r="F679">
        <v>25.4940205714285</v>
      </c>
      <c r="G679">
        <v>100</v>
      </c>
      <c r="H679">
        <v>567.23937988281205</v>
      </c>
      <c r="I679">
        <v>6.8580823297293605E-2</v>
      </c>
      <c r="K679" s="1" t="str">
        <f>TEXT(stand_validation_1cycle[[#This Row],[stand_age]], ".0")</f>
        <v>27.1</v>
      </c>
      <c r="L679" s="1" t="str">
        <f t="shared" si="10"/>
        <v>"27.1"</v>
      </c>
      <c r="M679">
        <v>100</v>
      </c>
      <c r="N679">
        <f>0.029*stand_validation_1cycle[[#This Row],[stand_level_biomass]]</f>
        <v>22.024588348006152</v>
      </c>
      <c r="O679">
        <f>0.213*stand_validation_1cycle[[#This Row],[stand_level_biomass]]</f>
        <v>161.76680407328655</v>
      </c>
      <c r="P679">
        <f>0.571*stand_validation_1cycle[[#This Row],[stand_level_biomass]]</f>
        <v>433.65654988660384</v>
      </c>
      <c r="Q679">
        <f>stand_validation_1cycle[[#This Row],[stock]]</f>
        <v>100</v>
      </c>
      <c r="R679">
        <v>0</v>
      </c>
      <c r="S679">
        <f>stand_validation_1cycle[[#This Row],[aws]]</f>
        <v>567.23937988281205</v>
      </c>
      <c r="T679">
        <f>stand_validation_1cycle[[#This Row],[percent_tree_cover]]*100</f>
        <v>6.8580823297293607</v>
      </c>
    </row>
    <row r="680" spans="1:20" x14ac:dyDescent="0.2">
      <c r="A680">
        <v>1</v>
      </c>
      <c r="B680" t="s">
        <v>698</v>
      </c>
      <c r="C680">
        <v>27.951144444444399</v>
      </c>
      <c r="D680">
        <v>784.16719721008997</v>
      </c>
      <c r="E680">
        <v>7.0895300395948402</v>
      </c>
      <c r="F680">
        <v>26.2126118857142</v>
      </c>
      <c r="G680">
        <v>100</v>
      </c>
      <c r="H680">
        <v>567.23937988281205</v>
      </c>
      <c r="I680">
        <v>7.0639115235518204E-2</v>
      </c>
      <c r="K680" s="1" t="str">
        <f>TEXT(stand_validation_1cycle[[#This Row],[stand_age]], ".0")</f>
        <v>28.0</v>
      </c>
      <c r="L680" s="1" t="str">
        <f t="shared" si="10"/>
        <v>"28.0"</v>
      </c>
      <c r="M680">
        <v>100</v>
      </c>
      <c r="N680">
        <f>0.029*stand_validation_1cycle[[#This Row],[stand_level_biomass]]</f>
        <v>22.740848719092611</v>
      </c>
      <c r="O680">
        <f>0.213*stand_validation_1cycle[[#This Row],[stand_level_biomass]]</f>
        <v>167.02761300574915</v>
      </c>
      <c r="P680">
        <f>0.571*stand_validation_1cycle[[#This Row],[stand_level_biomass]]</f>
        <v>447.75946960696132</v>
      </c>
      <c r="Q680">
        <f>stand_validation_1cycle[[#This Row],[stock]]</f>
        <v>100</v>
      </c>
      <c r="R680">
        <v>0</v>
      </c>
      <c r="S680">
        <f>stand_validation_1cycle[[#This Row],[aws]]</f>
        <v>567.23937988281205</v>
      </c>
      <c r="T680">
        <f>stand_validation_1cycle[[#This Row],[percent_tree_cover]]*100</f>
        <v>7.0639115235518206</v>
      </c>
    </row>
    <row r="681" spans="1:20" x14ac:dyDescent="0.2">
      <c r="A681">
        <v>1</v>
      </c>
      <c r="B681" t="s">
        <v>699</v>
      </c>
      <c r="C681">
        <v>29.101944444444399</v>
      </c>
      <c r="D681">
        <v>910.60677602934095</v>
      </c>
      <c r="E681">
        <v>8.0746478873607792</v>
      </c>
      <c r="F681">
        <v>28.211605942857101</v>
      </c>
      <c r="G681">
        <v>100</v>
      </c>
      <c r="H681">
        <v>567.398681640625</v>
      </c>
      <c r="I681">
        <v>8.0455690453314896E-2</v>
      </c>
      <c r="K681" s="1" t="str">
        <f>TEXT(stand_validation_1cycle[[#This Row],[stand_age]], ".0")</f>
        <v>29.1</v>
      </c>
      <c r="L681" s="1" t="str">
        <f t="shared" si="10"/>
        <v>"29.1"</v>
      </c>
      <c r="M681">
        <v>100</v>
      </c>
      <c r="N681">
        <f>0.029*stand_validation_1cycle[[#This Row],[stand_level_biomass]]</f>
        <v>26.40759650485089</v>
      </c>
      <c r="O681">
        <f>0.213*stand_validation_1cycle[[#This Row],[stand_level_biomass]]</f>
        <v>193.95924329424963</v>
      </c>
      <c r="P681">
        <f>0.571*stand_validation_1cycle[[#This Row],[stand_level_biomass]]</f>
        <v>519.95646911275367</v>
      </c>
      <c r="Q681">
        <f>stand_validation_1cycle[[#This Row],[stock]]</f>
        <v>100</v>
      </c>
      <c r="R681">
        <v>0</v>
      </c>
      <c r="S681">
        <f>stand_validation_1cycle[[#This Row],[aws]]</f>
        <v>567.398681640625</v>
      </c>
      <c r="T681">
        <f>stand_validation_1cycle[[#This Row],[percent_tree_cover]]*100</f>
        <v>8.0455690453314901</v>
      </c>
    </row>
    <row r="682" spans="1:20" x14ac:dyDescent="0.2">
      <c r="A682">
        <v>1</v>
      </c>
      <c r="B682" t="s">
        <v>700</v>
      </c>
      <c r="C682">
        <v>30.417822671155999</v>
      </c>
      <c r="D682">
        <v>1182.5542338238899</v>
      </c>
      <c r="E682">
        <v>9.8887849125192808</v>
      </c>
      <c r="F682">
        <v>30.129950014430001</v>
      </c>
      <c r="G682">
        <v>99</v>
      </c>
      <c r="H682">
        <v>576.19818115234295</v>
      </c>
      <c r="I682">
        <v>9.7995033749305405E-2</v>
      </c>
      <c r="K682" s="1" t="str">
        <f>TEXT(stand_validation_1cycle[[#This Row],[stand_age]], ".0")</f>
        <v>30.4</v>
      </c>
      <c r="L682" s="1" t="str">
        <f t="shared" si="10"/>
        <v>"30.4"</v>
      </c>
      <c r="M682">
        <v>100</v>
      </c>
      <c r="N682">
        <f>0.029*stand_validation_1cycle[[#This Row],[stand_level_biomass]]</f>
        <v>34.294072780892812</v>
      </c>
      <c r="O682">
        <f>0.213*stand_validation_1cycle[[#This Row],[stand_level_biomass]]</f>
        <v>251.88405180448856</v>
      </c>
      <c r="P682">
        <f>0.571*stand_validation_1cycle[[#This Row],[stand_level_biomass]]</f>
        <v>675.23846751344115</v>
      </c>
      <c r="Q682">
        <f>stand_validation_1cycle[[#This Row],[stock]]</f>
        <v>99</v>
      </c>
      <c r="R682">
        <v>0</v>
      </c>
      <c r="S682">
        <f>stand_validation_1cycle[[#This Row],[aws]]</f>
        <v>576.19818115234295</v>
      </c>
      <c r="T682">
        <f>stand_validation_1cycle[[#This Row],[percent_tree_cover]]*100</f>
        <v>9.7995033749305414</v>
      </c>
    </row>
    <row r="683" spans="1:20" x14ac:dyDescent="0.2">
      <c r="A683">
        <v>1</v>
      </c>
      <c r="B683" t="s">
        <v>701</v>
      </c>
      <c r="C683">
        <v>25.435264550264499</v>
      </c>
      <c r="D683">
        <v>544.15465828932201</v>
      </c>
      <c r="E683">
        <v>4.5265087970534097</v>
      </c>
      <c r="F683">
        <v>23.722111564625799</v>
      </c>
      <c r="G683">
        <v>84</v>
      </c>
      <c r="H683">
        <v>571.64367675781205</v>
      </c>
      <c r="I683">
        <v>5.2930288210067698E-2</v>
      </c>
      <c r="K683" s="1" t="str">
        <f>TEXT(stand_validation_1cycle[[#This Row],[stand_age]], ".0")</f>
        <v>25.4</v>
      </c>
      <c r="L683" s="1" t="str">
        <f t="shared" si="10"/>
        <v>"25.4"</v>
      </c>
      <c r="M683">
        <v>100</v>
      </c>
      <c r="N683">
        <f>0.029*stand_validation_1cycle[[#This Row],[stand_level_biomass]]</f>
        <v>15.780485090390339</v>
      </c>
      <c r="O683">
        <f>0.213*stand_validation_1cycle[[#This Row],[stand_level_biomass]]</f>
        <v>115.90494221562558</v>
      </c>
      <c r="P683">
        <f>0.571*stand_validation_1cycle[[#This Row],[stand_level_biomass]]</f>
        <v>310.71230988320286</v>
      </c>
      <c r="Q683">
        <f>stand_validation_1cycle[[#This Row],[stock]]</f>
        <v>84</v>
      </c>
      <c r="R683">
        <v>0</v>
      </c>
      <c r="S683">
        <f>stand_validation_1cycle[[#This Row],[aws]]</f>
        <v>571.64367675781205</v>
      </c>
      <c r="T683">
        <f>stand_validation_1cycle[[#This Row],[percent_tree_cover]]*100</f>
        <v>5.2930288210067697</v>
      </c>
    </row>
    <row r="684" spans="1:20" x14ac:dyDescent="0.2">
      <c r="A684">
        <v>1</v>
      </c>
      <c r="B684" t="s">
        <v>702</v>
      </c>
      <c r="C684">
        <v>27.4820611916264</v>
      </c>
      <c r="D684">
        <v>1015.44155191015</v>
      </c>
      <c r="E684">
        <v>5.9929877543876904</v>
      </c>
      <c r="F684">
        <v>28.124699296066201</v>
      </c>
      <c r="G684">
        <v>69</v>
      </c>
      <c r="H684">
        <v>567.25665283203102</v>
      </c>
      <c r="I684">
        <v>8.6003453053570905E-2</v>
      </c>
      <c r="K684" s="1" t="str">
        <f>TEXT(stand_validation_1cycle[[#This Row],[stand_age]], ".0")</f>
        <v>27.5</v>
      </c>
      <c r="L684" s="1" t="str">
        <f t="shared" si="10"/>
        <v>"27.5"</v>
      </c>
      <c r="M684">
        <v>100</v>
      </c>
      <c r="N684">
        <f>0.029*stand_validation_1cycle[[#This Row],[stand_level_biomass]]</f>
        <v>29.447805005394351</v>
      </c>
      <c r="O684">
        <f>0.213*stand_validation_1cycle[[#This Row],[stand_level_biomass]]</f>
        <v>216.28905055686195</v>
      </c>
      <c r="P684">
        <f>0.571*stand_validation_1cycle[[#This Row],[stand_level_biomass]]</f>
        <v>579.81712614069556</v>
      </c>
      <c r="Q684">
        <f>stand_validation_1cycle[[#This Row],[stock]]</f>
        <v>69</v>
      </c>
      <c r="R684">
        <v>0</v>
      </c>
      <c r="S684">
        <f>stand_validation_1cycle[[#This Row],[aws]]</f>
        <v>567.25665283203102</v>
      </c>
      <c r="T684">
        <f>stand_validation_1cycle[[#This Row],[percent_tree_cover]]*100</f>
        <v>8.6003453053570897</v>
      </c>
    </row>
    <row r="685" spans="1:20" x14ac:dyDescent="0.2">
      <c r="A685">
        <v>1</v>
      </c>
      <c r="B685" t="s">
        <v>703</v>
      </c>
      <c r="C685">
        <v>28.124388888888799</v>
      </c>
      <c r="D685">
        <v>924.37438966846503</v>
      </c>
      <c r="E685">
        <v>8.1897809749295494</v>
      </c>
      <c r="F685">
        <v>27.999519999999901</v>
      </c>
      <c r="G685">
        <v>100</v>
      </c>
      <c r="H685">
        <v>571</v>
      </c>
      <c r="I685">
        <v>8.16049039225233E-2</v>
      </c>
      <c r="K685" s="1" t="str">
        <f>TEXT(stand_validation_1cycle[[#This Row],[stand_age]], ".0")</f>
        <v>28.1</v>
      </c>
      <c r="L685" s="1" t="str">
        <f t="shared" si="10"/>
        <v>"28.1"</v>
      </c>
      <c r="M685">
        <v>100</v>
      </c>
      <c r="N685">
        <f>0.029*stand_validation_1cycle[[#This Row],[stand_level_biomass]]</f>
        <v>26.806857300385488</v>
      </c>
      <c r="O685">
        <f>0.213*stand_validation_1cycle[[#This Row],[stand_level_biomass]]</f>
        <v>196.89174499938304</v>
      </c>
      <c r="P685">
        <f>0.571*stand_validation_1cycle[[#This Row],[stand_level_biomass]]</f>
        <v>527.81777650069353</v>
      </c>
      <c r="Q685">
        <f>stand_validation_1cycle[[#This Row],[stock]]</f>
        <v>100</v>
      </c>
      <c r="R685">
        <v>0</v>
      </c>
      <c r="S685">
        <f>stand_validation_1cycle[[#This Row],[aws]]</f>
        <v>571</v>
      </c>
      <c r="T685">
        <f>stand_validation_1cycle[[#This Row],[percent_tree_cover]]*100</f>
        <v>8.1604903922523295</v>
      </c>
    </row>
    <row r="686" spans="1:20" x14ac:dyDescent="0.2">
      <c r="A686">
        <v>1</v>
      </c>
      <c r="B686" t="s">
        <v>704</v>
      </c>
      <c r="C686">
        <v>26.6067111111111</v>
      </c>
      <c r="D686">
        <v>788.825694419657</v>
      </c>
      <c r="E686">
        <v>7.2348067086747898</v>
      </c>
      <c r="F686">
        <v>26.961060799999899</v>
      </c>
      <c r="G686">
        <v>100</v>
      </c>
      <c r="H686">
        <v>569.43121337890602</v>
      </c>
      <c r="I686">
        <v>7.2103846855750303E-2</v>
      </c>
      <c r="K686" s="1" t="str">
        <f>TEXT(stand_validation_1cycle[[#This Row],[stand_age]], ".0")</f>
        <v>26.6</v>
      </c>
      <c r="L686" s="1" t="str">
        <f t="shared" si="10"/>
        <v>"26.6"</v>
      </c>
      <c r="M686">
        <v>100</v>
      </c>
      <c r="N686">
        <f>0.029*stand_validation_1cycle[[#This Row],[stand_level_biomass]]</f>
        <v>22.875945138170053</v>
      </c>
      <c r="O686">
        <f>0.213*stand_validation_1cycle[[#This Row],[stand_level_biomass]]</f>
        <v>168.01987291138693</v>
      </c>
      <c r="P686">
        <f>0.571*stand_validation_1cycle[[#This Row],[stand_level_biomass]]</f>
        <v>450.4194715136241</v>
      </c>
      <c r="Q686">
        <f>stand_validation_1cycle[[#This Row],[stock]]</f>
        <v>100</v>
      </c>
      <c r="R686">
        <v>0</v>
      </c>
      <c r="S686">
        <f>stand_validation_1cycle[[#This Row],[aws]]</f>
        <v>569.43121337890602</v>
      </c>
      <c r="T686">
        <f>stand_validation_1cycle[[#This Row],[percent_tree_cover]]*100</f>
        <v>7.21038468557503</v>
      </c>
    </row>
    <row r="687" spans="1:20" x14ac:dyDescent="0.2">
      <c r="A687">
        <v>1</v>
      </c>
      <c r="B687" t="s">
        <v>705</v>
      </c>
      <c r="C687">
        <v>29.7906333333333</v>
      </c>
      <c r="D687">
        <v>882.80910309367698</v>
      </c>
      <c r="E687">
        <v>8.0286997386075498</v>
      </c>
      <c r="F687">
        <v>28.720629028571398</v>
      </c>
      <c r="G687">
        <v>100</v>
      </c>
      <c r="H687">
        <v>567.18762207031205</v>
      </c>
      <c r="I687">
        <v>7.9991594448865402E-2</v>
      </c>
      <c r="K687" s="1" t="str">
        <f>TEXT(stand_validation_1cycle[[#This Row],[stand_age]], ".0")</f>
        <v>29.8</v>
      </c>
      <c r="L687" s="1" t="str">
        <f t="shared" si="10"/>
        <v>"29.8"</v>
      </c>
      <c r="M687">
        <v>100</v>
      </c>
      <c r="N687">
        <f>0.029*stand_validation_1cycle[[#This Row],[stand_level_biomass]]</f>
        <v>25.601463989716635</v>
      </c>
      <c r="O687">
        <f>0.213*stand_validation_1cycle[[#This Row],[stand_level_biomass]]</f>
        <v>188.0383389589532</v>
      </c>
      <c r="P687">
        <f>0.571*stand_validation_1cycle[[#This Row],[stand_level_biomass]]</f>
        <v>504.08399786648954</v>
      </c>
      <c r="Q687">
        <f>stand_validation_1cycle[[#This Row],[stock]]</f>
        <v>100</v>
      </c>
      <c r="R687">
        <v>0</v>
      </c>
      <c r="S687">
        <f>stand_validation_1cycle[[#This Row],[aws]]</f>
        <v>567.18762207031205</v>
      </c>
      <c r="T687">
        <f>stand_validation_1cycle[[#This Row],[percent_tree_cover]]*100</f>
        <v>7.9991594448865406</v>
      </c>
    </row>
    <row r="688" spans="1:20" x14ac:dyDescent="0.2">
      <c r="A688">
        <v>1</v>
      </c>
      <c r="B688" t="s">
        <v>706</v>
      </c>
      <c r="C688">
        <v>25.733699999999999</v>
      </c>
      <c r="D688">
        <v>743.62148593548295</v>
      </c>
      <c r="E688">
        <v>6.7999333163979498</v>
      </c>
      <c r="F688">
        <v>25.761818057142801</v>
      </c>
      <c r="G688">
        <v>100</v>
      </c>
      <c r="H688">
        <v>571.07855224609295</v>
      </c>
      <c r="I688">
        <v>6.7769008207958906E-2</v>
      </c>
      <c r="K688" s="1" t="str">
        <f>TEXT(stand_validation_1cycle[[#This Row],[stand_age]], ".0")</f>
        <v>25.7</v>
      </c>
      <c r="L688" s="1" t="str">
        <f t="shared" si="10"/>
        <v>"25.7"</v>
      </c>
      <c r="M688">
        <v>100</v>
      </c>
      <c r="N688">
        <f>0.029*stand_validation_1cycle[[#This Row],[stand_level_biomass]]</f>
        <v>21.565023092129007</v>
      </c>
      <c r="O688">
        <f>0.213*stand_validation_1cycle[[#This Row],[stand_level_biomass]]</f>
        <v>158.39137650425786</v>
      </c>
      <c r="P688">
        <f>0.571*stand_validation_1cycle[[#This Row],[stand_level_biomass]]</f>
        <v>424.60786846916074</v>
      </c>
      <c r="Q688">
        <f>stand_validation_1cycle[[#This Row],[stock]]</f>
        <v>100</v>
      </c>
      <c r="R688">
        <v>0</v>
      </c>
      <c r="S688">
        <f>stand_validation_1cycle[[#This Row],[aws]]</f>
        <v>571.07855224609295</v>
      </c>
      <c r="T688">
        <f>stand_validation_1cycle[[#This Row],[percent_tree_cover]]*100</f>
        <v>6.7769008207958903</v>
      </c>
    </row>
    <row r="689" spans="1:20" x14ac:dyDescent="0.2">
      <c r="A689">
        <v>1</v>
      </c>
      <c r="B689" t="s">
        <v>707</v>
      </c>
      <c r="C689">
        <v>28.8586734693877</v>
      </c>
      <c r="D689">
        <v>977.96370087400601</v>
      </c>
      <c r="E689">
        <v>8.4490118489349992</v>
      </c>
      <c r="F689">
        <v>28.8810770845481</v>
      </c>
      <c r="G689">
        <v>98</v>
      </c>
      <c r="H689">
        <v>567.18762207031205</v>
      </c>
      <c r="I689">
        <v>8.3883388167158499E-2</v>
      </c>
      <c r="K689" s="1" t="str">
        <f>TEXT(stand_validation_1cycle[[#This Row],[stand_age]], ".0")</f>
        <v>28.9</v>
      </c>
      <c r="L689" s="1" t="str">
        <f t="shared" si="10"/>
        <v>"28.9"</v>
      </c>
      <c r="M689">
        <v>100</v>
      </c>
      <c r="N689">
        <f>0.029*stand_validation_1cycle[[#This Row],[stand_level_biomass]]</f>
        <v>28.360947325346174</v>
      </c>
      <c r="O689">
        <f>0.213*stand_validation_1cycle[[#This Row],[stand_level_biomass]]</f>
        <v>208.30626828616329</v>
      </c>
      <c r="P689">
        <f>0.571*stand_validation_1cycle[[#This Row],[stand_level_biomass]]</f>
        <v>558.41727319905738</v>
      </c>
      <c r="Q689">
        <f>stand_validation_1cycle[[#This Row],[stock]]</f>
        <v>98</v>
      </c>
      <c r="R689">
        <v>0</v>
      </c>
      <c r="S689">
        <f>stand_validation_1cycle[[#This Row],[aws]]</f>
        <v>567.18762207031205</v>
      </c>
      <c r="T689">
        <f>stand_validation_1cycle[[#This Row],[percent_tree_cover]]*100</f>
        <v>8.3883388167158497</v>
      </c>
    </row>
    <row r="690" spans="1:20" x14ac:dyDescent="0.2">
      <c r="A690">
        <v>1</v>
      </c>
      <c r="B690" t="s">
        <v>708</v>
      </c>
      <c r="C690">
        <v>28.4815712682379</v>
      </c>
      <c r="D690">
        <v>965.84852440576503</v>
      </c>
      <c r="E690">
        <v>8.3180969706709291</v>
      </c>
      <c r="F690">
        <v>27.917484329004299</v>
      </c>
      <c r="G690">
        <v>99</v>
      </c>
      <c r="H690">
        <v>571.05487060546795</v>
      </c>
      <c r="I690">
        <v>8.2551521615623596E-2</v>
      </c>
      <c r="K690" s="1" t="str">
        <f>TEXT(stand_validation_1cycle[[#This Row],[stand_age]], ".0")</f>
        <v>28.5</v>
      </c>
      <c r="L690" s="1" t="str">
        <f t="shared" si="10"/>
        <v>"28.5"</v>
      </c>
      <c r="M690">
        <v>100</v>
      </c>
      <c r="N690">
        <f>0.029*stand_validation_1cycle[[#This Row],[stand_level_biomass]]</f>
        <v>28.009607207767189</v>
      </c>
      <c r="O690">
        <f>0.213*stand_validation_1cycle[[#This Row],[stand_level_biomass]]</f>
        <v>205.72573569842794</v>
      </c>
      <c r="P690">
        <f>0.571*stand_validation_1cycle[[#This Row],[stand_level_biomass]]</f>
        <v>551.49950743569184</v>
      </c>
      <c r="Q690">
        <f>stand_validation_1cycle[[#This Row],[stock]]</f>
        <v>99</v>
      </c>
      <c r="R690">
        <v>0</v>
      </c>
      <c r="S690">
        <f>stand_validation_1cycle[[#This Row],[aws]]</f>
        <v>571.05487060546795</v>
      </c>
      <c r="T690">
        <f>stand_validation_1cycle[[#This Row],[percent_tree_cover]]*100</f>
        <v>8.2551521615623589</v>
      </c>
    </row>
    <row r="691" spans="1:20" x14ac:dyDescent="0.2">
      <c r="A691">
        <v>1</v>
      </c>
      <c r="B691" t="s">
        <v>709</v>
      </c>
      <c r="C691">
        <v>26.546166666666601</v>
      </c>
      <c r="D691">
        <v>777.99919757284897</v>
      </c>
      <c r="E691">
        <v>7.0321629869439599</v>
      </c>
      <c r="F691">
        <v>25.824154285714201</v>
      </c>
      <c r="G691">
        <v>100</v>
      </c>
      <c r="H691">
        <v>566.72247314453102</v>
      </c>
      <c r="I691">
        <v>7.0076301665671498E-2</v>
      </c>
      <c r="K691" s="1" t="str">
        <f>TEXT(stand_validation_1cycle[[#This Row],[stand_age]], ".0")</f>
        <v>26.5</v>
      </c>
      <c r="L691" s="1" t="str">
        <f t="shared" si="10"/>
        <v>"26.5"</v>
      </c>
      <c r="M691">
        <v>100</v>
      </c>
      <c r="N691">
        <f>0.029*stand_validation_1cycle[[#This Row],[stand_level_biomass]]</f>
        <v>22.561976729612621</v>
      </c>
      <c r="O691">
        <f>0.213*stand_validation_1cycle[[#This Row],[stand_level_biomass]]</f>
        <v>165.71382908301683</v>
      </c>
      <c r="P691">
        <f>0.571*stand_validation_1cycle[[#This Row],[stand_level_biomass]]</f>
        <v>444.23754181409674</v>
      </c>
      <c r="Q691">
        <f>stand_validation_1cycle[[#This Row],[stock]]</f>
        <v>100</v>
      </c>
      <c r="R691">
        <v>0</v>
      </c>
      <c r="S691">
        <f>stand_validation_1cycle[[#This Row],[aws]]</f>
        <v>566.72247314453102</v>
      </c>
      <c r="T691">
        <f>stand_validation_1cycle[[#This Row],[percent_tree_cover]]*100</f>
        <v>7.0076301665671501</v>
      </c>
    </row>
    <row r="692" spans="1:20" x14ac:dyDescent="0.2">
      <c r="A692">
        <v>1</v>
      </c>
      <c r="B692" t="s">
        <v>710</v>
      </c>
      <c r="C692">
        <v>27.769281705948298</v>
      </c>
      <c r="D692">
        <v>932.65957632576101</v>
      </c>
      <c r="E692">
        <v>8.0798692143510493</v>
      </c>
      <c r="F692">
        <v>27.5826087157287</v>
      </c>
      <c r="G692">
        <v>99</v>
      </c>
      <c r="H692">
        <v>570.897705078125</v>
      </c>
      <c r="I692">
        <v>8.0430529185070404E-2</v>
      </c>
      <c r="K692" s="1" t="str">
        <f>TEXT(stand_validation_1cycle[[#This Row],[stand_age]], ".0")</f>
        <v>27.8</v>
      </c>
      <c r="L692" s="1" t="str">
        <f t="shared" si="10"/>
        <v>"27.8"</v>
      </c>
      <c r="M692">
        <v>100</v>
      </c>
      <c r="N692">
        <f>0.029*stand_validation_1cycle[[#This Row],[stand_level_biomass]]</f>
        <v>27.047127713447072</v>
      </c>
      <c r="O692">
        <f>0.213*stand_validation_1cycle[[#This Row],[stand_level_biomass]]</f>
        <v>198.65648975738708</v>
      </c>
      <c r="P692">
        <f>0.571*stand_validation_1cycle[[#This Row],[stand_level_biomass]]</f>
        <v>532.54861808200951</v>
      </c>
      <c r="Q692">
        <f>stand_validation_1cycle[[#This Row],[stock]]</f>
        <v>99</v>
      </c>
      <c r="R692">
        <v>0</v>
      </c>
      <c r="S692">
        <f>stand_validation_1cycle[[#This Row],[aws]]</f>
        <v>570.897705078125</v>
      </c>
      <c r="T692">
        <f>stand_validation_1cycle[[#This Row],[percent_tree_cover]]*100</f>
        <v>8.0430529185070405</v>
      </c>
    </row>
    <row r="693" spans="1:20" x14ac:dyDescent="0.2">
      <c r="A693">
        <v>1</v>
      </c>
      <c r="B693" t="s">
        <v>711</v>
      </c>
      <c r="C693">
        <v>26.862244668911298</v>
      </c>
      <c r="D693">
        <v>988.70216433187795</v>
      </c>
      <c r="E693">
        <v>8.4609318368608797</v>
      </c>
      <c r="F693">
        <v>28.2861651948051</v>
      </c>
      <c r="G693">
        <v>99</v>
      </c>
      <c r="H693">
        <v>572.10595703125</v>
      </c>
      <c r="I693">
        <v>8.41893056096846E-2</v>
      </c>
      <c r="K693" s="1" t="str">
        <f>TEXT(stand_validation_1cycle[[#This Row],[stand_age]], ".0")</f>
        <v>26.9</v>
      </c>
      <c r="L693" s="1" t="str">
        <f t="shared" si="10"/>
        <v>"26.9"</v>
      </c>
      <c r="M693">
        <v>100</v>
      </c>
      <c r="N693">
        <f>0.029*stand_validation_1cycle[[#This Row],[stand_level_biomass]]</f>
        <v>28.672362765624463</v>
      </c>
      <c r="O693">
        <f>0.213*stand_validation_1cycle[[#This Row],[stand_level_biomass]]</f>
        <v>210.59356100269</v>
      </c>
      <c r="P693">
        <f>0.571*stand_validation_1cycle[[#This Row],[stand_level_biomass]]</f>
        <v>564.54893583350224</v>
      </c>
      <c r="Q693">
        <f>stand_validation_1cycle[[#This Row],[stock]]</f>
        <v>99</v>
      </c>
      <c r="R693">
        <v>0</v>
      </c>
      <c r="S693">
        <f>stand_validation_1cycle[[#This Row],[aws]]</f>
        <v>572.10595703125</v>
      </c>
      <c r="T693">
        <f>stand_validation_1cycle[[#This Row],[percent_tree_cover]]*100</f>
        <v>8.4189305609684606</v>
      </c>
    </row>
    <row r="694" spans="1:20" x14ac:dyDescent="0.2">
      <c r="A694">
        <v>1</v>
      </c>
      <c r="B694" t="s">
        <v>712</v>
      </c>
      <c r="C694">
        <v>28.769766666666602</v>
      </c>
      <c r="D694">
        <v>902.29000289467399</v>
      </c>
      <c r="E694">
        <v>8.0780313826486996</v>
      </c>
      <c r="F694">
        <v>28.474509257142799</v>
      </c>
      <c r="G694">
        <v>100</v>
      </c>
      <c r="H694">
        <v>566.72247314453102</v>
      </c>
      <c r="I694">
        <v>8.0494492319062194E-2</v>
      </c>
      <c r="K694" s="1" t="str">
        <f>TEXT(stand_validation_1cycle[[#This Row],[stand_age]], ".0")</f>
        <v>28.8</v>
      </c>
      <c r="L694" s="1" t="str">
        <f t="shared" si="10"/>
        <v>"28.8"</v>
      </c>
      <c r="M694">
        <v>100</v>
      </c>
      <c r="N694">
        <f>0.029*stand_validation_1cycle[[#This Row],[stand_level_biomass]]</f>
        <v>26.166410083945546</v>
      </c>
      <c r="O694">
        <f>0.213*stand_validation_1cycle[[#This Row],[stand_level_biomass]]</f>
        <v>192.18777061656556</v>
      </c>
      <c r="P694">
        <f>0.571*stand_validation_1cycle[[#This Row],[stand_level_biomass]]</f>
        <v>515.20759165285881</v>
      </c>
      <c r="Q694">
        <f>stand_validation_1cycle[[#This Row],[stock]]</f>
        <v>100</v>
      </c>
      <c r="R694">
        <v>0</v>
      </c>
      <c r="S694">
        <f>stand_validation_1cycle[[#This Row],[aws]]</f>
        <v>566.72247314453102</v>
      </c>
      <c r="T694">
        <f>stand_validation_1cycle[[#This Row],[percent_tree_cover]]*100</f>
        <v>8.0494492319062196</v>
      </c>
    </row>
    <row r="695" spans="1:20" x14ac:dyDescent="0.2">
      <c r="A695">
        <v>1</v>
      </c>
      <c r="B695" t="s">
        <v>713</v>
      </c>
      <c r="C695">
        <v>28.356666666666602</v>
      </c>
      <c r="D695">
        <v>916.51162590020203</v>
      </c>
      <c r="E695">
        <v>8.0686796467171291</v>
      </c>
      <c r="F695">
        <v>27.5235506285714</v>
      </c>
      <c r="G695">
        <v>100</v>
      </c>
      <c r="H695">
        <v>573.40051269531205</v>
      </c>
      <c r="I695">
        <v>8.0381309058905295E-2</v>
      </c>
      <c r="K695" s="1" t="str">
        <f>TEXT(stand_validation_1cycle[[#This Row],[stand_age]], ".0")</f>
        <v>28.4</v>
      </c>
      <c r="L695" s="1" t="str">
        <f t="shared" si="10"/>
        <v>"28.4"</v>
      </c>
      <c r="M695">
        <v>100</v>
      </c>
      <c r="N695">
        <f>0.029*stand_validation_1cycle[[#This Row],[stand_level_biomass]]</f>
        <v>26.578837151105862</v>
      </c>
      <c r="O695">
        <f>0.213*stand_validation_1cycle[[#This Row],[stand_level_biomass]]</f>
        <v>195.21697631674303</v>
      </c>
      <c r="P695">
        <f>0.571*stand_validation_1cycle[[#This Row],[stand_level_biomass]]</f>
        <v>523.32813838901529</v>
      </c>
      <c r="Q695">
        <f>stand_validation_1cycle[[#This Row],[stock]]</f>
        <v>100</v>
      </c>
      <c r="R695">
        <v>0</v>
      </c>
      <c r="S695">
        <f>stand_validation_1cycle[[#This Row],[aws]]</f>
        <v>573.40051269531205</v>
      </c>
      <c r="T695">
        <f>stand_validation_1cycle[[#This Row],[percent_tree_cover]]*100</f>
        <v>8.0381309058905295</v>
      </c>
    </row>
    <row r="696" spans="1:20" x14ac:dyDescent="0.2">
      <c r="A696">
        <v>1</v>
      </c>
      <c r="B696" t="s">
        <v>714</v>
      </c>
      <c r="C696">
        <v>25.533321256038601</v>
      </c>
      <c r="D696">
        <v>820.83331421417597</v>
      </c>
      <c r="E696">
        <v>6.7824817692072603</v>
      </c>
      <c r="F696">
        <v>26.6928899378882</v>
      </c>
      <c r="G696">
        <v>92</v>
      </c>
      <c r="H696">
        <v>566.888916015625</v>
      </c>
      <c r="I696">
        <v>7.41479319271027E-2</v>
      </c>
      <c r="K696" s="1" t="str">
        <f>TEXT(stand_validation_1cycle[[#This Row],[stand_age]], ".0")</f>
        <v>25.5</v>
      </c>
      <c r="L696" s="1" t="str">
        <f t="shared" si="10"/>
        <v>"25.5"</v>
      </c>
      <c r="M696">
        <v>100</v>
      </c>
      <c r="N696">
        <f>0.029*stand_validation_1cycle[[#This Row],[stand_level_biomass]]</f>
        <v>23.804166112211103</v>
      </c>
      <c r="O696">
        <f>0.213*stand_validation_1cycle[[#This Row],[stand_level_biomass]]</f>
        <v>174.83749592761947</v>
      </c>
      <c r="P696">
        <f>0.571*stand_validation_1cycle[[#This Row],[stand_level_biomass]]</f>
        <v>468.69582241629445</v>
      </c>
      <c r="Q696">
        <f>stand_validation_1cycle[[#This Row],[stock]]</f>
        <v>92</v>
      </c>
      <c r="R696">
        <v>0</v>
      </c>
      <c r="S696">
        <f>stand_validation_1cycle[[#This Row],[aws]]</f>
        <v>566.888916015625</v>
      </c>
      <c r="T696">
        <f>stand_validation_1cycle[[#This Row],[percent_tree_cover]]*100</f>
        <v>7.4147931927102704</v>
      </c>
    </row>
    <row r="697" spans="1:20" x14ac:dyDescent="0.2">
      <c r="A697">
        <v>1</v>
      </c>
      <c r="B697" t="s">
        <v>715</v>
      </c>
      <c r="C697">
        <v>26.804150326797298</v>
      </c>
      <c r="D697">
        <v>692.98085923748397</v>
      </c>
      <c r="E697">
        <v>2.2261529746859701</v>
      </c>
      <c r="F697">
        <v>26.056121008403299</v>
      </c>
      <c r="G697">
        <v>34</v>
      </c>
      <c r="H697">
        <v>566.888916015625</v>
      </c>
      <c r="I697">
        <v>6.0381686299330301E-2</v>
      </c>
      <c r="K697" s="1" t="str">
        <f>TEXT(stand_validation_1cycle[[#This Row],[stand_age]], ".0")</f>
        <v>26.8</v>
      </c>
      <c r="L697" s="1" t="str">
        <f t="shared" si="10"/>
        <v>"26.8"</v>
      </c>
      <c r="M697">
        <v>100</v>
      </c>
      <c r="N697">
        <f>0.029*stand_validation_1cycle[[#This Row],[stand_level_biomass]]</f>
        <v>20.096444917887037</v>
      </c>
      <c r="O697">
        <f>0.213*stand_validation_1cycle[[#This Row],[stand_level_biomass]]</f>
        <v>147.60492301758407</v>
      </c>
      <c r="P697">
        <f>0.571*stand_validation_1cycle[[#This Row],[stand_level_biomass]]</f>
        <v>395.69207062460333</v>
      </c>
      <c r="Q697">
        <f>stand_validation_1cycle[[#This Row],[stock]]</f>
        <v>34</v>
      </c>
      <c r="R697">
        <v>0</v>
      </c>
      <c r="S697">
        <f>stand_validation_1cycle[[#This Row],[aws]]</f>
        <v>566.888916015625</v>
      </c>
      <c r="T697">
        <f>stand_validation_1cycle[[#This Row],[percent_tree_cover]]*100</f>
        <v>6.0381686299330299</v>
      </c>
    </row>
    <row r="698" spans="1:20" x14ac:dyDescent="0.2">
      <c r="A698">
        <v>1</v>
      </c>
      <c r="B698" t="s">
        <v>716</v>
      </c>
      <c r="C698">
        <v>27.8409539842873</v>
      </c>
      <c r="D698">
        <v>877.71818559991902</v>
      </c>
      <c r="E698">
        <v>7.6769630981208197</v>
      </c>
      <c r="F698">
        <v>26.925937238106702</v>
      </c>
      <c r="G698">
        <v>99</v>
      </c>
      <c r="H698">
        <v>574.47692871093705</v>
      </c>
      <c r="I698">
        <v>7.7464857114963606E-2</v>
      </c>
      <c r="K698" s="1" t="str">
        <f>TEXT(stand_validation_1cycle[[#This Row],[stand_age]], ".0")</f>
        <v>27.8</v>
      </c>
      <c r="L698" s="1" t="str">
        <f t="shared" si="10"/>
        <v>"27.8"</v>
      </c>
      <c r="M698">
        <v>100</v>
      </c>
      <c r="N698">
        <f>0.029*stand_validation_1cycle[[#This Row],[stand_level_biomass]]</f>
        <v>25.453827382397652</v>
      </c>
      <c r="O698">
        <f>0.213*stand_validation_1cycle[[#This Row],[stand_level_biomass]]</f>
        <v>186.95397353278275</v>
      </c>
      <c r="P698">
        <f>0.571*stand_validation_1cycle[[#This Row],[stand_level_biomass]]</f>
        <v>501.17708397755371</v>
      </c>
      <c r="Q698">
        <f>stand_validation_1cycle[[#This Row],[stock]]</f>
        <v>99</v>
      </c>
      <c r="R698">
        <v>0</v>
      </c>
      <c r="S698">
        <f>stand_validation_1cycle[[#This Row],[aws]]</f>
        <v>574.47692871093705</v>
      </c>
      <c r="T698">
        <f>stand_validation_1cycle[[#This Row],[percent_tree_cover]]*100</f>
        <v>7.7464857114963603</v>
      </c>
    </row>
    <row r="699" spans="1:20" x14ac:dyDescent="0.2">
      <c r="A699">
        <v>1</v>
      </c>
      <c r="B699" t="s">
        <v>717</v>
      </c>
      <c r="C699">
        <v>28.220088888888899</v>
      </c>
      <c r="D699">
        <v>789.13804315228504</v>
      </c>
      <c r="E699">
        <v>7.1807155517634502</v>
      </c>
      <c r="F699">
        <v>26.4659014657528</v>
      </c>
      <c r="G699">
        <v>100</v>
      </c>
      <c r="H699">
        <v>568.08978271484295</v>
      </c>
      <c r="I699">
        <v>7.15397483829876E-2</v>
      </c>
      <c r="K699" s="1" t="str">
        <f>TEXT(stand_validation_1cycle[[#This Row],[stand_age]], ".0")</f>
        <v>28.2</v>
      </c>
      <c r="L699" s="1" t="str">
        <f t="shared" si="10"/>
        <v>"28.2"</v>
      </c>
      <c r="M699">
        <v>100</v>
      </c>
      <c r="N699">
        <f>0.029*stand_validation_1cycle[[#This Row],[stand_level_biomass]]</f>
        <v>22.885003251416268</v>
      </c>
      <c r="O699">
        <f>0.213*stand_validation_1cycle[[#This Row],[stand_level_biomass]]</f>
        <v>168.08640319143672</v>
      </c>
      <c r="P699">
        <f>0.571*stand_validation_1cycle[[#This Row],[stand_level_biomass]]</f>
        <v>450.5978226399547</v>
      </c>
      <c r="Q699">
        <f>stand_validation_1cycle[[#This Row],[stock]]</f>
        <v>100</v>
      </c>
      <c r="R699">
        <v>0</v>
      </c>
      <c r="S699">
        <f>stand_validation_1cycle[[#This Row],[aws]]</f>
        <v>568.08978271484295</v>
      </c>
      <c r="T699">
        <f>stand_validation_1cycle[[#This Row],[percent_tree_cover]]*100</f>
        <v>7.15397483829876</v>
      </c>
    </row>
    <row r="700" spans="1:20" x14ac:dyDescent="0.2">
      <c r="A700">
        <v>1</v>
      </c>
      <c r="B700" t="s">
        <v>718</v>
      </c>
      <c r="C700">
        <v>28.9876767676767</v>
      </c>
      <c r="D700">
        <v>894.51253546280395</v>
      </c>
      <c r="E700">
        <v>7.8722586346348997</v>
      </c>
      <c r="F700">
        <v>27.681956632046099</v>
      </c>
      <c r="G700">
        <v>99</v>
      </c>
      <c r="H700">
        <v>572.43218994140602</v>
      </c>
      <c r="I700">
        <v>7.8219598126663806E-2</v>
      </c>
      <c r="K700" s="1" t="str">
        <f>TEXT(stand_validation_1cycle[[#This Row],[stand_age]], ".0")</f>
        <v>29.0</v>
      </c>
      <c r="L700" s="1" t="str">
        <f t="shared" si="10"/>
        <v>"29.0"</v>
      </c>
      <c r="M700">
        <v>100</v>
      </c>
      <c r="N700">
        <f>0.029*stand_validation_1cycle[[#This Row],[stand_level_biomass]]</f>
        <v>25.940863528421318</v>
      </c>
      <c r="O700">
        <f>0.213*stand_validation_1cycle[[#This Row],[stand_level_biomass]]</f>
        <v>190.53117005357723</v>
      </c>
      <c r="P700">
        <f>0.571*stand_validation_1cycle[[#This Row],[stand_level_biomass]]</f>
        <v>510.76665774926101</v>
      </c>
      <c r="Q700">
        <f>stand_validation_1cycle[[#This Row],[stock]]</f>
        <v>99</v>
      </c>
      <c r="R700">
        <v>0</v>
      </c>
      <c r="S700">
        <f>stand_validation_1cycle[[#This Row],[aws]]</f>
        <v>572.43218994140602</v>
      </c>
      <c r="T700">
        <f>stand_validation_1cycle[[#This Row],[percent_tree_cover]]*100</f>
        <v>7.821959812666381</v>
      </c>
    </row>
    <row r="701" spans="1:20" x14ac:dyDescent="0.2">
      <c r="A701">
        <v>1</v>
      </c>
      <c r="B701" t="s">
        <v>719</v>
      </c>
      <c r="C701">
        <v>28.072244444444401</v>
      </c>
      <c r="D701">
        <v>981.16977161555303</v>
      </c>
      <c r="E701">
        <v>8.4739560946044996</v>
      </c>
      <c r="F701">
        <v>27.751437998941402</v>
      </c>
      <c r="G701">
        <v>100</v>
      </c>
      <c r="H701">
        <v>569.38616943359295</v>
      </c>
      <c r="I701">
        <v>8.4419659965653898E-2</v>
      </c>
      <c r="K701" s="1" t="str">
        <f>TEXT(stand_validation_1cycle[[#This Row],[stand_age]], ".0")</f>
        <v>28.1</v>
      </c>
      <c r="L701" s="1" t="str">
        <f t="shared" si="10"/>
        <v>"28.1"</v>
      </c>
      <c r="M701">
        <v>100</v>
      </c>
      <c r="N701">
        <f>0.029*stand_validation_1cycle[[#This Row],[stand_level_biomass]]</f>
        <v>28.453923376851041</v>
      </c>
      <c r="O701">
        <f>0.213*stand_validation_1cycle[[#This Row],[stand_level_biomass]]</f>
        <v>208.98916135411278</v>
      </c>
      <c r="P701">
        <f>0.571*stand_validation_1cycle[[#This Row],[stand_level_biomass]]</f>
        <v>560.24793959248075</v>
      </c>
      <c r="Q701">
        <f>stand_validation_1cycle[[#This Row],[stock]]</f>
        <v>100</v>
      </c>
      <c r="R701">
        <v>0</v>
      </c>
      <c r="S701">
        <f>stand_validation_1cycle[[#This Row],[aws]]</f>
        <v>569.38616943359295</v>
      </c>
      <c r="T701">
        <f>stand_validation_1cycle[[#This Row],[percent_tree_cover]]*100</f>
        <v>8.4419659965653899</v>
      </c>
    </row>
    <row r="702" spans="1:20" x14ac:dyDescent="0.2">
      <c r="A702">
        <v>1</v>
      </c>
      <c r="B702" t="s">
        <v>720</v>
      </c>
      <c r="C702">
        <v>26.764533333333301</v>
      </c>
      <c r="D702">
        <v>663.302764289528</v>
      </c>
      <c r="E702">
        <v>6.2804552631636099</v>
      </c>
      <c r="F702">
        <v>25.2598349990907</v>
      </c>
      <c r="G702">
        <v>100</v>
      </c>
      <c r="H702">
        <v>616.87969970703102</v>
      </c>
      <c r="I702">
        <v>6.2596044508922602E-2</v>
      </c>
      <c r="K702" s="1" t="str">
        <f>TEXT(stand_validation_1cycle[[#This Row],[stand_age]], ".0")</f>
        <v>26.8</v>
      </c>
      <c r="L702" s="1" t="str">
        <f t="shared" si="10"/>
        <v>"26.8"</v>
      </c>
      <c r="M702">
        <v>100</v>
      </c>
      <c r="N702">
        <f>0.029*stand_validation_1cycle[[#This Row],[stand_level_biomass]]</f>
        <v>19.235780164396314</v>
      </c>
      <c r="O702">
        <f>0.213*stand_validation_1cycle[[#This Row],[stand_level_biomass]]</f>
        <v>141.28348879366945</v>
      </c>
      <c r="P702">
        <f>0.571*stand_validation_1cycle[[#This Row],[stand_level_biomass]]</f>
        <v>378.74587840932048</v>
      </c>
      <c r="Q702">
        <f>stand_validation_1cycle[[#This Row],[stock]]</f>
        <v>100</v>
      </c>
      <c r="R702">
        <v>0</v>
      </c>
      <c r="S702">
        <f>stand_validation_1cycle[[#This Row],[aws]]</f>
        <v>616.87969970703102</v>
      </c>
      <c r="T702">
        <f>stand_validation_1cycle[[#This Row],[percent_tree_cover]]*100</f>
        <v>6.2596044508922599</v>
      </c>
    </row>
    <row r="703" spans="1:20" x14ac:dyDescent="0.2">
      <c r="A703">
        <v>1</v>
      </c>
      <c r="B703" t="s">
        <v>721</v>
      </c>
      <c r="C703">
        <v>30.513557800224401</v>
      </c>
      <c r="D703">
        <v>1203.019880974</v>
      </c>
      <c r="E703">
        <v>10.078563026935401</v>
      </c>
      <c r="F703">
        <v>31.162967944875799</v>
      </c>
      <c r="G703">
        <v>99</v>
      </c>
      <c r="H703">
        <v>574.804931640625</v>
      </c>
      <c r="I703">
        <v>0.100223936574943</v>
      </c>
      <c r="K703" s="1" t="str">
        <f>TEXT(stand_validation_1cycle[[#This Row],[stand_age]], ".0")</f>
        <v>30.5</v>
      </c>
      <c r="L703" s="1" t="str">
        <f t="shared" si="10"/>
        <v>"30.5"</v>
      </c>
      <c r="M703">
        <v>100</v>
      </c>
      <c r="N703">
        <f>0.029*stand_validation_1cycle[[#This Row],[stand_level_biomass]]</f>
        <v>34.887576548246003</v>
      </c>
      <c r="O703">
        <f>0.213*stand_validation_1cycle[[#This Row],[stand_level_biomass]]</f>
        <v>256.24323464746197</v>
      </c>
      <c r="P703">
        <f>0.571*stand_validation_1cycle[[#This Row],[stand_level_biomass]]</f>
        <v>686.92435203615389</v>
      </c>
      <c r="Q703">
        <f>stand_validation_1cycle[[#This Row],[stock]]</f>
        <v>99</v>
      </c>
      <c r="R703">
        <v>0</v>
      </c>
      <c r="S703">
        <f>stand_validation_1cycle[[#This Row],[aws]]</f>
        <v>574.804931640625</v>
      </c>
      <c r="T703">
        <f>stand_validation_1cycle[[#This Row],[percent_tree_cover]]*100</f>
        <v>10.0223936574943</v>
      </c>
    </row>
    <row r="704" spans="1:20" x14ac:dyDescent="0.2">
      <c r="A704">
        <v>1</v>
      </c>
      <c r="B704" t="s">
        <v>722</v>
      </c>
      <c r="C704">
        <v>27.8052749719416</v>
      </c>
      <c r="D704">
        <v>993.58288297772197</v>
      </c>
      <c r="E704">
        <v>8.5477772387785507</v>
      </c>
      <c r="F704">
        <v>28.444880537532399</v>
      </c>
      <c r="G704">
        <v>99</v>
      </c>
      <c r="H704">
        <v>575.727783203125</v>
      </c>
      <c r="I704">
        <v>8.4963744751853504E-2</v>
      </c>
      <c r="K704" s="1" t="str">
        <f>TEXT(stand_validation_1cycle[[#This Row],[stand_age]], ".0")</f>
        <v>27.8</v>
      </c>
      <c r="L704" s="1" t="str">
        <f t="shared" si="10"/>
        <v>"27.8"</v>
      </c>
      <c r="M704">
        <v>100</v>
      </c>
      <c r="N704">
        <f>0.029*stand_validation_1cycle[[#This Row],[stand_level_biomass]]</f>
        <v>28.813903606353939</v>
      </c>
      <c r="O704">
        <f>0.213*stand_validation_1cycle[[#This Row],[stand_level_biomass]]</f>
        <v>211.63315407425478</v>
      </c>
      <c r="P704">
        <f>0.571*stand_validation_1cycle[[#This Row],[stand_level_biomass]]</f>
        <v>567.33582618027924</v>
      </c>
      <c r="Q704">
        <f>stand_validation_1cycle[[#This Row],[stock]]</f>
        <v>99</v>
      </c>
      <c r="R704">
        <v>0</v>
      </c>
      <c r="S704">
        <f>stand_validation_1cycle[[#This Row],[aws]]</f>
        <v>575.727783203125</v>
      </c>
      <c r="T704">
        <f>stand_validation_1cycle[[#This Row],[percent_tree_cover]]*100</f>
        <v>8.4963744751853501</v>
      </c>
    </row>
    <row r="705" spans="1:20" x14ac:dyDescent="0.2">
      <c r="A705">
        <v>1</v>
      </c>
      <c r="B705" t="s">
        <v>723</v>
      </c>
      <c r="C705">
        <v>26.968244444444402</v>
      </c>
      <c r="D705">
        <v>810.43168972909598</v>
      </c>
      <c r="E705">
        <v>7.25840635268856</v>
      </c>
      <c r="F705">
        <v>25.946830332306401</v>
      </c>
      <c r="G705">
        <v>100</v>
      </c>
      <c r="H705">
        <v>571.95050048828102</v>
      </c>
      <c r="I705">
        <v>7.2316206868626207E-2</v>
      </c>
      <c r="K705" s="1" t="str">
        <f>TEXT(stand_validation_1cycle[[#This Row],[stand_age]], ".0")</f>
        <v>27.0</v>
      </c>
      <c r="L705" s="1" t="str">
        <f t="shared" si="10"/>
        <v>"27.0"</v>
      </c>
      <c r="M705">
        <v>100</v>
      </c>
      <c r="N705">
        <f>0.029*stand_validation_1cycle[[#This Row],[stand_level_biomass]]</f>
        <v>23.502519002143785</v>
      </c>
      <c r="O705">
        <f>0.213*stand_validation_1cycle[[#This Row],[stand_level_biomass]]</f>
        <v>172.62194991229745</v>
      </c>
      <c r="P705">
        <f>0.571*stand_validation_1cycle[[#This Row],[stand_level_biomass]]</f>
        <v>462.75649483531379</v>
      </c>
      <c r="Q705">
        <f>stand_validation_1cycle[[#This Row],[stock]]</f>
        <v>100</v>
      </c>
      <c r="R705">
        <v>0</v>
      </c>
      <c r="S705">
        <f>stand_validation_1cycle[[#This Row],[aws]]</f>
        <v>571.95050048828102</v>
      </c>
      <c r="T705">
        <f>stand_validation_1cycle[[#This Row],[percent_tree_cover]]*100</f>
        <v>7.2316206868626205</v>
      </c>
    </row>
    <row r="706" spans="1:20" x14ac:dyDescent="0.2">
      <c r="A706">
        <v>1</v>
      </c>
      <c r="B706" t="s">
        <v>724</v>
      </c>
      <c r="C706">
        <v>28.2603703703703</v>
      </c>
      <c r="D706">
        <v>1026.2415842263299</v>
      </c>
      <c r="E706">
        <v>8.7447189698431202</v>
      </c>
      <c r="F706">
        <v>28.6607651370851</v>
      </c>
      <c r="G706">
        <v>99</v>
      </c>
      <c r="H706">
        <v>567.23937988281205</v>
      </c>
      <c r="I706">
        <v>8.6837486866528799E-2</v>
      </c>
      <c r="K706" s="1" t="str">
        <f>TEXT(stand_validation_1cycle[[#This Row],[stand_age]], ".0")</f>
        <v>28.3</v>
      </c>
      <c r="L706" s="1" t="str">
        <f t="shared" si="10"/>
        <v>"28.3"</v>
      </c>
      <c r="M706">
        <v>100</v>
      </c>
      <c r="N706">
        <f>0.029*stand_validation_1cycle[[#This Row],[stand_level_biomass]]</f>
        <v>29.761005942563568</v>
      </c>
      <c r="O706">
        <f>0.213*stand_validation_1cycle[[#This Row],[stand_level_biomass]]</f>
        <v>218.58945744020826</v>
      </c>
      <c r="P706">
        <f>0.571*stand_validation_1cycle[[#This Row],[stand_level_biomass]]</f>
        <v>585.98394459323436</v>
      </c>
      <c r="Q706">
        <f>stand_validation_1cycle[[#This Row],[stock]]</f>
        <v>99</v>
      </c>
      <c r="R706">
        <v>0</v>
      </c>
      <c r="S706">
        <f>stand_validation_1cycle[[#This Row],[aws]]</f>
        <v>567.23937988281205</v>
      </c>
      <c r="T706">
        <f>stand_validation_1cycle[[#This Row],[percent_tree_cover]]*100</f>
        <v>8.6837486866528799</v>
      </c>
    </row>
    <row r="707" spans="1:20" x14ac:dyDescent="0.2">
      <c r="A707">
        <v>1</v>
      </c>
      <c r="B707" t="s">
        <v>725</v>
      </c>
      <c r="C707">
        <v>27.068455555555499</v>
      </c>
      <c r="D707">
        <v>748.11868816510196</v>
      </c>
      <c r="E707">
        <v>6.8830873469476597</v>
      </c>
      <c r="F707">
        <v>26.126670399999899</v>
      </c>
      <c r="G707">
        <v>100</v>
      </c>
      <c r="H707">
        <v>569</v>
      </c>
      <c r="I707">
        <v>6.85990127109046E-2</v>
      </c>
      <c r="K707" s="1" t="str">
        <f>TEXT(stand_validation_1cycle[[#This Row],[stand_age]], ".0")</f>
        <v>27.1</v>
      </c>
      <c r="L707" s="1" t="str">
        <f t="shared" ref="L707:L770" si="11">""""&amp;K707&amp;""""</f>
        <v>"27.1"</v>
      </c>
      <c r="M707">
        <v>100</v>
      </c>
      <c r="N707">
        <f>0.029*stand_validation_1cycle[[#This Row],[stand_level_biomass]]</f>
        <v>21.695441956787956</v>
      </c>
      <c r="O707">
        <f>0.213*stand_validation_1cycle[[#This Row],[stand_level_biomass]]</f>
        <v>159.3492805791667</v>
      </c>
      <c r="P707">
        <f>0.571*stand_validation_1cycle[[#This Row],[stand_level_biomass]]</f>
        <v>427.17577094227318</v>
      </c>
      <c r="Q707">
        <f>stand_validation_1cycle[[#This Row],[stock]]</f>
        <v>100</v>
      </c>
      <c r="R707">
        <v>0</v>
      </c>
      <c r="S707">
        <f>stand_validation_1cycle[[#This Row],[aws]]</f>
        <v>569</v>
      </c>
      <c r="T707">
        <f>stand_validation_1cycle[[#This Row],[percent_tree_cover]]*100</f>
        <v>6.8599012710904601</v>
      </c>
    </row>
    <row r="708" spans="1:20" x14ac:dyDescent="0.2">
      <c r="A708">
        <v>1</v>
      </c>
      <c r="B708" t="s">
        <v>726</v>
      </c>
      <c r="C708">
        <v>27.895866666666599</v>
      </c>
      <c r="D708">
        <v>810.56744514005504</v>
      </c>
      <c r="E708">
        <v>7.2620113302585496</v>
      </c>
      <c r="F708">
        <v>26.204744000000002</v>
      </c>
      <c r="G708">
        <v>100</v>
      </c>
      <c r="H708">
        <v>684.71759033203102</v>
      </c>
      <c r="I708">
        <v>7.2354074292001205E-2</v>
      </c>
      <c r="K708" s="1" t="str">
        <f>TEXT(stand_validation_1cycle[[#This Row],[stand_age]], ".0")</f>
        <v>27.9</v>
      </c>
      <c r="L708" s="1" t="str">
        <f t="shared" si="11"/>
        <v>"27.9"</v>
      </c>
      <c r="M708">
        <v>100</v>
      </c>
      <c r="N708">
        <f>0.029*stand_validation_1cycle[[#This Row],[stand_level_biomass]]</f>
        <v>23.506455909061597</v>
      </c>
      <c r="O708">
        <f>0.213*stand_validation_1cycle[[#This Row],[stand_level_biomass]]</f>
        <v>172.65086581483172</v>
      </c>
      <c r="P708">
        <f>0.571*stand_validation_1cycle[[#This Row],[stand_level_biomass]]</f>
        <v>462.83401117497141</v>
      </c>
      <c r="Q708">
        <f>stand_validation_1cycle[[#This Row],[stock]]</f>
        <v>100</v>
      </c>
      <c r="R708">
        <v>0</v>
      </c>
      <c r="S708">
        <f>stand_validation_1cycle[[#This Row],[aws]]</f>
        <v>684.71759033203102</v>
      </c>
      <c r="T708">
        <f>stand_validation_1cycle[[#This Row],[percent_tree_cover]]*100</f>
        <v>7.2354074292001203</v>
      </c>
    </row>
    <row r="709" spans="1:20" x14ac:dyDescent="0.2">
      <c r="A709">
        <v>1</v>
      </c>
      <c r="B709" t="s">
        <v>727</v>
      </c>
      <c r="C709">
        <v>27.857437641723301</v>
      </c>
      <c r="D709">
        <v>954.07657613375795</v>
      </c>
      <c r="E709">
        <v>8.1966712730170297</v>
      </c>
      <c r="F709">
        <v>27.857336443148601</v>
      </c>
      <c r="G709">
        <v>98</v>
      </c>
      <c r="H709">
        <v>567.28131103515602</v>
      </c>
      <c r="I709">
        <v>8.1191832019145094E-2</v>
      </c>
      <c r="K709" s="1" t="str">
        <f>TEXT(stand_validation_1cycle[[#This Row],[stand_age]], ".0")</f>
        <v>27.9</v>
      </c>
      <c r="L709" s="1" t="str">
        <f t="shared" si="11"/>
        <v>"27.9"</v>
      </c>
      <c r="M709">
        <v>100</v>
      </c>
      <c r="N709">
        <f>0.029*stand_validation_1cycle[[#This Row],[stand_level_biomass]]</f>
        <v>27.668220707878984</v>
      </c>
      <c r="O709">
        <f>0.213*stand_validation_1cycle[[#This Row],[stand_level_biomass]]</f>
        <v>203.21831071649044</v>
      </c>
      <c r="P709">
        <f>0.571*stand_validation_1cycle[[#This Row],[stand_level_biomass]]</f>
        <v>544.77772497237572</v>
      </c>
      <c r="Q709">
        <f>stand_validation_1cycle[[#This Row],[stock]]</f>
        <v>98</v>
      </c>
      <c r="R709">
        <v>0</v>
      </c>
      <c r="S709">
        <f>stand_validation_1cycle[[#This Row],[aws]]</f>
        <v>567.28131103515602</v>
      </c>
      <c r="T709">
        <f>stand_validation_1cycle[[#This Row],[percent_tree_cover]]*100</f>
        <v>8.1191832019145096</v>
      </c>
    </row>
    <row r="710" spans="1:20" x14ac:dyDescent="0.2">
      <c r="A710">
        <v>1</v>
      </c>
      <c r="B710" t="s">
        <v>728</v>
      </c>
      <c r="C710">
        <v>28.4090777777777</v>
      </c>
      <c r="D710">
        <v>931.73732843690004</v>
      </c>
      <c r="E710">
        <v>8.2151501210054505</v>
      </c>
      <c r="F710">
        <v>28.057573714285699</v>
      </c>
      <c r="G710">
        <v>100</v>
      </c>
      <c r="H710">
        <v>567.23937988281205</v>
      </c>
      <c r="I710">
        <v>8.1858806392494196E-2</v>
      </c>
      <c r="K710" s="1" t="str">
        <f>TEXT(stand_validation_1cycle[[#This Row],[stand_age]], ".0")</f>
        <v>28.4</v>
      </c>
      <c r="L710" s="1" t="str">
        <f t="shared" si="11"/>
        <v>"28.4"</v>
      </c>
      <c r="M710">
        <v>100</v>
      </c>
      <c r="N710">
        <f>0.029*stand_validation_1cycle[[#This Row],[stand_level_biomass]]</f>
        <v>27.020382524670104</v>
      </c>
      <c r="O710">
        <f>0.213*stand_validation_1cycle[[#This Row],[stand_level_biomass]]</f>
        <v>198.46005095705971</v>
      </c>
      <c r="P710">
        <f>0.571*stand_validation_1cycle[[#This Row],[stand_level_biomass]]</f>
        <v>532.02201453746989</v>
      </c>
      <c r="Q710">
        <f>stand_validation_1cycle[[#This Row],[stock]]</f>
        <v>100</v>
      </c>
      <c r="R710">
        <v>0</v>
      </c>
      <c r="S710">
        <f>stand_validation_1cycle[[#This Row],[aws]]</f>
        <v>567.23937988281205</v>
      </c>
      <c r="T710">
        <f>stand_validation_1cycle[[#This Row],[percent_tree_cover]]*100</f>
        <v>8.1858806392494188</v>
      </c>
    </row>
    <row r="711" spans="1:20" x14ac:dyDescent="0.2">
      <c r="A711">
        <v>1</v>
      </c>
      <c r="B711" t="s">
        <v>729</v>
      </c>
      <c r="C711">
        <v>29.803633333333298</v>
      </c>
      <c r="D711">
        <v>953.52240683174</v>
      </c>
      <c r="E711">
        <v>8.3944015438376507</v>
      </c>
      <c r="F711">
        <v>28.459429257142801</v>
      </c>
      <c r="G711">
        <v>100</v>
      </c>
      <c r="H711">
        <v>570.84259033203102</v>
      </c>
      <c r="I711">
        <v>8.3624037638316898E-2</v>
      </c>
      <c r="K711" s="1" t="str">
        <f>TEXT(stand_validation_1cycle[[#This Row],[stand_age]], ".0")</f>
        <v>29.8</v>
      </c>
      <c r="L711" s="1" t="str">
        <f t="shared" si="11"/>
        <v>"29.8"</v>
      </c>
      <c r="M711">
        <v>100</v>
      </c>
      <c r="N711">
        <f>0.029*stand_validation_1cycle[[#This Row],[stand_level_biomass]]</f>
        <v>27.652149798120462</v>
      </c>
      <c r="O711">
        <f>0.213*stand_validation_1cycle[[#This Row],[stand_level_biomass]]</f>
        <v>203.10027265516061</v>
      </c>
      <c r="P711">
        <f>0.571*stand_validation_1cycle[[#This Row],[stand_level_biomass]]</f>
        <v>544.46129430092344</v>
      </c>
      <c r="Q711">
        <f>stand_validation_1cycle[[#This Row],[stock]]</f>
        <v>100</v>
      </c>
      <c r="R711">
        <v>0</v>
      </c>
      <c r="S711">
        <f>stand_validation_1cycle[[#This Row],[aws]]</f>
        <v>570.84259033203102</v>
      </c>
      <c r="T711">
        <f>stand_validation_1cycle[[#This Row],[percent_tree_cover]]*100</f>
        <v>8.3624037638316899</v>
      </c>
    </row>
    <row r="712" spans="1:20" x14ac:dyDescent="0.2">
      <c r="A712">
        <v>1</v>
      </c>
      <c r="B712" t="s">
        <v>730</v>
      </c>
      <c r="C712">
        <v>26.929844444444399</v>
      </c>
      <c r="D712">
        <v>740.37098638732004</v>
      </c>
      <c r="E712">
        <v>6.8544375927432402</v>
      </c>
      <c r="F712">
        <v>26.165375542857099</v>
      </c>
      <c r="G712">
        <v>100</v>
      </c>
      <c r="H712">
        <v>571.660400390625</v>
      </c>
      <c r="I712">
        <v>6.8317506853288995E-2</v>
      </c>
      <c r="K712" s="1" t="str">
        <f>TEXT(stand_validation_1cycle[[#This Row],[stand_age]], ".0")</f>
        <v>26.9</v>
      </c>
      <c r="L712" s="1" t="str">
        <f t="shared" si="11"/>
        <v>"26.9"</v>
      </c>
      <c r="M712">
        <v>100</v>
      </c>
      <c r="N712">
        <f>0.029*stand_validation_1cycle[[#This Row],[stand_level_biomass]]</f>
        <v>21.470758605232284</v>
      </c>
      <c r="O712">
        <f>0.213*stand_validation_1cycle[[#This Row],[stand_level_biomass]]</f>
        <v>157.69902010049915</v>
      </c>
      <c r="P712">
        <f>0.571*stand_validation_1cycle[[#This Row],[stand_level_biomass]]</f>
        <v>422.75183322715969</v>
      </c>
      <c r="Q712">
        <f>stand_validation_1cycle[[#This Row],[stock]]</f>
        <v>100</v>
      </c>
      <c r="R712">
        <v>0</v>
      </c>
      <c r="S712">
        <f>stand_validation_1cycle[[#This Row],[aws]]</f>
        <v>571.660400390625</v>
      </c>
      <c r="T712">
        <f>stand_validation_1cycle[[#This Row],[percent_tree_cover]]*100</f>
        <v>6.8317506853288998</v>
      </c>
    </row>
    <row r="713" spans="1:20" x14ac:dyDescent="0.2">
      <c r="A713">
        <v>1</v>
      </c>
      <c r="B713" t="s">
        <v>731</v>
      </c>
      <c r="C713">
        <v>26.9458024691357</v>
      </c>
      <c r="D713">
        <v>792.48898960835902</v>
      </c>
      <c r="E713">
        <v>7.0904041877506998</v>
      </c>
      <c r="F713">
        <v>26.117406753246701</v>
      </c>
      <c r="G713">
        <v>99</v>
      </c>
      <c r="H713">
        <v>569.47491455078102</v>
      </c>
      <c r="I713">
        <v>7.0369140898372706E-2</v>
      </c>
      <c r="K713" s="1" t="str">
        <f>TEXT(stand_validation_1cycle[[#This Row],[stand_age]], ".0")</f>
        <v>26.9</v>
      </c>
      <c r="L713" s="1" t="str">
        <f t="shared" si="11"/>
        <v>"26.9"</v>
      </c>
      <c r="M713">
        <v>100</v>
      </c>
      <c r="N713">
        <f>0.029*stand_validation_1cycle[[#This Row],[stand_level_biomass]]</f>
        <v>22.982180698642413</v>
      </c>
      <c r="O713">
        <f>0.213*stand_validation_1cycle[[#This Row],[stand_level_biomass]]</f>
        <v>168.80015478658046</v>
      </c>
      <c r="P713">
        <f>0.571*stand_validation_1cycle[[#This Row],[stand_level_biomass]]</f>
        <v>452.51121306637299</v>
      </c>
      <c r="Q713">
        <f>stand_validation_1cycle[[#This Row],[stock]]</f>
        <v>99</v>
      </c>
      <c r="R713">
        <v>0</v>
      </c>
      <c r="S713">
        <f>stand_validation_1cycle[[#This Row],[aws]]</f>
        <v>569.47491455078102</v>
      </c>
      <c r="T713">
        <f>stand_validation_1cycle[[#This Row],[percent_tree_cover]]*100</f>
        <v>7.0369140898372704</v>
      </c>
    </row>
    <row r="714" spans="1:20" x14ac:dyDescent="0.2">
      <c r="A714">
        <v>1</v>
      </c>
      <c r="B714" t="s">
        <v>732</v>
      </c>
      <c r="C714">
        <v>27.437922222222198</v>
      </c>
      <c r="D714">
        <v>906.886239878673</v>
      </c>
      <c r="E714">
        <v>7.9741279180202103</v>
      </c>
      <c r="F714">
        <v>27.482366399999901</v>
      </c>
      <c r="G714">
        <v>100</v>
      </c>
      <c r="H714">
        <v>567.18762207031205</v>
      </c>
      <c r="I714">
        <v>7.9462746437279005E-2</v>
      </c>
      <c r="K714" s="1" t="str">
        <f>TEXT(stand_validation_1cycle[[#This Row],[stand_age]], ".0")</f>
        <v>27.4</v>
      </c>
      <c r="L714" s="1" t="str">
        <f t="shared" si="11"/>
        <v>"27.4"</v>
      </c>
      <c r="M714">
        <v>100</v>
      </c>
      <c r="N714">
        <f>0.029*stand_validation_1cycle[[#This Row],[stand_level_biomass]]</f>
        <v>26.299700956481519</v>
      </c>
      <c r="O714">
        <f>0.213*stand_validation_1cycle[[#This Row],[stand_level_biomass]]</f>
        <v>193.16676909415733</v>
      </c>
      <c r="P714">
        <f>0.571*stand_validation_1cycle[[#This Row],[stand_level_biomass]]</f>
        <v>517.83204297072223</v>
      </c>
      <c r="Q714">
        <f>stand_validation_1cycle[[#This Row],[stock]]</f>
        <v>100</v>
      </c>
      <c r="R714">
        <v>0</v>
      </c>
      <c r="S714">
        <f>stand_validation_1cycle[[#This Row],[aws]]</f>
        <v>567.18762207031205</v>
      </c>
      <c r="T714">
        <f>stand_validation_1cycle[[#This Row],[percent_tree_cover]]*100</f>
        <v>7.9462746437279002</v>
      </c>
    </row>
    <row r="715" spans="1:20" x14ac:dyDescent="0.2">
      <c r="A715">
        <v>1</v>
      </c>
      <c r="B715" t="s">
        <v>733</v>
      </c>
      <c r="C715">
        <v>29.137319587628799</v>
      </c>
      <c r="D715">
        <v>1127.24867190851</v>
      </c>
      <c r="E715">
        <v>9.3084777715298106</v>
      </c>
      <c r="F715">
        <v>29.985629690721598</v>
      </c>
      <c r="G715">
        <v>97</v>
      </c>
      <c r="H715">
        <v>567.18762207031205</v>
      </c>
      <c r="I715">
        <v>9.5061747918712095E-2</v>
      </c>
      <c r="K715" s="1" t="str">
        <f>TEXT(stand_validation_1cycle[[#This Row],[stand_age]], ".0")</f>
        <v>29.1</v>
      </c>
      <c r="L715" s="1" t="str">
        <f t="shared" si="11"/>
        <v>"29.1"</v>
      </c>
      <c r="M715">
        <v>100</v>
      </c>
      <c r="N715">
        <f>0.029*stand_validation_1cycle[[#This Row],[stand_level_biomass]]</f>
        <v>32.690211485346794</v>
      </c>
      <c r="O715">
        <f>0.213*stand_validation_1cycle[[#This Row],[stand_level_biomass]]</f>
        <v>240.10396711651262</v>
      </c>
      <c r="P715">
        <f>0.571*stand_validation_1cycle[[#This Row],[stand_level_biomass]]</f>
        <v>643.65899165975918</v>
      </c>
      <c r="Q715">
        <f>stand_validation_1cycle[[#This Row],[stock]]</f>
        <v>97</v>
      </c>
      <c r="R715">
        <v>0</v>
      </c>
      <c r="S715">
        <f>stand_validation_1cycle[[#This Row],[aws]]</f>
        <v>567.18762207031205</v>
      </c>
      <c r="T715">
        <f>stand_validation_1cycle[[#This Row],[percent_tree_cover]]*100</f>
        <v>9.5061747918712101</v>
      </c>
    </row>
    <row r="716" spans="1:20" x14ac:dyDescent="0.2">
      <c r="A716">
        <v>1</v>
      </c>
      <c r="B716" t="s">
        <v>734</v>
      </c>
      <c r="C716">
        <v>25.962631578947299</v>
      </c>
      <c r="D716">
        <v>682.93362694140103</v>
      </c>
      <c r="E716">
        <v>3.7268666525645902</v>
      </c>
      <c r="F716">
        <v>25.4218819047619</v>
      </c>
      <c r="G716">
        <v>57</v>
      </c>
      <c r="H716">
        <v>568.69842529296795</v>
      </c>
      <c r="I716">
        <v>6.4126655825288606E-2</v>
      </c>
      <c r="K716" s="1" t="str">
        <f>TEXT(stand_validation_1cycle[[#This Row],[stand_age]], ".0")</f>
        <v>26.0</v>
      </c>
      <c r="L716" s="1" t="str">
        <f t="shared" si="11"/>
        <v>"26.0"</v>
      </c>
      <c r="M716">
        <v>100</v>
      </c>
      <c r="N716">
        <f>0.029*stand_validation_1cycle[[#This Row],[stand_level_biomass]]</f>
        <v>19.80507518130063</v>
      </c>
      <c r="O716">
        <f>0.213*stand_validation_1cycle[[#This Row],[stand_level_biomass]]</f>
        <v>145.46486253851842</v>
      </c>
      <c r="P716">
        <f>0.571*stand_validation_1cycle[[#This Row],[stand_level_biomass]]</f>
        <v>389.95510098353998</v>
      </c>
      <c r="Q716">
        <f>stand_validation_1cycle[[#This Row],[stock]]</f>
        <v>57</v>
      </c>
      <c r="R716">
        <v>0</v>
      </c>
      <c r="S716">
        <f>stand_validation_1cycle[[#This Row],[aws]]</f>
        <v>568.69842529296795</v>
      </c>
      <c r="T716">
        <f>stand_validation_1cycle[[#This Row],[percent_tree_cover]]*100</f>
        <v>6.4126655825288603</v>
      </c>
    </row>
    <row r="717" spans="1:20" x14ac:dyDescent="0.2">
      <c r="A717">
        <v>1</v>
      </c>
      <c r="B717" t="s">
        <v>735</v>
      </c>
      <c r="C717">
        <v>24.244231200897801</v>
      </c>
      <c r="D717">
        <v>641.48232554884396</v>
      </c>
      <c r="E717">
        <v>5.9063229940476001</v>
      </c>
      <c r="F717">
        <v>23.776181933621899</v>
      </c>
      <c r="G717">
        <v>99</v>
      </c>
      <c r="H717">
        <v>571</v>
      </c>
      <c r="I717">
        <v>5.9873258867037898E-2</v>
      </c>
      <c r="K717" s="1" t="str">
        <f>TEXT(stand_validation_1cycle[[#This Row],[stand_age]], ".0")</f>
        <v>24.2</v>
      </c>
      <c r="L717" s="1" t="str">
        <f t="shared" si="11"/>
        <v>"24.2"</v>
      </c>
      <c r="M717">
        <v>100</v>
      </c>
      <c r="N717">
        <f>0.029*stand_validation_1cycle[[#This Row],[stand_level_biomass]]</f>
        <v>18.602987440916475</v>
      </c>
      <c r="O717">
        <f>0.213*stand_validation_1cycle[[#This Row],[stand_level_biomass]]</f>
        <v>136.63573534190377</v>
      </c>
      <c r="P717">
        <f>0.571*stand_validation_1cycle[[#This Row],[stand_level_biomass]]</f>
        <v>366.28640788838987</v>
      </c>
      <c r="Q717">
        <f>stand_validation_1cycle[[#This Row],[stock]]</f>
        <v>99</v>
      </c>
      <c r="R717">
        <v>0</v>
      </c>
      <c r="S717">
        <f>stand_validation_1cycle[[#This Row],[aws]]</f>
        <v>571</v>
      </c>
      <c r="T717">
        <f>stand_validation_1cycle[[#This Row],[percent_tree_cover]]*100</f>
        <v>5.9873258867037897</v>
      </c>
    </row>
    <row r="718" spans="1:20" x14ac:dyDescent="0.2">
      <c r="A718">
        <v>1</v>
      </c>
      <c r="B718" t="s">
        <v>736</v>
      </c>
      <c r="C718">
        <v>26.858466666666601</v>
      </c>
      <c r="D718">
        <v>757.71596423314998</v>
      </c>
      <c r="E718">
        <v>6.8971255537202198</v>
      </c>
      <c r="F718">
        <v>25.691900799999999</v>
      </c>
      <c r="G718">
        <v>100</v>
      </c>
      <c r="H718">
        <v>567.18762207031205</v>
      </c>
      <c r="I718">
        <v>6.8723856385147303E-2</v>
      </c>
      <c r="K718" s="1" t="str">
        <f>TEXT(stand_validation_1cycle[[#This Row],[stand_age]], ".0")</f>
        <v>26.9</v>
      </c>
      <c r="L718" s="1" t="str">
        <f t="shared" si="11"/>
        <v>"26.9"</v>
      </c>
      <c r="M718">
        <v>100</v>
      </c>
      <c r="N718">
        <f>0.029*stand_validation_1cycle[[#This Row],[stand_level_biomass]]</f>
        <v>21.973762962761349</v>
      </c>
      <c r="O718">
        <f>0.213*stand_validation_1cycle[[#This Row],[stand_level_biomass]]</f>
        <v>161.39350038166094</v>
      </c>
      <c r="P718">
        <f>0.571*stand_validation_1cycle[[#This Row],[stand_level_biomass]]</f>
        <v>432.65581557712858</v>
      </c>
      <c r="Q718">
        <f>stand_validation_1cycle[[#This Row],[stock]]</f>
        <v>100</v>
      </c>
      <c r="R718">
        <v>0</v>
      </c>
      <c r="S718">
        <f>stand_validation_1cycle[[#This Row],[aws]]</f>
        <v>567.18762207031205</v>
      </c>
      <c r="T718">
        <f>stand_validation_1cycle[[#This Row],[percent_tree_cover]]*100</f>
        <v>6.8723856385147304</v>
      </c>
    </row>
    <row r="719" spans="1:20" x14ac:dyDescent="0.2">
      <c r="A719">
        <v>1</v>
      </c>
      <c r="B719" t="s">
        <v>737</v>
      </c>
      <c r="C719">
        <v>25.5818444444444</v>
      </c>
      <c r="D719">
        <v>795.06001028732601</v>
      </c>
      <c r="E719">
        <v>7.0887108693104199</v>
      </c>
      <c r="F719">
        <v>25.381980800000001</v>
      </c>
      <c r="G719">
        <v>100</v>
      </c>
      <c r="H719">
        <v>571.96710205078102</v>
      </c>
      <c r="I719">
        <v>7.0635012584606693E-2</v>
      </c>
      <c r="K719" s="1" t="str">
        <f>TEXT(stand_validation_1cycle[[#This Row],[stand_age]], ".0")</f>
        <v>25.6</v>
      </c>
      <c r="L719" s="1" t="str">
        <f t="shared" si="11"/>
        <v>"25.6"</v>
      </c>
      <c r="M719">
        <v>100</v>
      </c>
      <c r="N719">
        <f>0.029*stand_validation_1cycle[[#This Row],[stand_level_biomass]]</f>
        <v>23.056740298332457</v>
      </c>
      <c r="O719">
        <f>0.213*stand_validation_1cycle[[#This Row],[stand_level_biomass]]</f>
        <v>169.34778219120042</v>
      </c>
      <c r="P719">
        <f>0.571*stand_validation_1cycle[[#This Row],[stand_level_biomass]]</f>
        <v>453.97926587406312</v>
      </c>
      <c r="Q719">
        <f>stand_validation_1cycle[[#This Row],[stock]]</f>
        <v>100</v>
      </c>
      <c r="R719">
        <v>0</v>
      </c>
      <c r="S719">
        <f>stand_validation_1cycle[[#This Row],[aws]]</f>
        <v>571.96710205078102</v>
      </c>
      <c r="T719">
        <f>stand_validation_1cycle[[#This Row],[percent_tree_cover]]*100</f>
        <v>7.0635012584606693</v>
      </c>
    </row>
    <row r="720" spans="1:20" x14ac:dyDescent="0.2">
      <c r="A720">
        <v>1</v>
      </c>
      <c r="B720" t="s">
        <v>738</v>
      </c>
      <c r="C720">
        <v>26.340975056689299</v>
      </c>
      <c r="D720">
        <v>637.31828757109702</v>
      </c>
      <c r="E720">
        <v>5.9608759650790297</v>
      </c>
      <c r="F720">
        <v>24.840265189504301</v>
      </c>
      <c r="G720">
        <v>98</v>
      </c>
      <c r="H720">
        <v>573.88830566406205</v>
      </c>
      <c r="I720">
        <v>6.0100632665520799E-2</v>
      </c>
      <c r="K720" s="1" t="str">
        <f>TEXT(stand_validation_1cycle[[#This Row],[stand_age]], ".0")</f>
        <v>26.3</v>
      </c>
      <c r="L720" s="1" t="str">
        <f t="shared" si="11"/>
        <v>"26.3"</v>
      </c>
      <c r="M720">
        <v>100</v>
      </c>
      <c r="N720">
        <f>0.029*stand_validation_1cycle[[#This Row],[stand_level_biomass]]</f>
        <v>18.482230339561813</v>
      </c>
      <c r="O720">
        <f>0.213*stand_validation_1cycle[[#This Row],[stand_level_biomass]]</f>
        <v>135.74879525264367</v>
      </c>
      <c r="P720">
        <f>0.571*stand_validation_1cycle[[#This Row],[stand_level_biomass]]</f>
        <v>363.90874220309638</v>
      </c>
      <c r="Q720">
        <f>stand_validation_1cycle[[#This Row],[stock]]</f>
        <v>98</v>
      </c>
      <c r="R720">
        <v>0</v>
      </c>
      <c r="S720">
        <f>stand_validation_1cycle[[#This Row],[aws]]</f>
        <v>573.88830566406205</v>
      </c>
      <c r="T720">
        <f>stand_validation_1cycle[[#This Row],[percent_tree_cover]]*100</f>
        <v>6.0100632665520797</v>
      </c>
    </row>
    <row r="721" spans="1:20" x14ac:dyDescent="0.2">
      <c r="A721">
        <v>1</v>
      </c>
      <c r="B721" t="s">
        <v>739</v>
      </c>
      <c r="C721">
        <v>29.909398148148099</v>
      </c>
      <c r="D721">
        <v>985.74294670191205</v>
      </c>
      <c r="E721">
        <v>6.1414790581504297</v>
      </c>
      <c r="F721">
        <v>28.174000634920599</v>
      </c>
      <c r="G721">
        <v>72</v>
      </c>
      <c r="H721">
        <v>572.56011962890602</v>
      </c>
      <c r="I721">
        <v>8.3503294753266205E-2</v>
      </c>
      <c r="K721" s="1" t="str">
        <f>TEXT(stand_validation_1cycle[[#This Row],[stand_age]], ".0")</f>
        <v>29.9</v>
      </c>
      <c r="L721" s="1" t="str">
        <f t="shared" si="11"/>
        <v>"29.9"</v>
      </c>
      <c r="M721">
        <v>100</v>
      </c>
      <c r="N721">
        <f>0.029*stand_validation_1cycle[[#This Row],[stand_level_biomass]]</f>
        <v>28.586545454355452</v>
      </c>
      <c r="O721">
        <f>0.213*stand_validation_1cycle[[#This Row],[stand_level_biomass]]</f>
        <v>209.96324764750727</v>
      </c>
      <c r="P721">
        <f>0.571*stand_validation_1cycle[[#This Row],[stand_level_biomass]]</f>
        <v>562.85922256679169</v>
      </c>
      <c r="Q721">
        <f>stand_validation_1cycle[[#This Row],[stock]]</f>
        <v>72</v>
      </c>
      <c r="R721">
        <v>0</v>
      </c>
      <c r="S721">
        <f>stand_validation_1cycle[[#This Row],[aws]]</f>
        <v>572.56011962890602</v>
      </c>
      <c r="T721">
        <f>stand_validation_1cycle[[#This Row],[percent_tree_cover]]*100</f>
        <v>8.3503294753266211</v>
      </c>
    </row>
    <row r="722" spans="1:20" x14ac:dyDescent="0.2">
      <c r="A722">
        <v>1</v>
      </c>
      <c r="B722" t="s">
        <v>740</v>
      </c>
      <c r="C722">
        <v>26.430222222222199</v>
      </c>
      <c r="D722">
        <v>767.31390980462299</v>
      </c>
      <c r="E722">
        <v>4.7551264214459597</v>
      </c>
      <c r="F722">
        <v>24.497194448979499</v>
      </c>
      <c r="G722">
        <v>70</v>
      </c>
      <c r="H722">
        <v>569.60998535156205</v>
      </c>
      <c r="I722">
        <v>6.8852033301012305E-2</v>
      </c>
      <c r="K722" s="1" t="str">
        <f>TEXT(stand_validation_1cycle[[#This Row],[stand_age]], ".0")</f>
        <v>26.4</v>
      </c>
      <c r="L722" s="1" t="str">
        <f t="shared" si="11"/>
        <v>"26.4"</v>
      </c>
      <c r="M722">
        <v>100</v>
      </c>
      <c r="N722">
        <f>0.029*stand_validation_1cycle[[#This Row],[stand_level_biomass]]</f>
        <v>22.252103384334067</v>
      </c>
      <c r="O722">
        <f>0.213*stand_validation_1cycle[[#This Row],[stand_level_biomass]]</f>
        <v>163.43786278838471</v>
      </c>
      <c r="P722">
        <f>0.571*stand_validation_1cycle[[#This Row],[stand_level_biomass]]</f>
        <v>438.13624249843969</v>
      </c>
      <c r="Q722">
        <f>stand_validation_1cycle[[#This Row],[stock]]</f>
        <v>70</v>
      </c>
      <c r="R722">
        <v>0</v>
      </c>
      <c r="S722">
        <f>stand_validation_1cycle[[#This Row],[aws]]</f>
        <v>569.60998535156205</v>
      </c>
      <c r="T722">
        <f>stand_validation_1cycle[[#This Row],[percent_tree_cover]]*100</f>
        <v>6.8852033301012305</v>
      </c>
    </row>
    <row r="723" spans="1:20" x14ac:dyDescent="0.2">
      <c r="A723">
        <v>1</v>
      </c>
      <c r="B723" t="s">
        <v>741</v>
      </c>
      <c r="C723">
        <v>28.111944444444401</v>
      </c>
      <c r="D723">
        <v>846.38775554666495</v>
      </c>
      <c r="E723">
        <v>6.1160588611939097</v>
      </c>
      <c r="F723">
        <v>27.503605142857101</v>
      </c>
      <c r="G723">
        <v>80</v>
      </c>
      <c r="H723">
        <v>574.29119873046795</v>
      </c>
      <c r="I723">
        <v>7.6009200942677393E-2</v>
      </c>
      <c r="K723" s="1" t="str">
        <f>TEXT(stand_validation_1cycle[[#This Row],[stand_age]], ".0")</f>
        <v>28.1</v>
      </c>
      <c r="L723" s="1" t="str">
        <f t="shared" si="11"/>
        <v>"28.1"</v>
      </c>
      <c r="M723">
        <v>100</v>
      </c>
      <c r="N723">
        <f>0.029*stand_validation_1cycle[[#This Row],[stand_level_biomass]]</f>
        <v>24.545244910853285</v>
      </c>
      <c r="O723">
        <f>0.213*stand_validation_1cycle[[#This Row],[stand_level_biomass]]</f>
        <v>180.28059193143963</v>
      </c>
      <c r="P723">
        <f>0.571*stand_validation_1cycle[[#This Row],[stand_level_biomass]]</f>
        <v>483.28740841714563</v>
      </c>
      <c r="Q723">
        <f>stand_validation_1cycle[[#This Row],[stock]]</f>
        <v>80</v>
      </c>
      <c r="R723">
        <v>0</v>
      </c>
      <c r="S723">
        <f>stand_validation_1cycle[[#This Row],[aws]]</f>
        <v>574.29119873046795</v>
      </c>
      <c r="T723">
        <f>stand_validation_1cycle[[#This Row],[percent_tree_cover]]*100</f>
        <v>7.6009200942677397</v>
      </c>
    </row>
    <row r="724" spans="1:20" x14ac:dyDescent="0.2">
      <c r="A724">
        <v>1</v>
      </c>
      <c r="B724" t="s">
        <v>742</v>
      </c>
      <c r="C724">
        <v>27.116011111111099</v>
      </c>
      <c r="D724">
        <v>864.36149012029603</v>
      </c>
      <c r="E724">
        <v>7.7205629063655001</v>
      </c>
      <c r="F724">
        <v>27.165718171428502</v>
      </c>
      <c r="G724">
        <v>100</v>
      </c>
      <c r="H724">
        <v>566.87017822265602</v>
      </c>
      <c r="I724">
        <v>7.6937910956638697E-2</v>
      </c>
      <c r="K724" s="1" t="str">
        <f>TEXT(stand_validation_1cycle[[#This Row],[stand_age]], ".0")</f>
        <v>27.1</v>
      </c>
      <c r="L724" s="1" t="str">
        <f t="shared" si="11"/>
        <v>"27.1"</v>
      </c>
      <c r="M724">
        <v>100</v>
      </c>
      <c r="N724">
        <f>0.029*stand_validation_1cycle[[#This Row],[stand_level_biomass]]</f>
        <v>25.066483213488585</v>
      </c>
      <c r="O724">
        <f>0.213*stand_validation_1cycle[[#This Row],[stand_level_biomass]]</f>
        <v>184.10899739562305</v>
      </c>
      <c r="P724">
        <f>0.571*stand_validation_1cycle[[#This Row],[stand_level_biomass]]</f>
        <v>493.55041085868896</v>
      </c>
      <c r="Q724">
        <f>stand_validation_1cycle[[#This Row],[stock]]</f>
        <v>100</v>
      </c>
      <c r="R724">
        <v>0</v>
      </c>
      <c r="S724">
        <f>stand_validation_1cycle[[#This Row],[aws]]</f>
        <v>566.87017822265602</v>
      </c>
      <c r="T724">
        <f>stand_validation_1cycle[[#This Row],[percent_tree_cover]]*100</f>
        <v>7.6937910956638698</v>
      </c>
    </row>
    <row r="725" spans="1:20" x14ac:dyDescent="0.2">
      <c r="A725">
        <v>1</v>
      </c>
      <c r="B725" t="s">
        <v>743</v>
      </c>
      <c r="C725">
        <v>28.003922222222201</v>
      </c>
      <c r="D725">
        <v>1081.0783639235899</v>
      </c>
      <c r="E725">
        <v>9.1236437385521807</v>
      </c>
      <c r="F725">
        <v>28.374661257142801</v>
      </c>
      <c r="G725">
        <v>100</v>
      </c>
      <c r="H725">
        <v>566.72247314453102</v>
      </c>
      <c r="I725">
        <v>9.0896369205058003E-2</v>
      </c>
      <c r="K725" s="1" t="str">
        <f>TEXT(stand_validation_1cycle[[#This Row],[stand_age]], ".0")</f>
        <v>28.0</v>
      </c>
      <c r="L725" s="1" t="str">
        <f t="shared" si="11"/>
        <v>"28.0"</v>
      </c>
      <c r="M725">
        <v>100</v>
      </c>
      <c r="N725">
        <f>0.029*stand_validation_1cycle[[#This Row],[stand_level_biomass]]</f>
        <v>31.35127255378411</v>
      </c>
      <c r="O725">
        <f>0.213*stand_validation_1cycle[[#This Row],[stand_level_biomass]]</f>
        <v>230.26969151572465</v>
      </c>
      <c r="P725">
        <f>0.571*stand_validation_1cycle[[#This Row],[stand_level_biomass]]</f>
        <v>617.29574580036979</v>
      </c>
      <c r="Q725">
        <f>stand_validation_1cycle[[#This Row],[stock]]</f>
        <v>100</v>
      </c>
      <c r="R725">
        <v>0</v>
      </c>
      <c r="S725">
        <f>stand_validation_1cycle[[#This Row],[aws]]</f>
        <v>566.72247314453102</v>
      </c>
      <c r="T725">
        <f>stand_validation_1cycle[[#This Row],[percent_tree_cover]]*100</f>
        <v>9.0896369205058001</v>
      </c>
    </row>
    <row r="726" spans="1:20" x14ac:dyDescent="0.2">
      <c r="A726">
        <v>1</v>
      </c>
      <c r="B726" t="s">
        <v>744</v>
      </c>
      <c r="C726">
        <v>28.9040111111111</v>
      </c>
      <c r="D726">
        <v>936.30145146913003</v>
      </c>
      <c r="E726">
        <v>8.2493659919938604</v>
      </c>
      <c r="F726">
        <v>28.233946971428502</v>
      </c>
      <c r="G726">
        <v>100</v>
      </c>
      <c r="H726">
        <v>571.11138916015602</v>
      </c>
      <c r="I726">
        <v>8.2191760029386302E-2</v>
      </c>
      <c r="K726" s="1" t="str">
        <f>TEXT(stand_validation_1cycle[[#This Row],[stand_age]], ".0")</f>
        <v>28.9</v>
      </c>
      <c r="L726" s="1" t="str">
        <f t="shared" si="11"/>
        <v>"28.9"</v>
      </c>
      <c r="M726">
        <v>100</v>
      </c>
      <c r="N726">
        <f>0.029*stand_validation_1cycle[[#This Row],[stand_level_biomass]]</f>
        <v>27.152742092604772</v>
      </c>
      <c r="O726">
        <f>0.213*stand_validation_1cycle[[#This Row],[stand_level_biomass]]</f>
        <v>199.43220916292469</v>
      </c>
      <c r="P726">
        <f>0.571*stand_validation_1cycle[[#This Row],[stand_level_biomass]]</f>
        <v>534.62812878887325</v>
      </c>
      <c r="Q726">
        <f>stand_validation_1cycle[[#This Row],[stock]]</f>
        <v>100</v>
      </c>
      <c r="R726">
        <v>0</v>
      </c>
      <c r="S726">
        <f>stand_validation_1cycle[[#This Row],[aws]]</f>
        <v>571.11138916015602</v>
      </c>
      <c r="T726">
        <f>stand_validation_1cycle[[#This Row],[percent_tree_cover]]*100</f>
        <v>8.2191760029386298</v>
      </c>
    </row>
    <row r="727" spans="1:20" x14ac:dyDescent="0.2">
      <c r="A727">
        <v>1</v>
      </c>
      <c r="B727" t="s">
        <v>745</v>
      </c>
      <c r="C727">
        <v>28.638305274971898</v>
      </c>
      <c r="D727">
        <v>920.73481983075806</v>
      </c>
      <c r="E727">
        <v>7.9762618448301499</v>
      </c>
      <c r="F727">
        <v>27.211766580086501</v>
      </c>
      <c r="G727">
        <v>99</v>
      </c>
      <c r="H727">
        <v>575.95184326171795</v>
      </c>
      <c r="I727">
        <v>7.9441071798926899E-2</v>
      </c>
      <c r="K727" s="1" t="str">
        <f>TEXT(stand_validation_1cycle[[#This Row],[stand_age]], ".0")</f>
        <v>28.6</v>
      </c>
      <c r="L727" s="1" t="str">
        <f t="shared" si="11"/>
        <v>"28.6"</v>
      </c>
      <c r="M727">
        <v>100</v>
      </c>
      <c r="N727">
        <f>0.029*stand_validation_1cycle[[#This Row],[stand_level_biomass]]</f>
        <v>26.701309775091985</v>
      </c>
      <c r="O727">
        <f>0.213*stand_validation_1cycle[[#This Row],[stand_level_biomass]]</f>
        <v>196.11651662395147</v>
      </c>
      <c r="P727">
        <f>0.571*stand_validation_1cycle[[#This Row],[stand_level_biomass]]</f>
        <v>525.73958212336277</v>
      </c>
      <c r="Q727">
        <f>stand_validation_1cycle[[#This Row],[stock]]</f>
        <v>99</v>
      </c>
      <c r="R727">
        <v>0</v>
      </c>
      <c r="S727">
        <f>stand_validation_1cycle[[#This Row],[aws]]</f>
        <v>575.95184326171795</v>
      </c>
      <c r="T727">
        <f>stand_validation_1cycle[[#This Row],[percent_tree_cover]]*100</f>
        <v>7.9441071798926899</v>
      </c>
    </row>
    <row r="728" spans="1:20" x14ac:dyDescent="0.2">
      <c r="A728">
        <v>1</v>
      </c>
      <c r="B728" t="s">
        <v>746</v>
      </c>
      <c r="C728">
        <v>28.478345410627998</v>
      </c>
      <c r="D728">
        <v>879.89676998908897</v>
      </c>
      <c r="E728">
        <v>7.1890494116752599</v>
      </c>
      <c r="F728">
        <v>27.3017590062111</v>
      </c>
      <c r="G728">
        <v>92</v>
      </c>
      <c r="H728">
        <v>569.22906494140602</v>
      </c>
      <c r="I728">
        <v>7.8671996103723496E-2</v>
      </c>
      <c r="K728" s="1" t="str">
        <f>TEXT(stand_validation_1cycle[[#This Row],[stand_age]], ".0")</f>
        <v>28.5</v>
      </c>
      <c r="L728" s="1" t="str">
        <f t="shared" si="11"/>
        <v>"28.5"</v>
      </c>
      <c r="M728">
        <v>100</v>
      </c>
      <c r="N728">
        <f>0.029*stand_validation_1cycle[[#This Row],[stand_level_biomass]]</f>
        <v>25.517006329683582</v>
      </c>
      <c r="O728">
        <f>0.213*stand_validation_1cycle[[#This Row],[stand_level_biomass]]</f>
        <v>187.41801200767594</v>
      </c>
      <c r="P728">
        <f>0.571*stand_validation_1cycle[[#This Row],[stand_level_biomass]]</f>
        <v>502.42105566376978</v>
      </c>
      <c r="Q728">
        <f>stand_validation_1cycle[[#This Row],[stock]]</f>
        <v>92</v>
      </c>
      <c r="R728">
        <v>0</v>
      </c>
      <c r="S728">
        <f>stand_validation_1cycle[[#This Row],[aws]]</f>
        <v>569.22906494140602</v>
      </c>
      <c r="T728">
        <f>stand_validation_1cycle[[#This Row],[percent_tree_cover]]*100</f>
        <v>7.8671996103723494</v>
      </c>
    </row>
    <row r="729" spans="1:20" x14ac:dyDescent="0.2">
      <c r="A729">
        <v>1</v>
      </c>
      <c r="B729" t="s">
        <v>747</v>
      </c>
      <c r="C729">
        <v>27.073742690058399</v>
      </c>
      <c r="D729">
        <v>1226.06815790625</v>
      </c>
      <c r="E729">
        <v>3.8310073074384299</v>
      </c>
      <c r="F729">
        <v>29.109296842105199</v>
      </c>
      <c r="G729">
        <v>38</v>
      </c>
      <c r="H729">
        <v>569.22906494140602</v>
      </c>
      <c r="I729">
        <v>0.10159711676402</v>
      </c>
      <c r="K729" s="1" t="str">
        <f>TEXT(stand_validation_1cycle[[#This Row],[stand_age]], ".0")</f>
        <v>27.1</v>
      </c>
      <c r="L729" s="1" t="str">
        <f t="shared" si="11"/>
        <v>"27.1"</v>
      </c>
      <c r="M729">
        <v>100</v>
      </c>
      <c r="N729">
        <f>0.029*stand_validation_1cycle[[#This Row],[stand_level_biomass]]</f>
        <v>35.55597657928125</v>
      </c>
      <c r="O729">
        <f>0.213*stand_validation_1cycle[[#This Row],[stand_level_biomass]]</f>
        <v>261.15251763403126</v>
      </c>
      <c r="P729">
        <f>0.571*stand_validation_1cycle[[#This Row],[stand_level_biomass]]</f>
        <v>700.08491816446872</v>
      </c>
      <c r="Q729">
        <f>stand_validation_1cycle[[#This Row],[stock]]</f>
        <v>38</v>
      </c>
      <c r="R729">
        <v>0</v>
      </c>
      <c r="S729">
        <f>stand_validation_1cycle[[#This Row],[aws]]</f>
        <v>569.22906494140602</v>
      </c>
      <c r="T729">
        <f>stand_validation_1cycle[[#This Row],[percent_tree_cover]]*100</f>
        <v>10.159711676402001</v>
      </c>
    </row>
    <row r="730" spans="1:20" x14ac:dyDescent="0.2">
      <c r="A730">
        <v>1</v>
      </c>
      <c r="B730" t="s">
        <v>748</v>
      </c>
      <c r="C730">
        <v>26.391517615176099</v>
      </c>
      <c r="D730">
        <v>691.58018505425002</v>
      </c>
      <c r="E730">
        <v>5.3620562039801101</v>
      </c>
      <c r="F730">
        <v>25.815603982608799</v>
      </c>
      <c r="G730">
        <v>82</v>
      </c>
      <c r="H730">
        <v>568.08978271484295</v>
      </c>
      <c r="I730">
        <v>6.3924522224276498E-2</v>
      </c>
      <c r="K730" s="1" t="str">
        <f>TEXT(stand_validation_1cycle[[#This Row],[stand_age]], ".0")</f>
        <v>26.4</v>
      </c>
      <c r="L730" s="1" t="str">
        <f t="shared" si="11"/>
        <v>"26.4"</v>
      </c>
      <c r="M730">
        <v>100</v>
      </c>
      <c r="N730">
        <f>0.029*stand_validation_1cycle[[#This Row],[stand_level_biomass]]</f>
        <v>20.055825366573252</v>
      </c>
      <c r="O730">
        <f>0.213*stand_validation_1cycle[[#This Row],[stand_level_biomass]]</f>
        <v>147.30657941655525</v>
      </c>
      <c r="P730">
        <f>0.571*stand_validation_1cycle[[#This Row],[stand_level_biomass]]</f>
        <v>394.89228566597671</v>
      </c>
      <c r="Q730">
        <f>stand_validation_1cycle[[#This Row],[stock]]</f>
        <v>82</v>
      </c>
      <c r="R730">
        <v>0</v>
      </c>
      <c r="S730">
        <f>stand_validation_1cycle[[#This Row],[aws]]</f>
        <v>568.08978271484295</v>
      </c>
      <c r="T730">
        <f>stand_validation_1cycle[[#This Row],[percent_tree_cover]]*100</f>
        <v>6.3924522224276501</v>
      </c>
    </row>
    <row r="731" spans="1:20" x14ac:dyDescent="0.2">
      <c r="A731">
        <v>1</v>
      </c>
      <c r="B731" t="s">
        <v>749</v>
      </c>
      <c r="C731">
        <v>27.5118333333333</v>
      </c>
      <c r="D731">
        <v>832.25800415311801</v>
      </c>
      <c r="E731">
        <v>7.4695221644079597</v>
      </c>
      <c r="F731">
        <v>26.9033933989821</v>
      </c>
      <c r="G731">
        <v>100</v>
      </c>
      <c r="H731">
        <v>573.90319824218705</v>
      </c>
      <c r="I731">
        <v>7.4587182548757305E-2</v>
      </c>
      <c r="K731" s="1" t="str">
        <f>TEXT(stand_validation_1cycle[[#This Row],[stand_age]], ".0")</f>
        <v>27.5</v>
      </c>
      <c r="L731" s="1" t="str">
        <f t="shared" si="11"/>
        <v>"27.5"</v>
      </c>
      <c r="M731">
        <v>100</v>
      </c>
      <c r="N731">
        <f>0.029*stand_validation_1cycle[[#This Row],[stand_level_biomass]]</f>
        <v>24.135482120440422</v>
      </c>
      <c r="O731">
        <f>0.213*stand_validation_1cycle[[#This Row],[stand_level_biomass]]</f>
        <v>177.27095488461413</v>
      </c>
      <c r="P731">
        <f>0.571*stand_validation_1cycle[[#This Row],[stand_level_biomass]]</f>
        <v>475.21932037143034</v>
      </c>
      <c r="Q731">
        <f>stand_validation_1cycle[[#This Row],[stock]]</f>
        <v>100</v>
      </c>
      <c r="R731">
        <v>0</v>
      </c>
      <c r="S731">
        <f>stand_validation_1cycle[[#This Row],[aws]]</f>
        <v>573.90319824218705</v>
      </c>
      <c r="T731">
        <f>stand_validation_1cycle[[#This Row],[percent_tree_cover]]*100</f>
        <v>7.4587182548757305</v>
      </c>
    </row>
    <row r="732" spans="1:20" x14ac:dyDescent="0.2">
      <c r="A732">
        <v>1</v>
      </c>
      <c r="B732" t="s">
        <v>750</v>
      </c>
      <c r="C732">
        <v>26.602844444444401</v>
      </c>
      <c r="D732">
        <v>664.44302810564795</v>
      </c>
      <c r="E732">
        <v>6.2843759707952902</v>
      </c>
      <c r="F732">
        <v>25.157532999063498</v>
      </c>
      <c r="G732">
        <v>100</v>
      </c>
      <c r="H732">
        <v>568.08978271484295</v>
      </c>
      <c r="I732">
        <v>6.2624771157174797E-2</v>
      </c>
      <c r="K732" s="1" t="str">
        <f>TEXT(stand_validation_1cycle[[#This Row],[stand_age]], ".0")</f>
        <v>26.6</v>
      </c>
      <c r="L732" s="1" t="str">
        <f t="shared" si="11"/>
        <v>"26.6"</v>
      </c>
      <c r="M732">
        <v>100</v>
      </c>
      <c r="N732">
        <f>0.029*stand_validation_1cycle[[#This Row],[stand_level_biomass]]</f>
        <v>19.268847815063793</v>
      </c>
      <c r="O732">
        <f>0.213*stand_validation_1cycle[[#This Row],[stand_level_biomass]]</f>
        <v>141.52636498650301</v>
      </c>
      <c r="P732">
        <f>0.571*stand_validation_1cycle[[#This Row],[stand_level_biomass]]</f>
        <v>379.39696904832493</v>
      </c>
      <c r="Q732">
        <f>stand_validation_1cycle[[#This Row],[stock]]</f>
        <v>100</v>
      </c>
      <c r="R732">
        <v>0</v>
      </c>
      <c r="S732">
        <f>stand_validation_1cycle[[#This Row],[aws]]</f>
        <v>568.08978271484295</v>
      </c>
      <c r="T732">
        <f>stand_validation_1cycle[[#This Row],[percent_tree_cover]]*100</f>
        <v>6.2624771157174797</v>
      </c>
    </row>
    <row r="733" spans="1:20" x14ac:dyDescent="0.2">
      <c r="A733">
        <v>1</v>
      </c>
      <c r="B733" t="s">
        <v>751</v>
      </c>
      <c r="C733">
        <v>27.1984777777777</v>
      </c>
      <c r="D733">
        <v>896.83390651580805</v>
      </c>
      <c r="E733">
        <v>7.9879061580006896</v>
      </c>
      <c r="F733">
        <v>27.937420265399901</v>
      </c>
      <c r="G733">
        <v>100</v>
      </c>
      <c r="H733">
        <v>574.93792724609295</v>
      </c>
      <c r="I733">
        <v>7.9600369823953201E-2</v>
      </c>
      <c r="K733" s="1" t="str">
        <f>TEXT(stand_validation_1cycle[[#This Row],[stand_age]], ".0")</f>
        <v>27.2</v>
      </c>
      <c r="L733" s="1" t="str">
        <f t="shared" si="11"/>
        <v>"27.2"</v>
      </c>
      <c r="M733">
        <v>100</v>
      </c>
      <c r="N733">
        <f>0.029*stand_validation_1cycle[[#This Row],[stand_level_biomass]]</f>
        <v>26.008183288958435</v>
      </c>
      <c r="O733">
        <f>0.213*stand_validation_1cycle[[#This Row],[stand_level_biomass]]</f>
        <v>191.02562208786711</v>
      </c>
      <c r="P733">
        <f>0.571*stand_validation_1cycle[[#This Row],[stand_level_biomass]]</f>
        <v>512.09216062052633</v>
      </c>
      <c r="Q733">
        <f>stand_validation_1cycle[[#This Row],[stock]]</f>
        <v>100</v>
      </c>
      <c r="R733">
        <v>0</v>
      </c>
      <c r="S733">
        <f>stand_validation_1cycle[[#This Row],[aws]]</f>
        <v>574.93792724609295</v>
      </c>
      <c r="T733">
        <f>stand_validation_1cycle[[#This Row],[percent_tree_cover]]*100</f>
        <v>7.9600369823953203</v>
      </c>
    </row>
    <row r="734" spans="1:20" x14ac:dyDescent="0.2">
      <c r="A734">
        <v>1</v>
      </c>
      <c r="B734" t="s">
        <v>752</v>
      </c>
      <c r="C734">
        <v>28.061333333333302</v>
      </c>
      <c r="D734">
        <v>979.60924020962602</v>
      </c>
      <c r="E734">
        <v>8.5142776509151599</v>
      </c>
      <c r="F734">
        <v>28.368301998832798</v>
      </c>
      <c r="G734">
        <v>100</v>
      </c>
      <c r="H734">
        <v>569.19818115234295</v>
      </c>
      <c r="I734">
        <v>8.4829866031531101E-2</v>
      </c>
      <c r="K734" s="1" t="str">
        <f>TEXT(stand_validation_1cycle[[#This Row],[stand_age]], ".0")</f>
        <v>28.1</v>
      </c>
      <c r="L734" s="1" t="str">
        <f t="shared" si="11"/>
        <v>"28.1"</v>
      </c>
      <c r="M734">
        <v>100</v>
      </c>
      <c r="N734">
        <f>0.029*stand_validation_1cycle[[#This Row],[stand_level_biomass]]</f>
        <v>28.408667966079157</v>
      </c>
      <c r="O734">
        <f>0.213*stand_validation_1cycle[[#This Row],[stand_level_biomass]]</f>
        <v>208.65676816465034</v>
      </c>
      <c r="P734">
        <f>0.571*stand_validation_1cycle[[#This Row],[stand_level_biomass]]</f>
        <v>559.35687615969641</v>
      </c>
      <c r="Q734">
        <f>stand_validation_1cycle[[#This Row],[stock]]</f>
        <v>100</v>
      </c>
      <c r="R734">
        <v>0</v>
      </c>
      <c r="S734">
        <f>stand_validation_1cycle[[#This Row],[aws]]</f>
        <v>569.19818115234295</v>
      </c>
      <c r="T734">
        <f>stand_validation_1cycle[[#This Row],[percent_tree_cover]]*100</f>
        <v>8.48298660315311</v>
      </c>
    </row>
    <row r="735" spans="1:20" x14ac:dyDescent="0.2">
      <c r="A735">
        <v>1</v>
      </c>
      <c r="B735" t="s">
        <v>753</v>
      </c>
      <c r="C735">
        <v>26.806891133557802</v>
      </c>
      <c r="D735">
        <v>994.87371745623295</v>
      </c>
      <c r="E735">
        <v>8.5340013549925597</v>
      </c>
      <c r="F735">
        <v>27.761627069418399</v>
      </c>
      <c r="G735">
        <v>99</v>
      </c>
      <c r="H735">
        <v>624.3388671875</v>
      </c>
      <c r="I735">
        <v>8.4435728042666705E-2</v>
      </c>
      <c r="K735" s="1" t="str">
        <f>TEXT(stand_validation_1cycle[[#This Row],[stand_age]], ".0")</f>
        <v>26.8</v>
      </c>
      <c r="L735" s="1" t="str">
        <f t="shared" si="11"/>
        <v>"26.8"</v>
      </c>
      <c r="M735">
        <v>100</v>
      </c>
      <c r="N735">
        <f>0.029*stand_validation_1cycle[[#This Row],[stand_level_biomass]]</f>
        <v>28.851337806230756</v>
      </c>
      <c r="O735">
        <f>0.213*stand_validation_1cycle[[#This Row],[stand_level_biomass]]</f>
        <v>211.90810181817761</v>
      </c>
      <c r="P735">
        <f>0.571*stand_validation_1cycle[[#This Row],[stand_level_biomass]]</f>
        <v>568.072892667509</v>
      </c>
      <c r="Q735">
        <f>stand_validation_1cycle[[#This Row],[stock]]</f>
        <v>99</v>
      </c>
      <c r="R735">
        <v>0</v>
      </c>
      <c r="S735">
        <f>stand_validation_1cycle[[#This Row],[aws]]</f>
        <v>624.3388671875</v>
      </c>
      <c r="T735">
        <f>stand_validation_1cycle[[#This Row],[percent_tree_cover]]*100</f>
        <v>8.4435728042666707</v>
      </c>
    </row>
    <row r="736" spans="1:20" x14ac:dyDescent="0.2">
      <c r="A736">
        <v>1</v>
      </c>
      <c r="B736" t="s">
        <v>754</v>
      </c>
      <c r="C736">
        <v>28.081611111111101</v>
      </c>
      <c r="D736">
        <v>848.50641408415504</v>
      </c>
      <c r="E736">
        <v>7.6722703440945201</v>
      </c>
      <c r="F736">
        <v>27.681508065576399</v>
      </c>
      <c r="G736">
        <v>100</v>
      </c>
      <c r="H736">
        <v>568.19683837890602</v>
      </c>
      <c r="I736">
        <v>7.6449717796634203E-2</v>
      </c>
      <c r="K736" s="1" t="str">
        <f>TEXT(stand_validation_1cycle[[#This Row],[stand_age]], ".0")</f>
        <v>28.1</v>
      </c>
      <c r="L736" s="1" t="str">
        <f t="shared" si="11"/>
        <v>"28.1"</v>
      </c>
      <c r="M736">
        <v>100</v>
      </c>
      <c r="N736">
        <f>0.029*stand_validation_1cycle[[#This Row],[stand_level_biomass]]</f>
        <v>24.606686008440498</v>
      </c>
      <c r="O736">
        <f>0.213*stand_validation_1cycle[[#This Row],[stand_level_biomass]]</f>
        <v>180.73186619992501</v>
      </c>
      <c r="P736">
        <f>0.571*stand_validation_1cycle[[#This Row],[stand_level_biomass]]</f>
        <v>484.49716244205251</v>
      </c>
      <c r="Q736">
        <f>stand_validation_1cycle[[#This Row],[stock]]</f>
        <v>100</v>
      </c>
      <c r="R736">
        <v>0</v>
      </c>
      <c r="S736">
        <f>stand_validation_1cycle[[#This Row],[aws]]</f>
        <v>568.19683837890602</v>
      </c>
      <c r="T736">
        <f>stand_validation_1cycle[[#This Row],[percent_tree_cover]]*100</f>
        <v>7.64497177966342</v>
      </c>
    </row>
    <row r="737" spans="1:20" x14ac:dyDescent="0.2">
      <c r="A737">
        <v>1</v>
      </c>
      <c r="B737" t="s">
        <v>755</v>
      </c>
      <c r="C737">
        <v>28.503077777777701</v>
      </c>
      <c r="D737">
        <v>695.13652217155402</v>
      </c>
      <c r="E737">
        <v>6.5894214758662102</v>
      </c>
      <c r="F737">
        <v>26.075947132523499</v>
      </c>
      <c r="G737">
        <v>100</v>
      </c>
      <c r="H737">
        <v>573.12579345703102</v>
      </c>
      <c r="I737">
        <v>6.5656968035251895E-2</v>
      </c>
      <c r="K737" s="1" t="str">
        <f>TEXT(stand_validation_1cycle[[#This Row],[stand_age]], ".0")</f>
        <v>28.5</v>
      </c>
      <c r="L737" s="1" t="str">
        <f t="shared" si="11"/>
        <v>"28.5"</v>
      </c>
      <c r="M737">
        <v>100</v>
      </c>
      <c r="N737">
        <f>0.029*stand_validation_1cycle[[#This Row],[stand_level_biomass]]</f>
        <v>20.158959142975068</v>
      </c>
      <c r="O737">
        <f>0.213*stand_validation_1cycle[[#This Row],[stand_level_biomass]]</f>
        <v>148.06407922254101</v>
      </c>
      <c r="P737">
        <f>0.571*stand_validation_1cycle[[#This Row],[stand_level_biomass]]</f>
        <v>396.92295415995733</v>
      </c>
      <c r="Q737">
        <f>stand_validation_1cycle[[#This Row],[stock]]</f>
        <v>100</v>
      </c>
      <c r="R737">
        <v>0</v>
      </c>
      <c r="S737">
        <f>stand_validation_1cycle[[#This Row],[aws]]</f>
        <v>573.12579345703102</v>
      </c>
      <c r="T737">
        <f>stand_validation_1cycle[[#This Row],[percent_tree_cover]]*100</f>
        <v>6.5656968035251895</v>
      </c>
    </row>
    <row r="738" spans="1:20" x14ac:dyDescent="0.2">
      <c r="A738">
        <v>1</v>
      </c>
      <c r="B738" t="s">
        <v>756</v>
      </c>
      <c r="C738">
        <v>26.614144444444399</v>
      </c>
      <c r="D738">
        <v>718.25727061227599</v>
      </c>
      <c r="E738">
        <v>6.6237402340140203</v>
      </c>
      <c r="F738">
        <v>25.298252571428499</v>
      </c>
      <c r="G738">
        <v>100</v>
      </c>
      <c r="H738">
        <v>567.23937988281205</v>
      </c>
      <c r="I738">
        <v>6.6003322433605502E-2</v>
      </c>
      <c r="K738" s="1" t="str">
        <f>TEXT(stand_validation_1cycle[[#This Row],[stand_age]], ".0")</f>
        <v>26.6</v>
      </c>
      <c r="L738" s="1" t="str">
        <f t="shared" si="11"/>
        <v>"26.6"</v>
      </c>
      <c r="M738">
        <v>100</v>
      </c>
      <c r="N738">
        <f>0.029*stand_validation_1cycle[[#This Row],[stand_level_biomass]]</f>
        <v>20.829460847756003</v>
      </c>
      <c r="O738">
        <f>0.213*stand_validation_1cycle[[#This Row],[stand_level_biomass]]</f>
        <v>152.98879864041479</v>
      </c>
      <c r="P738">
        <f>0.571*stand_validation_1cycle[[#This Row],[stand_level_biomass]]</f>
        <v>410.12490151960958</v>
      </c>
      <c r="Q738">
        <f>stand_validation_1cycle[[#This Row],[stock]]</f>
        <v>100</v>
      </c>
      <c r="R738">
        <v>0</v>
      </c>
      <c r="S738">
        <f>stand_validation_1cycle[[#This Row],[aws]]</f>
        <v>567.23937988281205</v>
      </c>
      <c r="T738">
        <f>stand_validation_1cycle[[#This Row],[percent_tree_cover]]*100</f>
        <v>6.6003322433605502</v>
      </c>
    </row>
    <row r="739" spans="1:20" x14ac:dyDescent="0.2">
      <c r="A739">
        <v>1</v>
      </c>
      <c r="B739" t="s">
        <v>757</v>
      </c>
      <c r="C739">
        <v>29.054501718213</v>
      </c>
      <c r="D739">
        <v>955.19211213840595</v>
      </c>
      <c r="E739">
        <v>8.2691069748308497</v>
      </c>
      <c r="F739">
        <v>29.175523063328399</v>
      </c>
      <c r="G739">
        <v>97</v>
      </c>
      <c r="H739">
        <v>549</v>
      </c>
      <c r="I739">
        <v>8.1991722754064703E-2</v>
      </c>
      <c r="K739" s="1" t="str">
        <f>TEXT(stand_validation_1cycle[[#This Row],[stand_age]], ".0")</f>
        <v>29.1</v>
      </c>
      <c r="L739" s="1" t="str">
        <f t="shared" si="11"/>
        <v>"29.1"</v>
      </c>
      <c r="M739">
        <v>100</v>
      </c>
      <c r="N739">
        <f>0.029*stand_validation_1cycle[[#This Row],[stand_level_biomass]]</f>
        <v>27.700571252013773</v>
      </c>
      <c r="O739">
        <f>0.213*stand_validation_1cycle[[#This Row],[stand_level_biomass]]</f>
        <v>203.45591988548045</v>
      </c>
      <c r="P739">
        <f>0.571*stand_validation_1cycle[[#This Row],[stand_level_biomass]]</f>
        <v>545.41469603102973</v>
      </c>
      <c r="Q739">
        <f>stand_validation_1cycle[[#This Row],[stock]]</f>
        <v>97</v>
      </c>
      <c r="R739">
        <v>0</v>
      </c>
      <c r="S739">
        <f>stand_validation_1cycle[[#This Row],[aws]]</f>
        <v>549</v>
      </c>
      <c r="T739">
        <f>stand_validation_1cycle[[#This Row],[percent_tree_cover]]*100</f>
        <v>8.19917227540647</v>
      </c>
    </row>
    <row r="740" spans="1:20" x14ac:dyDescent="0.2">
      <c r="A740">
        <v>1</v>
      </c>
      <c r="B740" t="s">
        <v>758</v>
      </c>
      <c r="C740">
        <v>24.923100000000002</v>
      </c>
      <c r="D740">
        <v>667.41143412502095</v>
      </c>
      <c r="E740">
        <v>6.2484989826913004</v>
      </c>
      <c r="F740">
        <v>24.869275657142801</v>
      </c>
      <c r="G740">
        <v>100</v>
      </c>
      <c r="H740">
        <v>642.548095703125</v>
      </c>
      <c r="I740">
        <v>6.2296761465997802E-2</v>
      </c>
      <c r="K740" s="1" t="str">
        <f>TEXT(stand_validation_1cycle[[#This Row],[stand_age]], ".0")</f>
        <v>24.9</v>
      </c>
      <c r="L740" s="1" t="str">
        <f t="shared" si="11"/>
        <v>"24.9"</v>
      </c>
      <c r="M740">
        <v>100</v>
      </c>
      <c r="N740">
        <f>0.029*stand_validation_1cycle[[#This Row],[stand_level_biomass]]</f>
        <v>19.354931589625608</v>
      </c>
      <c r="O740">
        <f>0.213*stand_validation_1cycle[[#This Row],[stand_level_biomass]]</f>
        <v>142.15863546862946</v>
      </c>
      <c r="P740">
        <f>0.571*stand_validation_1cycle[[#This Row],[stand_level_biomass]]</f>
        <v>381.09192888538695</v>
      </c>
      <c r="Q740">
        <f>stand_validation_1cycle[[#This Row],[stock]]</f>
        <v>100</v>
      </c>
      <c r="R740">
        <v>0</v>
      </c>
      <c r="S740">
        <f>stand_validation_1cycle[[#This Row],[aws]]</f>
        <v>642.548095703125</v>
      </c>
      <c r="T740">
        <f>stand_validation_1cycle[[#This Row],[percent_tree_cover]]*100</f>
        <v>6.2296761465997799</v>
      </c>
    </row>
    <row r="741" spans="1:20" x14ac:dyDescent="0.2">
      <c r="A741">
        <v>1</v>
      </c>
      <c r="B741" t="s">
        <v>759</v>
      </c>
      <c r="C741">
        <v>27.882400000000001</v>
      </c>
      <c r="D741">
        <v>952.81845903359999</v>
      </c>
      <c r="E741">
        <v>8.2992379899714308</v>
      </c>
      <c r="F741">
        <v>27.685046857142801</v>
      </c>
      <c r="G741">
        <v>100</v>
      </c>
      <c r="H741">
        <v>571.74255371093705</v>
      </c>
      <c r="I741">
        <v>8.2692378801828698E-2</v>
      </c>
      <c r="K741" s="1" t="str">
        <f>TEXT(stand_validation_1cycle[[#This Row],[stand_age]], ".0")</f>
        <v>27.9</v>
      </c>
      <c r="L741" s="1" t="str">
        <f t="shared" si="11"/>
        <v>"27.9"</v>
      </c>
      <c r="M741">
        <v>100</v>
      </c>
      <c r="N741">
        <f>0.029*stand_validation_1cycle[[#This Row],[stand_level_biomass]]</f>
        <v>27.631735311974403</v>
      </c>
      <c r="O741">
        <f>0.213*stand_validation_1cycle[[#This Row],[stand_level_biomass]]</f>
        <v>202.95033177415678</v>
      </c>
      <c r="P741">
        <f>0.571*stand_validation_1cycle[[#This Row],[stand_level_biomass]]</f>
        <v>544.05934010818555</v>
      </c>
      <c r="Q741">
        <f>stand_validation_1cycle[[#This Row],[stock]]</f>
        <v>100</v>
      </c>
      <c r="R741">
        <v>0</v>
      </c>
      <c r="S741">
        <f>stand_validation_1cycle[[#This Row],[aws]]</f>
        <v>571.74255371093705</v>
      </c>
      <c r="T741">
        <f>stand_validation_1cycle[[#This Row],[percent_tree_cover]]*100</f>
        <v>8.2692378801828692</v>
      </c>
    </row>
    <row r="742" spans="1:20" x14ac:dyDescent="0.2">
      <c r="A742">
        <v>1</v>
      </c>
      <c r="B742" t="s">
        <v>760</v>
      </c>
      <c r="C742">
        <v>28.437171717171701</v>
      </c>
      <c r="D742">
        <v>991.02930806995505</v>
      </c>
      <c r="E742">
        <v>8.4859153524385604</v>
      </c>
      <c r="F742">
        <v>28.135700317460302</v>
      </c>
      <c r="G742">
        <v>99</v>
      </c>
      <c r="H742">
        <v>567.23937988281205</v>
      </c>
      <c r="I742">
        <v>8.4390120934882004E-2</v>
      </c>
      <c r="K742" s="1" t="str">
        <f>TEXT(stand_validation_1cycle[[#This Row],[stand_age]], ".0")</f>
        <v>28.4</v>
      </c>
      <c r="L742" s="1" t="str">
        <f t="shared" si="11"/>
        <v>"28.4"</v>
      </c>
      <c r="M742">
        <v>100</v>
      </c>
      <c r="N742">
        <f>0.029*stand_validation_1cycle[[#This Row],[stand_level_biomass]]</f>
        <v>28.739849934028697</v>
      </c>
      <c r="O742">
        <f>0.213*stand_validation_1cycle[[#This Row],[stand_level_biomass]]</f>
        <v>211.08924261890041</v>
      </c>
      <c r="P742">
        <f>0.571*stand_validation_1cycle[[#This Row],[stand_level_biomass]]</f>
        <v>565.87773490794427</v>
      </c>
      <c r="Q742">
        <f>stand_validation_1cycle[[#This Row],[stock]]</f>
        <v>99</v>
      </c>
      <c r="R742">
        <v>0</v>
      </c>
      <c r="S742">
        <f>stand_validation_1cycle[[#This Row],[aws]]</f>
        <v>567.23937988281205</v>
      </c>
      <c r="T742">
        <f>stand_validation_1cycle[[#This Row],[percent_tree_cover]]*100</f>
        <v>8.4390120934882003</v>
      </c>
    </row>
    <row r="743" spans="1:20" x14ac:dyDescent="0.2">
      <c r="A743">
        <v>1</v>
      </c>
      <c r="B743" t="s">
        <v>761</v>
      </c>
      <c r="C743">
        <v>28.3161952861952</v>
      </c>
      <c r="D743">
        <v>1141.5860754488999</v>
      </c>
      <c r="E743">
        <v>9.5546286245220404</v>
      </c>
      <c r="F743">
        <v>29.5159903030303</v>
      </c>
      <c r="G743">
        <v>99</v>
      </c>
      <c r="H743">
        <v>570.322998046875</v>
      </c>
      <c r="I743">
        <v>9.4994865511912496E-2</v>
      </c>
      <c r="K743" s="1" t="str">
        <f>TEXT(stand_validation_1cycle[[#This Row],[stand_age]], ".0")</f>
        <v>28.3</v>
      </c>
      <c r="L743" s="1" t="str">
        <f t="shared" si="11"/>
        <v>"28.3"</v>
      </c>
      <c r="M743">
        <v>100</v>
      </c>
      <c r="N743">
        <f>0.029*stand_validation_1cycle[[#This Row],[stand_level_biomass]]</f>
        <v>33.105996188018096</v>
      </c>
      <c r="O743">
        <f>0.213*stand_validation_1cycle[[#This Row],[stand_level_biomass]]</f>
        <v>243.15783407061568</v>
      </c>
      <c r="P743">
        <f>0.571*stand_validation_1cycle[[#This Row],[stand_level_biomass]]</f>
        <v>651.84564908132177</v>
      </c>
      <c r="Q743">
        <f>stand_validation_1cycle[[#This Row],[stock]]</f>
        <v>99</v>
      </c>
      <c r="R743">
        <v>0</v>
      </c>
      <c r="S743">
        <f>stand_validation_1cycle[[#This Row],[aws]]</f>
        <v>570.322998046875</v>
      </c>
      <c r="T743">
        <f>stand_validation_1cycle[[#This Row],[percent_tree_cover]]*100</f>
        <v>9.4994865511912501</v>
      </c>
    </row>
    <row r="744" spans="1:20" x14ac:dyDescent="0.2">
      <c r="A744">
        <v>1</v>
      </c>
      <c r="B744" t="s">
        <v>762</v>
      </c>
      <c r="C744">
        <v>26.0023344556677</v>
      </c>
      <c r="D744">
        <v>860.66124260950005</v>
      </c>
      <c r="E744">
        <v>7.5480046466817701</v>
      </c>
      <c r="F744">
        <v>26.6400434054834</v>
      </c>
      <c r="G744">
        <v>99</v>
      </c>
      <c r="H744">
        <v>574.83831787109295</v>
      </c>
      <c r="I744">
        <v>7.5019877921260095E-2</v>
      </c>
      <c r="K744" s="1" t="str">
        <f>TEXT(stand_validation_1cycle[[#This Row],[stand_age]], ".0")</f>
        <v>26.0</v>
      </c>
      <c r="L744" s="1" t="str">
        <f t="shared" si="11"/>
        <v>"26.0"</v>
      </c>
      <c r="M744">
        <v>100</v>
      </c>
      <c r="N744">
        <f>0.029*stand_validation_1cycle[[#This Row],[stand_level_biomass]]</f>
        <v>24.959176035675501</v>
      </c>
      <c r="O744">
        <f>0.213*stand_validation_1cycle[[#This Row],[stand_level_biomass]]</f>
        <v>183.32084467582351</v>
      </c>
      <c r="P744">
        <f>0.571*stand_validation_1cycle[[#This Row],[stand_level_biomass]]</f>
        <v>491.43756953002446</v>
      </c>
      <c r="Q744">
        <f>stand_validation_1cycle[[#This Row],[stock]]</f>
        <v>99</v>
      </c>
      <c r="R744">
        <v>0</v>
      </c>
      <c r="S744">
        <f>stand_validation_1cycle[[#This Row],[aws]]</f>
        <v>574.83831787109295</v>
      </c>
      <c r="T744">
        <f>stand_validation_1cycle[[#This Row],[percent_tree_cover]]*100</f>
        <v>7.5019877921260099</v>
      </c>
    </row>
    <row r="745" spans="1:20" x14ac:dyDescent="0.2">
      <c r="A745">
        <v>1</v>
      </c>
      <c r="B745" t="s">
        <v>763</v>
      </c>
      <c r="C745">
        <v>26.054940898345102</v>
      </c>
      <c r="D745">
        <v>870.17541785485105</v>
      </c>
      <c r="E745">
        <v>7.26561316623589</v>
      </c>
      <c r="F745">
        <v>26.827864802431598</v>
      </c>
      <c r="G745">
        <v>94</v>
      </c>
      <c r="H745">
        <v>575.02655029296795</v>
      </c>
      <c r="I745">
        <v>7.59964197620214E-2</v>
      </c>
      <c r="K745" s="1" t="str">
        <f>TEXT(stand_validation_1cycle[[#This Row],[stand_age]], ".0")</f>
        <v>26.1</v>
      </c>
      <c r="L745" s="1" t="str">
        <f t="shared" si="11"/>
        <v>"26.1"</v>
      </c>
      <c r="M745">
        <v>100</v>
      </c>
      <c r="N745">
        <f>0.029*stand_validation_1cycle[[#This Row],[stand_level_biomass]]</f>
        <v>25.23508711779068</v>
      </c>
      <c r="O745">
        <f>0.213*stand_validation_1cycle[[#This Row],[stand_level_biomass]]</f>
        <v>185.34736400308327</v>
      </c>
      <c r="P745">
        <f>0.571*stand_validation_1cycle[[#This Row],[stand_level_biomass]]</f>
        <v>496.87016359511989</v>
      </c>
      <c r="Q745">
        <f>stand_validation_1cycle[[#This Row],[stock]]</f>
        <v>94</v>
      </c>
      <c r="R745">
        <v>0</v>
      </c>
      <c r="S745">
        <f>stand_validation_1cycle[[#This Row],[aws]]</f>
        <v>575.02655029296795</v>
      </c>
      <c r="T745">
        <f>stand_validation_1cycle[[#This Row],[percent_tree_cover]]*100</f>
        <v>7.5996419762021397</v>
      </c>
    </row>
    <row r="746" spans="1:20" x14ac:dyDescent="0.2">
      <c r="A746">
        <v>1</v>
      </c>
      <c r="B746" t="s">
        <v>764</v>
      </c>
      <c r="C746">
        <v>26.6628703703703</v>
      </c>
      <c r="D746">
        <v>697.96594962281404</v>
      </c>
      <c r="E746">
        <v>4.0077917946393997</v>
      </c>
      <c r="F746">
        <v>25.886811809523799</v>
      </c>
      <c r="G746">
        <v>60</v>
      </c>
      <c r="H746">
        <v>574.28161621093705</v>
      </c>
      <c r="I746">
        <v>6.3374065201981494E-2</v>
      </c>
      <c r="K746" s="1" t="str">
        <f>TEXT(stand_validation_1cycle[[#This Row],[stand_age]], ".0")</f>
        <v>26.7</v>
      </c>
      <c r="L746" s="1" t="str">
        <f t="shared" si="11"/>
        <v>"26.7"</v>
      </c>
      <c r="M746">
        <v>100</v>
      </c>
      <c r="N746">
        <f>0.029*stand_validation_1cycle[[#This Row],[stand_level_biomass]]</f>
        <v>20.241012539061607</v>
      </c>
      <c r="O746">
        <f>0.213*stand_validation_1cycle[[#This Row],[stand_level_biomass]]</f>
        <v>148.6667472696594</v>
      </c>
      <c r="P746">
        <f>0.571*stand_validation_1cycle[[#This Row],[stand_level_biomass]]</f>
        <v>398.53855723462681</v>
      </c>
      <c r="Q746">
        <f>stand_validation_1cycle[[#This Row],[stock]]</f>
        <v>60</v>
      </c>
      <c r="R746">
        <v>0</v>
      </c>
      <c r="S746">
        <f>stand_validation_1cycle[[#This Row],[aws]]</f>
        <v>574.28161621093705</v>
      </c>
      <c r="T746">
        <f>stand_validation_1cycle[[#This Row],[percent_tree_cover]]*100</f>
        <v>6.3374065201981491</v>
      </c>
    </row>
    <row r="747" spans="1:20" x14ac:dyDescent="0.2">
      <c r="A747">
        <v>1</v>
      </c>
      <c r="B747" t="s">
        <v>765</v>
      </c>
      <c r="C747">
        <v>27.9108739076154</v>
      </c>
      <c r="D747">
        <v>995.33959272011998</v>
      </c>
      <c r="E747">
        <v>7.6553222371265601</v>
      </c>
      <c r="F747">
        <v>28.260718330658101</v>
      </c>
      <c r="G747">
        <v>89</v>
      </c>
      <c r="H747">
        <v>571.12829589843705</v>
      </c>
      <c r="I747">
        <v>8.6099647469194698E-2</v>
      </c>
      <c r="K747" s="1" t="str">
        <f>TEXT(stand_validation_1cycle[[#This Row],[stand_age]], ".0")</f>
        <v>27.9</v>
      </c>
      <c r="L747" s="1" t="str">
        <f t="shared" si="11"/>
        <v>"27.9"</v>
      </c>
      <c r="M747">
        <v>100</v>
      </c>
      <c r="N747">
        <f>0.029*stand_validation_1cycle[[#This Row],[stand_level_biomass]]</f>
        <v>28.864848188883482</v>
      </c>
      <c r="O747">
        <f>0.213*stand_validation_1cycle[[#This Row],[stand_level_biomass]]</f>
        <v>212.00733324938554</v>
      </c>
      <c r="P747">
        <f>0.571*stand_validation_1cycle[[#This Row],[stand_level_biomass]]</f>
        <v>568.33890744318842</v>
      </c>
      <c r="Q747">
        <f>stand_validation_1cycle[[#This Row],[stock]]</f>
        <v>89</v>
      </c>
      <c r="R747">
        <v>0</v>
      </c>
      <c r="S747">
        <f>stand_validation_1cycle[[#This Row],[aws]]</f>
        <v>571.12829589843705</v>
      </c>
      <c r="T747">
        <f>stand_validation_1cycle[[#This Row],[percent_tree_cover]]*100</f>
        <v>8.60996474691947</v>
      </c>
    </row>
    <row r="748" spans="1:20" x14ac:dyDescent="0.2">
      <c r="A748">
        <v>1</v>
      </c>
      <c r="B748" t="s">
        <v>766</v>
      </c>
      <c r="C748">
        <v>25.569771241830001</v>
      </c>
      <c r="D748">
        <v>632.91955957150503</v>
      </c>
      <c r="E748">
        <v>4.0388048119174798</v>
      </c>
      <c r="F748">
        <v>23.9484403361344</v>
      </c>
      <c r="G748">
        <v>68</v>
      </c>
      <c r="H748">
        <v>566</v>
      </c>
      <c r="I748">
        <v>5.9846035508177499E-2</v>
      </c>
      <c r="K748" s="1" t="str">
        <f>TEXT(stand_validation_1cycle[[#This Row],[stand_age]], ".0")</f>
        <v>25.6</v>
      </c>
      <c r="L748" s="1" t="str">
        <f t="shared" si="11"/>
        <v>"25.6"</v>
      </c>
      <c r="M748">
        <v>100</v>
      </c>
      <c r="N748">
        <f>0.029*stand_validation_1cycle[[#This Row],[stand_level_biomass]]</f>
        <v>18.354667227573646</v>
      </c>
      <c r="O748">
        <f>0.213*stand_validation_1cycle[[#This Row],[stand_level_biomass]]</f>
        <v>134.81186618873056</v>
      </c>
      <c r="P748">
        <f>0.571*stand_validation_1cycle[[#This Row],[stand_level_biomass]]</f>
        <v>361.39706851532935</v>
      </c>
      <c r="Q748">
        <f>stand_validation_1cycle[[#This Row],[stock]]</f>
        <v>68</v>
      </c>
      <c r="R748">
        <v>0</v>
      </c>
      <c r="S748">
        <f>stand_validation_1cycle[[#This Row],[aws]]</f>
        <v>566</v>
      </c>
      <c r="T748">
        <f>stand_validation_1cycle[[#This Row],[percent_tree_cover]]*100</f>
        <v>5.9846035508177495</v>
      </c>
    </row>
    <row r="749" spans="1:20" x14ac:dyDescent="0.2">
      <c r="A749">
        <v>1</v>
      </c>
      <c r="B749" t="s">
        <v>767</v>
      </c>
      <c r="C749">
        <v>30.105607235142099</v>
      </c>
      <c r="D749">
        <v>1067.11018174841</v>
      </c>
      <c r="E749">
        <v>7.8768673510577196</v>
      </c>
      <c r="F749">
        <v>29.066322923588</v>
      </c>
      <c r="G749">
        <v>86</v>
      </c>
      <c r="H749">
        <v>568.24578857421795</v>
      </c>
      <c r="I749">
        <v>9.2111967266807301E-2</v>
      </c>
      <c r="K749" s="1" t="str">
        <f>TEXT(stand_validation_1cycle[[#This Row],[stand_age]], ".0")</f>
        <v>30.1</v>
      </c>
      <c r="L749" s="1" t="str">
        <f t="shared" si="11"/>
        <v>"30.1"</v>
      </c>
      <c r="M749">
        <v>100</v>
      </c>
      <c r="N749">
        <f>0.029*stand_validation_1cycle[[#This Row],[stand_level_biomass]]</f>
        <v>30.946195270703893</v>
      </c>
      <c r="O749">
        <f>0.213*stand_validation_1cycle[[#This Row],[stand_level_biomass]]</f>
        <v>227.29446871241132</v>
      </c>
      <c r="P749">
        <f>0.571*stand_validation_1cycle[[#This Row],[stand_level_biomass]]</f>
        <v>609.31991377834208</v>
      </c>
      <c r="Q749">
        <f>stand_validation_1cycle[[#This Row],[stock]]</f>
        <v>86</v>
      </c>
      <c r="R749">
        <v>0</v>
      </c>
      <c r="S749">
        <f>stand_validation_1cycle[[#This Row],[aws]]</f>
        <v>568.24578857421795</v>
      </c>
      <c r="T749">
        <f>stand_validation_1cycle[[#This Row],[percent_tree_cover]]*100</f>
        <v>9.2111967266807309</v>
      </c>
    </row>
    <row r="750" spans="1:20" x14ac:dyDescent="0.2">
      <c r="A750">
        <v>1</v>
      </c>
      <c r="B750" t="s">
        <v>768</v>
      </c>
      <c r="C750">
        <v>27.597188888888901</v>
      </c>
      <c r="D750">
        <v>926.98040579998599</v>
      </c>
      <c r="E750">
        <v>8.1506705025868396</v>
      </c>
      <c r="F750">
        <v>27.765146742857102</v>
      </c>
      <c r="G750">
        <v>100</v>
      </c>
      <c r="H750">
        <v>569.46759033203102</v>
      </c>
      <c r="I750">
        <v>8.1219722600147495E-2</v>
      </c>
      <c r="K750" s="1" t="str">
        <f>TEXT(stand_validation_1cycle[[#This Row],[stand_age]], ".0")</f>
        <v>27.6</v>
      </c>
      <c r="L750" s="1" t="str">
        <f t="shared" si="11"/>
        <v>"27.6"</v>
      </c>
      <c r="M750">
        <v>100</v>
      </c>
      <c r="N750">
        <f>0.029*stand_validation_1cycle[[#This Row],[stand_level_biomass]]</f>
        <v>26.882431768199595</v>
      </c>
      <c r="O750">
        <f>0.213*stand_validation_1cycle[[#This Row],[stand_level_biomass]]</f>
        <v>197.44682643539701</v>
      </c>
      <c r="P750">
        <f>0.571*stand_validation_1cycle[[#This Row],[stand_level_biomass]]</f>
        <v>529.30581171179199</v>
      </c>
      <c r="Q750">
        <f>stand_validation_1cycle[[#This Row],[stock]]</f>
        <v>100</v>
      </c>
      <c r="R750">
        <v>0</v>
      </c>
      <c r="S750">
        <f>stand_validation_1cycle[[#This Row],[aws]]</f>
        <v>569.46759033203102</v>
      </c>
      <c r="T750">
        <f>stand_validation_1cycle[[#This Row],[percent_tree_cover]]*100</f>
        <v>8.1219722600147488</v>
      </c>
    </row>
    <row r="751" spans="1:20" x14ac:dyDescent="0.2">
      <c r="A751">
        <v>1</v>
      </c>
      <c r="B751" t="s">
        <v>769</v>
      </c>
      <c r="C751">
        <v>27.8670526315789</v>
      </c>
      <c r="D751">
        <v>862.70445857835796</v>
      </c>
      <c r="E751">
        <v>7.25226453905079</v>
      </c>
      <c r="F751">
        <v>26.525102195488699</v>
      </c>
      <c r="G751">
        <v>95</v>
      </c>
      <c r="H751">
        <v>567.18762207031205</v>
      </c>
      <c r="I751">
        <v>7.6554814136931104E-2</v>
      </c>
      <c r="K751" s="1" t="str">
        <f>TEXT(stand_validation_1cycle[[#This Row],[stand_age]], ".0")</f>
        <v>27.9</v>
      </c>
      <c r="L751" s="1" t="str">
        <f t="shared" si="11"/>
        <v>"27.9"</v>
      </c>
      <c r="M751">
        <v>100</v>
      </c>
      <c r="N751">
        <f>0.029*stand_validation_1cycle[[#This Row],[stand_level_biomass]]</f>
        <v>25.018429298772382</v>
      </c>
      <c r="O751">
        <f>0.213*stand_validation_1cycle[[#This Row],[stand_level_biomass]]</f>
        <v>183.75604967719025</v>
      </c>
      <c r="P751">
        <f>0.571*stand_validation_1cycle[[#This Row],[stand_level_biomass]]</f>
        <v>492.60424584824233</v>
      </c>
      <c r="Q751">
        <f>stand_validation_1cycle[[#This Row],[stock]]</f>
        <v>95</v>
      </c>
      <c r="R751">
        <v>0</v>
      </c>
      <c r="S751">
        <f>stand_validation_1cycle[[#This Row],[aws]]</f>
        <v>567.18762207031205</v>
      </c>
      <c r="T751">
        <f>stand_validation_1cycle[[#This Row],[percent_tree_cover]]*100</f>
        <v>7.65548141369311</v>
      </c>
    </row>
    <row r="752" spans="1:20" x14ac:dyDescent="0.2">
      <c r="A752">
        <v>1</v>
      </c>
      <c r="B752" t="s">
        <v>770</v>
      </c>
      <c r="C752">
        <v>28.361280602636501</v>
      </c>
      <c r="D752">
        <v>981.352717050499</v>
      </c>
      <c r="E752">
        <v>5.02455176361231</v>
      </c>
      <c r="F752">
        <v>28.184448232445501</v>
      </c>
      <c r="G752">
        <v>59</v>
      </c>
      <c r="H752">
        <v>569.52435302734295</v>
      </c>
      <c r="I752">
        <v>8.0100567008715096E-2</v>
      </c>
      <c r="K752" s="1" t="str">
        <f>TEXT(stand_validation_1cycle[[#This Row],[stand_age]], ".0")</f>
        <v>28.4</v>
      </c>
      <c r="L752" s="1" t="str">
        <f t="shared" si="11"/>
        <v>"28.4"</v>
      </c>
      <c r="M752">
        <v>100</v>
      </c>
      <c r="N752">
        <f>0.029*stand_validation_1cycle[[#This Row],[stand_level_biomass]]</f>
        <v>28.459228794464472</v>
      </c>
      <c r="O752">
        <f>0.213*stand_validation_1cycle[[#This Row],[stand_level_biomass]]</f>
        <v>209.02812873175628</v>
      </c>
      <c r="P752">
        <f>0.571*stand_validation_1cycle[[#This Row],[stand_level_biomass]]</f>
        <v>560.35240143583485</v>
      </c>
      <c r="Q752">
        <f>stand_validation_1cycle[[#This Row],[stock]]</f>
        <v>59</v>
      </c>
      <c r="R752">
        <v>0</v>
      </c>
      <c r="S752">
        <f>stand_validation_1cycle[[#This Row],[aws]]</f>
        <v>569.52435302734295</v>
      </c>
      <c r="T752">
        <f>stand_validation_1cycle[[#This Row],[percent_tree_cover]]*100</f>
        <v>8.0100567008715089</v>
      </c>
    </row>
    <row r="753" spans="1:20" x14ac:dyDescent="0.2">
      <c r="A753">
        <v>1</v>
      </c>
      <c r="B753" t="s">
        <v>771</v>
      </c>
      <c r="C753">
        <v>29.772397660818701</v>
      </c>
      <c r="D753">
        <v>1012.12547154907</v>
      </c>
      <c r="E753">
        <v>8.2621137895839603</v>
      </c>
      <c r="F753">
        <v>28.2007978345864</v>
      </c>
      <c r="G753">
        <v>95</v>
      </c>
      <c r="H753">
        <v>567.18762207031205</v>
      </c>
      <c r="I753">
        <v>8.7076582339407696E-2</v>
      </c>
      <c r="K753" s="1" t="str">
        <f>TEXT(stand_validation_1cycle[[#This Row],[stand_age]], ".0")</f>
        <v>29.8</v>
      </c>
      <c r="L753" s="1" t="str">
        <f t="shared" si="11"/>
        <v>"29.8"</v>
      </c>
      <c r="M753">
        <v>100</v>
      </c>
      <c r="N753">
        <f>0.029*stand_validation_1cycle[[#This Row],[stand_level_biomass]]</f>
        <v>29.351638674923031</v>
      </c>
      <c r="O753">
        <f>0.213*stand_validation_1cycle[[#This Row],[stand_level_biomass]]</f>
        <v>215.5827254399519</v>
      </c>
      <c r="P753">
        <f>0.571*stand_validation_1cycle[[#This Row],[stand_level_biomass]]</f>
        <v>577.92364425451888</v>
      </c>
      <c r="Q753">
        <f>stand_validation_1cycle[[#This Row],[stock]]</f>
        <v>95</v>
      </c>
      <c r="R753">
        <v>0</v>
      </c>
      <c r="S753">
        <f>stand_validation_1cycle[[#This Row],[aws]]</f>
        <v>567.18762207031205</v>
      </c>
      <c r="T753">
        <f>stand_validation_1cycle[[#This Row],[percent_tree_cover]]*100</f>
        <v>8.7076582339407693</v>
      </c>
    </row>
    <row r="754" spans="1:20" x14ac:dyDescent="0.2">
      <c r="A754">
        <v>1</v>
      </c>
      <c r="B754" t="s">
        <v>772</v>
      </c>
      <c r="C754">
        <v>29.773966666666599</v>
      </c>
      <c r="D754">
        <v>954.73876823314004</v>
      </c>
      <c r="E754">
        <v>8.4083572838030598</v>
      </c>
      <c r="F754">
        <v>28.7604292571428</v>
      </c>
      <c r="G754">
        <v>100</v>
      </c>
      <c r="H754">
        <v>572.709716796875</v>
      </c>
      <c r="I754">
        <v>8.3770515671083901E-2</v>
      </c>
      <c r="K754" s="1" t="str">
        <f>TEXT(stand_validation_1cycle[[#This Row],[stand_age]], ".0")</f>
        <v>29.8</v>
      </c>
      <c r="L754" s="1" t="str">
        <f t="shared" si="11"/>
        <v>"29.8"</v>
      </c>
      <c r="M754">
        <v>100</v>
      </c>
      <c r="N754">
        <f>0.029*stand_validation_1cycle[[#This Row],[stand_level_biomass]]</f>
        <v>27.687424278761064</v>
      </c>
      <c r="O754">
        <f>0.213*stand_validation_1cycle[[#This Row],[stand_level_biomass]]</f>
        <v>203.35935763365882</v>
      </c>
      <c r="P754">
        <f>0.571*stand_validation_1cycle[[#This Row],[stand_level_biomass]]</f>
        <v>545.15583666112286</v>
      </c>
      <c r="Q754">
        <f>stand_validation_1cycle[[#This Row],[stock]]</f>
        <v>100</v>
      </c>
      <c r="R754">
        <v>0</v>
      </c>
      <c r="S754">
        <f>stand_validation_1cycle[[#This Row],[aws]]</f>
        <v>572.709716796875</v>
      </c>
      <c r="T754">
        <f>stand_validation_1cycle[[#This Row],[percent_tree_cover]]*100</f>
        <v>8.3770515671083903</v>
      </c>
    </row>
    <row r="755" spans="1:20" x14ac:dyDescent="0.2">
      <c r="A755">
        <v>1</v>
      </c>
      <c r="B755" t="s">
        <v>773</v>
      </c>
      <c r="C755">
        <v>28.069768518518501</v>
      </c>
      <c r="D755">
        <v>816.64524824019804</v>
      </c>
      <c r="E755">
        <v>5.3276377002655497</v>
      </c>
      <c r="F755">
        <v>27.300696825396798</v>
      </c>
      <c r="G755">
        <v>72</v>
      </c>
      <c r="H755">
        <v>566.79016113281205</v>
      </c>
      <c r="I755">
        <v>7.1346437741311594E-2</v>
      </c>
      <c r="K755" s="1" t="str">
        <f>TEXT(stand_validation_1cycle[[#This Row],[stand_age]], ".0")</f>
        <v>28.1</v>
      </c>
      <c r="L755" s="1" t="str">
        <f t="shared" si="11"/>
        <v>"28.1"</v>
      </c>
      <c r="M755">
        <v>100</v>
      </c>
      <c r="N755">
        <f>0.029*stand_validation_1cycle[[#This Row],[stand_level_biomass]]</f>
        <v>23.682712198965746</v>
      </c>
      <c r="O755">
        <f>0.213*stand_validation_1cycle[[#This Row],[stand_level_biomass]]</f>
        <v>173.94543787516218</v>
      </c>
      <c r="P755">
        <f>0.571*stand_validation_1cycle[[#This Row],[stand_level_biomass]]</f>
        <v>466.30443674515305</v>
      </c>
      <c r="Q755">
        <f>stand_validation_1cycle[[#This Row],[stock]]</f>
        <v>72</v>
      </c>
      <c r="R755">
        <v>0</v>
      </c>
      <c r="S755">
        <f>stand_validation_1cycle[[#This Row],[aws]]</f>
        <v>566.79016113281205</v>
      </c>
      <c r="T755">
        <f>stand_validation_1cycle[[#This Row],[percent_tree_cover]]*100</f>
        <v>7.1346437741311597</v>
      </c>
    </row>
    <row r="756" spans="1:20" x14ac:dyDescent="0.2">
      <c r="A756">
        <v>1</v>
      </c>
      <c r="B756" t="s">
        <v>774</v>
      </c>
      <c r="C756">
        <v>26.222933832709099</v>
      </c>
      <c r="D756">
        <v>781.17189224504</v>
      </c>
      <c r="E756">
        <v>6.3230953148526199</v>
      </c>
      <c r="F756">
        <v>26.338469085072202</v>
      </c>
      <c r="G756">
        <v>89</v>
      </c>
      <c r="H756">
        <v>571.854248046875</v>
      </c>
      <c r="I756">
        <v>7.0249744901064295E-2</v>
      </c>
      <c r="K756" s="1" t="str">
        <f>TEXT(stand_validation_1cycle[[#This Row],[stand_age]], ".0")</f>
        <v>26.2</v>
      </c>
      <c r="L756" s="1" t="str">
        <f t="shared" si="11"/>
        <v>"26.2"</v>
      </c>
      <c r="M756">
        <v>100</v>
      </c>
      <c r="N756">
        <f>0.029*stand_validation_1cycle[[#This Row],[stand_level_biomass]]</f>
        <v>22.653984875106161</v>
      </c>
      <c r="O756">
        <f>0.213*stand_validation_1cycle[[#This Row],[stand_level_biomass]]</f>
        <v>166.38961304819352</v>
      </c>
      <c r="P756">
        <f>0.571*stand_validation_1cycle[[#This Row],[stand_level_biomass]]</f>
        <v>446.04915047191781</v>
      </c>
      <c r="Q756">
        <f>stand_validation_1cycle[[#This Row],[stock]]</f>
        <v>89</v>
      </c>
      <c r="R756">
        <v>0</v>
      </c>
      <c r="S756">
        <f>stand_validation_1cycle[[#This Row],[aws]]</f>
        <v>571.854248046875</v>
      </c>
      <c r="T756">
        <f>stand_validation_1cycle[[#This Row],[percent_tree_cover]]*100</f>
        <v>7.0249744901064295</v>
      </c>
    </row>
    <row r="757" spans="1:20" x14ac:dyDescent="0.2">
      <c r="A757">
        <v>1</v>
      </c>
      <c r="B757" t="s">
        <v>775</v>
      </c>
      <c r="C757">
        <v>26.839807256235801</v>
      </c>
      <c r="D757">
        <v>892.60279057543403</v>
      </c>
      <c r="E757">
        <v>7.7579085890350497</v>
      </c>
      <c r="F757">
        <v>27.108537142857099</v>
      </c>
      <c r="G757">
        <v>98</v>
      </c>
      <c r="H757">
        <v>566.72247314453102</v>
      </c>
      <c r="I757">
        <v>7.6881460241383107E-2</v>
      </c>
      <c r="K757" s="1" t="str">
        <f>TEXT(stand_validation_1cycle[[#This Row],[stand_age]], ".0")</f>
        <v>26.8</v>
      </c>
      <c r="L757" s="1" t="str">
        <f t="shared" si="11"/>
        <v>"26.8"</v>
      </c>
      <c r="M757">
        <v>100</v>
      </c>
      <c r="N757">
        <f>0.029*stand_validation_1cycle[[#This Row],[stand_level_biomass]]</f>
        <v>25.885480926687588</v>
      </c>
      <c r="O757">
        <f>0.213*stand_validation_1cycle[[#This Row],[stand_level_biomass]]</f>
        <v>190.12439439256744</v>
      </c>
      <c r="P757">
        <f>0.571*stand_validation_1cycle[[#This Row],[stand_level_biomass]]</f>
        <v>509.67619341857278</v>
      </c>
      <c r="Q757">
        <f>stand_validation_1cycle[[#This Row],[stock]]</f>
        <v>98</v>
      </c>
      <c r="R757">
        <v>0</v>
      </c>
      <c r="S757">
        <f>stand_validation_1cycle[[#This Row],[aws]]</f>
        <v>566.72247314453102</v>
      </c>
      <c r="T757">
        <f>stand_validation_1cycle[[#This Row],[percent_tree_cover]]*100</f>
        <v>7.6881460241383106</v>
      </c>
    </row>
    <row r="758" spans="1:20" x14ac:dyDescent="0.2">
      <c r="A758">
        <v>1</v>
      </c>
      <c r="B758" t="s">
        <v>776</v>
      </c>
      <c r="C758">
        <v>25.592446689113299</v>
      </c>
      <c r="D758">
        <v>695.45894640203903</v>
      </c>
      <c r="E758">
        <v>6.3438109768103903</v>
      </c>
      <c r="F758">
        <v>24.652670245310201</v>
      </c>
      <c r="G758">
        <v>99</v>
      </c>
      <c r="H758">
        <v>573.38592529296795</v>
      </c>
      <c r="I758">
        <v>6.3104903600544396E-2</v>
      </c>
      <c r="K758" s="1" t="str">
        <f>TEXT(stand_validation_1cycle[[#This Row],[stand_age]], ".0")</f>
        <v>25.6</v>
      </c>
      <c r="L758" s="1" t="str">
        <f t="shared" si="11"/>
        <v>"25.6"</v>
      </c>
      <c r="M758">
        <v>100</v>
      </c>
      <c r="N758">
        <f>0.029*stand_validation_1cycle[[#This Row],[stand_level_biomass]]</f>
        <v>20.168309445659133</v>
      </c>
      <c r="O758">
        <f>0.213*stand_validation_1cycle[[#This Row],[stand_level_biomass]]</f>
        <v>148.13275558363432</v>
      </c>
      <c r="P758">
        <f>0.571*stand_validation_1cycle[[#This Row],[stand_level_biomass]]</f>
        <v>397.10705839556425</v>
      </c>
      <c r="Q758">
        <f>stand_validation_1cycle[[#This Row],[stock]]</f>
        <v>99</v>
      </c>
      <c r="R758">
        <v>0</v>
      </c>
      <c r="S758">
        <f>stand_validation_1cycle[[#This Row],[aws]]</f>
        <v>573.38592529296795</v>
      </c>
      <c r="T758">
        <f>stand_validation_1cycle[[#This Row],[percent_tree_cover]]*100</f>
        <v>6.3104903600544393</v>
      </c>
    </row>
    <row r="759" spans="1:20" x14ac:dyDescent="0.2">
      <c r="A759">
        <v>1</v>
      </c>
      <c r="B759" t="s">
        <v>777</v>
      </c>
      <c r="C759">
        <v>26.3934888888888</v>
      </c>
      <c r="D759">
        <v>699.26709034580995</v>
      </c>
      <c r="E759">
        <v>6.3959951869810103</v>
      </c>
      <c r="F759">
        <v>24.5674260571428</v>
      </c>
      <c r="G759">
        <v>100</v>
      </c>
      <c r="H759">
        <v>574.49468994140602</v>
      </c>
      <c r="I759">
        <v>6.3727465771943798E-2</v>
      </c>
      <c r="K759" s="1" t="str">
        <f>TEXT(stand_validation_1cycle[[#This Row],[stand_age]], ".0")</f>
        <v>26.4</v>
      </c>
      <c r="L759" s="1" t="str">
        <f t="shared" si="11"/>
        <v>"26.4"</v>
      </c>
      <c r="M759">
        <v>100</v>
      </c>
      <c r="N759">
        <f>0.029*stand_validation_1cycle[[#This Row],[stand_level_biomass]]</f>
        <v>20.278745620028488</v>
      </c>
      <c r="O759">
        <f>0.213*stand_validation_1cycle[[#This Row],[stand_level_biomass]]</f>
        <v>148.94389024365751</v>
      </c>
      <c r="P759">
        <f>0.571*stand_validation_1cycle[[#This Row],[stand_level_biomass]]</f>
        <v>399.28150858745744</v>
      </c>
      <c r="Q759">
        <f>stand_validation_1cycle[[#This Row],[stock]]</f>
        <v>100</v>
      </c>
      <c r="R759">
        <v>0</v>
      </c>
      <c r="S759">
        <f>stand_validation_1cycle[[#This Row],[aws]]</f>
        <v>574.49468994140602</v>
      </c>
      <c r="T759">
        <f>stand_validation_1cycle[[#This Row],[percent_tree_cover]]*100</f>
        <v>6.3727465771943796</v>
      </c>
    </row>
    <row r="760" spans="1:20" x14ac:dyDescent="0.2">
      <c r="A760">
        <v>1</v>
      </c>
      <c r="B760" t="s">
        <v>778</v>
      </c>
      <c r="C760">
        <v>28.606866666666601</v>
      </c>
      <c r="D760">
        <v>997.32145804707102</v>
      </c>
      <c r="E760">
        <v>8.78080487385858</v>
      </c>
      <c r="F760">
        <v>29.553621485714199</v>
      </c>
      <c r="G760">
        <v>100</v>
      </c>
      <c r="H760">
        <v>567.05908203125</v>
      </c>
      <c r="I760">
        <v>8.7505100459325399E-2</v>
      </c>
      <c r="K760" s="1" t="str">
        <f>TEXT(stand_validation_1cycle[[#This Row],[stand_age]], ".0")</f>
        <v>28.6</v>
      </c>
      <c r="L760" s="1" t="str">
        <f t="shared" si="11"/>
        <v>"28.6"</v>
      </c>
      <c r="M760">
        <v>100</v>
      </c>
      <c r="N760">
        <f>0.029*stand_validation_1cycle[[#This Row],[stand_level_biomass]]</f>
        <v>28.922322283365062</v>
      </c>
      <c r="O760">
        <f>0.213*stand_validation_1cycle[[#This Row],[stand_level_biomass]]</f>
        <v>212.42947056402613</v>
      </c>
      <c r="P760">
        <f>0.571*stand_validation_1cycle[[#This Row],[stand_level_biomass]]</f>
        <v>569.47055254487748</v>
      </c>
      <c r="Q760">
        <f>stand_validation_1cycle[[#This Row],[stock]]</f>
        <v>100</v>
      </c>
      <c r="R760">
        <v>0</v>
      </c>
      <c r="S760">
        <f>stand_validation_1cycle[[#This Row],[aws]]</f>
        <v>567.05908203125</v>
      </c>
      <c r="T760">
        <f>stand_validation_1cycle[[#This Row],[percent_tree_cover]]*100</f>
        <v>8.7505100459325398</v>
      </c>
    </row>
    <row r="761" spans="1:20" x14ac:dyDescent="0.2">
      <c r="A761">
        <v>1</v>
      </c>
      <c r="B761" t="s">
        <v>779</v>
      </c>
      <c r="C761">
        <v>24.748087855297101</v>
      </c>
      <c r="D761">
        <v>541.78820917979294</v>
      </c>
      <c r="E761">
        <v>2.3147215401741401</v>
      </c>
      <c r="F761">
        <v>23.7034785382059</v>
      </c>
      <c r="G761">
        <v>43</v>
      </c>
      <c r="H761">
        <v>567.05908203125</v>
      </c>
      <c r="I761">
        <v>5.1724862125074302E-2</v>
      </c>
      <c r="K761" s="1" t="str">
        <f>TEXT(stand_validation_1cycle[[#This Row],[stand_age]], ".0")</f>
        <v>24.7</v>
      </c>
      <c r="L761" s="1" t="str">
        <f t="shared" si="11"/>
        <v>"24.7"</v>
      </c>
      <c r="M761">
        <v>100</v>
      </c>
      <c r="N761">
        <f>0.029*stand_validation_1cycle[[#This Row],[stand_level_biomass]]</f>
        <v>15.711858066213995</v>
      </c>
      <c r="O761">
        <f>0.213*stand_validation_1cycle[[#This Row],[stand_level_biomass]]</f>
        <v>115.40088855529589</v>
      </c>
      <c r="P761">
        <f>0.571*stand_validation_1cycle[[#This Row],[stand_level_biomass]]</f>
        <v>309.36106744166176</v>
      </c>
      <c r="Q761">
        <f>stand_validation_1cycle[[#This Row],[stock]]</f>
        <v>43</v>
      </c>
      <c r="R761">
        <v>0</v>
      </c>
      <c r="S761">
        <f>stand_validation_1cycle[[#This Row],[aws]]</f>
        <v>567.05908203125</v>
      </c>
      <c r="T761">
        <f>stand_validation_1cycle[[#This Row],[percent_tree_cover]]*100</f>
        <v>5.1724862125074305</v>
      </c>
    </row>
    <row r="762" spans="1:20" x14ac:dyDescent="0.2">
      <c r="A762">
        <v>1</v>
      </c>
      <c r="B762" t="s">
        <v>780</v>
      </c>
      <c r="C762">
        <v>27.744488888888899</v>
      </c>
      <c r="D762">
        <v>900.24306980474898</v>
      </c>
      <c r="E762">
        <v>7.8334379742144904</v>
      </c>
      <c r="F762">
        <v>26.533819465779999</v>
      </c>
      <c r="G762">
        <v>100</v>
      </c>
      <c r="H762">
        <v>568.08978271484295</v>
      </c>
      <c r="I762">
        <v>7.8030960567378196E-2</v>
      </c>
      <c r="K762" s="1" t="str">
        <f>TEXT(stand_validation_1cycle[[#This Row],[stand_age]], ".0")</f>
        <v>27.7</v>
      </c>
      <c r="L762" s="1" t="str">
        <f t="shared" si="11"/>
        <v>"27.7"</v>
      </c>
      <c r="M762">
        <v>100</v>
      </c>
      <c r="N762">
        <f>0.029*stand_validation_1cycle[[#This Row],[stand_level_biomass]]</f>
        <v>26.107049024337723</v>
      </c>
      <c r="O762">
        <f>0.213*stand_validation_1cycle[[#This Row],[stand_level_biomass]]</f>
        <v>191.75177386841153</v>
      </c>
      <c r="P762">
        <f>0.571*stand_validation_1cycle[[#This Row],[stand_level_biomass]]</f>
        <v>514.03879285851167</v>
      </c>
      <c r="Q762">
        <f>stand_validation_1cycle[[#This Row],[stock]]</f>
        <v>100</v>
      </c>
      <c r="R762">
        <v>0</v>
      </c>
      <c r="S762">
        <f>stand_validation_1cycle[[#This Row],[aws]]</f>
        <v>568.08978271484295</v>
      </c>
      <c r="T762">
        <f>stand_validation_1cycle[[#This Row],[percent_tree_cover]]*100</f>
        <v>7.8030960567378198</v>
      </c>
    </row>
    <row r="763" spans="1:20" x14ac:dyDescent="0.2">
      <c r="A763">
        <v>1</v>
      </c>
      <c r="B763" t="s">
        <v>781</v>
      </c>
      <c r="C763">
        <v>25.229099999999999</v>
      </c>
      <c r="D763">
        <v>692.32830600468105</v>
      </c>
      <c r="E763">
        <v>6.3756258856133003</v>
      </c>
      <c r="F763">
        <v>24.743919065644199</v>
      </c>
      <c r="G763">
        <v>100</v>
      </c>
      <c r="H763">
        <v>570.82012939453102</v>
      </c>
      <c r="I763">
        <v>6.3543999712887003E-2</v>
      </c>
      <c r="K763" s="1" t="str">
        <f>TEXT(stand_validation_1cycle[[#This Row],[stand_age]], ".0")</f>
        <v>25.2</v>
      </c>
      <c r="L763" s="1" t="str">
        <f t="shared" si="11"/>
        <v>"25.2"</v>
      </c>
      <c r="M763">
        <v>100</v>
      </c>
      <c r="N763">
        <f>0.029*stand_validation_1cycle[[#This Row],[stand_level_biomass]]</f>
        <v>20.07752087413575</v>
      </c>
      <c r="O763">
        <f>0.213*stand_validation_1cycle[[#This Row],[stand_level_biomass]]</f>
        <v>147.46592917899707</v>
      </c>
      <c r="P763">
        <f>0.571*stand_validation_1cycle[[#This Row],[stand_level_biomass]]</f>
        <v>395.31946272867287</v>
      </c>
      <c r="Q763">
        <f>stand_validation_1cycle[[#This Row],[stock]]</f>
        <v>100</v>
      </c>
      <c r="R763">
        <v>0</v>
      </c>
      <c r="S763">
        <f>stand_validation_1cycle[[#This Row],[aws]]</f>
        <v>570.82012939453102</v>
      </c>
      <c r="T763">
        <f>stand_validation_1cycle[[#This Row],[percent_tree_cover]]*100</f>
        <v>6.3543999712887</v>
      </c>
    </row>
    <row r="764" spans="1:20" x14ac:dyDescent="0.2">
      <c r="A764">
        <v>1</v>
      </c>
      <c r="B764" t="s">
        <v>782</v>
      </c>
      <c r="C764">
        <v>27.0272166105499</v>
      </c>
      <c r="D764">
        <v>860.68454888199301</v>
      </c>
      <c r="E764">
        <v>7.5729473215549499</v>
      </c>
      <c r="F764">
        <v>26.876163837300801</v>
      </c>
      <c r="G764">
        <v>99</v>
      </c>
      <c r="H764">
        <v>568.08978271484295</v>
      </c>
      <c r="I764">
        <v>7.5263291336607294E-2</v>
      </c>
      <c r="K764" s="1" t="str">
        <f>TEXT(stand_validation_1cycle[[#This Row],[stand_age]], ".0")</f>
        <v>27.0</v>
      </c>
      <c r="L764" s="1" t="str">
        <f t="shared" si="11"/>
        <v>"27.0"</v>
      </c>
      <c r="M764">
        <v>100</v>
      </c>
      <c r="N764">
        <f>0.029*stand_validation_1cycle[[#This Row],[stand_level_biomass]]</f>
        <v>24.959851917577797</v>
      </c>
      <c r="O764">
        <f>0.213*stand_validation_1cycle[[#This Row],[stand_level_biomass]]</f>
        <v>183.3258089118645</v>
      </c>
      <c r="P764">
        <f>0.571*stand_validation_1cycle[[#This Row],[stand_level_biomass]]</f>
        <v>491.45087741161797</v>
      </c>
      <c r="Q764">
        <f>stand_validation_1cycle[[#This Row],[stock]]</f>
        <v>99</v>
      </c>
      <c r="R764">
        <v>0</v>
      </c>
      <c r="S764">
        <f>stand_validation_1cycle[[#This Row],[aws]]</f>
        <v>568.08978271484295</v>
      </c>
      <c r="T764">
        <f>stand_validation_1cycle[[#This Row],[percent_tree_cover]]*100</f>
        <v>7.5263291336607292</v>
      </c>
    </row>
    <row r="765" spans="1:20" x14ac:dyDescent="0.2">
      <c r="A765">
        <v>1</v>
      </c>
      <c r="B765" t="s">
        <v>783</v>
      </c>
      <c r="C765">
        <v>27.050088888888801</v>
      </c>
      <c r="D765">
        <v>729.63856916926898</v>
      </c>
      <c r="E765">
        <v>6.8149980385700797</v>
      </c>
      <c r="F765">
        <v>26.305496065630699</v>
      </c>
      <c r="G765">
        <v>100</v>
      </c>
      <c r="H765">
        <v>573.6591796875</v>
      </c>
      <c r="I765">
        <v>6.7922304797459199E-2</v>
      </c>
      <c r="K765" s="1" t="str">
        <f>TEXT(stand_validation_1cycle[[#This Row],[stand_age]], ".0")</f>
        <v>27.1</v>
      </c>
      <c r="L765" s="1" t="str">
        <f t="shared" si="11"/>
        <v>"27.1"</v>
      </c>
      <c r="M765">
        <v>100</v>
      </c>
      <c r="N765">
        <f>0.029*stand_validation_1cycle[[#This Row],[stand_level_biomass]]</f>
        <v>21.159518505908803</v>
      </c>
      <c r="O765">
        <f>0.213*stand_validation_1cycle[[#This Row],[stand_level_biomass]]</f>
        <v>155.4130152330543</v>
      </c>
      <c r="P765">
        <f>0.571*stand_validation_1cycle[[#This Row],[stand_level_biomass]]</f>
        <v>416.62362299565257</v>
      </c>
      <c r="Q765">
        <f>stand_validation_1cycle[[#This Row],[stock]]</f>
        <v>100</v>
      </c>
      <c r="R765">
        <v>0</v>
      </c>
      <c r="S765">
        <f>stand_validation_1cycle[[#This Row],[aws]]</f>
        <v>573.6591796875</v>
      </c>
      <c r="T765">
        <f>stand_validation_1cycle[[#This Row],[percent_tree_cover]]*100</f>
        <v>6.7922304797459194</v>
      </c>
    </row>
    <row r="766" spans="1:20" x14ac:dyDescent="0.2">
      <c r="A766">
        <v>1</v>
      </c>
      <c r="B766" t="s">
        <v>784</v>
      </c>
      <c r="C766">
        <v>26.935454545454501</v>
      </c>
      <c r="D766">
        <v>859.31968134287399</v>
      </c>
      <c r="E766">
        <v>7.5005736661960398</v>
      </c>
      <c r="F766">
        <v>26.732226261529501</v>
      </c>
      <c r="G766">
        <v>99</v>
      </c>
      <c r="H766">
        <v>568.08978271484295</v>
      </c>
      <c r="I766">
        <v>7.4735794309091802E-2</v>
      </c>
      <c r="K766" s="1" t="str">
        <f>TEXT(stand_validation_1cycle[[#This Row],[stand_age]], ".0")</f>
        <v>26.9</v>
      </c>
      <c r="L766" s="1" t="str">
        <f t="shared" si="11"/>
        <v>"26.9"</v>
      </c>
      <c r="M766">
        <v>100</v>
      </c>
      <c r="N766">
        <f>0.029*stand_validation_1cycle[[#This Row],[stand_level_biomass]]</f>
        <v>24.920270758943346</v>
      </c>
      <c r="O766">
        <f>0.213*stand_validation_1cycle[[#This Row],[stand_level_biomass]]</f>
        <v>183.03509212603217</v>
      </c>
      <c r="P766">
        <f>0.571*stand_validation_1cycle[[#This Row],[stand_level_biomass]]</f>
        <v>490.671538046781</v>
      </c>
      <c r="Q766">
        <f>stand_validation_1cycle[[#This Row],[stock]]</f>
        <v>99</v>
      </c>
      <c r="R766">
        <v>0</v>
      </c>
      <c r="S766">
        <f>stand_validation_1cycle[[#This Row],[aws]]</f>
        <v>568.08978271484295</v>
      </c>
      <c r="T766">
        <f>stand_validation_1cycle[[#This Row],[percent_tree_cover]]*100</f>
        <v>7.4735794309091803</v>
      </c>
    </row>
    <row r="767" spans="1:20" x14ac:dyDescent="0.2">
      <c r="A767">
        <v>1</v>
      </c>
      <c r="B767" t="s">
        <v>785</v>
      </c>
      <c r="C767">
        <v>28.341999999999999</v>
      </c>
      <c r="D767">
        <v>938.68344423289</v>
      </c>
      <c r="E767">
        <v>8.2347536591638502</v>
      </c>
      <c r="F767">
        <v>28.021723332238501</v>
      </c>
      <c r="G767">
        <v>100</v>
      </c>
      <c r="H767">
        <v>646.77886962890602</v>
      </c>
      <c r="I767">
        <v>8.2047264274461504E-2</v>
      </c>
      <c r="K767" s="1" t="str">
        <f>TEXT(stand_validation_1cycle[[#This Row],[stand_age]], ".0")</f>
        <v>28.3</v>
      </c>
      <c r="L767" s="1" t="str">
        <f t="shared" si="11"/>
        <v>"28.3"</v>
      </c>
      <c r="M767">
        <v>100</v>
      </c>
      <c r="N767">
        <f>0.029*stand_validation_1cycle[[#This Row],[stand_level_biomass]]</f>
        <v>27.22181988275381</v>
      </c>
      <c r="O767">
        <f>0.213*stand_validation_1cycle[[#This Row],[stand_level_biomass]]</f>
        <v>199.93957362160558</v>
      </c>
      <c r="P767">
        <f>0.571*stand_validation_1cycle[[#This Row],[stand_level_biomass]]</f>
        <v>535.9882466569801</v>
      </c>
      <c r="Q767">
        <f>stand_validation_1cycle[[#This Row],[stock]]</f>
        <v>100</v>
      </c>
      <c r="R767">
        <v>0</v>
      </c>
      <c r="S767">
        <f>stand_validation_1cycle[[#This Row],[aws]]</f>
        <v>646.77886962890602</v>
      </c>
      <c r="T767">
        <f>stand_validation_1cycle[[#This Row],[percent_tree_cover]]*100</f>
        <v>8.2047264274461504</v>
      </c>
    </row>
    <row r="768" spans="1:20" x14ac:dyDescent="0.2">
      <c r="A768">
        <v>1</v>
      </c>
      <c r="B768" t="s">
        <v>786</v>
      </c>
      <c r="C768">
        <v>27.813688888888802</v>
      </c>
      <c r="D768">
        <v>855.32119620182505</v>
      </c>
      <c r="E768">
        <v>7.6136395857987402</v>
      </c>
      <c r="F768">
        <v>26.699812732415001</v>
      </c>
      <c r="G768">
        <v>100</v>
      </c>
      <c r="H768">
        <v>568.08978271484295</v>
      </c>
      <c r="I768">
        <v>7.5854993051549802E-2</v>
      </c>
      <c r="K768" s="1" t="str">
        <f>TEXT(stand_validation_1cycle[[#This Row],[stand_age]], ".0")</f>
        <v>27.8</v>
      </c>
      <c r="L768" s="1" t="str">
        <f t="shared" si="11"/>
        <v>"27.8"</v>
      </c>
      <c r="M768">
        <v>100</v>
      </c>
      <c r="N768">
        <f>0.029*stand_validation_1cycle[[#This Row],[stand_level_biomass]]</f>
        <v>24.804314689852927</v>
      </c>
      <c r="O768">
        <f>0.213*stand_validation_1cycle[[#This Row],[stand_level_biomass]]</f>
        <v>182.18341479098873</v>
      </c>
      <c r="P768">
        <f>0.571*stand_validation_1cycle[[#This Row],[stand_level_biomass]]</f>
        <v>488.38840303124204</v>
      </c>
      <c r="Q768">
        <f>stand_validation_1cycle[[#This Row],[stock]]</f>
        <v>100</v>
      </c>
      <c r="R768">
        <v>0</v>
      </c>
      <c r="S768">
        <f>stand_validation_1cycle[[#This Row],[aws]]</f>
        <v>568.08978271484295</v>
      </c>
      <c r="T768">
        <f>stand_validation_1cycle[[#This Row],[percent_tree_cover]]*100</f>
        <v>7.5854993051549799</v>
      </c>
    </row>
    <row r="769" spans="1:20" x14ac:dyDescent="0.2">
      <c r="A769">
        <v>1</v>
      </c>
      <c r="B769" t="s">
        <v>787</v>
      </c>
      <c r="C769">
        <v>27.515566778900101</v>
      </c>
      <c r="D769">
        <v>960.021765743831</v>
      </c>
      <c r="E769">
        <v>8.1818947919708709</v>
      </c>
      <c r="F769">
        <v>27.396672554112499</v>
      </c>
      <c r="G769">
        <v>99</v>
      </c>
      <c r="H769">
        <v>568.46337890625</v>
      </c>
      <c r="I769">
        <v>8.1503420672793897E-2</v>
      </c>
      <c r="K769" s="1" t="str">
        <f>TEXT(stand_validation_1cycle[[#This Row],[stand_age]], ".0")</f>
        <v>27.5</v>
      </c>
      <c r="L769" s="1" t="str">
        <f t="shared" si="11"/>
        <v>"27.5"</v>
      </c>
      <c r="M769">
        <v>100</v>
      </c>
      <c r="N769">
        <f>0.029*stand_validation_1cycle[[#This Row],[stand_level_biomass]]</f>
        <v>27.8406312065711</v>
      </c>
      <c r="O769">
        <f>0.213*stand_validation_1cycle[[#This Row],[stand_level_biomass]]</f>
        <v>204.484636103436</v>
      </c>
      <c r="P769">
        <f>0.571*stand_validation_1cycle[[#This Row],[stand_level_biomass]]</f>
        <v>548.17242823972742</v>
      </c>
      <c r="Q769">
        <f>stand_validation_1cycle[[#This Row],[stock]]</f>
        <v>99</v>
      </c>
      <c r="R769">
        <v>0</v>
      </c>
      <c r="S769">
        <f>stand_validation_1cycle[[#This Row],[aws]]</f>
        <v>568.46337890625</v>
      </c>
      <c r="T769">
        <f>stand_validation_1cycle[[#This Row],[percent_tree_cover]]*100</f>
        <v>8.1503420672793894</v>
      </c>
    </row>
    <row r="770" spans="1:20" x14ac:dyDescent="0.2">
      <c r="A770">
        <v>1</v>
      </c>
      <c r="B770" t="s">
        <v>788</v>
      </c>
      <c r="C770">
        <v>30.980599999999999</v>
      </c>
      <c r="D770">
        <v>1315.4321387222999</v>
      </c>
      <c r="E770">
        <v>10.7999276780711</v>
      </c>
      <c r="F770">
        <v>30.774837942857101</v>
      </c>
      <c r="G770">
        <v>100</v>
      </c>
      <c r="H770">
        <v>569.13671875</v>
      </c>
      <c r="I770">
        <v>0.10755854464214799</v>
      </c>
      <c r="K770" s="1" t="str">
        <f>TEXT(stand_validation_1cycle[[#This Row],[stand_age]], ".0")</f>
        <v>31.0</v>
      </c>
      <c r="L770" s="1" t="str">
        <f t="shared" si="11"/>
        <v>"31.0"</v>
      </c>
      <c r="M770">
        <v>100</v>
      </c>
      <c r="N770">
        <f>0.029*stand_validation_1cycle[[#This Row],[stand_level_biomass]]</f>
        <v>38.147532022946699</v>
      </c>
      <c r="O770">
        <f>0.213*stand_validation_1cycle[[#This Row],[stand_level_biomass]]</f>
        <v>280.18704554784989</v>
      </c>
      <c r="P770">
        <f>0.571*stand_validation_1cycle[[#This Row],[stand_level_biomass]]</f>
        <v>751.11175121043323</v>
      </c>
      <c r="Q770">
        <f>stand_validation_1cycle[[#This Row],[stock]]</f>
        <v>100</v>
      </c>
      <c r="R770">
        <v>0</v>
      </c>
      <c r="S770">
        <f>stand_validation_1cycle[[#This Row],[aws]]</f>
        <v>569.13671875</v>
      </c>
      <c r="T770">
        <f>stand_validation_1cycle[[#This Row],[percent_tree_cover]]*100</f>
        <v>10.755854464214799</v>
      </c>
    </row>
    <row r="771" spans="1:20" x14ac:dyDescent="0.2">
      <c r="A771">
        <v>1</v>
      </c>
      <c r="B771" t="s">
        <v>789</v>
      </c>
      <c r="C771">
        <v>29.4125333333333</v>
      </c>
      <c r="D771">
        <v>1132.3913620619901</v>
      </c>
      <c r="E771">
        <v>9.5151576544223406</v>
      </c>
      <c r="F771">
        <v>29.050043657142801</v>
      </c>
      <c r="G771">
        <v>100</v>
      </c>
      <c r="H771">
        <v>569.13671875</v>
      </c>
      <c r="I771">
        <v>9.4786144476848605E-2</v>
      </c>
      <c r="K771" s="1" t="str">
        <f>TEXT(stand_validation_1cycle[[#This Row],[stand_age]], ".0")</f>
        <v>29.4</v>
      </c>
      <c r="L771" s="1" t="str">
        <f t="shared" ref="L771:L834" si="12">""""&amp;K771&amp;""""</f>
        <v>"29.4"</v>
      </c>
      <c r="M771">
        <v>100</v>
      </c>
      <c r="N771">
        <f>0.029*stand_validation_1cycle[[#This Row],[stand_level_biomass]]</f>
        <v>32.839349499797713</v>
      </c>
      <c r="O771">
        <f>0.213*stand_validation_1cycle[[#This Row],[stand_level_biomass]]</f>
        <v>241.19936011920387</v>
      </c>
      <c r="P771">
        <f>0.571*stand_validation_1cycle[[#This Row],[stand_level_biomass]]</f>
        <v>646.59546773739623</v>
      </c>
      <c r="Q771">
        <f>stand_validation_1cycle[[#This Row],[stock]]</f>
        <v>100</v>
      </c>
      <c r="R771">
        <v>0</v>
      </c>
      <c r="S771">
        <f>stand_validation_1cycle[[#This Row],[aws]]</f>
        <v>569.13671875</v>
      </c>
      <c r="T771">
        <f>stand_validation_1cycle[[#This Row],[percent_tree_cover]]*100</f>
        <v>9.4786144476848602</v>
      </c>
    </row>
    <row r="772" spans="1:20" x14ac:dyDescent="0.2">
      <c r="A772">
        <v>1</v>
      </c>
      <c r="B772" t="s">
        <v>790</v>
      </c>
      <c r="C772">
        <v>27.799711111111101</v>
      </c>
      <c r="D772">
        <v>891.82731270052204</v>
      </c>
      <c r="E772">
        <v>7.9157052902377201</v>
      </c>
      <c r="F772">
        <v>28.067707428571399</v>
      </c>
      <c r="G772">
        <v>100</v>
      </c>
      <c r="H772">
        <v>568.99224853515602</v>
      </c>
      <c r="I772">
        <v>7.8886778348538994E-2</v>
      </c>
      <c r="K772" s="1" t="str">
        <f>TEXT(stand_validation_1cycle[[#This Row],[stand_age]], ".0")</f>
        <v>27.8</v>
      </c>
      <c r="L772" s="1" t="str">
        <f t="shared" si="12"/>
        <v>"27.8"</v>
      </c>
      <c r="M772">
        <v>100</v>
      </c>
      <c r="N772">
        <f>0.029*stand_validation_1cycle[[#This Row],[stand_level_biomass]]</f>
        <v>25.86299206831514</v>
      </c>
      <c r="O772">
        <f>0.213*stand_validation_1cycle[[#This Row],[stand_level_biomass]]</f>
        <v>189.95921760521119</v>
      </c>
      <c r="P772">
        <f>0.571*stand_validation_1cycle[[#This Row],[stand_level_biomass]]</f>
        <v>509.23339555199806</v>
      </c>
      <c r="Q772">
        <f>stand_validation_1cycle[[#This Row],[stock]]</f>
        <v>100</v>
      </c>
      <c r="R772">
        <v>0</v>
      </c>
      <c r="S772">
        <f>stand_validation_1cycle[[#This Row],[aws]]</f>
        <v>568.99224853515602</v>
      </c>
      <c r="T772">
        <f>stand_validation_1cycle[[#This Row],[percent_tree_cover]]*100</f>
        <v>7.8886778348538993</v>
      </c>
    </row>
    <row r="773" spans="1:20" x14ac:dyDescent="0.2">
      <c r="A773">
        <v>1</v>
      </c>
      <c r="B773" t="s">
        <v>791</v>
      </c>
      <c r="C773">
        <v>26.634499999999999</v>
      </c>
      <c r="D773">
        <v>789.158758417429</v>
      </c>
      <c r="E773">
        <v>7.2508798820887197</v>
      </c>
      <c r="F773">
        <v>26.943016228571398</v>
      </c>
      <c r="G773">
        <v>100</v>
      </c>
      <c r="H773">
        <v>573.282470703125</v>
      </c>
      <c r="I773">
        <v>7.2278074314863106E-2</v>
      </c>
      <c r="K773" s="1" t="str">
        <f>TEXT(stand_validation_1cycle[[#This Row],[stand_age]], ".0")</f>
        <v>26.6</v>
      </c>
      <c r="L773" s="1" t="str">
        <f t="shared" si="12"/>
        <v>"26.6"</v>
      </c>
      <c r="M773">
        <v>100</v>
      </c>
      <c r="N773">
        <f>0.029*stand_validation_1cycle[[#This Row],[stand_level_biomass]]</f>
        <v>22.885603994105441</v>
      </c>
      <c r="O773">
        <f>0.213*stand_validation_1cycle[[#This Row],[stand_level_biomass]]</f>
        <v>168.09081554291237</v>
      </c>
      <c r="P773">
        <f>0.571*stand_validation_1cycle[[#This Row],[stand_level_biomass]]</f>
        <v>450.60965105635194</v>
      </c>
      <c r="Q773">
        <f>stand_validation_1cycle[[#This Row],[stock]]</f>
        <v>100</v>
      </c>
      <c r="R773">
        <v>0</v>
      </c>
      <c r="S773">
        <f>stand_validation_1cycle[[#This Row],[aws]]</f>
        <v>573.282470703125</v>
      </c>
      <c r="T773">
        <f>stand_validation_1cycle[[#This Row],[percent_tree_cover]]*100</f>
        <v>7.2278074314863101</v>
      </c>
    </row>
    <row r="774" spans="1:20" x14ac:dyDescent="0.2">
      <c r="A774">
        <v>1</v>
      </c>
      <c r="B774" t="s">
        <v>792</v>
      </c>
      <c r="C774">
        <v>24.210260770975001</v>
      </c>
      <c r="D774">
        <v>670.73947425159304</v>
      </c>
      <c r="E774">
        <v>6.1121020252467204</v>
      </c>
      <c r="F774">
        <v>24.594790670553898</v>
      </c>
      <c r="G774">
        <v>98</v>
      </c>
      <c r="H774">
        <v>577.63293457031205</v>
      </c>
      <c r="I774">
        <v>6.2042620288823701E-2</v>
      </c>
      <c r="K774" s="1" t="str">
        <f>TEXT(stand_validation_1cycle[[#This Row],[stand_age]], ".0")</f>
        <v>24.2</v>
      </c>
      <c r="L774" s="1" t="str">
        <f t="shared" si="12"/>
        <v>"24.2"</v>
      </c>
      <c r="M774">
        <v>100</v>
      </c>
      <c r="N774">
        <f>0.029*stand_validation_1cycle[[#This Row],[stand_level_biomass]]</f>
        <v>19.451444753296197</v>
      </c>
      <c r="O774">
        <f>0.213*stand_validation_1cycle[[#This Row],[stand_level_biomass]]</f>
        <v>142.86750801558932</v>
      </c>
      <c r="P774">
        <f>0.571*stand_validation_1cycle[[#This Row],[stand_level_biomass]]</f>
        <v>382.99223979765958</v>
      </c>
      <c r="Q774">
        <f>stand_validation_1cycle[[#This Row],[stock]]</f>
        <v>98</v>
      </c>
      <c r="R774">
        <v>0</v>
      </c>
      <c r="S774">
        <f>stand_validation_1cycle[[#This Row],[aws]]</f>
        <v>577.63293457031205</v>
      </c>
      <c r="T774">
        <f>stand_validation_1cycle[[#This Row],[percent_tree_cover]]*100</f>
        <v>6.2042620288823702</v>
      </c>
    </row>
    <row r="775" spans="1:20" x14ac:dyDescent="0.2">
      <c r="A775">
        <v>1</v>
      </c>
      <c r="B775" t="s">
        <v>793</v>
      </c>
      <c r="C775">
        <v>27.203405017921099</v>
      </c>
      <c r="D775">
        <v>894.249635526102</v>
      </c>
      <c r="E775">
        <v>4.9040292738463203</v>
      </c>
      <c r="F775">
        <v>27.199892718893999</v>
      </c>
      <c r="G775">
        <v>62</v>
      </c>
      <c r="H775">
        <v>576.67022705078102</v>
      </c>
      <c r="I775">
        <v>7.8093710329459401E-2</v>
      </c>
      <c r="K775" s="1" t="str">
        <f>TEXT(stand_validation_1cycle[[#This Row],[stand_age]], ".0")</f>
        <v>27.2</v>
      </c>
      <c r="L775" s="1" t="str">
        <f t="shared" si="12"/>
        <v>"27.2"</v>
      </c>
      <c r="M775">
        <v>100</v>
      </c>
      <c r="N775">
        <f>0.029*stand_validation_1cycle[[#This Row],[stand_level_biomass]]</f>
        <v>25.933239430256958</v>
      </c>
      <c r="O775">
        <f>0.213*stand_validation_1cycle[[#This Row],[stand_level_biomass]]</f>
        <v>190.47517236705971</v>
      </c>
      <c r="P775">
        <f>0.571*stand_validation_1cycle[[#This Row],[stand_level_biomass]]</f>
        <v>510.61654188540422</v>
      </c>
      <c r="Q775">
        <f>stand_validation_1cycle[[#This Row],[stock]]</f>
        <v>62</v>
      </c>
      <c r="R775">
        <v>0</v>
      </c>
      <c r="S775">
        <f>stand_validation_1cycle[[#This Row],[aws]]</f>
        <v>576.67022705078102</v>
      </c>
      <c r="T775">
        <f>stand_validation_1cycle[[#This Row],[percent_tree_cover]]*100</f>
        <v>7.8093710329459398</v>
      </c>
    </row>
    <row r="776" spans="1:20" x14ac:dyDescent="0.2">
      <c r="A776">
        <v>1</v>
      </c>
      <c r="B776" t="s">
        <v>794</v>
      </c>
      <c r="C776">
        <v>27.318151927437601</v>
      </c>
      <c r="D776">
        <v>941.864447597702</v>
      </c>
      <c r="E776">
        <v>8.1219783368816092</v>
      </c>
      <c r="F776">
        <v>27.188947172011598</v>
      </c>
      <c r="G776">
        <v>98</v>
      </c>
      <c r="H776">
        <v>571.11932373046795</v>
      </c>
      <c r="I776">
        <v>8.0186845972362697E-2</v>
      </c>
      <c r="K776" s="1" t="str">
        <f>TEXT(stand_validation_1cycle[[#This Row],[stand_age]], ".0")</f>
        <v>27.3</v>
      </c>
      <c r="L776" s="1" t="str">
        <f t="shared" si="12"/>
        <v>"27.3"</v>
      </c>
      <c r="M776">
        <v>100</v>
      </c>
      <c r="N776">
        <f>0.029*stand_validation_1cycle[[#This Row],[stand_level_biomass]]</f>
        <v>27.31406898033336</v>
      </c>
      <c r="O776">
        <f>0.213*stand_validation_1cycle[[#This Row],[stand_level_biomass]]</f>
        <v>200.61712733831052</v>
      </c>
      <c r="P776">
        <f>0.571*stand_validation_1cycle[[#This Row],[stand_level_biomass]]</f>
        <v>537.80459957828782</v>
      </c>
      <c r="Q776">
        <f>stand_validation_1cycle[[#This Row],[stock]]</f>
        <v>98</v>
      </c>
      <c r="R776">
        <v>0</v>
      </c>
      <c r="S776">
        <f>stand_validation_1cycle[[#This Row],[aws]]</f>
        <v>571.11932373046795</v>
      </c>
      <c r="T776">
        <f>stand_validation_1cycle[[#This Row],[percent_tree_cover]]*100</f>
        <v>8.0186845972362697</v>
      </c>
    </row>
    <row r="777" spans="1:20" x14ac:dyDescent="0.2">
      <c r="A777">
        <v>1</v>
      </c>
      <c r="B777" t="s">
        <v>795</v>
      </c>
      <c r="C777">
        <v>27.1209777777777</v>
      </c>
      <c r="D777">
        <v>845.468549684501</v>
      </c>
      <c r="E777">
        <v>7.4547040572591401</v>
      </c>
      <c r="F777">
        <v>26.107217142857099</v>
      </c>
      <c r="G777">
        <v>100</v>
      </c>
      <c r="H777">
        <v>567.18762207031205</v>
      </c>
      <c r="I777">
        <v>7.4275599813015902E-2</v>
      </c>
      <c r="K777" s="1" t="str">
        <f>TEXT(stand_validation_1cycle[[#This Row],[stand_age]], ".0")</f>
        <v>27.1</v>
      </c>
      <c r="L777" s="1" t="str">
        <f t="shared" si="12"/>
        <v>"27.1"</v>
      </c>
      <c r="M777">
        <v>100</v>
      </c>
      <c r="N777">
        <f>0.029*stand_validation_1cycle[[#This Row],[stand_level_biomass]]</f>
        <v>24.51858794085053</v>
      </c>
      <c r="O777">
        <f>0.213*stand_validation_1cycle[[#This Row],[stand_level_biomass]]</f>
        <v>180.08480108279872</v>
      </c>
      <c r="P777">
        <f>0.571*stand_validation_1cycle[[#This Row],[stand_level_biomass]]</f>
        <v>482.76254186985005</v>
      </c>
      <c r="Q777">
        <f>stand_validation_1cycle[[#This Row],[stock]]</f>
        <v>100</v>
      </c>
      <c r="R777">
        <v>0</v>
      </c>
      <c r="S777">
        <f>stand_validation_1cycle[[#This Row],[aws]]</f>
        <v>567.18762207031205</v>
      </c>
      <c r="T777">
        <f>stand_validation_1cycle[[#This Row],[percent_tree_cover]]*100</f>
        <v>7.4275599813015898</v>
      </c>
    </row>
    <row r="778" spans="1:20" x14ac:dyDescent="0.2">
      <c r="A778">
        <v>1</v>
      </c>
      <c r="B778" t="s">
        <v>796</v>
      </c>
      <c r="C778">
        <v>28.244253647586898</v>
      </c>
      <c r="D778">
        <v>819.49850098572006</v>
      </c>
      <c r="E778">
        <v>7.4549773758199898</v>
      </c>
      <c r="F778">
        <v>27.087901183261099</v>
      </c>
      <c r="G778">
        <v>99</v>
      </c>
      <c r="H778">
        <v>562</v>
      </c>
      <c r="I778">
        <v>7.3413425144487801E-2</v>
      </c>
      <c r="K778" s="1" t="str">
        <f>TEXT(stand_validation_1cycle[[#This Row],[stand_age]], ".0")</f>
        <v>28.2</v>
      </c>
      <c r="L778" s="1" t="str">
        <f t="shared" si="12"/>
        <v>"28.2"</v>
      </c>
      <c r="M778">
        <v>100</v>
      </c>
      <c r="N778">
        <f>0.029*stand_validation_1cycle[[#This Row],[stand_level_biomass]]</f>
        <v>23.765456528585883</v>
      </c>
      <c r="O778">
        <f>0.213*stand_validation_1cycle[[#This Row],[stand_level_biomass]]</f>
        <v>174.55318070995835</v>
      </c>
      <c r="P778">
        <f>0.571*stand_validation_1cycle[[#This Row],[stand_level_biomass]]</f>
        <v>467.9336440628461</v>
      </c>
      <c r="Q778">
        <f>stand_validation_1cycle[[#This Row],[stock]]</f>
        <v>99</v>
      </c>
      <c r="R778">
        <v>0</v>
      </c>
      <c r="S778">
        <f>stand_validation_1cycle[[#This Row],[aws]]</f>
        <v>562</v>
      </c>
      <c r="T778">
        <f>stand_validation_1cycle[[#This Row],[percent_tree_cover]]*100</f>
        <v>7.3413425144487805</v>
      </c>
    </row>
    <row r="779" spans="1:20" x14ac:dyDescent="0.2">
      <c r="A779">
        <v>1</v>
      </c>
      <c r="B779" t="s">
        <v>797</v>
      </c>
      <c r="C779">
        <v>24.590407407407401</v>
      </c>
      <c r="D779">
        <v>774.00288343797899</v>
      </c>
      <c r="E779">
        <v>4.1435596481551</v>
      </c>
      <c r="F779">
        <v>24.301407238095202</v>
      </c>
      <c r="G779">
        <v>60</v>
      </c>
      <c r="H779">
        <v>568.53601074218705</v>
      </c>
      <c r="I779">
        <v>6.3975266846831899E-2</v>
      </c>
      <c r="K779" s="1" t="str">
        <f>TEXT(stand_validation_1cycle[[#This Row],[stand_age]], ".0")</f>
        <v>24.6</v>
      </c>
      <c r="L779" s="1" t="str">
        <f t="shared" si="12"/>
        <v>"24.6"</v>
      </c>
      <c r="M779">
        <v>100</v>
      </c>
      <c r="N779">
        <f>0.029*stand_validation_1cycle[[#This Row],[stand_level_biomass]]</f>
        <v>22.44608361970139</v>
      </c>
      <c r="O779">
        <f>0.213*stand_validation_1cycle[[#This Row],[stand_level_biomass]]</f>
        <v>164.86261417228951</v>
      </c>
      <c r="P779">
        <f>0.571*stand_validation_1cycle[[#This Row],[stand_level_biomass]]</f>
        <v>441.95564644308598</v>
      </c>
      <c r="Q779">
        <f>stand_validation_1cycle[[#This Row],[stock]]</f>
        <v>60</v>
      </c>
      <c r="R779">
        <v>0</v>
      </c>
      <c r="S779">
        <f>stand_validation_1cycle[[#This Row],[aws]]</f>
        <v>568.53601074218705</v>
      </c>
      <c r="T779">
        <f>stand_validation_1cycle[[#This Row],[percent_tree_cover]]*100</f>
        <v>6.3975266846831902</v>
      </c>
    </row>
    <row r="780" spans="1:20" x14ac:dyDescent="0.2">
      <c r="A780">
        <v>1</v>
      </c>
      <c r="B780" t="s">
        <v>798</v>
      </c>
      <c r="C780">
        <v>25.535833333333301</v>
      </c>
      <c r="D780">
        <v>703.23248851569099</v>
      </c>
      <c r="E780">
        <v>4.9261154555992199</v>
      </c>
      <c r="F780">
        <v>24.930054135338299</v>
      </c>
      <c r="G780">
        <v>76</v>
      </c>
      <c r="H780">
        <v>576.36859130859295</v>
      </c>
      <c r="I780">
        <v>6.4793195128700895E-2</v>
      </c>
      <c r="K780" s="1" t="str">
        <f>TEXT(stand_validation_1cycle[[#This Row],[stand_age]], ".0")</f>
        <v>25.5</v>
      </c>
      <c r="L780" s="1" t="str">
        <f t="shared" si="12"/>
        <v>"25.5"</v>
      </c>
      <c r="M780">
        <v>100</v>
      </c>
      <c r="N780">
        <f>0.029*stand_validation_1cycle[[#This Row],[stand_level_biomass]]</f>
        <v>20.39374216695504</v>
      </c>
      <c r="O780">
        <f>0.213*stand_validation_1cycle[[#This Row],[stand_level_biomass]]</f>
        <v>149.78852005384218</v>
      </c>
      <c r="P780">
        <f>0.571*stand_validation_1cycle[[#This Row],[stand_level_biomass]]</f>
        <v>401.54575094245951</v>
      </c>
      <c r="Q780">
        <f>stand_validation_1cycle[[#This Row],[stock]]</f>
        <v>76</v>
      </c>
      <c r="R780">
        <v>0</v>
      </c>
      <c r="S780">
        <f>stand_validation_1cycle[[#This Row],[aws]]</f>
        <v>576.36859130859295</v>
      </c>
      <c r="T780">
        <f>stand_validation_1cycle[[#This Row],[percent_tree_cover]]*100</f>
        <v>6.4793195128700898</v>
      </c>
    </row>
    <row r="781" spans="1:20" x14ac:dyDescent="0.2">
      <c r="A781">
        <v>1</v>
      </c>
      <c r="B781" t="s">
        <v>799</v>
      </c>
      <c r="C781">
        <v>26.055714285714199</v>
      </c>
      <c r="D781">
        <v>825.41999912282995</v>
      </c>
      <c r="E781">
        <v>4.7754768732577499</v>
      </c>
      <c r="F781">
        <v>26.856166893424</v>
      </c>
      <c r="G781">
        <v>63</v>
      </c>
      <c r="H781">
        <v>572.872802734375</v>
      </c>
      <c r="I781">
        <v>7.4230610128545704E-2</v>
      </c>
      <c r="K781" s="1" t="str">
        <f>TEXT(stand_validation_1cycle[[#This Row],[stand_age]], ".0")</f>
        <v>26.1</v>
      </c>
      <c r="L781" s="1" t="str">
        <f t="shared" si="12"/>
        <v>"26.1"</v>
      </c>
      <c r="M781">
        <v>100</v>
      </c>
      <c r="N781">
        <f>0.029*stand_validation_1cycle[[#This Row],[stand_level_biomass]]</f>
        <v>23.937179974562071</v>
      </c>
      <c r="O781">
        <f>0.213*stand_validation_1cycle[[#This Row],[stand_level_biomass]]</f>
        <v>175.81445981316278</v>
      </c>
      <c r="P781">
        <f>0.571*stand_validation_1cycle[[#This Row],[stand_level_biomass]]</f>
        <v>471.31481949913587</v>
      </c>
      <c r="Q781">
        <f>stand_validation_1cycle[[#This Row],[stock]]</f>
        <v>63</v>
      </c>
      <c r="R781">
        <v>0</v>
      </c>
      <c r="S781">
        <f>stand_validation_1cycle[[#This Row],[aws]]</f>
        <v>572.872802734375</v>
      </c>
      <c r="T781">
        <f>stand_validation_1cycle[[#This Row],[percent_tree_cover]]*100</f>
        <v>7.4230610128545704</v>
      </c>
    </row>
    <row r="782" spans="1:20" x14ac:dyDescent="0.2">
      <c r="A782">
        <v>1</v>
      </c>
      <c r="B782" t="s">
        <v>800</v>
      </c>
      <c r="C782">
        <v>26.1731444444444</v>
      </c>
      <c r="D782">
        <v>802.84741212613301</v>
      </c>
      <c r="E782">
        <v>7.1354208542821498</v>
      </c>
      <c r="F782">
        <v>25.608836342857099</v>
      </c>
      <c r="G782">
        <v>100</v>
      </c>
      <c r="H782">
        <v>571.20166015625</v>
      </c>
      <c r="I782">
        <v>7.1536170735017099E-2</v>
      </c>
      <c r="K782" s="1" t="str">
        <f>TEXT(stand_validation_1cycle[[#This Row],[stand_age]], ".0")</f>
        <v>26.2</v>
      </c>
      <c r="L782" s="1" t="str">
        <f t="shared" si="12"/>
        <v>"26.2"</v>
      </c>
      <c r="M782">
        <v>100</v>
      </c>
      <c r="N782">
        <f>0.029*stand_validation_1cycle[[#This Row],[stand_level_biomass]]</f>
        <v>23.282574951657857</v>
      </c>
      <c r="O782">
        <f>0.213*stand_validation_1cycle[[#This Row],[stand_level_biomass]]</f>
        <v>171.00649878286632</v>
      </c>
      <c r="P782">
        <f>0.571*stand_validation_1cycle[[#This Row],[stand_level_biomass]]</f>
        <v>458.4258723240219</v>
      </c>
      <c r="Q782">
        <f>stand_validation_1cycle[[#This Row],[stock]]</f>
        <v>100</v>
      </c>
      <c r="R782">
        <v>0</v>
      </c>
      <c r="S782">
        <f>stand_validation_1cycle[[#This Row],[aws]]</f>
        <v>571.20166015625</v>
      </c>
      <c r="T782">
        <f>stand_validation_1cycle[[#This Row],[percent_tree_cover]]*100</f>
        <v>7.1536170735017102</v>
      </c>
    </row>
    <row r="783" spans="1:20" x14ac:dyDescent="0.2">
      <c r="A783">
        <v>1</v>
      </c>
      <c r="B783" t="s">
        <v>801</v>
      </c>
      <c r="C783">
        <v>27.358755555555501</v>
      </c>
      <c r="D783">
        <v>898.24645129870999</v>
      </c>
      <c r="E783">
        <v>8.0368718064977003</v>
      </c>
      <c r="F783">
        <v>28.115730514285701</v>
      </c>
      <c r="G783">
        <v>100</v>
      </c>
      <c r="H783">
        <v>569.06732177734295</v>
      </c>
      <c r="I783">
        <v>8.0092311158656004E-2</v>
      </c>
      <c r="K783" s="1" t="str">
        <f>TEXT(stand_validation_1cycle[[#This Row],[stand_age]], ".0")</f>
        <v>27.4</v>
      </c>
      <c r="L783" s="1" t="str">
        <f t="shared" si="12"/>
        <v>"27.4"</v>
      </c>
      <c r="M783">
        <v>100</v>
      </c>
      <c r="N783">
        <f>0.029*stand_validation_1cycle[[#This Row],[stand_level_biomass]]</f>
        <v>26.04914708766259</v>
      </c>
      <c r="O783">
        <f>0.213*stand_validation_1cycle[[#This Row],[stand_level_biomass]]</f>
        <v>191.32649412662522</v>
      </c>
      <c r="P783">
        <f>0.571*stand_validation_1cycle[[#This Row],[stand_level_biomass]]</f>
        <v>512.8987236915633</v>
      </c>
      <c r="Q783">
        <f>stand_validation_1cycle[[#This Row],[stock]]</f>
        <v>100</v>
      </c>
      <c r="R783">
        <v>0</v>
      </c>
      <c r="S783">
        <f>stand_validation_1cycle[[#This Row],[aws]]</f>
        <v>569.06732177734295</v>
      </c>
      <c r="T783">
        <f>stand_validation_1cycle[[#This Row],[percent_tree_cover]]*100</f>
        <v>8.0092311158655995</v>
      </c>
    </row>
    <row r="784" spans="1:20" x14ac:dyDescent="0.2">
      <c r="A784">
        <v>1</v>
      </c>
      <c r="B784" t="s">
        <v>802</v>
      </c>
      <c r="C784">
        <v>26.267777777777699</v>
      </c>
      <c r="D784">
        <v>876.10924938016694</v>
      </c>
      <c r="E784">
        <v>7.6131824840676403</v>
      </c>
      <c r="F784">
        <v>26.074573714285702</v>
      </c>
      <c r="G784">
        <v>100</v>
      </c>
      <c r="H784">
        <v>574.84130859375</v>
      </c>
      <c r="I784">
        <v>7.5856282741709399E-2</v>
      </c>
      <c r="K784" s="1" t="str">
        <f>TEXT(stand_validation_1cycle[[#This Row],[stand_age]], ".0")</f>
        <v>26.3</v>
      </c>
      <c r="L784" s="1" t="str">
        <f t="shared" si="12"/>
        <v>"26.3"</v>
      </c>
      <c r="M784">
        <v>100</v>
      </c>
      <c r="N784">
        <f>0.029*stand_validation_1cycle[[#This Row],[stand_level_biomass]]</f>
        <v>25.407168232024844</v>
      </c>
      <c r="O784">
        <f>0.213*stand_validation_1cycle[[#This Row],[stand_level_biomass]]</f>
        <v>186.61127011797555</v>
      </c>
      <c r="P784">
        <f>0.571*stand_validation_1cycle[[#This Row],[stand_level_biomass]]</f>
        <v>500.25838139607527</v>
      </c>
      <c r="Q784">
        <f>stand_validation_1cycle[[#This Row],[stock]]</f>
        <v>100</v>
      </c>
      <c r="R784">
        <v>0</v>
      </c>
      <c r="S784">
        <f>stand_validation_1cycle[[#This Row],[aws]]</f>
        <v>574.84130859375</v>
      </c>
      <c r="T784">
        <f>stand_validation_1cycle[[#This Row],[percent_tree_cover]]*100</f>
        <v>7.58562827417094</v>
      </c>
    </row>
    <row r="785" spans="1:20" x14ac:dyDescent="0.2">
      <c r="A785">
        <v>1</v>
      </c>
      <c r="B785" t="s">
        <v>803</v>
      </c>
      <c r="C785">
        <v>28.1666099773242</v>
      </c>
      <c r="D785">
        <v>886.12646291803605</v>
      </c>
      <c r="E785">
        <v>7.7959438512920602</v>
      </c>
      <c r="F785">
        <v>28.0277226822157</v>
      </c>
      <c r="G785">
        <v>98</v>
      </c>
      <c r="H785">
        <v>569.28411865234295</v>
      </c>
      <c r="I785">
        <v>7.7791485148041795E-2</v>
      </c>
      <c r="K785" s="1" t="str">
        <f>TEXT(stand_validation_1cycle[[#This Row],[stand_age]], ".0")</f>
        <v>28.2</v>
      </c>
      <c r="L785" s="1" t="str">
        <f t="shared" si="12"/>
        <v>"28.2"</v>
      </c>
      <c r="M785">
        <v>100</v>
      </c>
      <c r="N785">
        <f>0.029*stand_validation_1cycle[[#This Row],[stand_level_biomass]]</f>
        <v>25.697667424623045</v>
      </c>
      <c r="O785">
        <f>0.213*stand_validation_1cycle[[#This Row],[stand_level_biomass]]</f>
        <v>188.74493660154167</v>
      </c>
      <c r="P785">
        <f>0.571*stand_validation_1cycle[[#This Row],[stand_level_biomass]]</f>
        <v>505.97821032619856</v>
      </c>
      <c r="Q785">
        <f>stand_validation_1cycle[[#This Row],[stock]]</f>
        <v>98</v>
      </c>
      <c r="R785">
        <v>0</v>
      </c>
      <c r="S785">
        <f>stand_validation_1cycle[[#This Row],[aws]]</f>
        <v>569.28411865234295</v>
      </c>
      <c r="T785">
        <f>stand_validation_1cycle[[#This Row],[percent_tree_cover]]*100</f>
        <v>7.779148514804179</v>
      </c>
    </row>
    <row r="786" spans="1:20" x14ac:dyDescent="0.2">
      <c r="A786">
        <v>1</v>
      </c>
      <c r="B786" t="s">
        <v>804</v>
      </c>
      <c r="C786">
        <v>24.380972222222201</v>
      </c>
      <c r="D786">
        <v>588.47642096562504</v>
      </c>
      <c r="E786">
        <v>3.6311140500758201</v>
      </c>
      <c r="F786">
        <v>23.719193214285699</v>
      </c>
      <c r="G786">
        <v>64</v>
      </c>
      <c r="H786">
        <v>572.31042480468705</v>
      </c>
      <c r="I786">
        <v>5.6291188687331697E-2</v>
      </c>
      <c r="K786" s="1" t="str">
        <f>TEXT(stand_validation_1cycle[[#This Row],[stand_age]], ".0")</f>
        <v>24.4</v>
      </c>
      <c r="L786" s="1" t="str">
        <f t="shared" si="12"/>
        <v>"24.4"</v>
      </c>
      <c r="M786">
        <v>100</v>
      </c>
      <c r="N786">
        <f>0.029*stand_validation_1cycle[[#This Row],[stand_level_biomass]]</f>
        <v>17.065816208003127</v>
      </c>
      <c r="O786">
        <f>0.213*stand_validation_1cycle[[#This Row],[stand_level_biomass]]</f>
        <v>125.34547766567813</v>
      </c>
      <c r="P786">
        <f>0.571*stand_validation_1cycle[[#This Row],[stand_level_biomass]]</f>
        <v>336.02003637137187</v>
      </c>
      <c r="Q786">
        <f>stand_validation_1cycle[[#This Row],[stock]]</f>
        <v>64</v>
      </c>
      <c r="R786">
        <v>0</v>
      </c>
      <c r="S786">
        <f>stand_validation_1cycle[[#This Row],[aws]]</f>
        <v>572.31042480468705</v>
      </c>
      <c r="T786">
        <f>stand_validation_1cycle[[#This Row],[percent_tree_cover]]*100</f>
        <v>5.6291188687331699</v>
      </c>
    </row>
    <row r="787" spans="1:20" x14ac:dyDescent="0.2">
      <c r="A787">
        <v>1</v>
      </c>
      <c r="B787" t="s">
        <v>805</v>
      </c>
      <c r="C787">
        <v>25.994396825396802</v>
      </c>
      <c r="D787">
        <v>890.86258104879403</v>
      </c>
      <c r="E787">
        <v>5.4254024928489404</v>
      </c>
      <c r="F787">
        <v>26.1081756734694</v>
      </c>
      <c r="G787">
        <v>70</v>
      </c>
      <c r="H787">
        <v>566.72247314453102</v>
      </c>
      <c r="I787">
        <v>7.7747736663457107E-2</v>
      </c>
      <c r="K787" s="1" t="str">
        <f>TEXT(stand_validation_1cycle[[#This Row],[stand_age]], ".0")</f>
        <v>26.0</v>
      </c>
      <c r="L787" s="1" t="str">
        <f t="shared" si="12"/>
        <v>"26.0"</v>
      </c>
      <c r="M787">
        <v>100</v>
      </c>
      <c r="N787">
        <f>0.029*stand_validation_1cycle[[#This Row],[stand_level_biomass]]</f>
        <v>25.835014850415028</v>
      </c>
      <c r="O787">
        <f>0.213*stand_validation_1cycle[[#This Row],[stand_level_biomass]]</f>
        <v>189.75372976339312</v>
      </c>
      <c r="P787">
        <f>0.571*stand_validation_1cycle[[#This Row],[stand_level_biomass]]</f>
        <v>508.68253377886134</v>
      </c>
      <c r="Q787">
        <f>stand_validation_1cycle[[#This Row],[stock]]</f>
        <v>70</v>
      </c>
      <c r="R787">
        <v>0</v>
      </c>
      <c r="S787">
        <f>stand_validation_1cycle[[#This Row],[aws]]</f>
        <v>566.72247314453102</v>
      </c>
      <c r="T787">
        <f>stand_validation_1cycle[[#This Row],[percent_tree_cover]]*100</f>
        <v>7.7747736663457108</v>
      </c>
    </row>
    <row r="788" spans="1:20" x14ac:dyDescent="0.2">
      <c r="A788">
        <v>1</v>
      </c>
      <c r="B788" t="s">
        <v>806</v>
      </c>
      <c r="C788">
        <v>26.8447474747474</v>
      </c>
      <c r="D788">
        <v>819.13737894874203</v>
      </c>
      <c r="E788">
        <v>4.7840801247396003</v>
      </c>
      <c r="F788">
        <v>25.557286233766199</v>
      </c>
      <c r="G788">
        <v>66</v>
      </c>
      <c r="H788">
        <v>571.27362060546795</v>
      </c>
      <c r="I788">
        <v>7.0824745847368503E-2</v>
      </c>
      <c r="K788" s="1" t="str">
        <f>TEXT(stand_validation_1cycle[[#This Row],[stand_age]], ".0")</f>
        <v>26.8</v>
      </c>
      <c r="L788" s="1" t="str">
        <f t="shared" si="12"/>
        <v>"26.8"</v>
      </c>
      <c r="M788">
        <v>100</v>
      </c>
      <c r="N788">
        <f>0.029*stand_validation_1cycle[[#This Row],[stand_level_biomass]]</f>
        <v>23.754983989513519</v>
      </c>
      <c r="O788">
        <f>0.213*stand_validation_1cycle[[#This Row],[stand_level_biomass]]</f>
        <v>174.47626171608204</v>
      </c>
      <c r="P788">
        <f>0.571*stand_validation_1cycle[[#This Row],[stand_level_biomass]]</f>
        <v>467.72744337973165</v>
      </c>
      <c r="Q788">
        <f>stand_validation_1cycle[[#This Row],[stock]]</f>
        <v>66</v>
      </c>
      <c r="R788">
        <v>0</v>
      </c>
      <c r="S788">
        <f>stand_validation_1cycle[[#This Row],[aws]]</f>
        <v>571.27362060546795</v>
      </c>
      <c r="T788">
        <f>stand_validation_1cycle[[#This Row],[percent_tree_cover]]*100</f>
        <v>7.0824745847368504</v>
      </c>
    </row>
    <row r="789" spans="1:20" x14ac:dyDescent="0.2">
      <c r="A789">
        <v>1</v>
      </c>
      <c r="B789" t="s">
        <v>807</v>
      </c>
      <c r="C789">
        <v>27.241333333333301</v>
      </c>
      <c r="D789">
        <v>831.00319091766198</v>
      </c>
      <c r="E789">
        <v>7.4935310008648504</v>
      </c>
      <c r="F789">
        <v>27.132002285714201</v>
      </c>
      <c r="G789">
        <v>100</v>
      </c>
      <c r="H789">
        <v>573.48486328125</v>
      </c>
      <c r="I789">
        <v>7.5474790046835993E-2</v>
      </c>
      <c r="K789" s="1" t="str">
        <f>TEXT(stand_validation_1cycle[[#This Row],[stand_age]], ".0")</f>
        <v>27.2</v>
      </c>
      <c r="L789" s="1" t="str">
        <f t="shared" si="12"/>
        <v>"27.2"</v>
      </c>
      <c r="M789">
        <v>100</v>
      </c>
      <c r="N789">
        <f>0.029*stand_validation_1cycle[[#This Row],[stand_level_biomass]]</f>
        <v>24.099092536612197</v>
      </c>
      <c r="O789">
        <f>0.213*stand_validation_1cycle[[#This Row],[stand_level_biomass]]</f>
        <v>177.00367966546199</v>
      </c>
      <c r="P789">
        <f>0.571*stand_validation_1cycle[[#This Row],[stand_level_biomass]]</f>
        <v>474.50282201398494</v>
      </c>
      <c r="Q789">
        <f>stand_validation_1cycle[[#This Row],[stock]]</f>
        <v>100</v>
      </c>
      <c r="R789">
        <v>0</v>
      </c>
      <c r="S789">
        <f>stand_validation_1cycle[[#This Row],[aws]]</f>
        <v>573.48486328125</v>
      </c>
      <c r="T789">
        <f>stand_validation_1cycle[[#This Row],[percent_tree_cover]]*100</f>
        <v>7.5474790046835993</v>
      </c>
    </row>
    <row r="790" spans="1:20" x14ac:dyDescent="0.2">
      <c r="A790">
        <v>1</v>
      </c>
      <c r="B790" t="s">
        <v>808</v>
      </c>
      <c r="C790">
        <v>24.727966457023001</v>
      </c>
      <c r="D790">
        <v>660.62002505131295</v>
      </c>
      <c r="E790">
        <v>3.2299530885646499</v>
      </c>
      <c r="F790">
        <v>23.2821455525606</v>
      </c>
      <c r="G790">
        <v>53</v>
      </c>
      <c r="H790">
        <v>400</v>
      </c>
      <c r="I790">
        <v>5.9865967802251001E-2</v>
      </c>
      <c r="K790" s="1" t="str">
        <f>TEXT(stand_validation_1cycle[[#This Row],[stand_age]], ".0")</f>
        <v>24.7</v>
      </c>
      <c r="L790" s="1" t="str">
        <f t="shared" si="12"/>
        <v>"24.7"</v>
      </c>
      <c r="M790">
        <v>100</v>
      </c>
      <c r="N790">
        <f>0.029*stand_validation_1cycle[[#This Row],[stand_level_biomass]]</f>
        <v>19.157980726488077</v>
      </c>
      <c r="O790">
        <f>0.213*stand_validation_1cycle[[#This Row],[stand_level_biomass]]</f>
        <v>140.71206533592965</v>
      </c>
      <c r="P790">
        <f>0.571*stand_validation_1cycle[[#This Row],[stand_level_biomass]]</f>
        <v>377.21403430429967</v>
      </c>
      <c r="Q790">
        <f>stand_validation_1cycle[[#This Row],[stock]]</f>
        <v>53</v>
      </c>
      <c r="R790">
        <v>0</v>
      </c>
      <c r="S790">
        <f>stand_validation_1cycle[[#This Row],[aws]]</f>
        <v>400</v>
      </c>
      <c r="T790">
        <f>stand_validation_1cycle[[#This Row],[percent_tree_cover]]*100</f>
        <v>5.9865967802251001</v>
      </c>
    </row>
    <row r="791" spans="1:20" x14ac:dyDescent="0.2">
      <c r="A791">
        <v>1</v>
      </c>
      <c r="B791" t="s">
        <v>809</v>
      </c>
      <c r="C791">
        <v>24.780833333333302</v>
      </c>
      <c r="D791">
        <v>542.42613324633805</v>
      </c>
      <c r="E791">
        <v>0.42766579333134103</v>
      </c>
      <c r="F791">
        <v>23.125114285714201</v>
      </c>
      <c r="G791">
        <v>8</v>
      </c>
      <c r="H791">
        <v>567.05908203125</v>
      </c>
      <c r="I791">
        <v>5.6237981516214501E-2</v>
      </c>
      <c r="K791" s="1" t="str">
        <f>TEXT(stand_validation_1cycle[[#This Row],[stand_age]], ".0")</f>
        <v>24.8</v>
      </c>
      <c r="L791" s="1" t="str">
        <f t="shared" si="12"/>
        <v>"24.8"</v>
      </c>
      <c r="M791">
        <v>100</v>
      </c>
      <c r="N791">
        <f>0.029*stand_validation_1cycle[[#This Row],[stand_level_biomass]]</f>
        <v>15.730357864143805</v>
      </c>
      <c r="O791">
        <f>0.213*stand_validation_1cycle[[#This Row],[stand_level_biomass]]</f>
        <v>115.53676638147</v>
      </c>
      <c r="P791">
        <f>0.571*stand_validation_1cycle[[#This Row],[stand_level_biomass]]</f>
        <v>309.72532208365902</v>
      </c>
      <c r="Q791">
        <f>stand_validation_1cycle[[#This Row],[stock]]</f>
        <v>8</v>
      </c>
      <c r="R791">
        <v>0</v>
      </c>
      <c r="S791">
        <f>stand_validation_1cycle[[#This Row],[aws]]</f>
        <v>567.05908203125</v>
      </c>
      <c r="T791">
        <f>stand_validation_1cycle[[#This Row],[percent_tree_cover]]*100</f>
        <v>5.6237981516214504</v>
      </c>
    </row>
    <row r="792" spans="1:20" x14ac:dyDescent="0.2">
      <c r="A792">
        <v>1</v>
      </c>
      <c r="B792" t="s">
        <v>810</v>
      </c>
      <c r="C792">
        <v>30.271666666666601</v>
      </c>
      <c r="D792">
        <v>1515.7460667883199</v>
      </c>
      <c r="E792">
        <v>2.2331225979879599</v>
      </c>
      <c r="F792">
        <v>33.998559628146801</v>
      </c>
      <c r="G792">
        <v>18</v>
      </c>
      <c r="H792">
        <v>568.08978271484295</v>
      </c>
      <c r="I792">
        <v>0.12663803536311799</v>
      </c>
      <c r="K792" s="1" t="str">
        <f>TEXT(stand_validation_1cycle[[#This Row],[stand_age]], ".0")</f>
        <v>30.3</v>
      </c>
      <c r="L792" s="1" t="str">
        <f t="shared" si="12"/>
        <v>"30.3"</v>
      </c>
      <c r="M792">
        <v>100</v>
      </c>
      <c r="N792">
        <f>0.029*stand_validation_1cycle[[#This Row],[stand_level_biomass]]</f>
        <v>43.956635936861282</v>
      </c>
      <c r="O792">
        <f>0.213*stand_validation_1cycle[[#This Row],[stand_level_biomass]]</f>
        <v>322.85391222591215</v>
      </c>
      <c r="P792">
        <f>0.571*stand_validation_1cycle[[#This Row],[stand_level_biomass]]</f>
        <v>865.49100413613064</v>
      </c>
      <c r="Q792">
        <f>stand_validation_1cycle[[#This Row],[stock]]</f>
        <v>18</v>
      </c>
      <c r="R792">
        <v>0</v>
      </c>
      <c r="S792">
        <f>stand_validation_1cycle[[#This Row],[aws]]</f>
        <v>568.08978271484295</v>
      </c>
      <c r="T792">
        <f>stand_validation_1cycle[[#This Row],[percent_tree_cover]]*100</f>
        <v>12.663803536311798</v>
      </c>
    </row>
    <row r="793" spans="1:20" x14ac:dyDescent="0.2">
      <c r="A793">
        <v>1</v>
      </c>
      <c r="B793" t="s">
        <v>811</v>
      </c>
      <c r="C793">
        <v>25.6294725028058</v>
      </c>
      <c r="D793">
        <v>776.06957759352497</v>
      </c>
      <c r="E793">
        <v>6.9400043664509097</v>
      </c>
      <c r="F793">
        <v>25.7499346789191</v>
      </c>
      <c r="G793">
        <v>99</v>
      </c>
      <c r="H793">
        <v>568.08978271484295</v>
      </c>
      <c r="I793">
        <v>6.9727165241375802E-2</v>
      </c>
      <c r="K793" s="1" t="str">
        <f>TEXT(stand_validation_1cycle[[#This Row],[stand_age]], ".0")</f>
        <v>25.6</v>
      </c>
      <c r="L793" s="1" t="str">
        <f t="shared" si="12"/>
        <v>"25.6"</v>
      </c>
      <c r="M793">
        <v>100</v>
      </c>
      <c r="N793">
        <f>0.029*stand_validation_1cycle[[#This Row],[stand_level_biomass]]</f>
        <v>22.506017750212227</v>
      </c>
      <c r="O793">
        <f>0.213*stand_validation_1cycle[[#This Row],[stand_level_biomass]]</f>
        <v>165.30282002742081</v>
      </c>
      <c r="P793">
        <f>0.571*stand_validation_1cycle[[#This Row],[stand_level_biomass]]</f>
        <v>443.13572880590272</v>
      </c>
      <c r="Q793">
        <f>stand_validation_1cycle[[#This Row],[stock]]</f>
        <v>99</v>
      </c>
      <c r="R793">
        <v>0</v>
      </c>
      <c r="S793">
        <f>stand_validation_1cycle[[#This Row],[aws]]</f>
        <v>568.08978271484295</v>
      </c>
      <c r="T793">
        <f>stand_validation_1cycle[[#This Row],[percent_tree_cover]]*100</f>
        <v>6.9727165241375806</v>
      </c>
    </row>
    <row r="794" spans="1:20" x14ac:dyDescent="0.2">
      <c r="A794">
        <v>1</v>
      </c>
      <c r="B794" t="s">
        <v>812</v>
      </c>
      <c r="C794">
        <v>25.991422222222202</v>
      </c>
      <c r="D794">
        <v>811.98750669166895</v>
      </c>
      <c r="E794">
        <v>7.3333451184491203</v>
      </c>
      <c r="F794">
        <v>26.717719132035</v>
      </c>
      <c r="G794">
        <v>100</v>
      </c>
      <c r="H794">
        <v>570.13995361328102</v>
      </c>
      <c r="I794">
        <v>7.3092604831475394E-2</v>
      </c>
      <c r="K794" s="1" t="str">
        <f>TEXT(stand_validation_1cycle[[#This Row],[stand_age]], ".0")</f>
        <v>26.0</v>
      </c>
      <c r="L794" s="1" t="str">
        <f t="shared" si="12"/>
        <v>"26.0"</v>
      </c>
      <c r="M794">
        <v>100</v>
      </c>
      <c r="N794">
        <f>0.029*stand_validation_1cycle[[#This Row],[stand_level_biomass]]</f>
        <v>23.547637694058402</v>
      </c>
      <c r="O794">
        <f>0.213*stand_validation_1cycle[[#This Row],[stand_level_biomass]]</f>
        <v>172.95333892532548</v>
      </c>
      <c r="P794">
        <f>0.571*stand_validation_1cycle[[#This Row],[stand_level_biomass]]</f>
        <v>463.64486632094292</v>
      </c>
      <c r="Q794">
        <f>stand_validation_1cycle[[#This Row],[stock]]</f>
        <v>100</v>
      </c>
      <c r="R794">
        <v>0</v>
      </c>
      <c r="S794">
        <f>stand_validation_1cycle[[#This Row],[aws]]</f>
        <v>570.13995361328102</v>
      </c>
      <c r="T794">
        <f>stand_validation_1cycle[[#This Row],[percent_tree_cover]]*100</f>
        <v>7.3092604831475398</v>
      </c>
    </row>
    <row r="795" spans="1:20" x14ac:dyDescent="0.2">
      <c r="A795">
        <v>1</v>
      </c>
      <c r="B795" t="s">
        <v>813</v>
      </c>
      <c r="C795">
        <v>29.222401795735099</v>
      </c>
      <c r="D795">
        <v>1001.75179363582</v>
      </c>
      <c r="E795">
        <v>8.6348896760717793</v>
      </c>
      <c r="F795">
        <v>28.510224241409801</v>
      </c>
      <c r="G795">
        <v>99</v>
      </c>
      <c r="H795">
        <v>571.589599609375</v>
      </c>
      <c r="I795">
        <v>8.5603266073569106E-2</v>
      </c>
      <c r="K795" s="1" t="str">
        <f>TEXT(stand_validation_1cycle[[#This Row],[stand_age]], ".0")</f>
        <v>29.2</v>
      </c>
      <c r="L795" s="1" t="str">
        <f t="shared" si="12"/>
        <v>"29.2"</v>
      </c>
      <c r="M795">
        <v>100</v>
      </c>
      <c r="N795">
        <f>0.029*stand_validation_1cycle[[#This Row],[stand_level_biomass]]</f>
        <v>29.050802015438784</v>
      </c>
      <c r="O795">
        <f>0.213*stand_validation_1cycle[[#This Row],[stand_level_biomass]]</f>
        <v>213.37313204442967</v>
      </c>
      <c r="P795">
        <f>0.571*stand_validation_1cycle[[#This Row],[stand_level_biomass]]</f>
        <v>572.00027416605315</v>
      </c>
      <c r="Q795">
        <f>stand_validation_1cycle[[#This Row],[stock]]</f>
        <v>99</v>
      </c>
      <c r="R795">
        <v>0</v>
      </c>
      <c r="S795">
        <f>stand_validation_1cycle[[#This Row],[aws]]</f>
        <v>571.589599609375</v>
      </c>
      <c r="T795">
        <f>stand_validation_1cycle[[#This Row],[percent_tree_cover]]*100</f>
        <v>8.5603266073569113</v>
      </c>
    </row>
    <row r="796" spans="1:20" x14ac:dyDescent="0.2">
      <c r="A796">
        <v>1</v>
      </c>
      <c r="B796" t="s">
        <v>814</v>
      </c>
      <c r="C796">
        <v>28.449177777777699</v>
      </c>
      <c r="D796">
        <v>960.01320015977501</v>
      </c>
      <c r="E796">
        <v>8.3890419867706196</v>
      </c>
      <c r="F796">
        <v>28.1261992655764</v>
      </c>
      <c r="G796">
        <v>100</v>
      </c>
      <c r="H796">
        <v>571.92938232421795</v>
      </c>
      <c r="I796">
        <v>8.3579595436246296E-2</v>
      </c>
      <c r="K796" s="1" t="str">
        <f>TEXT(stand_validation_1cycle[[#This Row],[stand_age]], ".0")</f>
        <v>28.4</v>
      </c>
      <c r="L796" s="1" t="str">
        <f t="shared" si="12"/>
        <v>"28.4"</v>
      </c>
      <c r="M796">
        <v>100</v>
      </c>
      <c r="N796">
        <f>0.029*stand_validation_1cycle[[#This Row],[stand_level_biomass]]</f>
        <v>27.840382804633478</v>
      </c>
      <c r="O796">
        <f>0.213*stand_validation_1cycle[[#This Row],[stand_level_biomass]]</f>
        <v>204.48281163403206</v>
      </c>
      <c r="P796">
        <f>0.571*stand_validation_1cycle[[#This Row],[stand_level_biomass]]</f>
        <v>548.1675372912315</v>
      </c>
      <c r="Q796">
        <f>stand_validation_1cycle[[#This Row],[stock]]</f>
        <v>100</v>
      </c>
      <c r="R796">
        <v>0</v>
      </c>
      <c r="S796">
        <f>stand_validation_1cycle[[#This Row],[aws]]</f>
        <v>571.92938232421795</v>
      </c>
      <c r="T796">
        <f>stand_validation_1cycle[[#This Row],[percent_tree_cover]]*100</f>
        <v>8.357959543624629</v>
      </c>
    </row>
    <row r="797" spans="1:20" x14ac:dyDescent="0.2">
      <c r="A797">
        <v>1</v>
      </c>
      <c r="B797" t="s">
        <v>815</v>
      </c>
      <c r="C797">
        <v>28.616077777777701</v>
      </c>
      <c r="D797">
        <v>962.85967251778095</v>
      </c>
      <c r="E797">
        <v>8.4356836421021395</v>
      </c>
      <c r="F797">
        <v>28.328518398914198</v>
      </c>
      <c r="G797">
        <v>100</v>
      </c>
      <c r="H797">
        <v>667.8720703125</v>
      </c>
      <c r="I797">
        <v>8.4041089175263303E-2</v>
      </c>
      <c r="K797" s="1" t="str">
        <f>TEXT(stand_validation_1cycle[[#This Row],[stand_age]], ".0")</f>
        <v>28.6</v>
      </c>
      <c r="L797" s="1" t="str">
        <f t="shared" si="12"/>
        <v>"28.6"</v>
      </c>
      <c r="M797">
        <v>100</v>
      </c>
      <c r="N797">
        <f>0.029*stand_validation_1cycle[[#This Row],[stand_level_biomass]]</f>
        <v>27.92293050301565</v>
      </c>
      <c r="O797">
        <f>0.213*stand_validation_1cycle[[#This Row],[stand_level_biomass]]</f>
        <v>205.08911024628733</v>
      </c>
      <c r="P797">
        <f>0.571*stand_validation_1cycle[[#This Row],[stand_level_biomass]]</f>
        <v>549.79287300765293</v>
      </c>
      <c r="Q797">
        <f>stand_validation_1cycle[[#This Row],[stock]]</f>
        <v>100</v>
      </c>
      <c r="R797">
        <v>0</v>
      </c>
      <c r="S797">
        <f>stand_validation_1cycle[[#This Row],[aws]]</f>
        <v>667.8720703125</v>
      </c>
      <c r="T797">
        <f>stand_validation_1cycle[[#This Row],[percent_tree_cover]]*100</f>
        <v>8.4041089175263295</v>
      </c>
    </row>
    <row r="798" spans="1:20" x14ac:dyDescent="0.2">
      <c r="A798">
        <v>1</v>
      </c>
      <c r="B798" t="s">
        <v>816</v>
      </c>
      <c r="C798">
        <v>28.2768555555555</v>
      </c>
      <c r="D798">
        <v>865.876652559538</v>
      </c>
      <c r="E798">
        <v>7.7500082689094301</v>
      </c>
      <c r="F798">
        <v>27.398728065630699</v>
      </c>
      <c r="G798">
        <v>100</v>
      </c>
      <c r="H798">
        <v>570.44183349609295</v>
      </c>
      <c r="I798">
        <v>7.7219124332817399E-2</v>
      </c>
      <c r="K798" s="1" t="str">
        <f>TEXT(stand_validation_1cycle[[#This Row],[stand_age]], ".0")</f>
        <v>28.3</v>
      </c>
      <c r="L798" s="1" t="str">
        <f t="shared" si="12"/>
        <v>"28.3"</v>
      </c>
      <c r="M798">
        <v>100</v>
      </c>
      <c r="N798">
        <f>0.029*stand_validation_1cycle[[#This Row],[stand_level_biomass]]</f>
        <v>25.110422924226604</v>
      </c>
      <c r="O798">
        <f>0.213*stand_validation_1cycle[[#This Row],[stand_level_biomass]]</f>
        <v>184.43172699518158</v>
      </c>
      <c r="P798">
        <f>0.571*stand_validation_1cycle[[#This Row],[stand_level_biomass]]</f>
        <v>494.41556861149616</v>
      </c>
      <c r="Q798">
        <f>stand_validation_1cycle[[#This Row],[stock]]</f>
        <v>100</v>
      </c>
      <c r="R798">
        <v>0</v>
      </c>
      <c r="S798">
        <f>stand_validation_1cycle[[#This Row],[aws]]</f>
        <v>570.44183349609295</v>
      </c>
      <c r="T798">
        <f>stand_validation_1cycle[[#This Row],[percent_tree_cover]]*100</f>
        <v>7.7219124332817399</v>
      </c>
    </row>
    <row r="799" spans="1:20" x14ac:dyDescent="0.2">
      <c r="A799">
        <v>1</v>
      </c>
      <c r="B799" t="s">
        <v>817</v>
      </c>
      <c r="C799">
        <v>25.791054421768699</v>
      </c>
      <c r="D799">
        <v>636.41871391967504</v>
      </c>
      <c r="E799">
        <v>6.0039440587670896</v>
      </c>
      <c r="F799">
        <v>24.782528638426399</v>
      </c>
      <c r="G799">
        <v>98</v>
      </c>
      <c r="H799">
        <v>568.08978271484295</v>
      </c>
      <c r="I799">
        <v>5.92145040781724E-2</v>
      </c>
      <c r="K799" s="1" t="str">
        <f>TEXT(stand_validation_1cycle[[#This Row],[stand_age]], ".0")</f>
        <v>25.8</v>
      </c>
      <c r="L799" s="1" t="str">
        <f t="shared" si="12"/>
        <v>"25.8"</v>
      </c>
      <c r="M799">
        <v>100</v>
      </c>
      <c r="N799">
        <f>0.029*stand_validation_1cycle[[#This Row],[stand_level_biomass]]</f>
        <v>18.456142703670576</v>
      </c>
      <c r="O799">
        <f>0.213*stand_validation_1cycle[[#This Row],[stand_level_biomass]]</f>
        <v>135.55718606489077</v>
      </c>
      <c r="P799">
        <f>0.571*stand_validation_1cycle[[#This Row],[stand_level_biomass]]</f>
        <v>363.3950856481344</v>
      </c>
      <c r="Q799">
        <f>stand_validation_1cycle[[#This Row],[stock]]</f>
        <v>98</v>
      </c>
      <c r="R799">
        <v>0</v>
      </c>
      <c r="S799">
        <f>stand_validation_1cycle[[#This Row],[aws]]</f>
        <v>568.08978271484295</v>
      </c>
      <c r="T799">
        <f>stand_validation_1cycle[[#This Row],[percent_tree_cover]]*100</f>
        <v>5.9214504078172396</v>
      </c>
    </row>
    <row r="800" spans="1:20" x14ac:dyDescent="0.2">
      <c r="A800">
        <v>1</v>
      </c>
      <c r="B800" t="s">
        <v>818</v>
      </c>
      <c r="C800">
        <v>27.153588888888802</v>
      </c>
      <c r="D800">
        <v>912.67981643579299</v>
      </c>
      <c r="E800">
        <v>8.0117838329642908</v>
      </c>
      <c r="F800">
        <v>27.558937828571398</v>
      </c>
      <c r="G800">
        <v>100</v>
      </c>
      <c r="H800">
        <v>575.65557861328102</v>
      </c>
      <c r="I800">
        <v>7.98431772481802E-2</v>
      </c>
      <c r="K800" s="1" t="str">
        <f>TEXT(stand_validation_1cycle[[#This Row],[stand_age]], ".0")</f>
        <v>27.2</v>
      </c>
      <c r="L800" s="1" t="str">
        <f t="shared" si="12"/>
        <v>"27.2"</v>
      </c>
      <c r="M800">
        <v>100</v>
      </c>
      <c r="N800">
        <f>0.029*stand_validation_1cycle[[#This Row],[stand_level_biomass]]</f>
        <v>26.467714676637996</v>
      </c>
      <c r="O800">
        <f>0.213*stand_validation_1cycle[[#This Row],[stand_level_biomass]]</f>
        <v>194.4008009008239</v>
      </c>
      <c r="P800">
        <f>0.571*stand_validation_1cycle[[#This Row],[stand_level_biomass]]</f>
        <v>521.14017518483774</v>
      </c>
      <c r="Q800">
        <f>stand_validation_1cycle[[#This Row],[stock]]</f>
        <v>100</v>
      </c>
      <c r="R800">
        <v>0</v>
      </c>
      <c r="S800">
        <f>stand_validation_1cycle[[#This Row],[aws]]</f>
        <v>575.65557861328102</v>
      </c>
      <c r="T800">
        <f>stand_validation_1cycle[[#This Row],[percent_tree_cover]]*100</f>
        <v>7.9843177248180197</v>
      </c>
    </row>
    <row r="801" spans="1:20" x14ac:dyDescent="0.2">
      <c r="A801">
        <v>1</v>
      </c>
      <c r="B801" t="s">
        <v>819</v>
      </c>
      <c r="C801">
        <v>26.209122222222199</v>
      </c>
      <c r="D801">
        <v>737.74012211064098</v>
      </c>
      <c r="E801">
        <v>6.8184891334063797</v>
      </c>
      <c r="F801">
        <v>26.105850285714201</v>
      </c>
      <c r="G801">
        <v>100</v>
      </c>
      <c r="H801">
        <v>574.864501953125</v>
      </c>
      <c r="I801">
        <v>6.7958452956486101E-2</v>
      </c>
      <c r="K801" s="1" t="str">
        <f>TEXT(stand_validation_1cycle[[#This Row],[stand_age]], ".0")</f>
        <v>26.2</v>
      </c>
      <c r="L801" s="1" t="str">
        <f t="shared" si="12"/>
        <v>"26.2"</v>
      </c>
      <c r="M801">
        <v>100</v>
      </c>
      <c r="N801">
        <f>0.029*stand_validation_1cycle[[#This Row],[stand_level_biomass]]</f>
        <v>21.394463541208591</v>
      </c>
      <c r="O801">
        <f>0.213*stand_validation_1cycle[[#This Row],[stand_level_biomass]]</f>
        <v>157.13864600956651</v>
      </c>
      <c r="P801">
        <f>0.571*stand_validation_1cycle[[#This Row],[stand_level_biomass]]</f>
        <v>421.24960972517596</v>
      </c>
      <c r="Q801">
        <f>stand_validation_1cycle[[#This Row],[stock]]</f>
        <v>100</v>
      </c>
      <c r="R801">
        <v>0</v>
      </c>
      <c r="S801">
        <f>stand_validation_1cycle[[#This Row],[aws]]</f>
        <v>574.864501953125</v>
      </c>
      <c r="T801">
        <f>stand_validation_1cycle[[#This Row],[percent_tree_cover]]*100</f>
        <v>6.7958452956486104</v>
      </c>
    </row>
    <row r="802" spans="1:20" x14ac:dyDescent="0.2">
      <c r="A802">
        <v>1</v>
      </c>
      <c r="B802" t="s">
        <v>820</v>
      </c>
      <c r="C802">
        <v>28.559793650793601</v>
      </c>
      <c r="D802">
        <v>949.769957012894</v>
      </c>
      <c r="E802">
        <v>5.9057402286103597</v>
      </c>
      <c r="F802">
        <v>28.463073632653</v>
      </c>
      <c r="G802">
        <v>70</v>
      </c>
      <c r="H802">
        <v>567.308349609375</v>
      </c>
      <c r="I802">
        <v>8.1177579940884106E-2</v>
      </c>
      <c r="K802" s="1" t="str">
        <f>TEXT(stand_validation_1cycle[[#This Row],[stand_age]], ".0")</f>
        <v>28.6</v>
      </c>
      <c r="L802" s="1" t="str">
        <f t="shared" si="12"/>
        <v>"28.6"</v>
      </c>
      <c r="M802">
        <v>100</v>
      </c>
      <c r="N802">
        <f>0.029*stand_validation_1cycle[[#This Row],[stand_level_biomass]]</f>
        <v>27.543328753373927</v>
      </c>
      <c r="O802">
        <f>0.213*stand_validation_1cycle[[#This Row],[stand_level_biomass]]</f>
        <v>202.30100084374641</v>
      </c>
      <c r="P802">
        <f>0.571*stand_validation_1cycle[[#This Row],[stand_level_biomass]]</f>
        <v>542.31864545436247</v>
      </c>
      <c r="Q802">
        <f>stand_validation_1cycle[[#This Row],[stock]]</f>
        <v>70</v>
      </c>
      <c r="R802">
        <v>0</v>
      </c>
      <c r="S802">
        <f>stand_validation_1cycle[[#This Row],[aws]]</f>
        <v>567.308349609375</v>
      </c>
      <c r="T802">
        <f>stand_validation_1cycle[[#This Row],[percent_tree_cover]]*100</f>
        <v>8.1177579940884108</v>
      </c>
    </row>
    <row r="803" spans="1:20" x14ac:dyDescent="0.2">
      <c r="A803">
        <v>1</v>
      </c>
      <c r="B803" t="s">
        <v>821</v>
      </c>
      <c r="C803">
        <v>27.820277777777701</v>
      </c>
      <c r="D803">
        <v>1014.83105222473</v>
      </c>
      <c r="E803">
        <v>8.2588198296866704</v>
      </c>
      <c r="F803">
        <v>27.557694047619002</v>
      </c>
      <c r="G803">
        <v>96</v>
      </c>
      <c r="H803">
        <v>568.35235595703102</v>
      </c>
      <c r="I803">
        <v>8.6795564006649298E-2</v>
      </c>
      <c r="K803" s="1" t="str">
        <f>TEXT(stand_validation_1cycle[[#This Row],[stand_age]], ".0")</f>
        <v>27.8</v>
      </c>
      <c r="L803" s="1" t="str">
        <f t="shared" si="12"/>
        <v>"27.8"</v>
      </c>
      <c r="M803">
        <v>100</v>
      </c>
      <c r="N803">
        <f>0.029*stand_validation_1cycle[[#This Row],[stand_level_biomass]]</f>
        <v>29.430100514517171</v>
      </c>
      <c r="O803">
        <f>0.213*stand_validation_1cycle[[#This Row],[stand_level_biomass]]</f>
        <v>216.15901412386748</v>
      </c>
      <c r="P803">
        <f>0.571*stand_validation_1cycle[[#This Row],[stand_level_biomass]]</f>
        <v>579.46853082032078</v>
      </c>
      <c r="Q803">
        <f>stand_validation_1cycle[[#This Row],[stock]]</f>
        <v>96</v>
      </c>
      <c r="R803">
        <v>0</v>
      </c>
      <c r="S803">
        <f>stand_validation_1cycle[[#This Row],[aws]]</f>
        <v>568.35235595703102</v>
      </c>
      <c r="T803">
        <f>stand_validation_1cycle[[#This Row],[percent_tree_cover]]*100</f>
        <v>8.6795564006649304</v>
      </c>
    </row>
    <row r="804" spans="1:20" x14ac:dyDescent="0.2">
      <c r="A804">
        <v>1</v>
      </c>
      <c r="B804" t="s">
        <v>822</v>
      </c>
      <c r="C804">
        <v>26.608333333333299</v>
      </c>
      <c r="D804">
        <v>848.80591291681503</v>
      </c>
      <c r="E804">
        <v>7.4964456134492199</v>
      </c>
      <c r="F804">
        <v>26.788712069970799</v>
      </c>
      <c r="G804">
        <v>98</v>
      </c>
      <c r="H804">
        <v>567.18762207031205</v>
      </c>
      <c r="I804">
        <v>7.4120812994794699E-2</v>
      </c>
      <c r="K804" s="1" t="str">
        <f>TEXT(stand_validation_1cycle[[#This Row],[stand_age]], ".0")</f>
        <v>26.6</v>
      </c>
      <c r="L804" s="1" t="str">
        <f t="shared" si="12"/>
        <v>"26.6"</v>
      </c>
      <c r="M804">
        <v>100</v>
      </c>
      <c r="N804">
        <f>0.029*stand_validation_1cycle[[#This Row],[stand_level_biomass]]</f>
        <v>24.615371474587636</v>
      </c>
      <c r="O804">
        <f>0.213*stand_validation_1cycle[[#This Row],[stand_level_biomass]]</f>
        <v>180.79565945128161</v>
      </c>
      <c r="P804">
        <f>0.571*stand_validation_1cycle[[#This Row],[stand_level_biomass]]</f>
        <v>484.66817627550137</v>
      </c>
      <c r="Q804">
        <f>stand_validation_1cycle[[#This Row],[stock]]</f>
        <v>98</v>
      </c>
      <c r="R804">
        <v>0</v>
      </c>
      <c r="S804">
        <f>stand_validation_1cycle[[#This Row],[aws]]</f>
        <v>567.18762207031205</v>
      </c>
      <c r="T804">
        <f>stand_validation_1cycle[[#This Row],[percent_tree_cover]]*100</f>
        <v>7.4120812994794703</v>
      </c>
    </row>
    <row r="805" spans="1:20" x14ac:dyDescent="0.2">
      <c r="A805">
        <v>1</v>
      </c>
      <c r="B805" t="s">
        <v>823</v>
      </c>
      <c r="C805">
        <v>26.5195111111111</v>
      </c>
      <c r="D805">
        <v>757.65608492516697</v>
      </c>
      <c r="E805">
        <v>6.9354647650664702</v>
      </c>
      <c r="F805">
        <v>26.055112914285701</v>
      </c>
      <c r="G805">
        <v>100</v>
      </c>
      <c r="H805">
        <v>567.18762207031205</v>
      </c>
      <c r="I805">
        <v>6.9122620166846893E-2</v>
      </c>
      <c r="K805" s="1" t="str">
        <f>TEXT(stand_validation_1cycle[[#This Row],[stand_age]], ".0")</f>
        <v>26.5</v>
      </c>
      <c r="L805" s="1" t="str">
        <f t="shared" si="12"/>
        <v>"26.5"</v>
      </c>
      <c r="M805">
        <v>100</v>
      </c>
      <c r="N805">
        <f>0.029*stand_validation_1cycle[[#This Row],[stand_level_biomass]]</f>
        <v>21.972026462829842</v>
      </c>
      <c r="O805">
        <f>0.213*stand_validation_1cycle[[#This Row],[stand_level_biomass]]</f>
        <v>161.38074608906055</v>
      </c>
      <c r="P805">
        <f>0.571*stand_validation_1cycle[[#This Row],[stand_level_biomass]]</f>
        <v>432.62162449227031</v>
      </c>
      <c r="Q805">
        <f>stand_validation_1cycle[[#This Row],[stock]]</f>
        <v>100</v>
      </c>
      <c r="R805">
        <v>0</v>
      </c>
      <c r="S805">
        <f>stand_validation_1cycle[[#This Row],[aws]]</f>
        <v>567.18762207031205</v>
      </c>
      <c r="T805">
        <f>stand_validation_1cycle[[#This Row],[percent_tree_cover]]*100</f>
        <v>6.9122620166846893</v>
      </c>
    </row>
    <row r="806" spans="1:20" x14ac:dyDescent="0.2">
      <c r="A806">
        <v>1</v>
      </c>
      <c r="B806" t="s">
        <v>824</v>
      </c>
      <c r="C806">
        <v>28.012744444444401</v>
      </c>
      <c r="D806">
        <v>902.34412167533799</v>
      </c>
      <c r="E806">
        <v>7.9966602059299099</v>
      </c>
      <c r="F806">
        <v>27.7259254857142</v>
      </c>
      <c r="G806">
        <v>100</v>
      </c>
      <c r="H806">
        <v>559</v>
      </c>
      <c r="I806">
        <v>7.9681584529733396E-2</v>
      </c>
      <c r="K806" s="1" t="str">
        <f>TEXT(stand_validation_1cycle[[#This Row],[stand_age]], ".0")</f>
        <v>28.0</v>
      </c>
      <c r="L806" s="1" t="str">
        <f t="shared" si="12"/>
        <v>"28.0"</v>
      </c>
      <c r="M806">
        <v>100</v>
      </c>
      <c r="N806">
        <f>0.029*stand_validation_1cycle[[#This Row],[stand_level_biomass]]</f>
        <v>26.167979528584802</v>
      </c>
      <c r="O806">
        <f>0.213*stand_validation_1cycle[[#This Row],[stand_level_biomass]]</f>
        <v>192.19929791684697</v>
      </c>
      <c r="P806">
        <f>0.571*stand_validation_1cycle[[#This Row],[stand_level_biomass]]</f>
        <v>515.23849347661792</v>
      </c>
      <c r="Q806">
        <f>stand_validation_1cycle[[#This Row],[stock]]</f>
        <v>100</v>
      </c>
      <c r="R806">
        <v>0</v>
      </c>
      <c r="S806">
        <f>stand_validation_1cycle[[#This Row],[aws]]</f>
        <v>559</v>
      </c>
      <c r="T806">
        <f>stand_validation_1cycle[[#This Row],[percent_tree_cover]]*100</f>
        <v>7.9681584529733396</v>
      </c>
    </row>
    <row r="807" spans="1:20" x14ac:dyDescent="0.2">
      <c r="A807">
        <v>1</v>
      </c>
      <c r="B807" t="s">
        <v>825</v>
      </c>
      <c r="C807">
        <v>26.095207631874199</v>
      </c>
      <c r="D807">
        <v>688.08000117615302</v>
      </c>
      <c r="E807">
        <v>6.3346548050214997</v>
      </c>
      <c r="F807">
        <v>24.912619913419899</v>
      </c>
      <c r="G807">
        <v>99</v>
      </c>
      <c r="H807">
        <v>573.11981201171795</v>
      </c>
      <c r="I807">
        <v>6.4052561204141198E-2</v>
      </c>
      <c r="K807" s="1" t="str">
        <f>TEXT(stand_validation_1cycle[[#This Row],[stand_age]], ".0")</f>
        <v>26.1</v>
      </c>
      <c r="L807" s="1" t="str">
        <f t="shared" si="12"/>
        <v>"26.1"</v>
      </c>
      <c r="M807">
        <v>100</v>
      </c>
      <c r="N807">
        <f>0.029*stand_validation_1cycle[[#This Row],[stand_level_biomass]]</f>
        <v>19.954320034108438</v>
      </c>
      <c r="O807">
        <f>0.213*stand_validation_1cycle[[#This Row],[stand_level_biomass]]</f>
        <v>146.56104025052059</v>
      </c>
      <c r="P807">
        <f>0.571*stand_validation_1cycle[[#This Row],[stand_level_biomass]]</f>
        <v>392.89368067158335</v>
      </c>
      <c r="Q807">
        <f>stand_validation_1cycle[[#This Row],[stock]]</f>
        <v>99</v>
      </c>
      <c r="R807">
        <v>0</v>
      </c>
      <c r="S807">
        <f>stand_validation_1cycle[[#This Row],[aws]]</f>
        <v>573.11981201171795</v>
      </c>
      <c r="T807">
        <f>stand_validation_1cycle[[#This Row],[percent_tree_cover]]*100</f>
        <v>6.4052561204141201</v>
      </c>
    </row>
    <row r="808" spans="1:20" x14ac:dyDescent="0.2">
      <c r="A808">
        <v>1</v>
      </c>
      <c r="B808" t="s">
        <v>826</v>
      </c>
      <c r="C808">
        <v>27.550355555555502</v>
      </c>
      <c r="D808">
        <v>805.88493885920195</v>
      </c>
      <c r="E808">
        <v>7.2681806328320402</v>
      </c>
      <c r="F808">
        <v>26.575429257142801</v>
      </c>
      <c r="G808">
        <v>100</v>
      </c>
      <c r="H808">
        <v>568.32556152343705</v>
      </c>
      <c r="I808">
        <v>7.2422877327979501E-2</v>
      </c>
      <c r="K808" s="1" t="str">
        <f>TEXT(stand_validation_1cycle[[#This Row],[stand_age]], ".0")</f>
        <v>27.6</v>
      </c>
      <c r="L808" s="1" t="str">
        <f t="shared" si="12"/>
        <v>"27.6"</v>
      </c>
      <c r="M808">
        <v>100</v>
      </c>
      <c r="N808">
        <f>0.029*stand_validation_1cycle[[#This Row],[stand_level_biomass]]</f>
        <v>23.370663226916857</v>
      </c>
      <c r="O808">
        <f>0.213*stand_validation_1cycle[[#This Row],[stand_level_biomass]]</f>
        <v>171.65349197701002</v>
      </c>
      <c r="P808">
        <f>0.571*stand_validation_1cycle[[#This Row],[stand_level_biomass]]</f>
        <v>460.16030008860429</v>
      </c>
      <c r="Q808">
        <f>stand_validation_1cycle[[#This Row],[stock]]</f>
        <v>100</v>
      </c>
      <c r="R808">
        <v>0</v>
      </c>
      <c r="S808">
        <f>stand_validation_1cycle[[#This Row],[aws]]</f>
        <v>568.32556152343705</v>
      </c>
      <c r="T808">
        <f>stand_validation_1cycle[[#This Row],[percent_tree_cover]]*100</f>
        <v>7.2422877327979505</v>
      </c>
    </row>
    <row r="809" spans="1:20" x14ac:dyDescent="0.2">
      <c r="A809">
        <v>1</v>
      </c>
      <c r="B809" t="s">
        <v>827</v>
      </c>
      <c r="C809">
        <v>26.808355555555501</v>
      </c>
      <c r="D809">
        <v>871.54159203556105</v>
      </c>
      <c r="E809">
        <v>7.73195667752191</v>
      </c>
      <c r="F809">
        <v>27.214696685714198</v>
      </c>
      <c r="G809">
        <v>100</v>
      </c>
      <c r="H809">
        <v>567.35632324218705</v>
      </c>
      <c r="I809">
        <v>7.7055091549761701E-2</v>
      </c>
      <c r="K809" s="1" t="str">
        <f>TEXT(stand_validation_1cycle[[#This Row],[stand_age]], ".0")</f>
        <v>26.8</v>
      </c>
      <c r="L809" s="1" t="str">
        <f t="shared" si="12"/>
        <v>"26.8"</v>
      </c>
      <c r="M809">
        <v>100</v>
      </c>
      <c r="N809">
        <f>0.029*stand_validation_1cycle[[#This Row],[stand_level_biomass]]</f>
        <v>25.274706169031273</v>
      </c>
      <c r="O809">
        <f>0.213*stand_validation_1cycle[[#This Row],[stand_level_biomass]]</f>
        <v>185.63835910357449</v>
      </c>
      <c r="P809">
        <f>0.571*stand_validation_1cycle[[#This Row],[stand_level_biomass]]</f>
        <v>497.6502490523053</v>
      </c>
      <c r="Q809">
        <f>stand_validation_1cycle[[#This Row],[stock]]</f>
        <v>100</v>
      </c>
      <c r="R809">
        <v>0</v>
      </c>
      <c r="S809">
        <f>stand_validation_1cycle[[#This Row],[aws]]</f>
        <v>567.35632324218705</v>
      </c>
      <c r="T809">
        <f>stand_validation_1cycle[[#This Row],[percent_tree_cover]]*100</f>
        <v>7.7055091549761698</v>
      </c>
    </row>
    <row r="810" spans="1:20" x14ac:dyDescent="0.2">
      <c r="A810">
        <v>1</v>
      </c>
      <c r="B810" t="s">
        <v>828</v>
      </c>
      <c r="C810">
        <v>28.269266666666599</v>
      </c>
      <c r="D810">
        <v>955.74735023987705</v>
      </c>
      <c r="E810">
        <v>8.3446190812507002</v>
      </c>
      <c r="F810">
        <v>28.119870171428499</v>
      </c>
      <c r="G810">
        <v>100</v>
      </c>
      <c r="H810">
        <v>570.3134765625</v>
      </c>
      <c r="I810">
        <v>8.3146609225486903E-2</v>
      </c>
      <c r="K810" s="1" t="str">
        <f>TEXT(stand_validation_1cycle[[#This Row],[stand_age]], ".0")</f>
        <v>28.3</v>
      </c>
      <c r="L810" s="1" t="str">
        <f t="shared" si="12"/>
        <v>"28.3"</v>
      </c>
      <c r="M810">
        <v>100</v>
      </c>
      <c r="N810">
        <f>0.029*stand_validation_1cycle[[#This Row],[stand_level_biomass]]</f>
        <v>27.716673156956436</v>
      </c>
      <c r="O810">
        <f>0.213*stand_validation_1cycle[[#This Row],[stand_level_biomass]]</f>
        <v>203.5741856010938</v>
      </c>
      <c r="P810">
        <f>0.571*stand_validation_1cycle[[#This Row],[stand_level_biomass]]</f>
        <v>545.73173698696974</v>
      </c>
      <c r="Q810">
        <f>stand_validation_1cycle[[#This Row],[stock]]</f>
        <v>100</v>
      </c>
      <c r="R810">
        <v>0</v>
      </c>
      <c r="S810">
        <f>stand_validation_1cycle[[#This Row],[aws]]</f>
        <v>570.3134765625</v>
      </c>
      <c r="T810">
        <f>stand_validation_1cycle[[#This Row],[percent_tree_cover]]*100</f>
        <v>8.3146609225486898</v>
      </c>
    </row>
    <row r="811" spans="1:20" x14ac:dyDescent="0.2">
      <c r="A811">
        <v>1</v>
      </c>
      <c r="B811" t="s">
        <v>829</v>
      </c>
      <c r="C811">
        <v>27.0755666666666</v>
      </c>
      <c r="D811">
        <v>916.09541670852798</v>
      </c>
      <c r="E811">
        <v>8.0391321824119597</v>
      </c>
      <c r="F811">
        <v>27.244301942857099</v>
      </c>
      <c r="G811">
        <v>100</v>
      </c>
      <c r="H811">
        <v>566.72247314453102</v>
      </c>
      <c r="I811">
        <v>8.0096204539747098E-2</v>
      </c>
      <c r="K811" s="1" t="str">
        <f>TEXT(stand_validation_1cycle[[#This Row],[stand_age]], ".0")</f>
        <v>27.1</v>
      </c>
      <c r="L811" s="1" t="str">
        <f t="shared" si="12"/>
        <v>"27.1"</v>
      </c>
      <c r="M811">
        <v>100</v>
      </c>
      <c r="N811">
        <f>0.029*stand_validation_1cycle[[#This Row],[stand_level_biomass]]</f>
        <v>26.566767084547312</v>
      </c>
      <c r="O811">
        <f>0.213*stand_validation_1cycle[[#This Row],[stand_level_biomass]]</f>
        <v>195.12832375891645</v>
      </c>
      <c r="P811">
        <f>0.571*stand_validation_1cycle[[#This Row],[stand_level_biomass]]</f>
        <v>523.09048294056947</v>
      </c>
      <c r="Q811">
        <f>stand_validation_1cycle[[#This Row],[stock]]</f>
        <v>100</v>
      </c>
      <c r="R811">
        <v>0</v>
      </c>
      <c r="S811">
        <f>stand_validation_1cycle[[#This Row],[aws]]</f>
        <v>566.72247314453102</v>
      </c>
      <c r="T811">
        <f>stand_validation_1cycle[[#This Row],[percent_tree_cover]]*100</f>
        <v>8.0096204539747102</v>
      </c>
    </row>
    <row r="812" spans="1:20" x14ac:dyDescent="0.2">
      <c r="A812">
        <v>1</v>
      </c>
      <c r="B812" t="s">
        <v>830</v>
      </c>
      <c r="C812">
        <v>26.6029555555555</v>
      </c>
      <c r="D812">
        <v>881.72894850286002</v>
      </c>
      <c r="E812">
        <v>7.7572629917447298</v>
      </c>
      <c r="F812">
        <v>26.6788041142857</v>
      </c>
      <c r="G812">
        <v>100</v>
      </c>
      <c r="H812">
        <v>567.79425048828102</v>
      </c>
      <c r="I812">
        <v>7.7302175770741305E-2</v>
      </c>
      <c r="K812" s="1" t="str">
        <f>TEXT(stand_validation_1cycle[[#This Row],[stand_age]], ".0")</f>
        <v>26.6</v>
      </c>
      <c r="L812" s="1" t="str">
        <f t="shared" si="12"/>
        <v>"26.6"</v>
      </c>
      <c r="M812">
        <v>100</v>
      </c>
      <c r="N812">
        <f>0.029*stand_validation_1cycle[[#This Row],[stand_level_biomass]]</f>
        <v>25.57013950658294</v>
      </c>
      <c r="O812">
        <f>0.213*stand_validation_1cycle[[#This Row],[stand_level_biomass]]</f>
        <v>187.80826603110918</v>
      </c>
      <c r="P812">
        <f>0.571*stand_validation_1cycle[[#This Row],[stand_level_biomass]]</f>
        <v>503.46722959513301</v>
      </c>
      <c r="Q812">
        <f>stand_validation_1cycle[[#This Row],[stock]]</f>
        <v>100</v>
      </c>
      <c r="R812">
        <v>0</v>
      </c>
      <c r="S812">
        <f>stand_validation_1cycle[[#This Row],[aws]]</f>
        <v>567.79425048828102</v>
      </c>
      <c r="T812">
        <f>stand_validation_1cycle[[#This Row],[percent_tree_cover]]*100</f>
        <v>7.7302175770741304</v>
      </c>
    </row>
    <row r="813" spans="1:20" x14ac:dyDescent="0.2">
      <c r="A813">
        <v>1</v>
      </c>
      <c r="B813" t="s">
        <v>831</v>
      </c>
      <c r="C813">
        <v>29.4078444444444</v>
      </c>
      <c r="D813">
        <v>974.02659978529698</v>
      </c>
      <c r="E813">
        <v>8.5042449747759203</v>
      </c>
      <c r="F813">
        <v>28.6545737142857</v>
      </c>
      <c r="G813">
        <v>100</v>
      </c>
      <c r="H813">
        <v>566.80090332031205</v>
      </c>
      <c r="I813">
        <v>8.4720869651324707E-2</v>
      </c>
      <c r="K813" s="1" t="str">
        <f>TEXT(stand_validation_1cycle[[#This Row],[stand_age]], ".0")</f>
        <v>29.4</v>
      </c>
      <c r="L813" s="1" t="str">
        <f t="shared" si="12"/>
        <v>"29.4"</v>
      </c>
      <c r="M813">
        <v>100</v>
      </c>
      <c r="N813">
        <f>0.029*stand_validation_1cycle[[#This Row],[stand_level_biomass]]</f>
        <v>28.246771393773614</v>
      </c>
      <c r="O813">
        <f>0.213*stand_validation_1cycle[[#This Row],[stand_level_biomass]]</f>
        <v>207.46766575426824</v>
      </c>
      <c r="P813">
        <f>0.571*stand_validation_1cycle[[#This Row],[stand_level_biomass]]</f>
        <v>556.16918847740453</v>
      </c>
      <c r="Q813">
        <f>stand_validation_1cycle[[#This Row],[stock]]</f>
        <v>100</v>
      </c>
      <c r="R813">
        <v>0</v>
      </c>
      <c r="S813">
        <f>stand_validation_1cycle[[#This Row],[aws]]</f>
        <v>566.80090332031205</v>
      </c>
      <c r="T813">
        <f>stand_validation_1cycle[[#This Row],[percent_tree_cover]]*100</f>
        <v>8.4720869651324708</v>
      </c>
    </row>
    <row r="814" spans="1:20" x14ac:dyDescent="0.2">
      <c r="A814">
        <v>1</v>
      </c>
      <c r="B814" t="s">
        <v>832</v>
      </c>
      <c r="C814">
        <v>29.250325476992099</v>
      </c>
      <c r="D814">
        <v>913.85958089375094</v>
      </c>
      <c r="E814">
        <v>7.95281064106927</v>
      </c>
      <c r="F814">
        <v>27.449281385281299</v>
      </c>
      <c r="G814">
        <v>99</v>
      </c>
      <c r="H814">
        <v>566.72247314453102</v>
      </c>
      <c r="I814">
        <v>7.92269350610844E-2</v>
      </c>
      <c r="K814" s="1" t="str">
        <f>TEXT(stand_validation_1cycle[[#This Row],[stand_age]], ".0")</f>
        <v>29.3</v>
      </c>
      <c r="L814" s="1" t="str">
        <f t="shared" si="12"/>
        <v>"29.3"</v>
      </c>
      <c r="M814">
        <v>100</v>
      </c>
      <c r="N814">
        <f>0.029*stand_validation_1cycle[[#This Row],[stand_level_biomass]]</f>
        <v>26.501927845918779</v>
      </c>
      <c r="O814">
        <f>0.213*stand_validation_1cycle[[#This Row],[stand_level_biomass]]</f>
        <v>194.65209073036894</v>
      </c>
      <c r="P814">
        <f>0.571*stand_validation_1cycle[[#This Row],[stand_level_biomass]]</f>
        <v>521.8138206903318</v>
      </c>
      <c r="Q814">
        <f>stand_validation_1cycle[[#This Row],[stock]]</f>
        <v>99</v>
      </c>
      <c r="R814">
        <v>0</v>
      </c>
      <c r="S814">
        <f>stand_validation_1cycle[[#This Row],[aws]]</f>
        <v>566.72247314453102</v>
      </c>
      <c r="T814">
        <f>stand_validation_1cycle[[#This Row],[percent_tree_cover]]*100</f>
        <v>7.9226935061084403</v>
      </c>
    </row>
    <row r="815" spans="1:20" x14ac:dyDescent="0.2">
      <c r="A815">
        <v>1</v>
      </c>
      <c r="B815" t="s">
        <v>833</v>
      </c>
      <c r="C815">
        <v>26.406273148148099</v>
      </c>
      <c r="D815">
        <v>620.93372168331803</v>
      </c>
      <c r="E815">
        <v>5.6796987101937599</v>
      </c>
      <c r="F815">
        <v>24.333914761904701</v>
      </c>
      <c r="G815">
        <v>96</v>
      </c>
      <c r="H815">
        <v>570.95477294921795</v>
      </c>
      <c r="I815">
        <v>5.9330488657376702E-2</v>
      </c>
      <c r="K815" s="1" t="str">
        <f>TEXT(stand_validation_1cycle[[#This Row],[stand_age]], ".0")</f>
        <v>26.4</v>
      </c>
      <c r="L815" s="1" t="str">
        <f t="shared" si="12"/>
        <v>"26.4"</v>
      </c>
      <c r="M815">
        <v>100</v>
      </c>
      <c r="N815">
        <f>0.029*stand_validation_1cycle[[#This Row],[stand_level_biomass]]</f>
        <v>18.007077928816223</v>
      </c>
      <c r="O815">
        <f>0.213*stand_validation_1cycle[[#This Row],[stand_level_biomass]]</f>
        <v>132.25888271854674</v>
      </c>
      <c r="P815">
        <f>0.571*stand_validation_1cycle[[#This Row],[stand_level_biomass]]</f>
        <v>354.55315508117457</v>
      </c>
      <c r="Q815">
        <f>stand_validation_1cycle[[#This Row],[stock]]</f>
        <v>96</v>
      </c>
      <c r="R815">
        <v>0</v>
      </c>
      <c r="S815">
        <f>stand_validation_1cycle[[#This Row],[aws]]</f>
        <v>570.95477294921795</v>
      </c>
      <c r="T815">
        <f>stand_validation_1cycle[[#This Row],[percent_tree_cover]]*100</f>
        <v>5.9330488657376703</v>
      </c>
    </row>
    <row r="816" spans="1:20" x14ac:dyDescent="0.2">
      <c r="A816">
        <v>1</v>
      </c>
      <c r="B816" t="s">
        <v>834</v>
      </c>
      <c r="C816">
        <v>27.387340067339998</v>
      </c>
      <c r="D816">
        <v>613.27545360573095</v>
      </c>
      <c r="E816">
        <v>3.9769594189389101</v>
      </c>
      <c r="F816">
        <v>25.204618874458799</v>
      </c>
      <c r="G816">
        <v>66</v>
      </c>
      <c r="H816">
        <v>571.248291015625</v>
      </c>
      <c r="I816">
        <v>5.8656853032613497E-2</v>
      </c>
      <c r="K816" s="1" t="str">
        <f>TEXT(stand_validation_1cycle[[#This Row],[stand_age]], ".0")</f>
        <v>27.4</v>
      </c>
      <c r="L816" s="1" t="str">
        <f t="shared" si="12"/>
        <v>"27.4"</v>
      </c>
      <c r="M816">
        <v>100</v>
      </c>
      <c r="N816">
        <f>0.029*stand_validation_1cycle[[#This Row],[stand_level_biomass]]</f>
        <v>17.7849881545662</v>
      </c>
      <c r="O816">
        <f>0.213*stand_validation_1cycle[[#This Row],[stand_level_biomass]]</f>
        <v>130.62767161802068</v>
      </c>
      <c r="P816">
        <f>0.571*stand_validation_1cycle[[#This Row],[stand_level_biomass]]</f>
        <v>350.18028400887232</v>
      </c>
      <c r="Q816">
        <f>stand_validation_1cycle[[#This Row],[stock]]</f>
        <v>66</v>
      </c>
      <c r="R816">
        <v>0</v>
      </c>
      <c r="S816">
        <f>stand_validation_1cycle[[#This Row],[aws]]</f>
        <v>571.248291015625</v>
      </c>
      <c r="T816">
        <f>stand_validation_1cycle[[#This Row],[percent_tree_cover]]*100</f>
        <v>5.8656853032613494</v>
      </c>
    </row>
    <row r="817" spans="1:20" x14ac:dyDescent="0.2">
      <c r="A817">
        <v>1</v>
      </c>
      <c r="B817" t="s">
        <v>835</v>
      </c>
      <c r="C817">
        <v>27.983901234567899</v>
      </c>
      <c r="D817">
        <v>927.89216660750697</v>
      </c>
      <c r="E817">
        <v>3.7276096392271598</v>
      </c>
      <c r="F817">
        <v>28.722402539682498</v>
      </c>
      <c r="G817">
        <v>45</v>
      </c>
      <c r="H817">
        <v>571.248291015625</v>
      </c>
      <c r="I817">
        <v>8.5704921223260802E-2</v>
      </c>
      <c r="K817" s="1" t="str">
        <f>TEXT(stand_validation_1cycle[[#This Row],[stand_age]], ".0")</f>
        <v>28.0</v>
      </c>
      <c r="L817" s="1" t="str">
        <f t="shared" si="12"/>
        <v>"28.0"</v>
      </c>
      <c r="M817">
        <v>100</v>
      </c>
      <c r="N817">
        <f>0.029*stand_validation_1cycle[[#This Row],[stand_level_biomass]]</f>
        <v>26.908872831617703</v>
      </c>
      <c r="O817">
        <f>0.213*stand_validation_1cycle[[#This Row],[stand_level_biomass]]</f>
        <v>197.64103148739898</v>
      </c>
      <c r="P817">
        <f>0.571*stand_validation_1cycle[[#This Row],[stand_level_biomass]]</f>
        <v>529.82642713288647</v>
      </c>
      <c r="Q817">
        <f>stand_validation_1cycle[[#This Row],[stock]]</f>
        <v>45</v>
      </c>
      <c r="R817">
        <v>0</v>
      </c>
      <c r="S817">
        <f>stand_validation_1cycle[[#This Row],[aws]]</f>
        <v>571.248291015625</v>
      </c>
      <c r="T817">
        <f>stand_validation_1cycle[[#This Row],[percent_tree_cover]]*100</f>
        <v>8.5704921223260797</v>
      </c>
    </row>
    <row r="818" spans="1:20" x14ac:dyDescent="0.2">
      <c r="A818">
        <v>1</v>
      </c>
      <c r="B818" t="s">
        <v>836</v>
      </c>
      <c r="C818">
        <v>27.247029478458</v>
      </c>
      <c r="D818">
        <v>862.66332193572805</v>
      </c>
      <c r="E818">
        <v>7.5374740281069403</v>
      </c>
      <c r="F818">
        <v>27.352831359357801</v>
      </c>
      <c r="G818">
        <v>98</v>
      </c>
      <c r="H818">
        <v>572.38903808593705</v>
      </c>
      <c r="I818">
        <v>7.6087099487469501E-2</v>
      </c>
      <c r="K818" s="1" t="str">
        <f>TEXT(stand_validation_1cycle[[#This Row],[stand_age]], ".0")</f>
        <v>27.2</v>
      </c>
      <c r="L818" s="1" t="str">
        <f t="shared" si="12"/>
        <v>"27.2"</v>
      </c>
      <c r="M818">
        <v>100</v>
      </c>
      <c r="N818">
        <f>0.029*stand_validation_1cycle[[#This Row],[stand_level_biomass]]</f>
        <v>25.017236336136115</v>
      </c>
      <c r="O818">
        <f>0.213*stand_validation_1cycle[[#This Row],[stand_level_biomass]]</f>
        <v>183.74728757231006</v>
      </c>
      <c r="P818">
        <f>0.571*stand_validation_1cycle[[#This Row],[stand_level_biomass]]</f>
        <v>492.58075682530068</v>
      </c>
      <c r="Q818">
        <f>stand_validation_1cycle[[#This Row],[stock]]</f>
        <v>98</v>
      </c>
      <c r="R818">
        <v>0</v>
      </c>
      <c r="S818">
        <f>stand_validation_1cycle[[#This Row],[aws]]</f>
        <v>572.38903808593705</v>
      </c>
      <c r="T818">
        <f>stand_validation_1cycle[[#This Row],[percent_tree_cover]]*100</f>
        <v>7.6087099487469505</v>
      </c>
    </row>
    <row r="819" spans="1:20" x14ac:dyDescent="0.2">
      <c r="A819">
        <v>1</v>
      </c>
      <c r="B819" t="s">
        <v>837</v>
      </c>
      <c r="C819">
        <v>26.5621333333333</v>
      </c>
      <c r="D819">
        <v>872.16805276841103</v>
      </c>
      <c r="E819">
        <v>7.6765916047895297</v>
      </c>
      <c r="F819">
        <v>26.760336198846399</v>
      </c>
      <c r="G819">
        <v>100</v>
      </c>
      <c r="H819">
        <v>568.08978271484295</v>
      </c>
      <c r="I819">
        <v>7.6504206504796696E-2</v>
      </c>
      <c r="K819" s="1" t="str">
        <f>TEXT(stand_validation_1cycle[[#This Row],[stand_age]], ".0")</f>
        <v>26.6</v>
      </c>
      <c r="L819" s="1" t="str">
        <f t="shared" si="12"/>
        <v>"26.6"</v>
      </c>
      <c r="M819">
        <v>100</v>
      </c>
      <c r="N819">
        <f>0.029*stand_validation_1cycle[[#This Row],[stand_level_biomass]]</f>
        <v>25.29287353028392</v>
      </c>
      <c r="O819">
        <f>0.213*stand_validation_1cycle[[#This Row],[stand_level_biomass]]</f>
        <v>185.77179523967155</v>
      </c>
      <c r="P819">
        <f>0.571*stand_validation_1cycle[[#This Row],[stand_level_biomass]]</f>
        <v>498.00795813076263</v>
      </c>
      <c r="Q819">
        <f>stand_validation_1cycle[[#This Row],[stock]]</f>
        <v>100</v>
      </c>
      <c r="R819">
        <v>0</v>
      </c>
      <c r="S819">
        <f>stand_validation_1cycle[[#This Row],[aws]]</f>
        <v>568.08978271484295</v>
      </c>
      <c r="T819">
        <f>stand_validation_1cycle[[#This Row],[percent_tree_cover]]*100</f>
        <v>7.6504206504796697</v>
      </c>
    </row>
    <row r="820" spans="1:20" x14ac:dyDescent="0.2">
      <c r="A820">
        <v>1</v>
      </c>
      <c r="B820" t="s">
        <v>838</v>
      </c>
      <c r="C820">
        <v>27.7402333333333</v>
      </c>
      <c r="D820">
        <v>900.81367636455298</v>
      </c>
      <c r="E820">
        <v>7.7899818938337102</v>
      </c>
      <c r="F820">
        <v>26.3654593324557</v>
      </c>
      <c r="G820">
        <v>100</v>
      </c>
      <c r="H820">
        <v>569.1328125</v>
      </c>
      <c r="I820">
        <v>7.7599090209961502E-2</v>
      </c>
      <c r="K820" s="1" t="str">
        <f>TEXT(stand_validation_1cycle[[#This Row],[stand_age]], ".0")</f>
        <v>27.7</v>
      </c>
      <c r="L820" s="1" t="str">
        <f t="shared" si="12"/>
        <v>"27.7"</v>
      </c>
      <c r="M820">
        <v>100</v>
      </c>
      <c r="N820">
        <f>0.029*stand_validation_1cycle[[#This Row],[stand_level_biomass]]</f>
        <v>26.123596614572037</v>
      </c>
      <c r="O820">
        <f>0.213*stand_validation_1cycle[[#This Row],[stand_level_biomass]]</f>
        <v>191.87331306564977</v>
      </c>
      <c r="P820">
        <f>0.571*stand_validation_1cycle[[#This Row],[stand_level_biomass]]</f>
        <v>514.36460920415971</v>
      </c>
      <c r="Q820">
        <f>stand_validation_1cycle[[#This Row],[stock]]</f>
        <v>100</v>
      </c>
      <c r="R820">
        <v>0</v>
      </c>
      <c r="S820">
        <f>stand_validation_1cycle[[#This Row],[aws]]</f>
        <v>569.1328125</v>
      </c>
      <c r="T820">
        <f>stand_validation_1cycle[[#This Row],[percent_tree_cover]]*100</f>
        <v>7.7599090209961501</v>
      </c>
    </row>
    <row r="821" spans="1:20" x14ac:dyDescent="0.2">
      <c r="A821">
        <v>1</v>
      </c>
      <c r="B821" t="s">
        <v>839</v>
      </c>
      <c r="C821">
        <v>28.273966666666599</v>
      </c>
      <c r="D821">
        <v>916.39955124335404</v>
      </c>
      <c r="E821">
        <v>8.0365419392690693</v>
      </c>
      <c r="F821">
        <v>27.361724465657801</v>
      </c>
      <c r="G821">
        <v>100</v>
      </c>
      <c r="H821">
        <v>573.157470703125</v>
      </c>
      <c r="I821">
        <v>8.0059861360763998E-2</v>
      </c>
      <c r="K821" s="1" t="str">
        <f>TEXT(stand_validation_1cycle[[#This Row],[stand_age]], ".0")</f>
        <v>28.3</v>
      </c>
      <c r="L821" s="1" t="str">
        <f t="shared" si="12"/>
        <v>"28.3"</v>
      </c>
      <c r="M821">
        <v>100</v>
      </c>
      <c r="N821">
        <f>0.029*stand_validation_1cycle[[#This Row],[stand_level_biomass]]</f>
        <v>26.575586986057267</v>
      </c>
      <c r="O821">
        <f>0.213*stand_validation_1cycle[[#This Row],[stand_level_biomass]]</f>
        <v>195.19310441483441</v>
      </c>
      <c r="P821">
        <f>0.571*stand_validation_1cycle[[#This Row],[stand_level_biomass]]</f>
        <v>523.26414375995512</v>
      </c>
      <c r="Q821">
        <f>stand_validation_1cycle[[#This Row],[stock]]</f>
        <v>100</v>
      </c>
      <c r="R821">
        <v>0</v>
      </c>
      <c r="S821">
        <f>stand_validation_1cycle[[#This Row],[aws]]</f>
        <v>573.157470703125</v>
      </c>
      <c r="T821">
        <f>stand_validation_1cycle[[#This Row],[percent_tree_cover]]*100</f>
        <v>8.0059861360764</v>
      </c>
    </row>
    <row r="822" spans="1:20" x14ac:dyDescent="0.2">
      <c r="A822">
        <v>1</v>
      </c>
      <c r="B822" t="s">
        <v>840</v>
      </c>
      <c r="C822">
        <v>26.673501683501598</v>
      </c>
      <c r="D822">
        <v>791.57107184086794</v>
      </c>
      <c r="E822">
        <v>7.1733979970750701</v>
      </c>
      <c r="F822">
        <v>26.503112591505001</v>
      </c>
      <c r="G822">
        <v>99</v>
      </c>
      <c r="H822">
        <v>671.97009277343705</v>
      </c>
      <c r="I822">
        <v>7.1183419529655595E-2</v>
      </c>
      <c r="K822" s="1" t="str">
        <f>TEXT(stand_validation_1cycle[[#This Row],[stand_age]], ".0")</f>
        <v>26.7</v>
      </c>
      <c r="L822" s="1" t="str">
        <f t="shared" si="12"/>
        <v>"26.7"</v>
      </c>
      <c r="M822">
        <v>100</v>
      </c>
      <c r="N822">
        <f>0.029*stand_validation_1cycle[[#This Row],[stand_level_biomass]]</f>
        <v>22.95556108338517</v>
      </c>
      <c r="O822">
        <f>0.213*stand_validation_1cycle[[#This Row],[stand_level_biomass]]</f>
        <v>168.60463830210486</v>
      </c>
      <c r="P822">
        <f>0.571*stand_validation_1cycle[[#This Row],[stand_level_biomass]]</f>
        <v>451.98708202113556</v>
      </c>
      <c r="Q822">
        <f>stand_validation_1cycle[[#This Row],[stock]]</f>
        <v>99</v>
      </c>
      <c r="R822">
        <v>0</v>
      </c>
      <c r="S822">
        <f>stand_validation_1cycle[[#This Row],[aws]]</f>
        <v>671.97009277343705</v>
      </c>
      <c r="T822">
        <f>stand_validation_1cycle[[#This Row],[percent_tree_cover]]*100</f>
        <v>7.1183419529655598</v>
      </c>
    </row>
    <row r="823" spans="1:20" x14ac:dyDescent="0.2">
      <c r="A823">
        <v>1</v>
      </c>
      <c r="B823" t="s">
        <v>841</v>
      </c>
      <c r="C823">
        <v>25.1972555555555</v>
      </c>
      <c r="D823">
        <v>653.10064402955595</v>
      </c>
      <c r="E823">
        <v>6.12018848473706</v>
      </c>
      <c r="F823">
        <v>24.6371857322385</v>
      </c>
      <c r="G823">
        <v>100</v>
      </c>
      <c r="H823">
        <v>568.08978271484295</v>
      </c>
      <c r="I823">
        <v>6.1008770166598898E-2</v>
      </c>
      <c r="K823" s="1" t="str">
        <f>TEXT(stand_validation_1cycle[[#This Row],[stand_age]], ".0")</f>
        <v>25.2</v>
      </c>
      <c r="L823" s="1" t="str">
        <f t="shared" si="12"/>
        <v>"25.2"</v>
      </c>
      <c r="M823">
        <v>100</v>
      </c>
      <c r="N823">
        <f>0.029*stand_validation_1cycle[[#This Row],[stand_level_biomass]]</f>
        <v>18.939918676857122</v>
      </c>
      <c r="O823">
        <f>0.213*stand_validation_1cycle[[#This Row],[stand_level_biomass]]</f>
        <v>139.11043717829543</v>
      </c>
      <c r="P823">
        <f>0.571*stand_validation_1cycle[[#This Row],[stand_level_biomass]]</f>
        <v>372.9204677408764</v>
      </c>
      <c r="Q823">
        <f>stand_validation_1cycle[[#This Row],[stock]]</f>
        <v>100</v>
      </c>
      <c r="R823">
        <v>0</v>
      </c>
      <c r="S823">
        <f>stand_validation_1cycle[[#This Row],[aws]]</f>
        <v>568.08978271484295</v>
      </c>
      <c r="T823">
        <f>stand_validation_1cycle[[#This Row],[percent_tree_cover]]*100</f>
        <v>6.10087701665989</v>
      </c>
    </row>
    <row r="824" spans="1:20" x14ac:dyDescent="0.2">
      <c r="A824">
        <v>1</v>
      </c>
      <c r="B824" t="s">
        <v>842</v>
      </c>
      <c r="C824">
        <v>28.6974074074074</v>
      </c>
      <c r="D824">
        <v>866.05238322992398</v>
      </c>
      <c r="E824">
        <v>7.7217433598050897</v>
      </c>
      <c r="F824">
        <v>27.804532658881602</v>
      </c>
      <c r="G824">
        <v>99</v>
      </c>
      <c r="H824">
        <v>568.08978271484295</v>
      </c>
      <c r="I824">
        <v>7.6750561651857702E-2</v>
      </c>
      <c r="K824" s="1" t="str">
        <f>TEXT(stand_validation_1cycle[[#This Row],[stand_age]], ".0")</f>
        <v>28.7</v>
      </c>
      <c r="L824" s="1" t="str">
        <f t="shared" si="12"/>
        <v>"28.7"</v>
      </c>
      <c r="M824">
        <v>100</v>
      </c>
      <c r="N824">
        <f>0.029*stand_validation_1cycle[[#This Row],[stand_level_biomass]]</f>
        <v>25.115519113667798</v>
      </c>
      <c r="O824">
        <f>0.213*stand_validation_1cycle[[#This Row],[stand_level_biomass]]</f>
        <v>184.4691576279738</v>
      </c>
      <c r="P824">
        <f>0.571*stand_validation_1cycle[[#This Row],[stand_level_biomass]]</f>
        <v>494.51591082428655</v>
      </c>
      <c r="Q824">
        <f>stand_validation_1cycle[[#This Row],[stock]]</f>
        <v>99</v>
      </c>
      <c r="R824">
        <v>0</v>
      </c>
      <c r="S824">
        <f>stand_validation_1cycle[[#This Row],[aws]]</f>
        <v>568.08978271484295</v>
      </c>
      <c r="T824">
        <f>stand_validation_1cycle[[#This Row],[percent_tree_cover]]*100</f>
        <v>7.6750561651857705</v>
      </c>
    </row>
    <row r="825" spans="1:20" x14ac:dyDescent="0.2">
      <c r="A825">
        <v>1</v>
      </c>
      <c r="B825" t="s">
        <v>843</v>
      </c>
      <c r="C825">
        <v>29.798407407407399</v>
      </c>
      <c r="D825">
        <v>955.82886059421696</v>
      </c>
      <c r="E825">
        <v>7.6655104221021499</v>
      </c>
      <c r="F825">
        <v>29.578903406180899</v>
      </c>
      <c r="G825">
        <v>90</v>
      </c>
      <c r="H825">
        <v>568.08978271484295</v>
      </c>
      <c r="I825">
        <v>8.3429472247563002E-2</v>
      </c>
      <c r="K825" s="1" t="str">
        <f>TEXT(stand_validation_1cycle[[#This Row],[stand_age]], ".0")</f>
        <v>29.8</v>
      </c>
      <c r="L825" s="1" t="str">
        <f t="shared" si="12"/>
        <v>"29.8"</v>
      </c>
      <c r="M825">
        <v>100</v>
      </c>
      <c r="N825">
        <f>0.029*stand_validation_1cycle[[#This Row],[stand_level_biomass]]</f>
        <v>27.719036957232294</v>
      </c>
      <c r="O825">
        <f>0.213*stand_validation_1cycle[[#This Row],[stand_level_biomass]]</f>
        <v>203.5915473065682</v>
      </c>
      <c r="P825">
        <f>0.571*stand_validation_1cycle[[#This Row],[stand_level_biomass]]</f>
        <v>545.77827939929784</v>
      </c>
      <c r="Q825">
        <f>stand_validation_1cycle[[#This Row],[stock]]</f>
        <v>90</v>
      </c>
      <c r="R825">
        <v>0</v>
      </c>
      <c r="S825">
        <f>stand_validation_1cycle[[#This Row],[aws]]</f>
        <v>568.08978271484295</v>
      </c>
      <c r="T825">
        <f>stand_validation_1cycle[[#This Row],[percent_tree_cover]]*100</f>
        <v>8.3429472247562995</v>
      </c>
    </row>
    <row r="826" spans="1:20" x14ac:dyDescent="0.2">
      <c r="A826">
        <v>1</v>
      </c>
      <c r="B826" t="s">
        <v>844</v>
      </c>
      <c r="C826">
        <v>27.378155784650598</v>
      </c>
      <c r="D826">
        <v>931.85427766946202</v>
      </c>
      <c r="E826">
        <v>7.88516665345034</v>
      </c>
      <c r="F826">
        <v>27.527408306332799</v>
      </c>
      <c r="G826">
        <v>97</v>
      </c>
      <c r="H826">
        <v>571.39581298828102</v>
      </c>
      <c r="I826">
        <v>8.0904796889279706E-2</v>
      </c>
      <c r="K826" s="1" t="str">
        <f>TEXT(stand_validation_1cycle[[#This Row],[stand_age]], ".0")</f>
        <v>27.4</v>
      </c>
      <c r="L826" s="1" t="str">
        <f t="shared" si="12"/>
        <v>"27.4"</v>
      </c>
      <c r="M826">
        <v>100</v>
      </c>
      <c r="N826">
        <f>0.029*stand_validation_1cycle[[#This Row],[stand_level_biomass]]</f>
        <v>27.023774052414399</v>
      </c>
      <c r="O826">
        <f>0.213*stand_validation_1cycle[[#This Row],[stand_level_biomass]]</f>
        <v>198.4849611435954</v>
      </c>
      <c r="P826">
        <f>0.571*stand_validation_1cycle[[#This Row],[stand_level_biomass]]</f>
        <v>532.08879254926273</v>
      </c>
      <c r="Q826">
        <f>stand_validation_1cycle[[#This Row],[stock]]</f>
        <v>97</v>
      </c>
      <c r="R826">
        <v>0</v>
      </c>
      <c r="S826">
        <f>stand_validation_1cycle[[#This Row],[aws]]</f>
        <v>571.39581298828102</v>
      </c>
      <c r="T826">
        <f>stand_validation_1cycle[[#This Row],[percent_tree_cover]]*100</f>
        <v>8.0904796889279709</v>
      </c>
    </row>
    <row r="827" spans="1:20" x14ac:dyDescent="0.2">
      <c r="A827">
        <v>1</v>
      </c>
      <c r="B827" t="s">
        <v>845</v>
      </c>
      <c r="C827">
        <v>26.972688888888801</v>
      </c>
      <c r="D827">
        <v>793.81259493502603</v>
      </c>
      <c r="E827">
        <v>7.1549984743011601</v>
      </c>
      <c r="F827">
        <v>25.981438399999998</v>
      </c>
      <c r="G827">
        <v>100</v>
      </c>
      <c r="H827">
        <v>557</v>
      </c>
      <c r="I827">
        <v>7.1292176818327904E-2</v>
      </c>
      <c r="K827" s="1" t="str">
        <f>TEXT(stand_validation_1cycle[[#This Row],[stand_age]], ".0")</f>
        <v>27.0</v>
      </c>
      <c r="L827" s="1" t="str">
        <f t="shared" si="12"/>
        <v>"27.0"</v>
      </c>
      <c r="M827">
        <v>100</v>
      </c>
      <c r="N827">
        <f>0.029*stand_validation_1cycle[[#This Row],[stand_level_biomass]]</f>
        <v>23.020565253115755</v>
      </c>
      <c r="O827">
        <f>0.213*stand_validation_1cycle[[#This Row],[stand_level_biomass]]</f>
        <v>169.08208272116053</v>
      </c>
      <c r="P827">
        <f>0.571*stand_validation_1cycle[[#This Row],[stand_level_biomass]]</f>
        <v>453.26699170789982</v>
      </c>
      <c r="Q827">
        <f>stand_validation_1cycle[[#This Row],[stock]]</f>
        <v>100</v>
      </c>
      <c r="R827">
        <v>0</v>
      </c>
      <c r="S827">
        <f>stand_validation_1cycle[[#This Row],[aws]]</f>
        <v>557</v>
      </c>
      <c r="T827">
        <f>stand_validation_1cycle[[#This Row],[percent_tree_cover]]*100</f>
        <v>7.1292176818327908</v>
      </c>
    </row>
    <row r="828" spans="1:20" x14ac:dyDescent="0.2">
      <c r="A828">
        <v>1</v>
      </c>
      <c r="B828" t="s">
        <v>846</v>
      </c>
      <c r="C828">
        <v>28.849898989899</v>
      </c>
      <c r="D828">
        <v>1111.31717885578</v>
      </c>
      <c r="E828">
        <v>9.3934311492718603</v>
      </c>
      <c r="F828">
        <v>29.7908587590187</v>
      </c>
      <c r="G828">
        <v>99</v>
      </c>
      <c r="H828">
        <v>608.16455078125</v>
      </c>
      <c r="I828">
        <v>9.3178708705932006E-2</v>
      </c>
      <c r="K828" s="1" t="str">
        <f>TEXT(stand_validation_1cycle[[#This Row],[stand_age]], ".0")</f>
        <v>28.8</v>
      </c>
      <c r="L828" s="1" t="str">
        <f t="shared" si="12"/>
        <v>"28.8"</v>
      </c>
      <c r="M828">
        <v>100</v>
      </c>
      <c r="N828">
        <f>0.029*stand_validation_1cycle[[#This Row],[stand_level_biomass]]</f>
        <v>32.228198186817622</v>
      </c>
      <c r="O828">
        <f>0.213*stand_validation_1cycle[[#This Row],[stand_level_biomass]]</f>
        <v>236.71055909628112</v>
      </c>
      <c r="P828">
        <f>0.571*stand_validation_1cycle[[#This Row],[stand_level_biomass]]</f>
        <v>634.56210912665028</v>
      </c>
      <c r="Q828">
        <f>stand_validation_1cycle[[#This Row],[stock]]</f>
        <v>99</v>
      </c>
      <c r="R828">
        <v>0</v>
      </c>
      <c r="S828">
        <f>stand_validation_1cycle[[#This Row],[aws]]</f>
        <v>608.16455078125</v>
      </c>
      <c r="T828">
        <f>stand_validation_1cycle[[#This Row],[percent_tree_cover]]*100</f>
        <v>9.3178708705932003</v>
      </c>
    </row>
    <row r="829" spans="1:20" x14ac:dyDescent="0.2">
      <c r="A829">
        <v>1</v>
      </c>
      <c r="B829" t="s">
        <v>847</v>
      </c>
      <c r="C829">
        <v>30.733086419753</v>
      </c>
      <c r="D829">
        <v>1173.1476264228199</v>
      </c>
      <c r="E829">
        <v>9.8824121918214693</v>
      </c>
      <c r="F829">
        <v>30.8289306782106</v>
      </c>
      <c r="G829">
        <v>99</v>
      </c>
      <c r="H829">
        <v>575.61730957031205</v>
      </c>
      <c r="I829">
        <v>9.8268228028397103E-2</v>
      </c>
      <c r="K829" s="1" t="str">
        <f>TEXT(stand_validation_1cycle[[#This Row],[stand_age]], ".0")</f>
        <v>30.7</v>
      </c>
      <c r="L829" s="1" t="str">
        <f t="shared" si="12"/>
        <v>"30.7"</v>
      </c>
      <c r="M829">
        <v>100</v>
      </c>
      <c r="N829">
        <f>0.029*stand_validation_1cycle[[#This Row],[stand_level_biomass]]</f>
        <v>34.02128116626178</v>
      </c>
      <c r="O829">
        <f>0.213*stand_validation_1cycle[[#This Row],[stand_level_biomass]]</f>
        <v>249.88044442806063</v>
      </c>
      <c r="P829">
        <f>0.571*stand_validation_1cycle[[#This Row],[stand_level_biomass]]</f>
        <v>669.8672946874301</v>
      </c>
      <c r="Q829">
        <f>stand_validation_1cycle[[#This Row],[stock]]</f>
        <v>99</v>
      </c>
      <c r="R829">
        <v>0</v>
      </c>
      <c r="S829">
        <f>stand_validation_1cycle[[#This Row],[aws]]</f>
        <v>575.61730957031205</v>
      </c>
      <c r="T829">
        <f>stand_validation_1cycle[[#This Row],[percent_tree_cover]]*100</f>
        <v>9.8268228028397111</v>
      </c>
    </row>
    <row r="830" spans="1:20" x14ac:dyDescent="0.2">
      <c r="A830">
        <v>1</v>
      </c>
      <c r="B830" t="s">
        <v>848</v>
      </c>
      <c r="C830">
        <v>25.419029239766001</v>
      </c>
      <c r="D830">
        <v>645.19054467047295</v>
      </c>
      <c r="E830">
        <v>5.8020653148474102</v>
      </c>
      <c r="F830">
        <v>24.554207278195399</v>
      </c>
      <c r="G830">
        <v>95</v>
      </c>
      <c r="H830">
        <v>569.54949951171795</v>
      </c>
      <c r="I830">
        <v>5.94654867268163E-2</v>
      </c>
      <c r="K830" s="1" t="str">
        <f>TEXT(stand_validation_1cycle[[#This Row],[stand_age]], ".0")</f>
        <v>25.4</v>
      </c>
      <c r="L830" s="1" t="str">
        <f t="shared" si="12"/>
        <v>"25.4"</v>
      </c>
      <c r="M830">
        <v>100</v>
      </c>
      <c r="N830">
        <f>0.029*stand_validation_1cycle[[#This Row],[stand_level_biomass]]</f>
        <v>18.710525795443715</v>
      </c>
      <c r="O830">
        <f>0.213*stand_validation_1cycle[[#This Row],[stand_level_biomass]]</f>
        <v>137.42558601481073</v>
      </c>
      <c r="P830">
        <f>0.571*stand_validation_1cycle[[#This Row],[stand_level_biomass]]</f>
        <v>368.40380100684001</v>
      </c>
      <c r="Q830">
        <f>stand_validation_1cycle[[#This Row],[stock]]</f>
        <v>95</v>
      </c>
      <c r="R830">
        <v>0</v>
      </c>
      <c r="S830">
        <f>stand_validation_1cycle[[#This Row],[aws]]</f>
        <v>569.54949951171795</v>
      </c>
      <c r="T830">
        <f>stand_validation_1cycle[[#This Row],[percent_tree_cover]]*100</f>
        <v>5.9465486726816303</v>
      </c>
    </row>
    <row r="831" spans="1:20" x14ac:dyDescent="0.2">
      <c r="A831">
        <v>1</v>
      </c>
      <c r="B831" t="s">
        <v>849</v>
      </c>
      <c r="C831">
        <v>28.435505804311699</v>
      </c>
      <c r="D831">
        <v>1030.21401852494</v>
      </c>
      <c r="E831">
        <v>5.93539607786209</v>
      </c>
      <c r="F831">
        <v>28.601899872068199</v>
      </c>
      <c r="G831">
        <v>67</v>
      </c>
      <c r="H831">
        <v>570.51690673828102</v>
      </c>
      <c r="I831">
        <v>8.7575700270186102E-2</v>
      </c>
      <c r="K831" s="1" t="str">
        <f>TEXT(stand_validation_1cycle[[#This Row],[stand_age]], ".0")</f>
        <v>28.4</v>
      </c>
      <c r="L831" s="1" t="str">
        <f t="shared" si="12"/>
        <v>"28.4"</v>
      </c>
      <c r="M831">
        <v>100</v>
      </c>
      <c r="N831">
        <f>0.029*stand_validation_1cycle[[#This Row],[stand_level_biomass]]</f>
        <v>29.876206537223261</v>
      </c>
      <c r="O831">
        <f>0.213*stand_validation_1cycle[[#This Row],[stand_level_biomass]]</f>
        <v>219.43558594581222</v>
      </c>
      <c r="P831">
        <f>0.571*stand_validation_1cycle[[#This Row],[stand_level_biomass]]</f>
        <v>588.25220457774071</v>
      </c>
      <c r="Q831">
        <f>stand_validation_1cycle[[#This Row],[stock]]</f>
        <v>67</v>
      </c>
      <c r="R831">
        <v>0</v>
      </c>
      <c r="S831">
        <f>stand_validation_1cycle[[#This Row],[aws]]</f>
        <v>570.51690673828102</v>
      </c>
      <c r="T831">
        <f>stand_validation_1cycle[[#This Row],[percent_tree_cover]]*100</f>
        <v>8.7575700270186108</v>
      </c>
    </row>
    <row r="832" spans="1:20" x14ac:dyDescent="0.2">
      <c r="A832">
        <v>1</v>
      </c>
      <c r="B832" t="s">
        <v>850</v>
      </c>
      <c r="C832">
        <v>27.225922222222199</v>
      </c>
      <c r="D832">
        <v>760.93625467956497</v>
      </c>
      <c r="E832">
        <v>6.8233256152965804</v>
      </c>
      <c r="F832">
        <v>25.092103314285701</v>
      </c>
      <c r="G832">
        <v>100</v>
      </c>
      <c r="H832">
        <v>573.37945556640602</v>
      </c>
      <c r="I832">
        <v>6.7976667370429206E-2</v>
      </c>
      <c r="K832" s="1" t="str">
        <f>TEXT(stand_validation_1cycle[[#This Row],[stand_age]], ".0")</f>
        <v>27.2</v>
      </c>
      <c r="L832" s="1" t="str">
        <f t="shared" si="12"/>
        <v>"27.2"</v>
      </c>
      <c r="M832">
        <v>100</v>
      </c>
      <c r="N832">
        <f>0.029*stand_validation_1cycle[[#This Row],[stand_level_biomass]]</f>
        <v>22.067151385707387</v>
      </c>
      <c r="O832">
        <f>0.213*stand_validation_1cycle[[#This Row],[stand_level_biomass]]</f>
        <v>162.07942224674733</v>
      </c>
      <c r="P832">
        <f>0.571*stand_validation_1cycle[[#This Row],[stand_level_biomass]]</f>
        <v>434.49460142203156</v>
      </c>
      <c r="Q832">
        <f>stand_validation_1cycle[[#This Row],[stock]]</f>
        <v>100</v>
      </c>
      <c r="R832">
        <v>0</v>
      </c>
      <c r="S832">
        <f>stand_validation_1cycle[[#This Row],[aws]]</f>
        <v>573.37945556640602</v>
      </c>
      <c r="T832">
        <f>stand_validation_1cycle[[#This Row],[percent_tree_cover]]*100</f>
        <v>6.7976667370429205</v>
      </c>
    </row>
    <row r="833" spans="1:20" x14ac:dyDescent="0.2">
      <c r="A833">
        <v>1</v>
      </c>
      <c r="B833" t="s">
        <v>851</v>
      </c>
      <c r="C833">
        <v>29.447957351290601</v>
      </c>
      <c r="D833">
        <v>996.98303314166105</v>
      </c>
      <c r="E833">
        <v>8.6381883483580495</v>
      </c>
      <c r="F833">
        <v>28.1685199422799</v>
      </c>
      <c r="G833">
        <v>99</v>
      </c>
      <c r="H833">
        <v>570.13580322265602</v>
      </c>
      <c r="I833">
        <v>8.5104726214321205E-2</v>
      </c>
      <c r="K833" s="1" t="str">
        <f>TEXT(stand_validation_1cycle[[#This Row],[stand_age]], ".0")</f>
        <v>29.4</v>
      </c>
      <c r="L833" s="1" t="str">
        <f t="shared" si="12"/>
        <v>"29.4"</v>
      </c>
      <c r="M833">
        <v>100</v>
      </c>
      <c r="N833">
        <f>0.029*stand_validation_1cycle[[#This Row],[stand_level_biomass]]</f>
        <v>28.912507961108172</v>
      </c>
      <c r="O833">
        <f>0.213*stand_validation_1cycle[[#This Row],[stand_level_biomass]]</f>
        <v>212.35738605917379</v>
      </c>
      <c r="P833">
        <f>0.571*stand_validation_1cycle[[#This Row],[stand_level_biomass]]</f>
        <v>569.27731192388842</v>
      </c>
      <c r="Q833">
        <f>stand_validation_1cycle[[#This Row],[stock]]</f>
        <v>99</v>
      </c>
      <c r="R833">
        <v>0</v>
      </c>
      <c r="S833">
        <f>stand_validation_1cycle[[#This Row],[aws]]</f>
        <v>570.13580322265602</v>
      </c>
      <c r="T833">
        <f>stand_validation_1cycle[[#This Row],[percent_tree_cover]]*100</f>
        <v>8.51047262143212</v>
      </c>
    </row>
    <row r="834" spans="1:20" x14ac:dyDescent="0.2">
      <c r="A834">
        <v>1</v>
      </c>
      <c r="B834" t="s">
        <v>852</v>
      </c>
      <c r="C834">
        <v>25.5195333333333</v>
      </c>
      <c r="D834">
        <v>717.01921422151099</v>
      </c>
      <c r="E834">
        <v>6.5676447409896896</v>
      </c>
      <c r="F834">
        <v>24.883979199999999</v>
      </c>
      <c r="G834">
        <v>100</v>
      </c>
      <c r="H834">
        <v>569.20916748046795</v>
      </c>
      <c r="I834">
        <v>6.5449919303895293E-2</v>
      </c>
      <c r="K834" s="1" t="str">
        <f>TEXT(stand_validation_1cycle[[#This Row],[stand_age]], ".0")</f>
        <v>25.5</v>
      </c>
      <c r="L834" s="1" t="str">
        <f t="shared" si="12"/>
        <v>"25.5"</v>
      </c>
      <c r="M834">
        <v>100</v>
      </c>
      <c r="N834">
        <f>0.029*stand_validation_1cycle[[#This Row],[stand_level_biomass]]</f>
        <v>20.793557212423821</v>
      </c>
      <c r="O834">
        <f>0.213*stand_validation_1cycle[[#This Row],[stand_level_biomass]]</f>
        <v>152.72509262918183</v>
      </c>
      <c r="P834">
        <f>0.571*stand_validation_1cycle[[#This Row],[stand_level_biomass]]</f>
        <v>409.41797132048276</v>
      </c>
      <c r="Q834">
        <f>stand_validation_1cycle[[#This Row],[stock]]</f>
        <v>100</v>
      </c>
      <c r="R834">
        <v>0</v>
      </c>
      <c r="S834">
        <f>stand_validation_1cycle[[#This Row],[aws]]</f>
        <v>569.20916748046795</v>
      </c>
      <c r="T834">
        <f>stand_validation_1cycle[[#This Row],[percent_tree_cover]]*100</f>
        <v>6.5449919303895294</v>
      </c>
    </row>
    <row r="835" spans="1:20" x14ac:dyDescent="0.2">
      <c r="A835">
        <v>1</v>
      </c>
      <c r="B835" t="s">
        <v>853</v>
      </c>
      <c r="C835">
        <v>29.992422222222199</v>
      </c>
      <c r="D835">
        <v>1105.47220199759</v>
      </c>
      <c r="E835">
        <v>9.4160608265538297</v>
      </c>
      <c r="F835">
        <v>29.583441599999901</v>
      </c>
      <c r="G835">
        <v>100</v>
      </c>
      <c r="H835">
        <v>562</v>
      </c>
      <c r="I835">
        <v>9.3797646450095501E-2</v>
      </c>
      <c r="K835" s="1" t="str">
        <f>TEXT(stand_validation_1cycle[[#This Row],[stand_age]], ".0")</f>
        <v>30.0</v>
      </c>
      <c r="L835" s="1" t="str">
        <f t="shared" ref="L835:L898" si="13">""""&amp;K835&amp;""""</f>
        <v>"30.0"</v>
      </c>
      <c r="M835">
        <v>100</v>
      </c>
      <c r="N835">
        <f>0.029*stand_validation_1cycle[[#This Row],[stand_level_biomass]]</f>
        <v>32.058693857930109</v>
      </c>
      <c r="O835">
        <f>0.213*stand_validation_1cycle[[#This Row],[stand_level_biomass]]</f>
        <v>235.46557902548668</v>
      </c>
      <c r="P835">
        <f>0.571*stand_validation_1cycle[[#This Row],[stand_level_biomass]]</f>
        <v>631.22462734062378</v>
      </c>
      <c r="Q835">
        <f>stand_validation_1cycle[[#This Row],[stock]]</f>
        <v>100</v>
      </c>
      <c r="R835">
        <v>0</v>
      </c>
      <c r="S835">
        <f>stand_validation_1cycle[[#This Row],[aws]]</f>
        <v>562</v>
      </c>
      <c r="T835">
        <f>stand_validation_1cycle[[#This Row],[percent_tree_cover]]*100</f>
        <v>9.3797646450095495</v>
      </c>
    </row>
    <row r="836" spans="1:20" x14ac:dyDescent="0.2">
      <c r="A836">
        <v>1</v>
      </c>
      <c r="B836" t="s">
        <v>854</v>
      </c>
      <c r="C836">
        <v>28.301515151515101</v>
      </c>
      <c r="D836">
        <v>861.022317637578</v>
      </c>
      <c r="E836">
        <v>7.7363258475048902</v>
      </c>
      <c r="F836">
        <v>27.233510880230799</v>
      </c>
      <c r="G836">
        <v>99</v>
      </c>
      <c r="H836">
        <v>574.53167724609295</v>
      </c>
      <c r="I836">
        <v>7.6076667338931203E-2</v>
      </c>
      <c r="K836" s="1" t="str">
        <f>TEXT(stand_validation_1cycle[[#This Row],[stand_age]], ".0")</f>
        <v>28.3</v>
      </c>
      <c r="L836" s="1" t="str">
        <f t="shared" si="13"/>
        <v>"28.3"</v>
      </c>
      <c r="M836">
        <v>100</v>
      </c>
      <c r="N836">
        <f>0.029*stand_validation_1cycle[[#This Row],[stand_level_biomass]]</f>
        <v>24.969647211489765</v>
      </c>
      <c r="O836">
        <f>0.213*stand_validation_1cycle[[#This Row],[stand_level_biomass]]</f>
        <v>183.3977536568041</v>
      </c>
      <c r="P836">
        <f>0.571*stand_validation_1cycle[[#This Row],[stand_level_biomass]]</f>
        <v>491.64374337105698</v>
      </c>
      <c r="Q836">
        <f>stand_validation_1cycle[[#This Row],[stock]]</f>
        <v>99</v>
      </c>
      <c r="R836">
        <v>0</v>
      </c>
      <c r="S836">
        <f>stand_validation_1cycle[[#This Row],[aws]]</f>
        <v>574.53167724609295</v>
      </c>
      <c r="T836">
        <f>stand_validation_1cycle[[#This Row],[percent_tree_cover]]*100</f>
        <v>7.6076667338931205</v>
      </c>
    </row>
    <row r="837" spans="1:20" x14ac:dyDescent="0.2">
      <c r="A837">
        <v>1</v>
      </c>
      <c r="B837" t="s">
        <v>855</v>
      </c>
      <c r="C837">
        <v>28.8407444444444</v>
      </c>
      <c r="D837">
        <v>927.92279246713395</v>
      </c>
      <c r="E837">
        <v>8.1194077286928099</v>
      </c>
      <c r="F837">
        <v>27.591307885714201</v>
      </c>
      <c r="G837">
        <v>100</v>
      </c>
      <c r="H837">
        <v>573.23681640625</v>
      </c>
      <c r="I837">
        <v>8.0886259403994007E-2</v>
      </c>
      <c r="K837" s="1" t="str">
        <f>TEXT(stand_validation_1cycle[[#This Row],[stand_age]], ".0")</f>
        <v>28.8</v>
      </c>
      <c r="L837" s="1" t="str">
        <f t="shared" si="13"/>
        <v>"28.8"</v>
      </c>
      <c r="M837">
        <v>100</v>
      </c>
      <c r="N837">
        <f>0.029*stand_validation_1cycle[[#This Row],[stand_level_biomass]]</f>
        <v>26.909760981546885</v>
      </c>
      <c r="O837">
        <f>0.213*stand_validation_1cycle[[#This Row],[stand_level_biomass]]</f>
        <v>197.64755479549953</v>
      </c>
      <c r="P837">
        <f>0.571*stand_validation_1cycle[[#This Row],[stand_level_biomass]]</f>
        <v>529.8439144987334</v>
      </c>
      <c r="Q837">
        <f>stand_validation_1cycle[[#This Row],[stock]]</f>
        <v>100</v>
      </c>
      <c r="R837">
        <v>0</v>
      </c>
      <c r="S837">
        <f>stand_validation_1cycle[[#This Row],[aws]]</f>
        <v>573.23681640625</v>
      </c>
      <c r="T837">
        <f>stand_validation_1cycle[[#This Row],[percent_tree_cover]]*100</f>
        <v>8.0886259403994014</v>
      </c>
    </row>
    <row r="838" spans="1:20" x14ac:dyDescent="0.2">
      <c r="A838">
        <v>1</v>
      </c>
      <c r="B838" t="s">
        <v>856</v>
      </c>
      <c r="C838">
        <v>28.969644444444398</v>
      </c>
      <c r="D838">
        <v>1055.28663034742</v>
      </c>
      <c r="E838">
        <v>8.9800187618098501</v>
      </c>
      <c r="F838">
        <v>28.6772525714285</v>
      </c>
      <c r="G838">
        <v>100</v>
      </c>
      <c r="H838">
        <v>572.45373535156205</v>
      </c>
      <c r="I838">
        <v>8.9462695469751094E-2</v>
      </c>
      <c r="K838" s="1" t="str">
        <f>TEXT(stand_validation_1cycle[[#This Row],[stand_age]], ".0")</f>
        <v>29.0</v>
      </c>
      <c r="L838" s="1" t="str">
        <f t="shared" si="13"/>
        <v>"29.0"</v>
      </c>
      <c r="M838">
        <v>100</v>
      </c>
      <c r="N838">
        <f>0.029*stand_validation_1cycle[[#This Row],[stand_level_biomass]]</f>
        <v>30.60331228007518</v>
      </c>
      <c r="O838">
        <f>0.213*stand_validation_1cycle[[#This Row],[stand_level_biomass]]</f>
        <v>224.77605226400044</v>
      </c>
      <c r="P838">
        <f>0.571*stand_validation_1cycle[[#This Row],[stand_level_biomass]]</f>
        <v>602.56866592837673</v>
      </c>
      <c r="Q838">
        <f>stand_validation_1cycle[[#This Row],[stock]]</f>
        <v>100</v>
      </c>
      <c r="R838">
        <v>0</v>
      </c>
      <c r="S838">
        <f>stand_validation_1cycle[[#This Row],[aws]]</f>
        <v>572.45373535156205</v>
      </c>
      <c r="T838">
        <f>stand_validation_1cycle[[#This Row],[percent_tree_cover]]*100</f>
        <v>8.9462695469751097</v>
      </c>
    </row>
    <row r="839" spans="1:20" x14ac:dyDescent="0.2">
      <c r="A839">
        <v>1</v>
      </c>
      <c r="B839" t="s">
        <v>857</v>
      </c>
      <c r="C839">
        <v>28.6095124716553</v>
      </c>
      <c r="D839">
        <v>876.932596973096</v>
      </c>
      <c r="E839">
        <v>7.6587206549795903</v>
      </c>
      <c r="F839">
        <v>27.418502857142801</v>
      </c>
      <c r="G839">
        <v>98</v>
      </c>
      <c r="H839">
        <v>573.58868408203102</v>
      </c>
      <c r="I839">
        <v>7.5982915783826793E-2</v>
      </c>
      <c r="K839" s="1" t="str">
        <f>TEXT(stand_validation_1cycle[[#This Row],[stand_age]], ".0")</f>
        <v>28.6</v>
      </c>
      <c r="L839" s="1" t="str">
        <f t="shared" si="13"/>
        <v>"28.6"</v>
      </c>
      <c r="M839">
        <v>100</v>
      </c>
      <c r="N839">
        <f>0.029*stand_validation_1cycle[[#This Row],[stand_level_biomass]]</f>
        <v>25.431045312219783</v>
      </c>
      <c r="O839">
        <f>0.213*stand_validation_1cycle[[#This Row],[stand_level_biomass]]</f>
        <v>186.78664315526945</v>
      </c>
      <c r="P839">
        <f>0.571*stand_validation_1cycle[[#This Row],[stand_level_biomass]]</f>
        <v>500.72851287163775</v>
      </c>
      <c r="Q839">
        <f>stand_validation_1cycle[[#This Row],[stock]]</f>
        <v>98</v>
      </c>
      <c r="R839">
        <v>0</v>
      </c>
      <c r="S839">
        <f>stand_validation_1cycle[[#This Row],[aws]]</f>
        <v>573.58868408203102</v>
      </c>
      <c r="T839">
        <f>stand_validation_1cycle[[#This Row],[percent_tree_cover]]*100</f>
        <v>7.5982915783826792</v>
      </c>
    </row>
    <row r="840" spans="1:20" x14ac:dyDescent="0.2">
      <c r="A840">
        <v>1</v>
      </c>
      <c r="B840" t="s">
        <v>858</v>
      </c>
      <c r="C840">
        <v>28.461257014590299</v>
      </c>
      <c r="D840">
        <v>848.23226140971201</v>
      </c>
      <c r="E840">
        <v>7.4497929625434098</v>
      </c>
      <c r="F840">
        <v>26.515859624819601</v>
      </c>
      <c r="G840">
        <v>99</v>
      </c>
      <c r="H840">
        <v>573.28186035156205</v>
      </c>
      <c r="I840">
        <v>7.4099643667167994E-2</v>
      </c>
      <c r="K840" s="1" t="str">
        <f>TEXT(stand_validation_1cycle[[#This Row],[stand_age]], ".0")</f>
        <v>28.5</v>
      </c>
      <c r="L840" s="1" t="str">
        <f t="shared" si="13"/>
        <v>"28.5"</v>
      </c>
      <c r="M840">
        <v>100</v>
      </c>
      <c r="N840">
        <f>0.029*stand_validation_1cycle[[#This Row],[stand_level_biomass]]</f>
        <v>24.598735580881648</v>
      </c>
      <c r="O840">
        <f>0.213*stand_validation_1cycle[[#This Row],[stand_level_biomass]]</f>
        <v>180.67347168026865</v>
      </c>
      <c r="P840">
        <f>0.571*stand_validation_1cycle[[#This Row],[stand_level_biomass]]</f>
        <v>484.34062126494553</v>
      </c>
      <c r="Q840">
        <f>stand_validation_1cycle[[#This Row],[stock]]</f>
        <v>99</v>
      </c>
      <c r="R840">
        <v>0</v>
      </c>
      <c r="S840">
        <f>stand_validation_1cycle[[#This Row],[aws]]</f>
        <v>573.28186035156205</v>
      </c>
      <c r="T840">
        <f>stand_validation_1cycle[[#This Row],[percent_tree_cover]]*100</f>
        <v>7.4099643667167996</v>
      </c>
    </row>
    <row r="841" spans="1:20" x14ac:dyDescent="0.2">
      <c r="A841">
        <v>1</v>
      </c>
      <c r="B841" t="s">
        <v>859</v>
      </c>
      <c r="C841">
        <v>27.3347308132875</v>
      </c>
      <c r="D841">
        <v>905.39228752509996</v>
      </c>
      <c r="E841">
        <v>7.7851297039802398</v>
      </c>
      <c r="F841">
        <v>27.228835110456501</v>
      </c>
      <c r="G841">
        <v>97</v>
      </c>
      <c r="H841">
        <v>570.34173583984295</v>
      </c>
      <c r="I841">
        <v>7.6752850780858306E-2</v>
      </c>
      <c r="K841" s="1" t="str">
        <f>TEXT(stand_validation_1cycle[[#This Row],[stand_age]], ".0")</f>
        <v>27.3</v>
      </c>
      <c r="L841" s="1" t="str">
        <f t="shared" si="13"/>
        <v>"27.3"</v>
      </c>
      <c r="M841">
        <v>100</v>
      </c>
      <c r="N841">
        <f>0.029*stand_validation_1cycle[[#This Row],[stand_level_biomass]]</f>
        <v>26.256376338227899</v>
      </c>
      <c r="O841">
        <f>0.213*stand_validation_1cycle[[#This Row],[stand_level_biomass]]</f>
        <v>192.84855724284628</v>
      </c>
      <c r="P841">
        <f>0.571*stand_validation_1cycle[[#This Row],[stand_level_biomass]]</f>
        <v>516.97899617683208</v>
      </c>
      <c r="Q841">
        <f>stand_validation_1cycle[[#This Row],[stock]]</f>
        <v>97</v>
      </c>
      <c r="R841">
        <v>0</v>
      </c>
      <c r="S841">
        <f>stand_validation_1cycle[[#This Row],[aws]]</f>
        <v>570.34173583984295</v>
      </c>
      <c r="T841">
        <f>stand_validation_1cycle[[#This Row],[percent_tree_cover]]*100</f>
        <v>7.6752850780858308</v>
      </c>
    </row>
    <row r="842" spans="1:20" x14ac:dyDescent="0.2">
      <c r="A842">
        <v>1</v>
      </c>
      <c r="B842" t="s">
        <v>860</v>
      </c>
      <c r="C842">
        <v>27.2380920314253</v>
      </c>
      <c r="D842">
        <v>853.91151386561</v>
      </c>
      <c r="E842">
        <v>7.5519646242216201</v>
      </c>
      <c r="F842">
        <v>26.668467301587299</v>
      </c>
      <c r="G842">
        <v>99</v>
      </c>
      <c r="H842">
        <v>571.3525390625</v>
      </c>
      <c r="I842">
        <v>7.47766656380911E-2</v>
      </c>
      <c r="K842" s="1" t="str">
        <f>TEXT(stand_validation_1cycle[[#This Row],[stand_age]], ".0")</f>
        <v>27.2</v>
      </c>
      <c r="L842" s="1" t="str">
        <f t="shared" si="13"/>
        <v>"27.2"</v>
      </c>
      <c r="M842">
        <v>100</v>
      </c>
      <c r="N842">
        <f>0.029*stand_validation_1cycle[[#This Row],[stand_level_biomass]]</f>
        <v>24.76343390210269</v>
      </c>
      <c r="O842">
        <f>0.213*stand_validation_1cycle[[#This Row],[stand_level_biomass]]</f>
        <v>181.88315245337492</v>
      </c>
      <c r="P842">
        <f>0.571*stand_validation_1cycle[[#This Row],[stand_level_biomass]]</f>
        <v>487.58347441726329</v>
      </c>
      <c r="Q842">
        <f>stand_validation_1cycle[[#This Row],[stock]]</f>
        <v>99</v>
      </c>
      <c r="R842">
        <v>0</v>
      </c>
      <c r="S842">
        <f>stand_validation_1cycle[[#This Row],[aws]]</f>
        <v>571.3525390625</v>
      </c>
      <c r="T842">
        <f>stand_validation_1cycle[[#This Row],[percent_tree_cover]]*100</f>
        <v>7.4776665638091098</v>
      </c>
    </row>
    <row r="843" spans="1:20" x14ac:dyDescent="0.2">
      <c r="A843">
        <v>1</v>
      </c>
      <c r="B843" t="s">
        <v>861</v>
      </c>
      <c r="C843">
        <v>27.232511111111101</v>
      </c>
      <c r="D843">
        <v>761.21338404855896</v>
      </c>
      <c r="E843">
        <v>6.9601898846483801</v>
      </c>
      <c r="F843">
        <v>25.922714971428501</v>
      </c>
      <c r="G843">
        <v>100</v>
      </c>
      <c r="H843">
        <v>566.72247314453102</v>
      </c>
      <c r="I843">
        <v>6.9349093276230706E-2</v>
      </c>
      <c r="K843" s="1" t="str">
        <f>TEXT(stand_validation_1cycle[[#This Row],[stand_age]], ".0")</f>
        <v>27.2</v>
      </c>
      <c r="L843" s="1" t="str">
        <f t="shared" si="13"/>
        <v>"27.2"</v>
      </c>
      <c r="M843">
        <v>100</v>
      </c>
      <c r="N843">
        <f>0.029*stand_validation_1cycle[[#This Row],[stand_level_biomass]]</f>
        <v>22.075188137408212</v>
      </c>
      <c r="O843">
        <f>0.213*stand_validation_1cycle[[#This Row],[stand_level_biomass]]</f>
        <v>162.13845080234304</v>
      </c>
      <c r="P843">
        <f>0.571*stand_validation_1cycle[[#This Row],[stand_level_biomass]]</f>
        <v>434.65284229172715</v>
      </c>
      <c r="Q843">
        <f>stand_validation_1cycle[[#This Row],[stock]]</f>
        <v>100</v>
      </c>
      <c r="R843">
        <v>0</v>
      </c>
      <c r="S843">
        <f>stand_validation_1cycle[[#This Row],[aws]]</f>
        <v>566.72247314453102</v>
      </c>
      <c r="T843">
        <f>stand_validation_1cycle[[#This Row],[percent_tree_cover]]*100</f>
        <v>6.9349093276230702</v>
      </c>
    </row>
    <row r="844" spans="1:20" x14ac:dyDescent="0.2">
      <c r="A844">
        <v>1</v>
      </c>
      <c r="B844" t="s">
        <v>862</v>
      </c>
      <c r="C844">
        <v>28.425366666666601</v>
      </c>
      <c r="D844">
        <v>884.32135554560705</v>
      </c>
      <c r="E844">
        <v>7.8275875432953397</v>
      </c>
      <c r="F844">
        <v>27.061304685714202</v>
      </c>
      <c r="G844">
        <v>100</v>
      </c>
      <c r="H844">
        <v>571.43267822265602</v>
      </c>
      <c r="I844">
        <v>7.7985345991253799E-2</v>
      </c>
      <c r="K844" s="1" t="str">
        <f>TEXT(stand_validation_1cycle[[#This Row],[stand_age]], ".0")</f>
        <v>28.4</v>
      </c>
      <c r="L844" s="1" t="str">
        <f t="shared" si="13"/>
        <v>"28.4"</v>
      </c>
      <c r="M844">
        <v>100</v>
      </c>
      <c r="N844">
        <f>0.029*stand_validation_1cycle[[#This Row],[stand_level_biomass]]</f>
        <v>25.645319310822607</v>
      </c>
      <c r="O844">
        <f>0.213*stand_validation_1cycle[[#This Row],[stand_level_biomass]]</f>
        <v>188.36044873121429</v>
      </c>
      <c r="P844">
        <f>0.571*stand_validation_1cycle[[#This Row],[stand_level_biomass]]</f>
        <v>504.94749401654155</v>
      </c>
      <c r="Q844">
        <f>stand_validation_1cycle[[#This Row],[stock]]</f>
        <v>100</v>
      </c>
      <c r="R844">
        <v>0</v>
      </c>
      <c r="S844">
        <f>stand_validation_1cycle[[#This Row],[aws]]</f>
        <v>571.43267822265602</v>
      </c>
      <c r="T844">
        <f>stand_validation_1cycle[[#This Row],[percent_tree_cover]]*100</f>
        <v>7.7985345991253796</v>
      </c>
    </row>
    <row r="845" spans="1:20" x14ac:dyDescent="0.2">
      <c r="A845">
        <v>1</v>
      </c>
      <c r="B845" t="s">
        <v>863</v>
      </c>
      <c r="C845">
        <v>28.3876744186046</v>
      </c>
      <c r="D845">
        <v>803.67328060778004</v>
      </c>
      <c r="E845">
        <v>3.1208220137605802</v>
      </c>
      <c r="F845">
        <v>26.804653820597999</v>
      </c>
      <c r="G845">
        <v>43</v>
      </c>
      <c r="H845">
        <v>573.554931640625</v>
      </c>
      <c r="I845">
        <v>6.9668507454440601E-2</v>
      </c>
      <c r="K845" s="1" t="str">
        <f>TEXT(stand_validation_1cycle[[#This Row],[stand_age]], ".0")</f>
        <v>28.4</v>
      </c>
      <c r="L845" s="1" t="str">
        <f t="shared" si="13"/>
        <v>"28.4"</v>
      </c>
      <c r="M845">
        <v>100</v>
      </c>
      <c r="N845">
        <f>0.029*stand_validation_1cycle[[#This Row],[stand_level_biomass]]</f>
        <v>23.306525137625624</v>
      </c>
      <c r="O845">
        <f>0.213*stand_validation_1cycle[[#This Row],[stand_level_biomass]]</f>
        <v>171.18240876945714</v>
      </c>
      <c r="P845">
        <f>0.571*stand_validation_1cycle[[#This Row],[stand_level_biomass]]</f>
        <v>458.89744322704234</v>
      </c>
      <c r="Q845">
        <f>stand_validation_1cycle[[#This Row],[stock]]</f>
        <v>43</v>
      </c>
      <c r="R845">
        <v>0</v>
      </c>
      <c r="S845">
        <f>stand_validation_1cycle[[#This Row],[aws]]</f>
        <v>573.554931640625</v>
      </c>
      <c r="T845">
        <f>stand_validation_1cycle[[#This Row],[percent_tree_cover]]*100</f>
        <v>6.9668507454440602</v>
      </c>
    </row>
    <row r="846" spans="1:20" x14ac:dyDescent="0.2">
      <c r="A846">
        <v>1</v>
      </c>
      <c r="B846" t="s">
        <v>864</v>
      </c>
      <c r="C846">
        <v>23.424761904761901</v>
      </c>
      <c r="D846">
        <v>332.909074658262</v>
      </c>
      <c r="E846">
        <v>0.28198621499356602</v>
      </c>
      <c r="F846">
        <v>22.502961632653001</v>
      </c>
      <c r="G846">
        <v>7</v>
      </c>
      <c r="H846">
        <v>571.248291015625</v>
      </c>
      <c r="I846">
        <v>3.7008155941277002E-2</v>
      </c>
      <c r="K846" s="1" t="str">
        <f>TEXT(stand_validation_1cycle[[#This Row],[stand_age]], ".0")</f>
        <v>23.4</v>
      </c>
      <c r="L846" s="1" t="str">
        <f t="shared" si="13"/>
        <v>"23.4"</v>
      </c>
      <c r="M846">
        <v>100</v>
      </c>
      <c r="N846">
        <f>0.029*stand_validation_1cycle[[#This Row],[stand_level_biomass]]</f>
        <v>9.6543631650895989</v>
      </c>
      <c r="O846">
        <f>0.213*stand_validation_1cycle[[#This Row],[stand_level_biomass]]</f>
        <v>70.909632902209808</v>
      </c>
      <c r="P846">
        <f>0.571*stand_validation_1cycle[[#This Row],[stand_level_biomass]]</f>
        <v>190.09108162986757</v>
      </c>
      <c r="Q846">
        <f>stand_validation_1cycle[[#This Row],[stock]]</f>
        <v>7</v>
      </c>
      <c r="R846">
        <v>0</v>
      </c>
      <c r="S846">
        <f>stand_validation_1cycle[[#This Row],[aws]]</f>
        <v>571.248291015625</v>
      </c>
      <c r="T846">
        <f>stand_validation_1cycle[[#This Row],[percent_tree_cover]]*100</f>
        <v>3.7008155941277003</v>
      </c>
    </row>
    <row r="847" spans="1:20" x14ac:dyDescent="0.2">
      <c r="A847">
        <v>1</v>
      </c>
      <c r="B847" t="s">
        <v>865</v>
      </c>
      <c r="C847">
        <v>27.167104377104302</v>
      </c>
      <c r="D847">
        <v>783.32822807330797</v>
      </c>
      <c r="E847">
        <v>7.0456631959746003</v>
      </c>
      <c r="F847">
        <v>26.200199190904701</v>
      </c>
      <c r="G847">
        <v>99</v>
      </c>
      <c r="H847">
        <v>569.1328125</v>
      </c>
      <c r="I847">
        <v>7.1112894680563102E-2</v>
      </c>
      <c r="K847" s="1" t="str">
        <f>TEXT(stand_validation_1cycle[[#This Row],[stand_age]], ".0")</f>
        <v>27.2</v>
      </c>
      <c r="L847" s="1" t="str">
        <f t="shared" si="13"/>
        <v>"27.2"</v>
      </c>
      <c r="M847">
        <v>100</v>
      </c>
      <c r="N847">
        <f>0.029*stand_validation_1cycle[[#This Row],[stand_level_biomass]]</f>
        <v>22.716518614125931</v>
      </c>
      <c r="O847">
        <f>0.213*stand_validation_1cycle[[#This Row],[stand_level_biomass]]</f>
        <v>166.84891257961459</v>
      </c>
      <c r="P847">
        <f>0.571*stand_validation_1cycle[[#This Row],[stand_level_biomass]]</f>
        <v>447.28041822985881</v>
      </c>
      <c r="Q847">
        <f>stand_validation_1cycle[[#This Row],[stock]]</f>
        <v>99</v>
      </c>
      <c r="R847">
        <v>0</v>
      </c>
      <c r="S847">
        <f>stand_validation_1cycle[[#This Row],[aws]]</f>
        <v>569.1328125</v>
      </c>
      <c r="T847">
        <f>stand_validation_1cycle[[#This Row],[percent_tree_cover]]*100</f>
        <v>7.1112894680563103</v>
      </c>
    </row>
    <row r="848" spans="1:20" x14ac:dyDescent="0.2">
      <c r="A848">
        <v>1</v>
      </c>
      <c r="B848" t="s">
        <v>866</v>
      </c>
      <c r="C848">
        <v>27.947433333333301</v>
      </c>
      <c r="D848">
        <v>671.25150791209205</v>
      </c>
      <c r="E848">
        <v>6.2798567897630999</v>
      </c>
      <c r="F848">
        <v>24.9260950659699</v>
      </c>
      <c r="G848">
        <v>100</v>
      </c>
      <c r="H848">
        <v>570.256591796875</v>
      </c>
      <c r="I848">
        <v>6.2566647762614697E-2</v>
      </c>
      <c r="K848" s="1" t="str">
        <f>TEXT(stand_validation_1cycle[[#This Row],[stand_age]], ".0")</f>
        <v>27.9</v>
      </c>
      <c r="L848" s="1" t="str">
        <f t="shared" si="13"/>
        <v>"27.9"</v>
      </c>
      <c r="M848">
        <v>100</v>
      </c>
      <c r="N848">
        <f>0.029*stand_validation_1cycle[[#This Row],[stand_level_biomass]]</f>
        <v>19.466293729450669</v>
      </c>
      <c r="O848">
        <f>0.213*stand_validation_1cycle[[#This Row],[stand_level_biomass]]</f>
        <v>142.97657118527562</v>
      </c>
      <c r="P848">
        <f>0.571*stand_validation_1cycle[[#This Row],[stand_level_biomass]]</f>
        <v>383.28461101780454</v>
      </c>
      <c r="Q848">
        <f>stand_validation_1cycle[[#This Row],[stock]]</f>
        <v>100</v>
      </c>
      <c r="R848">
        <v>0</v>
      </c>
      <c r="S848">
        <f>stand_validation_1cycle[[#This Row],[aws]]</f>
        <v>570.256591796875</v>
      </c>
      <c r="T848">
        <f>stand_validation_1cycle[[#This Row],[percent_tree_cover]]*100</f>
        <v>6.25666477626147</v>
      </c>
    </row>
    <row r="849" spans="1:20" x14ac:dyDescent="0.2">
      <c r="A849">
        <v>1</v>
      </c>
      <c r="B849" t="s">
        <v>867</v>
      </c>
      <c r="C849">
        <v>25.782133333333299</v>
      </c>
      <c r="D849">
        <v>732.81231409423197</v>
      </c>
      <c r="E849">
        <v>6.6197449135568203</v>
      </c>
      <c r="F849">
        <v>24.5088692657121</v>
      </c>
      <c r="G849">
        <v>100</v>
      </c>
      <c r="H849">
        <v>570.256591796875</v>
      </c>
      <c r="I849">
        <v>6.5959552741548994E-2</v>
      </c>
      <c r="K849" s="1" t="str">
        <f>TEXT(stand_validation_1cycle[[#This Row],[stand_age]], ".0")</f>
        <v>25.8</v>
      </c>
      <c r="L849" s="1" t="str">
        <f t="shared" si="13"/>
        <v>"25.8"</v>
      </c>
      <c r="M849">
        <v>100</v>
      </c>
      <c r="N849">
        <f>0.029*stand_validation_1cycle[[#This Row],[stand_level_biomass]]</f>
        <v>21.25155710873273</v>
      </c>
      <c r="O849">
        <f>0.213*stand_validation_1cycle[[#This Row],[stand_level_biomass]]</f>
        <v>156.08902290207141</v>
      </c>
      <c r="P849">
        <f>0.571*stand_validation_1cycle[[#This Row],[stand_level_biomass]]</f>
        <v>418.43583134780641</v>
      </c>
      <c r="Q849">
        <f>stand_validation_1cycle[[#This Row],[stock]]</f>
        <v>100</v>
      </c>
      <c r="R849">
        <v>0</v>
      </c>
      <c r="S849">
        <f>stand_validation_1cycle[[#This Row],[aws]]</f>
        <v>570.256591796875</v>
      </c>
      <c r="T849">
        <f>stand_validation_1cycle[[#This Row],[percent_tree_cover]]*100</f>
        <v>6.5959552741548997</v>
      </c>
    </row>
    <row r="850" spans="1:20" x14ac:dyDescent="0.2">
      <c r="A850">
        <v>1</v>
      </c>
      <c r="B850" t="s">
        <v>868</v>
      </c>
      <c r="C850">
        <v>28.171661054994299</v>
      </c>
      <c r="D850">
        <v>965.33409132997599</v>
      </c>
      <c r="E850">
        <v>8.3746354282594293</v>
      </c>
      <c r="F850">
        <v>28.403726867480501</v>
      </c>
      <c r="G850">
        <v>99</v>
      </c>
      <c r="H850">
        <v>570.62615966796795</v>
      </c>
      <c r="I850">
        <v>8.3157871745227194E-2</v>
      </c>
      <c r="K850" s="1" t="str">
        <f>TEXT(stand_validation_1cycle[[#This Row],[stand_age]], ".0")</f>
        <v>28.2</v>
      </c>
      <c r="L850" s="1" t="str">
        <f t="shared" si="13"/>
        <v>"28.2"</v>
      </c>
      <c r="M850">
        <v>100</v>
      </c>
      <c r="N850">
        <f>0.029*stand_validation_1cycle[[#This Row],[stand_level_biomass]]</f>
        <v>27.994688648569305</v>
      </c>
      <c r="O850">
        <f>0.213*stand_validation_1cycle[[#This Row],[stand_level_biomass]]</f>
        <v>205.61616145328489</v>
      </c>
      <c r="P850">
        <f>0.571*stand_validation_1cycle[[#This Row],[stand_level_biomass]]</f>
        <v>551.20576614941626</v>
      </c>
      <c r="Q850">
        <f>stand_validation_1cycle[[#This Row],[stock]]</f>
        <v>99</v>
      </c>
      <c r="R850">
        <v>0</v>
      </c>
      <c r="S850">
        <f>stand_validation_1cycle[[#This Row],[aws]]</f>
        <v>570.62615966796795</v>
      </c>
      <c r="T850">
        <f>stand_validation_1cycle[[#This Row],[percent_tree_cover]]*100</f>
        <v>8.3157871745227201</v>
      </c>
    </row>
    <row r="851" spans="1:20" x14ac:dyDescent="0.2">
      <c r="A851">
        <v>1</v>
      </c>
      <c r="B851" t="s">
        <v>869</v>
      </c>
      <c r="C851">
        <v>27.9599333333333</v>
      </c>
      <c r="D851">
        <v>708.99688721957898</v>
      </c>
      <c r="E851">
        <v>6.5510382822228097</v>
      </c>
      <c r="F851">
        <v>25.464485865942802</v>
      </c>
      <c r="G851">
        <v>100</v>
      </c>
      <c r="H851">
        <v>643.83642578125</v>
      </c>
      <c r="I851">
        <v>6.5262857242080405E-2</v>
      </c>
      <c r="K851" s="1" t="str">
        <f>TEXT(stand_validation_1cycle[[#This Row],[stand_age]], ".0")</f>
        <v>28.0</v>
      </c>
      <c r="L851" s="1" t="str">
        <f t="shared" si="13"/>
        <v>"28.0"</v>
      </c>
      <c r="M851">
        <v>100</v>
      </c>
      <c r="N851">
        <f>0.029*stand_validation_1cycle[[#This Row],[stand_level_biomass]]</f>
        <v>20.56090972936779</v>
      </c>
      <c r="O851">
        <f>0.213*stand_validation_1cycle[[#This Row],[stand_level_biomass]]</f>
        <v>151.01633697777032</v>
      </c>
      <c r="P851">
        <f>0.571*stand_validation_1cycle[[#This Row],[stand_level_biomass]]</f>
        <v>404.83722260237954</v>
      </c>
      <c r="Q851">
        <f>stand_validation_1cycle[[#This Row],[stock]]</f>
        <v>100</v>
      </c>
      <c r="R851">
        <v>0</v>
      </c>
      <c r="S851">
        <f>stand_validation_1cycle[[#This Row],[aws]]</f>
        <v>643.83642578125</v>
      </c>
      <c r="T851">
        <f>stand_validation_1cycle[[#This Row],[percent_tree_cover]]*100</f>
        <v>6.5262857242080408</v>
      </c>
    </row>
    <row r="852" spans="1:20" x14ac:dyDescent="0.2">
      <c r="A852">
        <v>1</v>
      </c>
      <c r="B852" t="s">
        <v>870</v>
      </c>
      <c r="C852">
        <v>27.7119079685746</v>
      </c>
      <c r="D852">
        <v>823.16090761822898</v>
      </c>
      <c r="E852">
        <v>7.2596771269169302</v>
      </c>
      <c r="F852">
        <v>26.2202282819235</v>
      </c>
      <c r="G852">
        <v>99</v>
      </c>
      <c r="H852">
        <v>568.08978271484295</v>
      </c>
      <c r="I852">
        <v>7.2131260719856399E-2</v>
      </c>
      <c r="K852" s="1" t="str">
        <f>TEXT(stand_validation_1cycle[[#This Row],[stand_age]], ".0")</f>
        <v>27.7</v>
      </c>
      <c r="L852" s="1" t="str">
        <f t="shared" si="13"/>
        <v>"27.7"</v>
      </c>
      <c r="M852">
        <v>100</v>
      </c>
      <c r="N852">
        <f>0.029*stand_validation_1cycle[[#This Row],[stand_level_biomass]]</f>
        <v>23.871666320928643</v>
      </c>
      <c r="O852">
        <f>0.213*stand_validation_1cycle[[#This Row],[stand_level_biomass]]</f>
        <v>175.33327332268277</v>
      </c>
      <c r="P852">
        <f>0.571*stand_validation_1cycle[[#This Row],[stand_level_biomass]]</f>
        <v>470.02487825000873</v>
      </c>
      <c r="Q852">
        <f>stand_validation_1cycle[[#This Row],[stock]]</f>
        <v>99</v>
      </c>
      <c r="R852">
        <v>0</v>
      </c>
      <c r="S852">
        <f>stand_validation_1cycle[[#This Row],[aws]]</f>
        <v>568.08978271484295</v>
      </c>
      <c r="T852">
        <f>stand_validation_1cycle[[#This Row],[percent_tree_cover]]*100</f>
        <v>7.2131260719856396</v>
      </c>
    </row>
    <row r="853" spans="1:20" x14ac:dyDescent="0.2">
      <c r="A853">
        <v>1</v>
      </c>
      <c r="B853" t="s">
        <v>871</v>
      </c>
      <c r="C853">
        <v>25.981212121212099</v>
      </c>
      <c r="D853">
        <v>801.385379682294</v>
      </c>
      <c r="E853">
        <v>7.1569046356437296</v>
      </c>
      <c r="F853">
        <v>26.203049157079299</v>
      </c>
      <c r="G853">
        <v>99</v>
      </c>
      <c r="H853">
        <v>570.27642822265602</v>
      </c>
      <c r="I853">
        <v>7.17793078426264E-2</v>
      </c>
      <c r="K853" s="1" t="str">
        <f>TEXT(stand_validation_1cycle[[#This Row],[stand_age]], ".0")</f>
        <v>26.0</v>
      </c>
      <c r="L853" s="1" t="str">
        <f t="shared" si="13"/>
        <v>"26.0"</v>
      </c>
      <c r="M853">
        <v>100</v>
      </c>
      <c r="N853">
        <f>0.029*stand_validation_1cycle[[#This Row],[stand_level_biomass]]</f>
        <v>23.240176010786527</v>
      </c>
      <c r="O853">
        <f>0.213*stand_validation_1cycle[[#This Row],[stand_level_biomass]]</f>
        <v>170.6950858723286</v>
      </c>
      <c r="P853">
        <f>0.571*stand_validation_1cycle[[#This Row],[stand_level_biomass]]</f>
        <v>457.59105179858983</v>
      </c>
      <c r="Q853">
        <f>stand_validation_1cycle[[#This Row],[stock]]</f>
        <v>99</v>
      </c>
      <c r="R853">
        <v>0</v>
      </c>
      <c r="S853">
        <f>stand_validation_1cycle[[#This Row],[aws]]</f>
        <v>570.27642822265602</v>
      </c>
      <c r="T853">
        <f>stand_validation_1cycle[[#This Row],[percent_tree_cover]]*100</f>
        <v>7.1779307842626396</v>
      </c>
    </row>
    <row r="854" spans="1:20" x14ac:dyDescent="0.2">
      <c r="A854">
        <v>1</v>
      </c>
      <c r="B854" t="s">
        <v>872</v>
      </c>
      <c r="C854">
        <v>26.758059964726598</v>
      </c>
      <c r="D854">
        <v>848.35859400921299</v>
      </c>
      <c r="E854">
        <v>4.8508790239347199</v>
      </c>
      <c r="F854">
        <v>27.9785107922505</v>
      </c>
      <c r="G854">
        <v>63</v>
      </c>
      <c r="H854">
        <v>575.00866699218705</v>
      </c>
      <c r="I854">
        <v>7.7451100994945996E-2</v>
      </c>
      <c r="K854" s="1" t="str">
        <f>TEXT(stand_validation_1cycle[[#This Row],[stand_age]], ".0")</f>
        <v>26.8</v>
      </c>
      <c r="L854" s="1" t="str">
        <f t="shared" si="13"/>
        <v>"26.8"</v>
      </c>
      <c r="M854">
        <v>100</v>
      </c>
      <c r="N854">
        <f>0.029*stand_validation_1cycle[[#This Row],[stand_level_biomass]]</f>
        <v>24.602399226267178</v>
      </c>
      <c r="O854">
        <f>0.213*stand_validation_1cycle[[#This Row],[stand_level_biomass]]</f>
        <v>180.70038052396237</v>
      </c>
      <c r="P854">
        <f>0.571*stand_validation_1cycle[[#This Row],[stand_level_biomass]]</f>
        <v>484.41275717926055</v>
      </c>
      <c r="Q854">
        <f>stand_validation_1cycle[[#This Row],[stock]]</f>
        <v>63</v>
      </c>
      <c r="R854">
        <v>0</v>
      </c>
      <c r="S854">
        <f>stand_validation_1cycle[[#This Row],[aws]]</f>
        <v>575.00866699218705</v>
      </c>
      <c r="T854">
        <f>stand_validation_1cycle[[#This Row],[percent_tree_cover]]*100</f>
        <v>7.7451100994945996</v>
      </c>
    </row>
    <row r="855" spans="1:20" x14ac:dyDescent="0.2">
      <c r="A855">
        <v>1</v>
      </c>
      <c r="B855" t="s">
        <v>873</v>
      </c>
      <c r="C855">
        <v>29.8586629001883</v>
      </c>
      <c r="D855">
        <v>1213.4190274144901</v>
      </c>
      <c r="E855">
        <v>6.1676595205291198</v>
      </c>
      <c r="F855">
        <v>32.676874769975697</v>
      </c>
      <c r="G855">
        <v>59</v>
      </c>
      <c r="H855">
        <v>570.22802734375</v>
      </c>
      <c r="I855">
        <v>9.9250303445327606E-2</v>
      </c>
      <c r="K855" s="1" t="str">
        <f>TEXT(stand_validation_1cycle[[#This Row],[stand_age]], ".0")</f>
        <v>29.9</v>
      </c>
      <c r="L855" s="1" t="str">
        <f t="shared" si="13"/>
        <v>"29.9"</v>
      </c>
      <c r="M855">
        <v>100</v>
      </c>
      <c r="N855">
        <f>0.029*stand_validation_1cycle[[#This Row],[stand_level_biomass]]</f>
        <v>35.189151795020216</v>
      </c>
      <c r="O855">
        <f>0.213*stand_validation_1cycle[[#This Row],[stand_level_biomass]]</f>
        <v>258.45825283928639</v>
      </c>
      <c r="P855">
        <f>0.571*stand_validation_1cycle[[#This Row],[stand_level_biomass]]</f>
        <v>692.86226465367372</v>
      </c>
      <c r="Q855">
        <f>stand_validation_1cycle[[#This Row],[stock]]</f>
        <v>59</v>
      </c>
      <c r="R855">
        <v>0</v>
      </c>
      <c r="S855">
        <f>stand_validation_1cycle[[#This Row],[aws]]</f>
        <v>570.22802734375</v>
      </c>
      <c r="T855">
        <f>stand_validation_1cycle[[#This Row],[percent_tree_cover]]*100</f>
        <v>9.925030344532761</v>
      </c>
    </row>
    <row r="856" spans="1:20" x14ac:dyDescent="0.2">
      <c r="A856">
        <v>1</v>
      </c>
      <c r="B856" t="s">
        <v>874</v>
      </c>
      <c r="C856">
        <v>24.356818713450298</v>
      </c>
      <c r="D856">
        <v>605.49218894591695</v>
      </c>
      <c r="E856">
        <v>5.4554298354319499</v>
      </c>
      <c r="F856">
        <v>23.721865142857101</v>
      </c>
      <c r="G856">
        <v>95</v>
      </c>
      <c r="H856">
        <v>558</v>
      </c>
      <c r="I856">
        <v>5.6861674850754003E-2</v>
      </c>
      <c r="K856" s="1" t="str">
        <f>TEXT(stand_validation_1cycle[[#This Row],[stand_age]], ".0")</f>
        <v>24.4</v>
      </c>
      <c r="L856" s="1" t="str">
        <f t="shared" si="13"/>
        <v>"24.4"</v>
      </c>
      <c r="M856">
        <v>100</v>
      </c>
      <c r="N856">
        <f>0.029*stand_validation_1cycle[[#This Row],[stand_level_biomass]]</f>
        <v>17.559273479431592</v>
      </c>
      <c r="O856">
        <f>0.213*stand_validation_1cycle[[#This Row],[stand_level_biomass]]</f>
        <v>128.96983624548031</v>
      </c>
      <c r="P856">
        <f>0.571*stand_validation_1cycle[[#This Row],[stand_level_biomass]]</f>
        <v>345.73603988811857</v>
      </c>
      <c r="Q856">
        <f>stand_validation_1cycle[[#This Row],[stock]]</f>
        <v>95</v>
      </c>
      <c r="R856">
        <v>0</v>
      </c>
      <c r="S856">
        <f>stand_validation_1cycle[[#This Row],[aws]]</f>
        <v>558</v>
      </c>
      <c r="T856">
        <f>stand_validation_1cycle[[#This Row],[percent_tree_cover]]*100</f>
        <v>5.6861674850754005</v>
      </c>
    </row>
    <row r="857" spans="1:20" x14ac:dyDescent="0.2">
      <c r="A857">
        <v>1</v>
      </c>
      <c r="B857" t="s">
        <v>875</v>
      </c>
      <c r="C857">
        <v>25.083425925925901</v>
      </c>
      <c r="D857">
        <v>656.627850030015</v>
      </c>
      <c r="E857">
        <v>5.8519805097239699</v>
      </c>
      <c r="F857">
        <v>24.179109761904702</v>
      </c>
      <c r="G857">
        <v>96</v>
      </c>
      <c r="H857">
        <v>608.16455078125</v>
      </c>
      <c r="I857">
        <v>6.0507266981094397E-2</v>
      </c>
      <c r="K857" s="1" t="str">
        <f>TEXT(stand_validation_1cycle[[#This Row],[stand_age]], ".0")</f>
        <v>25.1</v>
      </c>
      <c r="L857" s="1" t="str">
        <f t="shared" si="13"/>
        <v>"25.1"</v>
      </c>
      <c r="M857">
        <v>100</v>
      </c>
      <c r="N857">
        <f>0.029*stand_validation_1cycle[[#This Row],[stand_level_biomass]]</f>
        <v>19.042207650870434</v>
      </c>
      <c r="O857">
        <f>0.213*stand_validation_1cycle[[#This Row],[stand_level_biomass]]</f>
        <v>139.86173205639318</v>
      </c>
      <c r="P857">
        <f>0.571*stand_validation_1cycle[[#This Row],[stand_level_biomass]]</f>
        <v>374.93450236713852</v>
      </c>
      <c r="Q857">
        <f>stand_validation_1cycle[[#This Row],[stock]]</f>
        <v>96</v>
      </c>
      <c r="R857">
        <v>0</v>
      </c>
      <c r="S857">
        <f>stand_validation_1cycle[[#This Row],[aws]]</f>
        <v>608.16455078125</v>
      </c>
      <c r="T857">
        <f>stand_validation_1cycle[[#This Row],[percent_tree_cover]]*100</f>
        <v>6.0507266981094396</v>
      </c>
    </row>
    <row r="858" spans="1:20" x14ac:dyDescent="0.2">
      <c r="A858">
        <v>1</v>
      </c>
      <c r="B858" t="s">
        <v>876</v>
      </c>
      <c r="C858">
        <v>29.398222222222198</v>
      </c>
      <c r="D858">
        <v>1117.8560188865499</v>
      </c>
      <c r="E858">
        <v>6.6058818505746899</v>
      </c>
      <c r="F858">
        <v>29.042757551020401</v>
      </c>
      <c r="G858">
        <v>70</v>
      </c>
      <c r="H858">
        <v>567.3125</v>
      </c>
      <c r="I858">
        <v>9.2059465980985897E-2</v>
      </c>
      <c r="K858" s="1" t="str">
        <f>TEXT(stand_validation_1cycle[[#This Row],[stand_age]], ".0")</f>
        <v>29.4</v>
      </c>
      <c r="L858" s="1" t="str">
        <f t="shared" si="13"/>
        <v>"29.4"</v>
      </c>
      <c r="M858">
        <v>100</v>
      </c>
      <c r="N858">
        <f>0.029*stand_validation_1cycle[[#This Row],[stand_level_biomass]]</f>
        <v>32.417824547709948</v>
      </c>
      <c r="O858">
        <f>0.213*stand_validation_1cycle[[#This Row],[stand_level_biomass]]</f>
        <v>238.10333202283513</v>
      </c>
      <c r="P858">
        <f>0.571*stand_validation_1cycle[[#This Row],[stand_level_biomass]]</f>
        <v>638.2957867842199</v>
      </c>
      <c r="Q858">
        <f>stand_validation_1cycle[[#This Row],[stock]]</f>
        <v>70</v>
      </c>
      <c r="R858">
        <v>0</v>
      </c>
      <c r="S858">
        <f>stand_validation_1cycle[[#This Row],[aws]]</f>
        <v>567.3125</v>
      </c>
      <c r="T858">
        <f>stand_validation_1cycle[[#This Row],[percent_tree_cover]]*100</f>
        <v>9.2059465980985902</v>
      </c>
    </row>
    <row r="859" spans="1:20" x14ac:dyDescent="0.2">
      <c r="A859">
        <v>1</v>
      </c>
      <c r="B859" t="s">
        <v>877</v>
      </c>
      <c r="C859">
        <v>24.876811111111099</v>
      </c>
      <c r="D859">
        <v>546.30281355092905</v>
      </c>
      <c r="E859">
        <v>5.4965281505262098</v>
      </c>
      <c r="F859">
        <v>24.258036114285702</v>
      </c>
      <c r="G859">
        <v>100</v>
      </c>
      <c r="H859">
        <v>569.75994873046795</v>
      </c>
      <c r="I859">
        <v>5.4794656887467999E-2</v>
      </c>
      <c r="K859" s="1" t="str">
        <f>TEXT(stand_validation_1cycle[[#This Row],[stand_age]], ".0")</f>
        <v>24.9</v>
      </c>
      <c r="L859" s="1" t="str">
        <f t="shared" si="13"/>
        <v>"24.9"</v>
      </c>
      <c r="M859">
        <v>100</v>
      </c>
      <c r="N859">
        <f>0.029*stand_validation_1cycle[[#This Row],[stand_level_biomass]]</f>
        <v>15.842781592976943</v>
      </c>
      <c r="O859">
        <f>0.213*stand_validation_1cycle[[#This Row],[stand_level_biomass]]</f>
        <v>116.36249928634788</v>
      </c>
      <c r="P859">
        <f>0.571*stand_validation_1cycle[[#This Row],[stand_level_biomass]]</f>
        <v>311.93890653758046</v>
      </c>
      <c r="Q859">
        <f>stand_validation_1cycle[[#This Row],[stock]]</f>
        <v>100</v>
      </c>
      <c r="R859">
        <v>0</v>
      </c>
      <c r="S859">
        <f>stand_validation_1cycle[[#This Row],[aws]]</f>
        <v>569.75994873046795</v>
      </c>
      <c r="T859">
        <f>stand_validation_1cycle[[#This Row],[percent_tree_cover]]*100</f>
        <v>5.4794656887468003</v>
      </c>
    </row>
    <row r="860" spans="1:20" x14ac:dyDescent="0.2">
      <c r="A860">
        <v>1</v>
      </c>
      <c r="B860" t="s">
        <v>878</v>
      </c>
      <c r="C860">
        <v>29.861307189542401</v>
      </c>
      <c r="D860">
        <v>1149.1732991666099</v>
      </c>
      <c r="E860">
        <v>6.66036884816039</v>
      </c>
      <c r="F860">
        <v>30.5116352941176</v>
      </c>
      <c r="G860">
        <v>68</v>
      </c>
      <c r="H860">
        <v>567.23937988281205</v>
      </c>
      <c r="I860">
        <v>9.6330622119367104E-2</v>
      </c>
      <c r="K860" s="1" t="str">
        <f>TEXT(stand_validation_1cycle[[#This Row],[stand_age]], ".0")</f>
        <v>29.9</v>
      </c>
      <c r="L860" s="1" t="str">
        <f t="shared" si="13"/>
        <v>"29.9"</v>
      </c>
      <c r="M860">
        <v>100</v>
      </c>
      <c r="N860">
        <f>0.029*stand_validation_1cycle[[#This Row],[stand_level_biomass]]</f>
        <v>33.326025675831687</v>
      </c>
      <c r="O860">
        <f>0.213*stand_validation_1cycle[[#This Row],[stand_level_biomass]]</f>
        <v>244.77391272248792</v>
      </c>
      <c r="P860">
        <f>0.571*stand_validation_1cycle[[#This Row],[stand_level_biomass]]</f>
        <v>656.17795382413419</v>
      </c>
      <c r="Q860">
        <f>stand_validation_1cycle[[#This Row],[stock]]</f>
        <v>68</v>
      </c>
      <c r="R860">
        <v>0</v>
      </c>
      <c r="S860">
        <f>stand_validation_1cycle[[#This Row],[aws]]</f>
        <v>567.23937988281205</v>
      </c>
      <c r="T860">
        <f>stand_validation_1cycle[[#This Row],[percent_tree_cover]]*100</f>
        <v>9.6330622119367106</v>
      </c>
    </row>
    <row r="861" spans="1:20" x14ac:dyDescent="0.2">
      <c r="A861">
        <v>1</v>
      </c>
      <c r="B861" t="s">
        <v>879</v>
      </c>
      <c r="C861">
        <v>27.383194444444399</v>
      </c>
      <c r="D861">
        <v>973.44469903182596</v>
      </c>
      <c r="E861">
        <v>8.0972626420776503</v>
      </c>
      <c r="F861">
        <v>27.758659047618998</v>
      </c>
      <c r="G861">
        <v>96</v>
      </c>
      <c r="H861">
        <v>572.75311279296795</v>
      </c>
      <c r="I861">
        <v>8.2897616709708105E-2</v>
      </c>
      <c r="K861" s="1" t="str">
        <f>TEXT(stand_validation_1cycle[[#This Row],[stand_age]], ".0")</f>
        <v>27.4</v>
      </c>
      <c r="L861" s="1" t="str">
        <f t="shared" si="13"/>
        <v>"27.4"</v>
      </c>
      <c r="M861">
        <v>100</v>
      </c>
      <c r="N861">
        <f>0.029*stand_validation_1cycle[[#This Row],[stand_level_biomass]]</f>
        <v>28.229896271922954</v>
      </c>
      <c r="O861">
        <f>0.213*stand_validation_1cycle[[#This Row],[stand_level_biomass]]</f>
        <v>207.34372089377894</v>
      </c>
      <c r="P861">
        <f>0.571*stand_validation_1cycle[[#This Row],[stand_level_biomass]]</f>
        <v>555.83692314717257</v>
      </c>
      <c r="Q861">
        <f>stand_validation_1cycle[[#This Row],[stock]]</f>
        <v>96</v>
      </c>
      <c r="R861">
        <v>0</v>
      </c>
      <c r="S861">
        <f>stand_validation_1cycle[[#This Row],[aws]]</f>
        <v>572.75311279296795</v>
      </c>
      <c r="T861">
        <f>stand_validation_1cycle[[#This Row],[percent_tree_cover]]*100</f>
        <v>8.28976167097081</v>
      </c>
    </row>
    <row r="862" spans="1:20" x14ac:dyDescent="0.2">
      <c r="A862">
        <v>1</v>
      </c>
      <c r="B862" t="s">
        <v>880</v>
      </c>
      <c r="C862">
        <v>28.6856333333333</v>
      </c>
      <c r="D862">
        <v>997.14613389657495</v>
      </c>
      <c r="E862">
        <v>8.6122788483457295</v>
      </c>
      <c r="F862">
        <v>28.411496914285699</v>
      </c>
      <c r="G862">
        <v>100</v>
      </c>
      <c r="H862">
        <v>567.18762207031205</v>
      </c>
      <c r="I862">
        <v>8.5806627515099904E-2</v>
      </c>
      <c r="K862" s="1" t="str">
        <f>TEXT(stand_validation_1cycle[[#This Row],[stand_age]], ".0")</f>
        <v>28.7</v>
      </c>
      <c r="L862" s="1" t="str">
        <f t="shared" si="13"/>
        <v>"28.7"</v>
      </c>
      <c r="M862">
        <v>100</v>
      </c>
      <c r="N862">
        <f>0.029*stand_validation_1cycle[[#This Row],[stand_level_biomass]]</f>
        <v>28.917237883000674</v>
      </c>
      <c r="O862">
        <f>0.213*stand_validation_1cycle[[#This Row],[stand_level_biomass]]</f>
        <v>212.39212651997045</v>
      </c>
      <c r="P862">
        <f>0.571*stand_validation_1cycle[[#This Row],[stand_level_biomass]]</f>
        <v>569.37044245494428</v>
      </c>
      <c r="Q862">
        <f>stand_validation_1cycle[[#This Row],[stock]]</f>
        <v>100</v>
      </c>
      <c r="R862">
        <v>0</v>
      </c>
      <c r="S862">
        <f>stand_validation_1cycle[[#This Row],[aws]]</f>
        <v>567.18762207031205</v>
      </c>
      <c r="T862">
        <f>stand_validation_1cycle[[#This Row],[percent_tree_cover]]*100</f>
        <v>8.5806627515099905</v>
      </c>
    </row>
    <row r="863" spans="1:20" x14ac:dyDescent="0.2">
      <c r="A863">
        <v>1</v>
      </c>
      <c r="B863" t="s">
        <v>881</v>
      </c>
      <c r="C863">
        <v>28.4316498316498</v>
      </c>
      <c r="D863">
        <v>840.59723906700106</v>
      </c>
      <c r="E863">
        <v>7.5209735980921204</v>
      </c>
      <c r="F863">
        <v>27.4395172294372</v>
      </c>
      <c r="G863">
        <v>99</v>
      </c>
      <c r="H863">
        <v>567.18762207031205</v>
      </c>
      <c r="I863">
        <v>7.4854403508587894E-2</v>
      </c>
      <c r="K863" s="1" t="str">
        <f>TEXT(stand_validation_1cycle[[#This Row],[stand_age]], ".0")</f>
        <v>28.4</v>
      </c>
      <c r="L863" s="1" t="str">
        <f t="shared" si="13"/>
        <v>"28.4"</v>
      </c>
      <c r="M863">
        <v>100</v>
      </c>
      <c r="N863">
        <f>0.029*stand_validation_1cycle[[#This Row],[stand_level_biomass]]</f>
        <v>24.377319932943031</v>
      </c>
      <c r="O863">
        <f>0.213*stand_validation_1cycle[[#This Row],[stand_level_biomass]]</f>
        <v>179.04721192127121</v>
      </c>
      <c r="P863">
        <f>0.571*stand_validation_1cycle[[#This Row],[stand_level_biomass]]</f>
        <v>479.98102350725759</v>
      </c>
      <c r="Q863">
        <f>stand_validation_1cycle[[#This Row],[stock]]</f>
        <v>99</v>
      </c>
      <c r="R863">
        <v>0</v>
      </c>
      <c r="S863">
        <f>stand_validation_1cycle[[#This Row],[aws]]</f>
        <v>567.18762207031205</v>
      </c>
      <c r="T863">
        <f>stand_validation_1cycle[[#This Row],[percent_tree_cover]]*100</f>
        <v>7.4854403508587897</v>
      </c>
    </row>
    <row r="864" spans="1:20" x14ac:dyDescent="0.2">
      <c r="A864">
        <v>1</v>
      </c>
      <c r="B864" t="s">
        <v>882</v>
      </c>
      <c r="C864">
        <v>26.1799999999999</v>
      </c>
      <c r="D864">
        <v>689.32392197933905</v>
      </c>
      <c r="E864">
        <v>6.3795748675788602</v>
      </c>
      <c r="F864">
        <v>25.685403148688</v>
      </c>
      <c r="G864">
        <v>98</v>
      </c>
      <c r="H864">
        <v>567.18762207031205</v>
      </c>
      <c r="I864">
        <v>6.3460343820041898E-2</v>
      </c>
      <c r="K864" s="1" t="str">
        <f>TEXT(stand_validation_1cycle[[#This Row],[stand_age]], ".0")</f>
        <v>26.2</v>
      </c>
      <c r="L864" s="1" t="str">
        <f t="shared" si="13"/>
        <v>"26.2"</v>
      </c>
      <c r="M864">
        <v>100</v>
      </c>
      <c r="N864">
        <f>0.029*stand_validation_1cycle[[#This Row],[stand_level_biomass]]</f>
        <v>19.990393737400833</v>
      </c>
      <c r="O864">
        <f>0.213*stand_validation_1cycle[[#This Row],[stand_level_biomass]]</f>
        <v>146.82599538159923</v>
      </c>
      <c r="P864">
        <f>0.571*stand_validation_1cycle[[#This Row],[stand_level_biomass]]</f>
        <v>393.60395945020258</v>
      </c>
      <c r="Q864">
        <f>stand_validation_1cycle[[#This Row],[stock]]</f>
        <v>98</v>
      </c>
      <c r="R864">
        <v>0</v>
      </c>
      <c r="S864">
        <f>stand_validation_1cycle[[#This Row],[aws]]</f>
        <v>567.18762207031205</v>
      </c>
      <c r="T864">
        <f>stand_validation_1cycle[[#This Row],[percent_tree_cover]]*100</f>
        <v>6.3460343820041896</v>
      </c>
    </row>
    <row r="865" spans="1:20" x14ac:dyDescent="0.2">
      <c r="A865">
        <v>1</v>
      </c>
      <c r="B865" t="s">
        <v>883</v>
      </c>
      <c r="C865">
        <v>26.1794333333333</v>
      </c>
      <c r="D865">
        <v>692.86835340067796</v>
      </c>
      <c r="E865">
        <v>6.37014616262727</v>
      </c>
      <c r="F865">
        <v>24.6254598857142</v>
      </c>
      <c r="G865">
        <v>100</v>
      </c>
      <c r="H865">
        <v>558</v>
      </c>
      <c r="I865">
        <v>6.3466347620626501E-2</v>
      </c>
      <c r="K865" s="1" t="str">
        <f>TEXT(stand_validation_1cycle[[#This Row],[stand_age]], ".0")</f>
        <v>26.2</v>
      </c>
      <c r="L865" s="1" t="str">
        <f t="shared" si="13"/>
        <v>"26.2"</v>
      </c>
      <c r="M865">
        <v>100</v>
      </c>
      <c r="N865">
        <f>0.029*stand_validation_1cycle[[#This Row],[stand_level_biomass]]</f>
        <v>20.093182248619662</v>
      </c>
      <c r="O865">
        <f>0.213*stand_validation_1cycle[[#This Row],[stand_level_biomass]]</f>
        <v>147.58095927434439</v>
      </c>
      <c r="P865">
        <f>0.571*stand_validation_1cycle[[#This Row],[stand_level_biomass]]</f>
        <v>395.62782979178706</v>
      </c>
      <c r="Q865">
        <f>stand_validation_1cycle[[#This Row],[stock]]</f>
        <v>100</v>
      </c>
      <c r="R865">
        <v>0</v>
      </c>
      <c r="S865">
        <f>stand_validation_1cycle[[#This Row],[aws]]</f>
        <v>558</v>
      </c>
      <c r="T865">
        <f>stand_validation_1cycle[[#This Row],[percent_tree_cover]]*100</f>
        <v>6.3466347620626502</v>
      </c>
    </row>
    <row r="866" spans="1:20" x14ac:dyDescent="0.2">
      <c r="A866">
        <v>1</v>
      </c>
      <c r="B866" t="s">
        <v>884</v>
      </c>
      <c r="C866">
        <v>27.2107888888888</v>
      </c>
      <c r="D866">
        <v>921.36527993412506</v>
      </c>
      <c r="E866">
        <v>8.0774509734059503</v>
      </c>
      <c r="F866">
        <v>27.441718171428501</v>
      </c>
      <c r="G866">
        <v>100</v>
      </c>
      <c r="H866">
        <v>567.18762207031205</v>
      </c>
      <c r="I866">
        <v>8.0489943434062697E-2</v>
      </c>
      <c r="K866" s="1" t="str">
        <f>TEXT(stand_validation_1cycle[[#This Row],[stand_age]], ".0")</f>
        <v>27.2</v>
      </c>
      <c r="L866" s="1" t="str">
        <f t="shared" si="13"/>
        <v>"27.2"</v>
      </c>
      <c r="M866">
        <v>100</v>
      </c>
      <c r="N866">
        <f>0.029*stand_validation_1cycle[[#This Row],[stand_level_biomass]]</f>
        <v>26.719593118089627</v>
      </c>
      <c r="O866">
        <f>0.213*stand_validation_1cycle[[#This Row],[stand_level_biomass]]</f>
        <v>196.25080462596864</v>
      </c>
      <c r="P866">
        <f>0.571*stand_validation_1cycle[[#This Row],[stand_level_biomass]]</f>
        <v>526.09957484238532</v>
      </c>
      <c r="Q866">
        <f>stand_validation_1cycle[[#This Row],[stock]]</f>
        <v>100</v>
      </c>
      <c r="R866">
        <v>0</v>
      </c>
      <c r="S866">
        <f>stand_validation_1cycle[[#This Row],[aws]]</f>
        <v>567.18762207031205</v>
      </c>
      <c r="T866">
        <f>stand_validation_1cycle[[#This Row],[percent_tree_cover]]*100</f>
        <v>8.0489943434062692</v>
      </c>
    </row>
    <row r="867" spans="1:20" x14ac:dyDescent="0.2">
      <c r="A867">
        <v>1</v>
      </c>
      <c r="B867" t="s">
        <v>885</v>
      </c>
      <c r="C867">
        <v>29.8293999999999</v>
      </c>
      <c r="D867">
        <v>945.36311896258906</v>
      </c>
      <c r="E867">
        <v>8.2567526617206095</v>
      </c>
      <c r="F867">
        <v>27.744908342857102</v>
      </c>
      <c r="G867">
        <v>100</v>
      </c>
      <c r="H867">
        <v>567.18762207031205</v>
      </c>
      <c r="I867">
        <v>8.2250276194522798E-2</v>
      </c>
      <c r="K867" s="1" t="str">
        <f>TEXT(stand_validation_1cycle[[#This Row],[stand_age]], ".0")</f>
        <v>29.8</v>
      </c>
      <c r="L867" s="1" t="str">
        <f t="shared" si="13"/>
        <v>"29.8"</v>
      </c>
      <c r="M867">
        <v>100</v>
      </c>
      <c r="N867">
        <f>0.029*stand_validation_1cycle[[#This Row],[stand_level_biomass]]</f>
        <v>27.415530449915085</v>
      </c>
      <c r="O867">
        <f>0.213*stand_validation_1cycle[[#This Row],[stand_level_biomass]]</f>
        <v>201.36234433903147</v>
      </c>
      <c r="P867">
        <f>0.571*stand_validation_1cycle[[#This Row],[stand_level_biomass]]</f>
        <v>539.80234092763828</v>
      </c>
      <c r="Q867">
        <f>stand_validation_1cycle[[#This Row],[stock]]</f>
        <v>100</v>
      </c>
      <c r="R867">
        <v>0</v>
      </c>
      <c r="S867">
        <f>stand_validation_1cycle[[#This Row],[aws]]</f>
        <v>567.18762207031205</v>
      </c>
      <c r="T867">
        <f>stand_validation_1cycle[[#This Row],[percent_tree_cover]]*100</f>
        <v>8.2250276194522804</v>
      </c>
    </row>
    <row r="868" spans="1:20" x14ac:dyDescent="0.2">
      <c r="A868">
        <v>1</v>
      </c>
      <c r="B868" t="s">
        <v>886</v>
      </c>
      <c r="C868">
        <v>27.167474747474699</v>
      </c>
      <c r="D868">
        <v>825.52399296134399</v>
      </c>
      <c r="E868">
        <v>7.3378124632025301</v>
      </c>
      <c r="F868">
        <v>26.398835440115398</v>
      </c>
      <c r="G868">
        <v>99</v>
      </c>
      <c r="H868">
        <v>567.18762207031205</v>
      </c>
      <c r="I868">
        <v>7.2719729748782103E-2</v>
      </c>
      <c r="K868" s="1" t="str">
        <f>TEXT(stand_validation_1cycle[[#This Row],[stand_age]], ".0")</f>
        <v>27.2</v>
      </c>
      <c r="L868" s="1" t="str">
        <f t="shared" si="13"/>
        <v>"27.2"</v>
      </c>
      <c r="M868">
        <v>100</v>
      </c>
      <c r="N868">
        <f>0.029*stand_validation_1cycle[[#This Row],[stand_level_biomass]]</f>
        <v>23.940195795878978</v>
      </c>
      <c r="O868">
        <f>0.213*stand_validation_1cycle[[#This Row],[stand_level_biomass]]</f>
        <v>175.83661050076626</v>
      </c>
      <c r="P868">
        <f>0.571*stand_validation_1cycle[[#This Row],[stand_level_biomass]]</f>
        <v>471.37419998092736</v>
      </c>
      <c r="Q868">
        <f>stand_validation_1cycle[[#This Row],[stock]]</f>
        <v>99</v>
      </c>
      <c r="R868">
        <v>0</v>
      </c>
      <c r="S868">
        <f>stand_validation_1cycle[[#This Row],[aws]]</f>
        <v>567.18762207031205</v>
      </c>
      <c r="T868">
        <f>stand_validation_1cycle[[#This Row],[percent_tree_cover]]*100</f>
        <v>7.27197297487821</v>
      </c>
    </row>
    <row r="869" spans="1:20" x14ac:dyDescent="0.2">
      <c r="A869">
        <v>1</v>
      </c>
      <c r="B869" t="s">
        <v>887</v>
      </c>
      <c r="C869">
        <v>26.137811111111098</v>
      </c>
      <c r="D869">
        <v>700.89385307256305</v>
      </c>
      <c r="E869">
        <v>6.5170698116558698</v>
      </c>
      <c r="F869">
        <v>25.450573714285699</v>
      </c>
      <c r="G869">
        <v>100</v>
      </c>
      <c r="H869">
        <v>568.123046875</v>
      </c>
      <c r="I869">
        <v>6.4951839925516994E-2</v>
      </c>
      <c r="K869" s="1" t="str">
        <f>TEXT(stand_validation_1cycle[[#This Row],[stand_age]], ".0")</f>
        <v>26.1</v>
      </c>
      <c r="L869" s="1" t="str">
        <f t="shared" si="13"/>
        <v>"26.1"</v>
      </c>
      <c r="M869">
        <v>100</v>
      </c>
      <c r="N869">
        <f>0.029*stand_validation_1cycle[[#This Row],[stand_level_biomass]]</f>
        <v>20.325921739104331</v>
      </c>
      <c r="O869">
        <f>0.213*stand_validation_1cycle[[#This Row],[stand_level_biomass]]</f>
        <v>149.29039070445592</v>
      </c>
      <c r="P869">
        <f>0.571*stand_validation_1cycle[[#This Row],[stand_level_biomass]]</f>
        <v>400.21039010443349</v>
      </c>
      <c r="Q869">
        <f>stand_validation_1cycle[[#This Row],[stock]]</f>
        <v>100</v>
      </c>
      <c r="R869">
        <v>0</v>
      </c>
      <c r="S869">
        <f>stand_validation_1cycle[[#This Row],[aws]]</f>
        <v>568.123046875</v>
      </c>
      <c r="T869">
        <f>stand_validation_1cycle[[#This Row],[percent_tree_cover]]*100</f>
        <v>6.4951839925516994</v>
      </c>
    </row>
    <row r="870" spans="1:20" x14ac:dyDescent="0.2">
      <c r="A870">
        <v>1</v>
      </c>
      <c r="B870" t="s">
        <v>888</v>
      </c>
      <c r="C870">
        <v>27.871655555555499</v>
      </c>
      <c r="D870">
        <v>693.08319378155602</v>
      </c>
      <c r="E870">
        <v>6.4800909099286299</v>
      </c>
      <c r="F870">
        <v>25.5923890285714</v>
      </c>
      <c r="G870">
        <v>100</v>
      </c>
      <c r="H870">
        <v>576.53576660156205</v>
      </c>
      <c r="I870">
        <v>6.4579046878811205E-2</v>
      </c>
      <c r="K870" s="1" t="str">
        <f>TEXT(stand_validation_1cycle[[#This Row],[stand_age]], ".0")</f>
        <v>27.9</v>
      </c>
      <c r="L870" s="1" t="str">
        <f t="shared" si="13"/>
        <v>"27.9"</v>
      </c>
      <c r="M870">
        <v>100</v>
      </c>
      <c r="N870">
        <f>0.029*stand_validation_1cycle[[#This Row],[stand_level_biomass]]</f>
        <v>20.099412619665127</v>
      </c>
      <c r="O870">
        <f>0.213*stand_validation_1cycle[[#This Row],[stand_level_biomass]]</f>
        <v>147.62672027547143</v>
      </c>
      <c r="P870">
        <f>0.571*stand_validation_1cycle[[#This Row],[stand_level_biomass]]</f>
        <v>395.75050364926847</v>
      </c>
      <c r="Q870">
        <f>stand_validation_1cycle[[#This Row],[stock]]</f>
        <v>100</v>
      </c>
      <c r="R870">
        <v>0</v>
      </c>
      <c r="S870">
        <f>stand_validation_1cycle[[#This Row],[aws]]</f>
        <v>576.53576660156205</v>
      </c>
      <c r="T870">
        <f>stand_validation_1cycle[[#This Row],[percent_tree_cover]]*100</f>
        <v>6.4579046878811202</v>
      </c>
    </row>
    <row r="871" spans="1:20" x14ac:dyDescent="0.2">
      <c r="A871">
        <v>1</v>
      </c>
      <c r="B871" t="s">
        <v>889</v>
      </c>
      <c r="C871">
        <v>28.610322222222202</v>
      </c>
      <c r="D871">
        <v>1066.1338784729501</v>
      </c>
      <c r="E871">
        <v>9.0924555774836708</v>
      </c>
      <c r="F871">
        <v>28.604068342857101</v>
      </c>
      <c r="G871">
        <v>100</v>
      </c>
      <c r="H871">
        <v>576.24200439453102</v>
      </c>
      <c r="I871">
        <v>9.0585440696518804E-2</v>
      </c>
      <c r="K871" s="1" t="str">
        <f>TEXT(stand_validation_1cycle[[#This Row],[stand_age]], ".0")</f>
        <v>28.6</v>
      </c>
      <c r="L871" s="1" t="str">
        <f t="shared" si="13"/>
        <v>"28.6"</v>
      </c>
      <c r="M871">
        <v>100</v>
      </c>
      <c r="N871">
        <f>0.029*stand_validation_1cycle[[#This Row],[stand_level_biomass]]</f>
        <v>30.917882475715555</v>
      </c>
      <c r="O871">
        <f>0.213*stand_validation_1cycle[[#This Row],[stand_level_biomass]]</f>
        <v>227.08651611473837</v>
      </c>
      <c r="P871">
        <f>0.571*stand_validation_1cycle[[#This Row],[stand_level_biomass]]</f>
        <v>608.76244460805447</v>
      </c>
      <c r="Q871">
        <f>stand_validation_1cycle[[#This Row],[stock]]</f>
        <v>100</v>
      </c>
      <c r="R871">
        <v>0</v>
      </c>
      <c r="S871">
        <f>stand_validation_1cycle[[#This Row],[aws]]</f>
        <v>576.24200439453102</v>
      </c>
      <c r="T871">
        <f>stand_validation_1cycle[[#This Row],[percent_tree_cover]]*100</f>
        <v>9.0585440696518802</v>
      </c>
    </row>
    <row r="872" spans="1:20" x14ac:dyDescent="0.2">
      <c r="A872">
        <v>1</v>
      </c>
      <c r="B872" t="s">
        <v>890</v>
      </c>
      <c r="C872">
        <v>28.0089337822671</v>
      </c>
      <c r="D872">
        <v>806.49694929867701</v>
      </c>
      <c r="E872">
        <v>7.3021860171126596</v>
      </c>
      <c r="F872">
        <v>26.743912958152901</v>
      </c>
      <c r="G872">
        <v>99</v>
      </c>
      <c r="H872">
        <v>566.80090332031205</v>
      </c>
      <c r="I872">
        <v>7.2343472143919493E-2</v>
      </c>
      <c r="K872" s="1" t="str">
        <f>TEXT(stand_validation_1cycle[[#This Row],[stand_age]], ".0")</f>
        <v>28.0</v>
      </c>
      <c r="L872" s="1" t="str">
        <f t="shared" si="13"/>
        <v>"28.0"</v>
      </c>
      <c r="M872">
        <v>100</v>
      </c>
      <c r="N872">
        <f>0.029*stand_validation_1cycle[[#This Row],[stand_level_biomass]]</f>
        <v>23.388411529661635</v>
      </c>
      <c r="O872">
        <f>0.213*stand_validation_1cycle[[#This Row],[stand_level_biomass]]</f>
        <v>171.78385020061819</v>
      </c>
      <c r="P872">
        <f>0.571*stand_validation_1cycle[[#This Row],[stand_level_biomass]]</f>
        <v>460.50975804954453</v>
      </c>
      <c r="Q872">
        <f>stand_validation_1cycle[[#This Row],[stock]]</f>
        <v>99</v>
      </c>
      <c r="R872">
        <v>0</v>
      </c>
      <c r="S872">
        <f>stand_validation_1cycle[[#This Row],[aws]]</f>
        <v>566.80090332031205</v>
      </c>
      <c r="T872">
        <f>stand_validation_1cycle[[#This Row],[percent_tree_cover]]*100</f>
        <v>7.2343472143919492</v>
      </c>
    </row>
    <row r="873" spans="1:20" x14ac:dyDescent="0.2">
      <c r="A873">
        <v>1</v>
      </c>
      <c r="B873" t="s">
        <v>891</v>
      </c>
      <c r="C873">
        <v>29.921144444444401</v>
      </c>
      <c r="D873">
        <v>1183.77392166606</v>
      </c>
      <c r="E873">
        <v>9.9049028536285206</v>
      </c>
      <c r="F873">
        <v>29.7121558857142</v>
      </c>
      <c r="G873">
        <v>100</v>
      </c>
      <c r="H873">
        <v>570.11682128906205</v>
      </c>
      <c r="I873">
        <v>9.8657977966796498E-2</v>
      </c>
      <c r="K873" s="1" t="str">
        <f>TEXT(stand_validation_1cycle[[#This Row],[stand_age]], ".0")</f>
        <v>29.9</v>
      </c>
      <c r="L873" s="1" t="str">
        <f t="shared" si="13"/>
        <v>"29.9"</v>
      </c>
      <c r="M873">
        <v>100</v>
      </c>
      <c r="N873">
        <f>0.029*stand_validation_1cycle[[#This Row],[stand_level_biomass]]</f>
        <v>34.329443728315745</v>
      </c>
      <c r="O873">
        <f>0.213*stand_validation_1cycle[[#This Row],[stand_level_biomass]]</f>
        <v>252.14384531487079</v>
      </c>
      <c r="P873">
        <f>0.571*stand_validation_1cycle[[#This Row],[stand_level_biomass]]</f>
        <v>675.93490927132018</v>
      </c>
      <c r="Q873">
        <f>stand_validation_1cycle[[#This Row],[stock]]</f>
        <v>100</v>
      </c>
      <c r="R873">
        <v>0</v>
      </c>
      <c r="S873">
        <f>stand_validation_1cycle[[#This Row],[aws]]</f>
        <v>570.11682128906205</v>
      </c>
      <c r="T873">
        <f>stand_validation_1cycle[[#This Row],[percent_tree_cover]]*100</f>
        <v>9.8657977966796491</v>
      </c>
    </row>
    <row r="874" spans="1:20" x14ac:dyDescent="0.2">
      <c r="A874">
        <v>1</v>
      </c>
      <c r="B874" t="s">
        <v>892</v>
      </c>
      <c r="C874">
        <v>27.977722222222202</v>
      </c>
      <c r="D874">
        <v>863.89297823991706</v>
      </c>
      <c r="E874">
        <v>7.67811527722652</v>
      </c>
      <c r="F874">
        <v>27.162098971428499</v>
      </c>
      <c r="G874">
        <v>100</v>
      </c>
      <c r="H874">
        <v>566.72247314453102</v>
      </c>
      <c r="I874">
        <v>7.6510625245027303E-2</v>
      </c>
      <c r="K874" s="1" t="str">
        <f>TEXT(stand_validation_1cycle[[#This Row],[stand_age]], ".0")</f>
        <v>28.0</v>
      </c>
      <c r="L874" s="1" t="str">
        <f t="shared" si="13"/>
        <v>"28.0"</v>
      </c>
      <c r="M874">
        <v>100</v>
      </c>
      <c r="N874">
        <f>0.029*stand_validation_1cycle[[#This Row],[stand_level_biomass]]</f>
        <v>25.052896368957597</v>
      </c>
      <c r="O874">
        <f>0.213*stand_validation_1cycle[[#This Row],[stand_level_biomass]]</f>
        <v>184.00920436510233</v>
      </c>
      <c r="P874">
        <f>0.571*stand_validation_1cycle[[#This Row],[stand_level_biomass]]</f>
        <v>493.28289057499262</v>
      </c>
      <c r="Q874">
        <f>stand_validation_1cycle[[#This Row],[stock]]</f>
        <v>100</v>
      </c>
      <c r="R874">
        <v>0</v>
      </c>
      <c r="S874">
        <f>stand_validation_1cycle[[#This Row],[aws]]</f>
        <v>566.72247314453102</v>
      </c>
      <c r="T874">
        <f>stand_validation_1cycle[[#This Row],[percent_tree_cover]]*100</f>
        <v>7.6510625245027306</v>
      </c>
    </row>
    <row r="875" spans="1:20" x14ac:dyDescent="0.2">
      <c r="A875">
        <v>1</v>
      </c>
      <c r="B875" t="s">
        <v>893</v>
      </c>
      <c r="C875">
        <v>26.2676444444444</v>
      </c>
      <c r="D875">
        <v>696.438328482423</v>
      </c>
      <c r="E875">
        <v>6.5255151981068797</v>
      </c>
      <c r="F875">
        <v>25.6440006857142</v>
      </c>
      <c r="G875">
        <v>100</v>
      </c>
      <c r="H875">
        <v>568.58428955078102</v>
      </c>
      <c r="I875">
        <v>6.5044744248030903E-2</v>
      </c>
      <c r="K875" s="1" t="str">
        <f>TEXT(stand_validation_1cycle[[#This Row],[stand_age]], ".0")</f>
        <v>26.3</v>
      </c>
      <c r="L875" s="1" t="str">
        <f t="shared" si="13"/>
        <v>"26.3"</v>
      </c>
      <c r="M875">
        <v>100</v>
      </c>
      <c r="N875">
        <f>0.029*stand_validation_1cycle[[#This Row],[stand_level_biomass]]</f>
        <v>20.196711525990267</v>
      </c>
      <c r="O875">
        <f>0.213*stand_validation_1cycle[[#This Row],[stand_level_biomass]]</f>
        <v>148.34136396675609</v>
      </c>
      <c r="P875">
        <f>0.571*stand_validation_1cycle[[#This Row],[stand_level_biomass]]</f>
        <v>397.66628556346348</v>
      </c>
      <c r="Q875">
        <f>stand_validation_1cycle[[#This Row],[stock]]</f>
        <v>100</v>
      </c>
      <c r="R875">
        <v>0</v>
      </c>
      <c r="S875">
        <f>stand_validation_1cycle[[#This Row],[aws]]</f>
        <v>568.58428955078102</v>
      </c>
      <c r="T875">
        <f>stand_validation_1cycle[[#This Row],[percent_tree_cover]]*100</f>
        <v>6.5044744248030906</v>
      </c>
    </row>
    <row r="876" spans="1:20" x14ac:dyDescent="0.2">
      <c r="A876">
        <v>1</v>
      </c>
      <c r="B876" t="s">
        <v>894</v>
      </c>
      <c r="C876">
        <v>32.1971544715447</v>
      </c>
      <c r="D876">
        <v>1523.5971131091501</v>
      </c>
      <c r="E876">
        <v>5.0446155450944596</v>
      </c>
      <c r="F876">
        <v>32.9962826480836</v>
      </c>
      <c r="G876">
        <v>41</v>
      </c>
      <c r="H876">
        <v>568.58428955078102</v>
      </c>
      <c r="I876">
        <v>0.119426915305557</v>
      </c>
      <c r="K876" s="1" t="str">
        <f>TEXT(stand_validation_1cycle[[#This Row],[stand_age]], ".0")</f>
        <v>32.2</v>
      </c>
      <c r="L876" s="1" t="str">
        <f t="shared" si="13"/>
        <v>"32.2"</v>
      </c>
      <c r="M876">
        <v>100</v>
      </c>
      <c r="N876">
        <f>0.029*stand_validation_1cycle[[#This Row],[stand_level_biomass]]</f>
        <v>44.184316280165355</v>
      </c>
      <c r="O876">
        <f>0.213*stand_validation_1cycle[[#This Row],[stand_level_biomass]]</f>
        <v>324.52618509224897</v>
      </c>
      <c r="P876">
        <f>0.571*stand_validation_1cycle[[#This Row],[stand_level_biomass]]</f>
        <v>869.97395158532458</v>
      </c>
      <c r="Q876">
        <f>stand_validation_1cycle[[#This Row],[stock]]</f>
        <v>41</v>
      </c>
      <c r="R876">
        <v>0</v>
      </c>
      <c r="S876">
        <f>stand_validation_1cycle[[#This Row],[aws]]</f>
        <v>568.58428955078102</v>
      </c>
      <c r="T876">
        <f>stand_validation_1cycle[[#This Row],[percent_tree_cover]]*100</f>
        <v>11.942691530555701</v>
      </c>
    </row>
    <row r="877" spans="1:20" x14ac:dyDescent="0.2">
      <c r="A877">
        <v>1</v>
      </c>
      <c r="B877" t="s">
        <v>895</v>
      </c>
      <c r="C877">
        <v>25.044555555555501</v>
      </c>
      <c r="D877">
        <v>569.00376789709298</v>
      </c>
      <c r="E877">
        <v>1.12796056793753</v>
      </c>
      <c r="F877">
        <v>24.304990665671401</v>
      </c>
      <c r="G877">
        <v>20</v>
      </c>
      <c r="H877">
        <v>569.1328125</v>
      </c>
      <c r="I877">
        <v>5.89391746777405E-2</v>
      </c>
      <c r="K877" s="1" t="str">
        <f>TEXT(stand_validation_1cycle[[#This Row],[stand_age]], ".0")</f>
        <v>25.0</v>
      </c>
      <c r="L877" s="1" t="str">
        <f t="shared" si="13"/>
        <v>"25.0"</v>
      </c>
      <c r="M877">
        <v>100</v>
      </c>
      <c r="N877">
        <f>0.029*stand_validation_1cycle[[#This Row],[stand_level_biomass]]</f>
        <v>16.501109269015696</v>
      </c>
      <c r="O877">
        <f>0.213*stand_validation_1cycle[[#This Row],[stand_level_biomass]]</f>
        <v>121.19780256208081</v>
      </c>
      <c r="P877">
        <f>0.571*stand_validation_1cycle[[#This Row],[stand_level_biomass]]</f>
        <v>324.90115146924006</v>
      </c>
      <c r="Q877">
        <f>stand_validation_1cycle[[#This Row],[stock]]</f>
        <v>20</v>
      </c>
      <c r="R877">
        <v>0</v>
      </c>
      <c r="S877">
        <f>stand_validation_1cycle[[#This Row],[aws]]</f>
        <v>569.1328125</v>
      </c>
      <c r="T877">
        <f>stand_validation_1cycle[[#This Row],[percent_tree_cover]]*100</f>
        <v>5.8939174677740498</v>
      </c>
    </row>
    <row r="878" spans="1:20" x14ac:dyDescent="0.2">
      <c r="A878">
        <v>1</v>
      </c>
      <c r="B878" t="s">
        <v>896</v>
      </c>
      <c r="C878">
        <v>28.142144444444401</v>
      </c>
      <c r="D878">
        <v>873.30269338622202</v>
      </c>
      <c r="E878">
        <v>7.7123280066222799</v>
      </c>
      <c r="F878">
        <v>26.942107999077098</v>
      </c>
      <c r="G878">
        <v>100</v>
      </c>
      <c r="H878">
        <v>572.00469970703102</v>
      </c>
      <c r="I878">
        <v>7.84547343415056E-2</v>
      </c>
      <c r="K878" s="1" t="str">
        <f>TEXT(stand_validation_1cycle[[#This Row],[stand_age]], ".0")</f>
        <v>28.1</v>
      </c>
      <c r="L878" s="1" t="str">
        <f t="shared" si="13"/>
        <v>"28.1"</v>
      </c>
      <c r="M878">
        <v>100</v>
      </c>
      <c r="N878">
        <f>0.029*stand_validation_1cycle[[#This Row],[stand_level_biomass]]</f>
        <v>25.325778108200439</v>
      </c>
      <c r="O878">
        <f>0.213*stand_validation_1cycle[[#This Row],[stand_level_biomass]]</f>
        <v>186.01347369126529</v>
      </c>
      <c r="P878">
        <f>0.571*stand_validation_1cycle[[#This Row],[stand_level_biomass]]</f>
        <v>498.65583792353272</v>
      </c>
      <c r="Q878">
        <f>stand_validation_1cycle[[#This Row],[stock]]</f>
        <v>100</v>
      </c>
      <c r="R878">
        <v>0</v>
      </c>
      <c r="S878">
        <f>stand_validation_1cycle[[#This Row],[aws]]</f>
        <v>572.00469970703102</v>
      </c>
      <c r="T878">
        <f>stand_validation_1cycle[[#This Row],[percent_tree_cover]]*100</f>
        <v>7.8454734341505601</v>
      </c>
    </row>
    <row r="879" spans="1:20" x14ac:dyDescent="0.2">
      <c r="A879">
        <v>1</v>
      </c>
      <c r="B879" t="s">
        <v>897</v>
      </c>
      <c r="C879">
        <v>29.5693444444444</v>
      </c>
      <c r="D879">
        <v>1061.9796504496401</v>
      </c>
      <c r="E879">
        <v>9.0568393415699102</v>
      </c>
      <c r="F879">
        <v>28.780464999009201</v>
      </c>
      <c r="G879">
        <v>100</v>
      </c>
      <c r="H879">
        <v>574.09045410156205</v>
      </c>
      <c r="I879">
        <v>9.0209867796159804E-2</v>
      </c>
      <c r="K879" s="1" t="str">
        <f>TEXT(stand_validation_1cycle[[#This Row],[stand_age]], ".0")</f>
        <v>29.6</v>
      </c>
      <c r="L879" s="1" t="str">
        <f t="shared" si="13"/>
        <v>"29.6"</v>
      </c>
      <c r="M879">
        <v>100</v>
      </c>
      <c r="N879">
        <f>0.029*stand_validation_1cycle[[#This Row],[stand_level_biomass]]</f>
        <v>30.797409863039565</v>
      </c>
      <c r="O879">
        <f>0.213*stand_validation_1cycle[[#This Row],[stand_level_biomass]]</f>
        <v>226.20166554577332</v>
      </c>
      <c r="P879">
        <f>0.571*stand_validation_1cycle[[#This Row],[stand_level_biomass]]</f>
        <v>606.39038040674438</v>
      </c>
      <c r="Q879">
        <f>stand_validation_1cycle[[#This Row],[stock]]</f>
        <v>100</v>
      </c>
      <c r="R879">
        <v>0</v>
      </c>
      <c r="S879">
        <f>stand_validation_1cycle[[#This Row],[aws]]</f>
        <v>574.09045410156205</v>
      </c>
      <c r="T879">
        <f>stand_validation_1cycle[[#This Row],[percent_tree_cover]]*100</f>
        <v>9.0209867796159813</v>
      </c>
    </row>
    <row r="880" spans="1:20" x14ac:dyDescent="0.2">
      <c r="A880">
        <v>1</v>
      </c>
      <c r="B880" t="s">
        <v>898</v>
      </c>
      <c r="C880">
        <v>27.200711111111101</v>
      </c>
      <c r="D880">
        <v>969.13516833164101</v>
      </c>
      <c r="E880">
        <v>8.2593531150396196</v>
      </c>
      <c r="F880">
        <v>26.877287532333501</v>
      </c>
      <c r="G880">
        <v>100</v>
      </c>
      <c r="H880">
        <v>572.382568359375</v>
      </c>
      <c r="I880">
        <v>8.2274781418751594E-2</v>
      </c>
      <c r="K880" s="1" t="str">
        <f>TEXT(stand_validation_1cycle[[#This Row],[stand_age]], ".0")</f>
        <v>27.2</v>
      </c>
      <c r="L880" s="1" t="str">
        <f t="shared" si="13"/>
        <v>"27.2"</v>
      </c>
      <c r="M880">
        <v>100</v>
      </c>
      <c r="N880">
        <f>0.029*stand_validation_1cycle[[#This Row],[stand_level_biomass]]</f>
        <v>28.10491988161759</v>
      </c>
      <c r="O880">
        <f>0.213*stand_validation_1cycle[[#This Row],[stand_level_biomass]]</f>
        <v>206.42579085463953</v>
      </c>
      <c r="P880">
        <f>0.571*stand_validation_1cycle[[#This Row],[stand_level_biomass]]</f>
        <v>553.37618111736697</v>
      </c>
      <c r="Q880">
        <f>stand_validation_1cycle[[#This Row],[stock]]</f>
        <v>100</v>
      </c>
      <c r="R880">
        <v>0</v>
      </c>
      <c r="S880">
        <f>stand_validation_1cycle[[#This Row],[aws]]</f>
        <v>572.382568359375</v>
      </c>
      <c r="T880">
        <f>stand_validation_1cycle[[#This Row],[percent_tree_cover]]*100</f>
        <v>8.2274781418751601</v>
      </c>
    </row>
    <row r="881" spans="1:20" x14ac:dyDescent="0.2">
      <c r="A881">
        <v>1</v>
      </c>
      <c r="B881" t="s">
        <v>899</v>
      </c>
      <c r="C881">
        <v>26.716217732884399</v>
      </c>
      <c r="D881">
        <v>701.91426451742996</v>
      </c>
      <c r="E881">
        <v>6.5460910591915704</v>
      </c>
      <c r="F881">
        <v>25.502331110137799</v>
      </c>
      <c r="G881">
        <v>99</v>
      </c>
      <c r="H881">
        <v>650.27410888671795</v>
      </c>
      <c r="I881">
        <v>6.4877782261026404E-2</v>
      </c>
      <c r="K881" s="1" t="str">
        <f>TEXT(stand_validation_1cycle[[#This Row],[stand_age]], ".0")</f>
        <v>26.7</v>
      </c>
      <c r="L881" s="1" t="str">
        <f t="shared" si="13"/>
        <v>"26.7"</v>
      </c>
      <c r="M881">
        <v>100</v>
      </c>
      <c r="N881">
        <f>0.029*stand_validation_1cycle[[#This Row],[stand_level_biomass]]</f>
        <v>20.355513671005468</v>
      </c>
      <c r="O881">
        <f>0.213*stand_validation_1cycle[[#This Row],[stand_level_biomass]]</f>
        <v>149.50773834221258</v>
      </c>
      <c r="P881">
        <f>0.571*stand_validation_1cycle[[#This Row],[stand_level_biomass]]</f>
        <v>400.79304503945247</v>
      </c>
      <c r="Q881">
        <f>stand_validation_1cycle[[#This Row],[stock]]</f>
        <v>99</v>
      </c>
      <c r="R881">
        <v>0</v>
      </c>
      <c r="S881">
        <f>stand_validation_1cycle[[#This Row],[aws]]</f>
        <v>650.27410888671795</v>
      </c>
      <c r="T881">
        <f>stand_validation_1cycle[[#This Row],[percent_tree_cover]]*100</f>
        <v>6.4877782261026402</v>
      </c>
    </row>
    <row r="882" spans="1:20" x14ac:dyDescent="0.2">
      <c r="A882">
        <v>1</v>
      </c>
      <c r="B882" t="s">
        <v>900</v>
      </c>
      <c r="C882">
        <v>29.7099092970521</v>
      </c>
      <c r="D882">
        <v>1058.03919121013</v>
      </c>
      <c r="E882">
        <v>9.0221255281459101</v>
      </c>
      <c r="F882">
        <v>30.027519726690901</v>
      </c>
      <c r="G882">
        <v>98</v>
      </c>
      <c r="H882">
        <v>568.08978271484295</v>
      </c>
      <c r="I882">
        <v>9.0909229613927806E-2</v>
      </c>
      <c r="K882" s="1" t="str">
        <f>TEXT(stand_validation_1cycle[[#This Row],[stand_age]], ".0")</f>
        <v>29.7</v>
      </c>
      <c r="L882" s="1" t="str">
        <f t="shared" si="13"/>
        <v>"29.7"</v>
      </c>
      <c r="M882">
        <v>100</v>
      </c>
      <c r="N882">
        <f>0.029*stand_validation_1cycle[[#This Row],[stand_level_biomass]]</f>
        <v>30.68313654509377</v>
      </c>
      <c r="O882">
        <f>0.213*stand_validation_1cycle[[#This Row],[stand_level_biomass]]</f>
        <v>225.36234772775768</v>
      </c>
      <c r="P882">
        <f>0.571*stand_validation_1cycle[[#This Row],[stand_level_biomass]]</f>
        <v>604.14037818098416</v>
      </c>
      <c r="Q882">
        <f>stand_validation_1cycle[[#This Row],[stock]]</f>
        <v>98</v>
      </c>
      <c r="R882">
        <v>0</v>
      </c>
      <c r="S882">
        <f>stand_validation_1cycle[[#This Row],[aws]]</f>
        <v>568.08978271484295</v>
      </c>
      <c r="T882">
        <f>stand_validation_1cycle[[#This Row],[percent_tree_cover]]*100</f>
        <v>9.0909229613927813</v>
      </c>
    </row>
    <row r="883" spans="1:20" x14ac:dyDescent="0.2">
      <c r="A883">
        <v>1</v>
      </c>
      <c r="B883" t="s">
        <v>901</v>
      </c>
      <c r="C883">
        <v>26.636749585406299</v>
      </c>
      <c r="D883">
        <v>848.76620722058794</v>
      </c>
      <c r="E883">
        <v>5.1521428368488804</v>
      </c>
      <c r="F883">
        <v>27.485447859433901</v>
      </c>
      <c r="G883">
        <v>67</v>
      </c>
      <c r="H883">
        <v>568.08978271484295</v>
      </c>
      <c r="I883">
        <v>7.4620846557659201E-2</v>
      </c>
      <c r="K883" s="1" t="str">
        <f>TEXT(stand_validation_1cycle[[#This Row],[stand_age]], ".0")</f>
        <v>26.6</v>
      </c>
      <c r="L883" s="1" t="str">
        <f t="shared" si="13"/>
        <v>"26.6"</v>
      </c>
      <c r="M883">
        <v>100</v>
      </c>
      <c r="N883">
        <f>0.029*stand_validation_1cycle[[#This Row],[stand_level_biomass]]</f>
        <v>24.614220009397052</v>
      </c>
      <c r="O883">
        <f>0.213*stand_validation_1cycle[[#This Row],[stand_level_biomass]]</f>
        <v>180.78720213798522</v>
      </c>
      <c r="P883">
        <f>0.571*stand_validation_1cycle[[#This Row],[stand_level_biomass]]</f>
        <v>484.64550432295567</v>
      </c>
      <c r="Q883">
        <f>stand_validation_1cycle[[#This Row],[stock]]</f>
        <v>67</v>
      </c>
      <c r="R883">
        <v>0</v>
      </c>
      <c r="S883">
        <f>stand_validation_1cycle[[#This Row],[aws]]</f>
        <v>568.08978271484295</v>
      </c>
      <c r="T883">
        <f>stand_validation_1cycle[[#This Row],[percent_tree_cover]]*100</f>
        <v>7.4620846557659197</v>
      </c>
    </row>
    <row r="884" spans="1:20" x14ac:dyDescent="0.2">
      <c r="A884">
        <v>1</v>
      </c>
      <c r="B884" t="s">
        <v>902</v>
      </c>
      <c r="C884">
        <v>27.420231990231901</v>
      </c>
      <c r="D884">
        <v>795.31956513902605</v>
      </c>
      <c r="E884">
        <v>6.5077683412067504</v>
      </c>
      <c r="F884">
        <v>26.222668716894798</v>
      </c>
      <c r="G884">
        <v>91</v>
      </c>
      <c r="H884">
        <v>568.08978271484295</v>
      </c>
      <c r="I884">
        <v>7.1863719316167293E-2</v>
      </c>
      <c r="K884" s="1" t="str">
        <f>TEXT(stand_validation_1cycle[[#This Row],[stand_age]], ".0")</f>
        <v>27.4</v>
      </c>
      <c r="L884" s="1" t="str">
        <f t="shared" si="13"/>
        <v>"27.4"</v>
      </c>
      <c r="M884">
        <v>100</v>
      </c>
      <c r="N884">
        <f>0.029*stand_validation_1cycle[[#This Row],[stand_level_biomass]]</f>
        <v>23.064267389031755</v>
      </c>
      <c r="O884">
        <f>0.213*stand_validation_1cycle[[#This Row],[stand_level_biomass]]</f>
        <v>169.40306737461253</v>
      </c>
      <c r="P884">
        <f>0.571*stand_validation_1cycle[[#This Row],[stand_level_biomass]]</f>
        <v>454.12747169438381</v>
      </c>
      <c r="Q884">
        <f>stand_validation_1cycle[[#This Row],[stock]]</f>
        <v>91</v>
      </c>
      <c r="R884">
        <v>0</v>
      </c>
      <c r="S884">
        <f>stand_validation_1cycle[[#This Row],[aws]]</f>
        <v>568.08978271484295</v>
      </c>
      <c r="T884">
        <f>stand_validation_1cycle[[#This Row],[percent_tree_cover]]*100</f>
        <v>7.1863719316167289</v>
      </c>
    </row>
    <row r="885" spans="1:20" x14ac:dyDescent="0.2">
      <c r="A885">
        <v>1</v>
      </c>
      <c r="B885" t="s">
        <v>903</v>
      </c>
      <c r="C885">
        <v>29.279705215419401</v>
      </c>
      <c r="D885">
        <v>1228.06232984095</v>
      </c>
      <c r="E885">
        <v>10.0865356036921</v>
      </c>
      <c r="F885">
        <v>30.574249329446001</v>
      </c>
      <c r="G885">
        <v>98</v>
      </c>
      <c r="H885">
        <v>567.23937988281205</v>
      </c>
      <c r="I885">
        <v>0.101754681064488</v>
      </c>
      <c r="K885" s="1" t="str">
        <f>TEXT(stand_validation_1cycle[[#This Row],[stand_age]], ".0")</f>
        <v>29.3</v>
      </c>
      <c r="L885" s="1" t="str">
        <f t="shared" si="13"/>
        <v>"29.3"</v>
      </c>
      <c r="M885">
        <v>100</v>
      </c>
      <c r="N885">
        <f>0.029*stand_validation_1cycle[[#This Row],[stand_level_biomass]]</f>
        <v>35.613807565387553</v>
      </c>
      <c r="O885">
        <f>0.213*stand_validation_1cycle[[#This Row],[stand_level_biomass]]</f>
        <v>261.57727625612233</v>
      </c>
      <c r="P885">
        <f>0.571*stand_validation_1cycle[[#This Row],[stand_level_biomass]]</f>
        <v>701.22359033918246</v>
      </c>
      <c r="Q885">
        <f>stand_validation_1cycle[[#This Row],[stock]]</f>
        <v>98</v>
      </c>
      <c r="R885">
        <v>0</v>
      </c>
      <c r="S885">
        <f>stand_validation_1cycle[[#This Row],[aws]]</f>
        <v>567.23937988281205</v>
      </c>
      <c r="T885">
        <f>stand_validation_1cycle[[#This Row],[percent_tree_cover]]*100</f>
        <v>10.1754681064488</v>
      </c>
    </row>
    <row r="886" spans="1:20" x14ac:dyDescent="0.2">
      <c r="A886">
        <v>1</v>
      </c>
      <c r="B886" t="s">
        <v>904</v>
      </c>
      <c r="C886">
        <v>26.767595356550501</v>
      </c>
      <c r="D886">
        <v>778.73494643136598</v>
      </c>
      <c r="E886">
        <v>4.6727240169386199</v>
      </c>
      <c r="F886">
        <v>25.355050916844299</v>
      </c>
      <c r="G886">
        <v>67</v>
      </c>
      <c r="H886">
        <v>544</v>
      </c>
      <c r="I886">
        <v>6.8098469979397294E-2</v>
      </c>
      <c r="K886" s="1" t="str">
        <f>TEXT(stand_validation_1cycle[[#This Row],[stand_age]], ".0")</f>
        <v>26.8</v>
      </c>
      <c r="L886" s="1" t="str">
        <f t="shared" si="13"/>
        <v>"26.8"</v>
      </c>
      <c r="M886">
        <v>100</v>
      </c>
      <c r="N886">
        <f>0.029*stand_validation_1cycle[[#This Row],[stand_level_biomass]]</f>
        <v>22.583313446509614</v>
      </c>
      <c r="O886">
        <f>0.213*stand_validation_1cycle[[#This Row],[stand_level_biomass]]</f>
        <v>165.87054358988095</v>
      </c>
      <c r="P886">
        <f>0.571*stand_validation_1cycle[[#This Row],[stand_level_biomass]]</f>
        <v>444.65765441230997</v>
      </c>
      <c r="Q886">
        <f>stand_validation_1cycle[[#This Row],[stock]]</f>
        <v>67</v>
      </c>
      <c r="R886">
        <v>0</v>
      </c>
      <c r="S886">
        <f>stand_validation_1cycle[[#This Row],[aws]]</f>
        <v>544</v>
      </c>
      <c r="T886">
        <f>stand_validation_1cycle[[#This Row],[percent_tree_cover]]*100</f>
        <v>6.8098469979397294</v>
      </c>
    </row>
    <row r="887" spans="1:20" x14ac:dyDescent="0.2">
      <c r="A887">
        <v>1</v>
      </c>
      <c r="B887" t="s">
        <v>905</v>
      </c>
      <c r="C887">
        <v>27.8082407407407</v>
      </c>
      <c r="D887">
        <v>857.94172704411301</v>
      </c>
      <c r="E887">
        <v>5.5031129287281297</v>
      </c>
      <c r="F887">
        <v>26.965240634920601</v>
      </c>
      <c r="G887">
        <v>72</v>
      </c>
      <c r="H887">
        <v>609.01007080078102</v>
      </c>
      <c r="I887">
        <v>7.6463104740516402E-2</v>
      </c>
      <c r="K887" s="1" t="str">
        <f>TEXT(stand_validation_1cycle[[#This Row],[stand_age]], ".0")</f>
        <v>27.8</v>
      </c>
      <c r="L887" s="1" t="str">
        <f t="shared" si="13"/>
        <v>"27.8"</v>
      </c>
      <c r="M887">
        <v>100</v>
      </c>
      <c r="N887">
        <f>0.029*stand_validation_1cycle[[#This Row],[stand_level_biomass]]</f>
        <v>24.88031008427928</v>
      </c>
      <c r="O887">
        <f>0.213*stand_validation_1cycle[[#This Row],[stand_level_biomass]]</f>
        <v>182.74158786039607</v>
      </c>
      <c r="P887">
        <f>0.571*stand_validation_1cycle[[#This Row],[stand_level_biomass]]</f>
        <v>489.88472614218847</v>
      </c>
      <c r="Q887">
        <f>stand_validation_1cycle[[#This Row],[stock]]</f>
        <v>72</v>
      </c>
      <c r="R887">
        <v>0</v>
      </c>
      <c r="S887">
        <f>stand_validation_1cycle[[#This Row],[aws]]</f>
        <v>609.01007080078102</v>
      </c>
      <c r="T887">
        <f>stand_validation_1cycle[[#This Row],[percent_tree_cover]]*100</f>
        <v>7.6463104740516403</v>
      </c>
    </row>
    <row r="888" spans="1:20" x14ac:dyDescent="0.2">
      <c r="A888">
        <v>1</v>
      </c>
      <c r="B888" t="s">
        <v>906</v>
      </c>
      <c r="C888">
        <v>26.8485555555555</v>
      </c>
      <c r="D888">
        <v>932.55311844289497</v>
      </c>
      <c r="E888">
        <v>7.3626608902960999</v>
      </c>
      <c r="F888">
        <v>27.713085206349199</v>
      </c>
      <c r="G888">
        <v>90</v>
      </c>
      <c r="H888">
        <v>568.77587890625</v>
      </c>
      <c r="I888">
        <v>8.0286417637120897E-2</v>
      </c>
      <c r="K888" s="1" t="str">
        <f>TEXT(stand_validation_1cycle[[#This Row],[stand_age]], ".0")</f>
        <v>26.8</v>
      </c>
      <c r="L888" s="1" t="str">
        <f t="shared" si="13"/>
        <v>"26.8"</v>
      </c>
      <c r="M888">
        <v>100</v>
      </c>
      <c r="N888">
        <f>0.029*stand_validation_1cycle[[#This Row],[stand_level_biomass]]</f>
        <v>27.044040434843957</v>
      </c>
      <c r="O888">
        <f>0.213*stand_validation_1cycle[[#This Row],[stand_level_biomass]]</f>
        <v>198.63381422833663</v>
      </c>
      <c r="P888">
        <f>0.571*stand_validation_1cycle[[#This Row],[stand_level_biomass]]</f>
        <v>532.48783063089297</v>
      </c>
      <c r="Q888">
        <f>stand_validation_1cycle[[#This Row],[stock]]</f>
        <v>90</v>
      </c>
      <c r="R888">
        <v>0</v>
      </c>
      <c r="S888">
        <f>stand_validation_1cycle[[#This Row],[aws]]</f>
        <v>568.77587890625</v>
      </c>
      <c r="T888">
        <f>stand_validation_1cycle[[#This Row],[percent_tree_cover]]*100</f>
        <v>8.0286417637120895</v>
      </c>
    </row>
    <row r="889" spans="1:20" x14ac:dyDescent="0.2">
      <c r="A889">
        <v>1</v>
      </c>
      <c r="B889" t="s">
        <v>907</v>
      </c>
      <c r="C889">
        <v>27.921542288557202</v>
      </c>
      <c r="D889">
        <v>857.45335251266704</v>
      </c>
      <c r="E889">
        <v>5.1263425071812696</v>
      </c>
      <c r="F889">
        <v>27.369442388059699</v>
      </c>
      <c r="G889">
        <v>67</v>
      </c>
      <c r="H889">
        <v>567.23937988281205</v>
      </c>
      <c r="I889">
        <v>7.8425449412911005E-2</v>
      </c>
      <c r="K889" s="1" t="str">
        <f>TEXT(stand_validation_1cycle[[#This Row],[stand_age]], ".0")</f>
        <v>27.9</v>
      </c>
      <c r="L889" s="1" t="str">
        <f t="shared" si="13"/>
        <v>"27.9"</v>
      </c>
      <c r="M889">
        <v>100</v>
      </c>
      <c r="N889">
        <f>0.029*stand_validation_1cycle[[#This Row],[stand_level_biomass]]</f>
        <v>24.866147222867344</v>
      </c>
      <c r="O889">
        <f>0.213*stand_validation_1cycle[[#This Row],[stand_level_biomass]]</f>
        <v>182.63756408519808</v>
      </c>
      <c r="P889">
        <f>0.571*stand_validation_1cycle[[#This Row],[stand_level_biomass]]</f>
        <v>489.60586428473283</v>
      </c>
      <c r="Q889">
        <f>stand_validation_1cycle[[#This Row],[stock]]</f>
        <v>67</v>
      </c>
      <c r="R889">
        <v>0</v>
      </c>
      <c r="S889">
        <f>stand_validation_1cycle[[#This Row],[aws]]</f>
        <v>567.23937988281205</v>
      </c>
      <c r="T889">
        <f>stand_validation_1cycle[[#This Row],[percent_tree_cover]]*100</f>
        <v>7.8425449412911004</v>
      </c>
    </row>
    <row r="890" spans="1:20" x14ac:dyDescent="0.2">
      <c r="A890">
        <v>1</v>
      </c>
      <c r="B890" t="s">
        <v>908</v>
      </c>
      <c r="C890">
        <v>27.837387057387001</v>
      </c>
      <c r="D890">
        <v>950.09791115591497</v>
      </c>
      <c r="E890">
        <v>7.4976598390098399</v>
      </c>
      <c r="F890">
        <v>27.4865389010989</v>
      </c>
      <c r="G890">
        <v>91</v>
      </c>
      <c r="H890">
        <v>571.74102783203102</v>
      </c>
      <c r="I890">
        <v>8.2459451315682594E-2</v>
      </c>
      <c r="K890" s="1" t="str">
        <f>TEXT(stand_validation_1cycle[[#This Row],[stand_age]], ".0")</f>
        <v>27.8</v>
      </c>
      <c r="L890" s="1" t="str">
        <f t="shared" si="13"/>
        <v>"27.8"</v>
      </c>
      <c r="M890">
        <v>100</v>
      </c>
      <c r="N890">
        <f>0.029*stand_validation_1cycle[[#This Row],[stand_level_biomass]]</f>
        <v>27.552839423521537</v>
      </c>
      <c r="O890">
        <f>0.213*stand_validation_1cycle[[#This Row],[stand_level_biomass]]</f>
        <v>202.37085507620989</v>
      </c>
      <c r="P890">
        <f>0.571*stand_validation_1cycle[[#This Row],[stand_level_biomass]]</f>
        <v>542.50590727002736</v>
      </c>
      <c r="Q890">
        <f>stand_validation_1cycle[[#This Row],[stock]]</f>
        <v>91</v>
      </c>
      <c r="R890">
        <v>0</v>
      </c>
      <c r="S890">
        <f>stand_validation_1cycle[[#This Row],[aws]]</f>
        <v>571.74102783203102</v>
      </c>
      <c r="T890">
        <f>stand_validation_1cycle[[#This Row],[percent_tree_cover]]*100</f>
        <v>8.2459451315682593</v>
      </c>
    </row>
    <row r="891" spans="1:20" x14ac:dyDescent="0.2">
      <c r="A891">
        <v>1</v>
      </c>
      <c r="B891" t="s">
        <v>909</v>
      </c>
      <c r="C891">
        <v>28.2605405405405</v>
      </c>
      <c r="D891">
        <v>878.000146745949</v>
      </c>
      <c r="E891">
        <v>5.7786651619671501</v>
      </c>
      <c r="F891">
        <v>27.418509034749</v>
      </c>
      <c r="G891">
        <v>74</v>
      </c>
      <c r="H891">
        <v>574.43713378906205</v>
      </c>
      <c r="I891">
        <v>7.7964857900863493E-2</v>
      </c>
      <c r="K891" s="1" t="str">
        <f>TEXT(stand_validation_1cycle[[#This Row],[stand_age]], ".0")</f>
        <v>28.3</v>
      </c>
      <c r="L891" s="1" t="str">
        <f t="shared" si="13"/>
        <v>"28.3"</v>
      </c>
      <c r="M891">
        <v>100</v>
      </c>
      <c r="N891">
        <f>0.029*stand_validation_1cycle[[#This Row],[stand_level_biomass]]</f>
        <v>25.462004255632522</v>
      </c>
      <c r="O891">
        <f>0.213*stand_validation_1cycle[[#This Row],[stand_level_biomass]]</f>
        <v>187.01403125688714</v>
      </c>
      <c r="P891">
        <f>0.571*stand_validation_1cycle[[#This Row],[stand_level_biomass]]</f>
        <v>501.33808379193681</v>
      </c>
      <c r="Q891">
        <f>stand_validation_1cycle[[#This Row],[stock]]</f>
        <v>74</v>
      </c>
      <c r="R891">
        <v>0</v>
      </c>
      <c r="S891">
        <f>stand_validation_1cycle[[#This Row],[aws]]</f>
        <v>574.43713378906205</v>
      </c>
      <c r="T891">
        <f>stand_validation_1cycle[[#This Row],[percent_tree_cover]]*100</f>
        <v>7.7964857900863489</v>
      </c>
    </row>
    <row r="892" spans="1:20" x14ac:dyDescent="0.2">
      <c r="A892">
        <v>1</v>
      </c>
      <c r="B892" t="s">
        <v>910</v>
      </c>
      <c r="C892">
        <v>30.3642517006802</v>
      </c>
      <c r="D892">
        <v>1130.7712043995</v>
      </c>
      <c r="E892">
        <v>9.3288486436938491</v>
      </c>
      <c r="F892">
        <v>29.373896443148599</v>
      </c>
      <c r="G892">
        <v>98</v>
      </c>
      <c r="H892">
        <v>570.944580078125</v>
      </c>
      <c r="I892">
        <v>9.2675985658231097E-2</v>
      </c>
      <c r="K892" s="1" t="str">
        <f>TEXT(stand_validation_1cycle[[#This Row],[stand_age]], ".0")</f>
        <v>30.4</v>
      </c>
      <c r="L892" s="1" t="str">
        <f t="shared" si="13"/>
        <v>"30.4"</v>
      </c>
      <c r="M892">
        <v>100</v>
      </c>
      <c r="N892">
        <f>0.029*stand_validation_1cycle[[#This Row],[stand_level_biomass]]</f>
        <v>32.792364927585503</v>
      </c>
      <c r="O892">
        <f>0.213*stand_validation_1cycle[[#This Row],[stand_level_biomass]]</f>
        <v>240.85426653709348</v>
      </c>
      <c r="P892">
        <f>0.571*stand_validation_1cycle[[#This Row],[stand_level_biomass]]</f>
        <v>645.67035771211442</v>
      </c>
      <c r="Q892">
        <f>stand_validation_1cycle[[#This Row],[stock]]</f>
        <v>98</v>
      </c>
      <c r="R892">
        <v>0</v>
      </c>
      <c r="S892">
        <f>stand_validation_1cycle[[#This Row],[aws]]</f>
        <v>570.944580078125</v>
      </c>
      <c r="T892">
        <f>stand_validation_1cycle[[#This Row],[percent_tree_cover]]*100</f>
        <v>9.2675985658231106</v>
      </c>
    </row>
    <row r="893" spans="1:20" x14ac:dyDescent="0.2">
      <c r="A893">
        <v>1</v>
      </c>
      <c r="B893" t="s">
        <v>911</v>
      </c>
      <c r="C893">
        <v>25.2051739618406</v>
      </c>
      <c r="D893">
        <v>751.44076296065305</v>
      </c>
      <c r="E893">
        <v>6.7753275773368697</v>
      </c>
      <c r="F893">
        <v>25.470456565656502</v>
      </c>
      <c r="G893">
        <v>99</v>
      </c>
      <c r="H893">
        <v>569.85388183593705</v>
      </c>
      <c r="I893">
        <v>6.7352031971939202E-2</v>
      </c>
      <c r="K893" s="1" t="str">
        <f>TEXT(stand_validation_1cycle[[#This Row],[stand_age]], ".0")</f>
        <v>25.2</v>
      </c>
      <c r="L893" s="1" t="str">
        <f t="shared" si="13"/>
        <v>"25.2"</v>
      </c>
      <c r="M893">
        <v>100</v>
      </c>
      <c r="N893">
        <f>0.029*stand_validation_1cycle[[#This Row],[stand_level_biomass]]</f>
        <v>21.791782125858941</v>
      </c>
      <c r="O893">
        <f>0.213*stand_validation_1cycle[[#This Row],[stand_level_biomass]]</f>
        <v>160.05688251061909</v>
      </c>
      <c r="P893">
        <f>0.571*stand_validation_1cycle[[#This Row],[stand_level_biomass]]</f>
        <v>429.07267565053286</v>
      </c>
      <c r="Q893">
        <f>stand_validation_1cycle[[#This Row],[stock]]</f>
        <v>99</v>
      </c>
      <c r="R893">
        <v>0</v>
      </c>
      <c r="S893">
        <f>stand_validation_1cycle[[#This Row],[aws]]</f>
        <v>569.85388183593705</v>
      </c>
      <c r="T893">
        <f>stand_validation_1cycle[[#This Row],[percent_tree_cover]]*100</f>
        <v>6.7352031971939201</v>
      </c>
    </row>
    <row r="894" spans="1:20" x14ac:dyDescent="0.2">
      <c r="A894">
        <v>1</v>
      </c>
      <c r="B894" t="s">
        <v>912</v>
      </c>
      <c r="C894">
        <v>27.7826666666666</v>
      </c>
      <c r="D894">
        <v>892.880667831761</v>
      </c>
      <c r="E894">
        <v>7.8572504611305396</v>
      </c>
      <c r="F894">
        <v>27.097979200000001</v>
      </c>
      <c r="G894">
        <v>100</v>
      </c>
      <c r="H894">
        <v>571.69989013671795</v>
      </c>
      <c r="I894">
        <v>7.8279995748092204E-2</v>
      </c>
      <c r="K894" s="1" t="str">
        <f>TEXT(stand_validation_1cycle[[#This Row],[stand_age]], ".0")</f>
        <v>27.8</v>
      </c>
      <c r="L894" s="1" t="str">
        <f t="shared" si="13"/>
        <v>"27.8"</v>
      </c>
      <c r="M894">
        <v>100</v>
      </c>
      <c r="N894">
        <f>0.029*stand_validation_1cycle[[#This Row],[stand_level_biomass]]</f>
        <v>25.893539367121072</v>
      </c>
      <c r="O894">
        <f>0.213*stand_validation_1cycle[[#This Row],[stand_level_biomass]]</f>
        <v>190.1835822481651</v>
      </c>
      <c r="P894">
        <f>0.571*stand_validation_1cycle[[#This Row],[stand_level_biomass]]</f>
        <v>509.83486133193549</v>
      </c>
      <c r="Q894">
        <f>stand_validation_1cycle[[#This Row],[stock]]</f>
        <v>100</v>
      </c>
      <c r="R894">
        <v>0</v>
      </c>
      <c r="S894">
        <f>stand_validation_1cycle[[#This Row],[aws]]</f>
        <v>571.69989013671795</v>
      </c>
      <c r="T894">
        <f>stand_validation_1cycle[[#This Row],[percent_tree_cover]]*100</f>
        <v>7.8279995748092208</v>
      </c>
    </row>
    <row r="895" spans="1:20" x14ac:dyDescent="0.2">
      <c r="A895">
        <v>1</v>
      </c>
      <c r="B895" t="s">
        <v>913</v>
      </c>
      <c r="C895">
        <v>27.124130190796802</v>
      </c>
      <c r="D895">
        <v>811.74655875983501</v>
      </c>
      <c r="E895">
        <v>7.1076193300942103</v>
      </c>
      <c r="F895">
        <v>25.585168715728699</v>
      </c>
      <c r="G895">
        <v>99</v>
      </c>
      <c r="H895">
        <v>569.73181152343705</v>
      </c>
      <c r="I895">
        <v>7.0805807422556793E-2</v>
      </c>
      <c r="K895" s="1" t="str">
        <f>TEXT(stand_validation_1cycle[[#This Row],[stand_age]], ".0")</f>
        <v>27.1</v>
      </c>
      <c r="L895" s="1" t="str">
        <f t="shared" si="13"/>
        <v>"27.1"</v>
      </c>
      <c r="M895">
        <v>100</v>
      </c>
      <c r="N895">
        <f>0.029*stand_validation_1cycle[[#This Row],[stand_level_biomass]]</f>
        <v>23.540650204035217</v>
      </c>
      <c r="O895">
        <f>0.213*stand_validation_1cycle[[#This Row],[stand_level_biomass]]</f>
        <v>172.90201701584485</v>
      </c>
      <c r="P895">
        <f>0.571*stand_validation_1cycle[[#This Row],[stand_level_biomass]]</f>
        <v>463.50728505186578</v>
      </c>
      <c r="Q895">
        <f>stand_validation_1cycle[[#This Row],[stock]]</f>
        <v>99</v>
      </c>
      <c r="R895">
        <v>0</v>
      </c>
      <c r="S895">
        <f>stand_validation_1cycle[[#This Row],[aws]]</f>
        <v>569.73181152343705</v>
      </c>
      <c r="T895">
        <f>stand_validation_1cycle[[#This Row],[percent_tree_cover]]*100</f>
        <v>7.0805807422556795</v>
      </c>
    </row>
    <row r="896" spans="1:20" x14ac:dyDescent="0.2">
      <c r="A896">
        <v>1</v>
      </c>
      <c r="B896" t="s">
        <v>914</v>
      </c>
      <c r="C896">
        <v>28.479977777777702</v>
      </c>
      <c r="D896">
        <v>1063.31370082132</v>
      </c>
      <c r="E896">
        <v>9.0205798645603501</v>
      </c>
      <c r="F896">
        <v>28.617034514285699</v>
      </c>
      <c r="G896">
        <v>100</v>
      </c>
      <c r="H896">
        <v>568.17828369140602</v>
      </c>
      <c r="I896">
        <v>8.9871013274217607E-2</v>
      </c>
      <c r="K896" s="1" t="str">
        <f>TEXT(stand_validation_1cycle[[#This Row],[stand_age]], ".0")</f>
        <v>28.5</v>
      </c>
      <c r="L896" s="1" t="str">
        <f t="shared" si="13"/>
        <v>"28.5"</v>
      </c>
      <c r="M896">
        <v>100</v>
      </c>
      <c r="N896">
        <f>0.029*stand_validation_1cycle[[#This Row],[stand_level_biomass]]</f>
        <v>30.836097323818283</v>
      </c>
      <c r="O896">
        <f>0.213*stand_validation_1cycle[[#This Row],[stand_level_biomass]]</f>
        <v>226.48581827494115</v>
      </c>
      <c r="P896">
        <f>0.571*stand_validation_1cycle[[#This Row],[stand_level_biomass]]</f>
        <v>607.15212316897373</v>
      </c>
      <c r="Q896">
        <f>stand_validation_1cycle[[#This Row],[stock]]</f>
        <v>100</v>
      </c>
      <c r="R896">
        <v>0</v>
      </c>
      <c r="S896">
        <f>stand_validation_1cycle[[#This Row],[aws]]</f>
        <v>568.17828369140602</v>
      </c>
      <c r="T896">
        <f>stand_validation_1cycle[[#This Row],[percent_tree_cover]]*100</f>
        <v>8.9871013274217599</v>
      </c>
    </row>
    <row r="897" spans="1:20" x14ac:dyDescent="0.2">
      <c r="A897">
        <v>1</v>
      </c>
      <c r="B897" t="s">
        <v>915</v>
      </c>
      <c r="C897">
        <v>25.728249158249099</v>
      </c>
      <c r="D897">
        <v>743.509765355583</v>
      </c>
      <c r="E897">
        <v>6.7933830957152201</v>
      </c>
      <c r="F897">
        <v>26.006132871572799</v>
      </c>
      <c r="G897">
        <v>99</v>
      </c>
      <c r="H897">
        <v>570.82482910156205</v>
      </c>
      <c r="I897">
        <v>6.7506714656091302E-2</v>
      </c>
      <c r="K897" s="1" t="str">
        <f>TEXT(stand_validation_1cycle[[#This Row],[stand_age]], ".0")</f>
        <v>25.7</v>
      </c>
      <c r="L897" s="1" t="str">
        <f t="shared" si="13"/>
        <v>"25.7"</v>
      </c>
      <c r="M897">
        <v>100</v>
      </c>
      <c r="N897">
        <f>0.029*stand_validation_1cycle[[#This Row],[stand_level_biomass]]</f>
        <v>21.561783195311907</v>
      </c>
      <c r="O897">
        <f>0.213*stand_validation_1cycle[[#This Row],[stand_level_biomass]]</f>
        <v>158.36758002073918</v>
      </c>
      <c r="P897">
        <f>0.571*stand_validation_1cycle[[#This Row],[stand_level_biomass]]</f>
        <v>424.54407601803786</v>
      </c>
      <c r="Q897">
        <f>stand_validation_1cycle[[#This Row],[stock]]</f>
        <v>99</v>
      </c>
      <c r="R897">
        <v>0</v>
      </c>
      <c r="S897">
        <f>stand_validation_1cycle[[#This Row],[aws]]</f>
        <v>570.82482910156205</v>
      </c>
      <c r="T897">
        <f>stand_validation_1cycle[[#This Row],[percent_tree_cover]]*100</f>
        <v>6.7506714656091305</v>
      </c>
    </row>
    <row r="898" spans="1:20" x14ac:dyDescent="0.2">
      <c r="A898">
        <v>1</v>
      </c>
      <c r="B898" t="s">
        <v>916</v>
      </c>
      <c r="C898">
        <v>28.402055555555499</v>
      </c>
      <c r="D898">
        <v>1020.10848251165</v>
      </c>
      <c r="E898">
        <v>8.7882480922531006</v>
      </c>
      <c r="F898">
        <v>28.5917627428571</v>
      </c>
      <c r="G898">
        <v>100</v>
      </c>
      <c r="H898">
        <v>574.16546630859295</v>
      </c>
      <c r="I898">
        <v>8.7561731158954506E-2</v>
      </c>
      <c r="K898" s="1" t="str">
        <f>TEXT(stand_validation_1cycle[[#This Row],[stand_age]], ".0")</f>
        <v>28.4</v>
      </c>
      <c r="L898" s="1" t="str">
        <f t="shared" si="13"/>
        <v>"28.4"</v>
      </c>
      <c r="M898">
        <v>100</v>
      </c>
      <c r="N898">
        <f>0.029*stand_validation_1cycle[[#This Row],[stand_level_biomass]]</f>
        <v>29.583145992837849</v>
      </c>
      <c r="O898">
        <f>0.213*stand_validation_1cycle[[#This Row],[stand_level_biomass]]</f>
        <v>217.28310677498143</v>
      </c>
      <c r="P898">
        <f>0.571*stand_validation_1cycle[[#This Row],[stand_level_biomass]]</f>
        <v>582.48194351415214</v>
      </c>
      <c r="Q898">
        <f>stand_validation_1cycle[[#This Row],[stock]]</f>
        <v>100</v>
      </c>
      <c r="R898">
        <v>0</v>
      </c>
      <c r="S898">
        <f>stand_validation_1cycle[[#This Row],[aws]]</f>
        <v>574.16546630859295</v>
      </c>
      <c r="T898">
        <f>stand_validation_1cycle[[#This Row],[percent_tree_cover]]*100</f>
        <v>8.7561731158954501</v>
      </c>
    </row>
    <row r="899" spans="1:20" x14ac:dyDescent="0.2">
      <c r="A899">
        <v>1</v>
      </c>
      <c r="B899" t="s">
        <v>917</v>
      </c>
      <c r="C899">
        <v>27.7418069584736</v>
      </c>
      <c r="D899">
        <v>798.85862483672804</v>
      </c>
      <c r="E899">
        <v>7.1634250111962503</v>
      </c>
      <c r="F899">
        <v>26.312076883116799</v>
      </c>
      <c r="G899">
        <v>99</v>
      </c>
      <c r="H899">
        <v>571.01263427734295</v>
      </c>
      <c r="I899">
        <v>7.10614481303391E-2</v>
      </c>
      <c r="K899" s="1" t="str">
        <f>TEXT(stand_validation_1cycle[[#This Row],[stand_age]], ".0")</f>
        <v>27.7</v>
      </c>
      <c r="L899" s="1" t="str">
        <f t="shared" ref="L899:L962" si="14">""""&amp;K899&amp;""""</f>
        <v>"27.7"</v>
      </c>
      <c r="M899">
        <v>100</v>
      </c>
      <c r="N899">
        <f>0.029*stand_validation_1cycle[[#This Row],[stand_level_biomass]]</f>
        <v>23.166900120265115</v>
      </c>
      <c r="O899">
        <f>0.213*stand_validation_1cycle[[#This Row],[stand_level_biomass]]</f>
        <v>170.15688709022308</v>
      </c>
      <c r="P899">
        <f>0.571*stand_validation_1cycle[[#This Row],[stand_level_biomass]]</f>
        <v>456.14827478177165</v>
      </c>
      <c r="Q899">
        <f>stand_validation_1cycle[[#This Row],[stock]]</f>
        <v>99</v>
      </c>
      <c r="R899">
        <v>0</v>
      </c>
      <c r="S899">
        <f>stand_validation_1cycle[[#This Row],[aws]]</f>
        <v>571.01263427734295</v>
      </c>
      <c r="T899">
        <f>stand_validation_1cycle[[#This Row],[percent_tree_cover]]*100</f>
        <v>7.10614481303391</v>
      </c>
    </row>
    <row r="900" spans="1:20" x14ac:dyDescent="0.2">
      <c r="A900">
        <v>1</v>
      </c>
      <c r="B900" t="s">
        <v>918</v>
      </c>
      <c r="C900">
        <v>28.197211111111098</v>
      </c>
      <c r="D900">
        <v>886.78567902652799</v>
      </c>
      <c r="E900">
        <v>7.8242621674715203</v>
      </c>
      <c r="F900">
        <v>27.164572114285701</v>
      </c>
      <c r="G900">
        <v>100</v>
      </c>
      <c r="H900">
        <v>572.720947265625</v>
      </c>
      <c r="I900">
        <v>7.7955773731536199E-2</v>
      </c>
      <c r="K900" s="1" t="str">
        <f>TEXT(stand_validation_1cycle[[#This Row],[stand_age]], ".0")</f>
        <v>28.2</v>
      </c>
      <c r="L900" s="1" t="str">
        <f t="shared" si="14"/>
        <v>"28.2"</v>
      </c>
      <c r="M900">
        <v>100</v>
      </c>
      <c r="N900">
        <f>0.029*stand_validation_1cycle[[#This Row],[stand_level_biomass]]</f>
        <v>25.716784691769313</v>
      </c>
      <c r="O900">
        <f>0.213*stand_validation_1cycle[[#This Row],[stand_level_biomass]]</f>
        <v>188.88534963265045</v>
      </c>
      <c r="P900">
        <f>0.571*stand_validation_1cycle[[#This Row],[stand_level_biomass]]</f>
        <v>506.35462272414742</v>
      </c>
      <c r="Q900">
        <f>stand_validation_1cycle[[#This Row],[stock]]</f>
        <v>100</v>
      </c>
      <c r="R900">
        <v>0</v>
      </c>
      <c r="S900">
        <f>stand_validation_1cycle[[#This Row],[aws]]</f>
        <v>572.720947265625</v>
      </c>
      <c r="T900">
        <f>stand_validation_1cycle[[#This Row],[percent_tree_cover]]*100</f>
        <v>7.7955773731536198</v>
      </c>
    </row>
    <row r="901" spans="1:20" x14ac:dyDescent="0.2">
      <c r="A901">
        <v>1</v>
      </c>
      <c r="B901" t="s">
        <v>919</v>
      </c>
      <c r="C901">
        <v>28.040599999999898</v>
      </c>
      <c r="D901">
        <v>970.13166550429003</v>
      </c>
      <c r="E901">
        <v>8.4521345920326691</v>
      </c>
      <c r="F901">
        <v>28.1615538285714</v>
      </c>
      <c r="G901">
        <v>100</v>
      </c>
      <c r="H901">
        <v>569.115234375</v>
      </c>
      <c r="I901">
        <v>8.4211915121136294E-2</v>
      </c>
      <c r="K901" s="1" t="str">
        <f>TEXT(stand_validation_1cycle[[#This Row],[stand_age]], ".0")</f>
        <v>28.0</v>
      </c>
      <c r="L901" s="1" t="str">
        <f t="shared" si="14"/>
        <v>"28.0"</v>
      </c>
      <c r="M901">
        <v>100</v>
      </c>
      <c r="N901">
        <f>0.029*stand_validation_1cycle[[#This Row],[stand_level_biomass]]</f>
        <v>28.133818299624412</v>
      </c>
      <c r="O901">
        <f>0.213*stand_validation_1cycle[[#This Row],[stand_level_biomass]]</f>
        <v>206.63804475241378</v>
      </c>
      <c r="P901">
        <f>0.571*stand_validation_1cycle[[#This Row],[stand_level_biomass]]</f>
        <v>553.94518100294954</v>
      </c>
      <c r="Q901">
        <f>stand_validation_1cycle[[#This Row],[stock]]</f>
        <v>100</v>
      </c>
      <c r="R901">
        <v>0</v>
      </c>
      <c r="S901">
        <f>stand_validation_1cycle[[#This Row],[aws]]</f>
        <v>569.115234375</v>
      </c>
      <c r="T901">
        <f>stand_validation_1cycle[[#This Row],[percent_tree_cover]]*100</f>
        <v>8.42119151211363</v>
      </c>
    </row>
    <row r="902" spans="1:20" x14ac:dyDescent="0.2">
      <c r="A902">
        <v>1</v>
      </c>
      <c r="B902" t="s">
        <v>920</v>
      </c>
      <c r="C902">
        <v>25.4419222222222</v>
      </c>
      <c r="D902">
        <v>735.05169140474402</v>
      </c>
      <c r="E902">
        <v>6.6688794226589696</v>
      </c>
      <c r="F902">
        <v>24.933507657142801</v>
      </c>
      <c r="G902">
        <v>100</v>
      </c>
      <c r="H902">
        <v>566.72247314453102</v>
      </c>
      <c r="I902">
        <v>6.64598072733283E-2</v>
      </c>
      <c r="K902" s="1" t="str">
        <f>TEXT(stand_validation_1cycle[[#This Row],[stand_age]], ".0")</f>
        <v>25.4</v>
      </c>
      <c r="L902" s="1" t="str">
        <f t="shared" si="14"/>
        <v>"25.4"</v>
      </c>
      <c r="M902">
        <v>100</v>
      </c>
      <c r="N902">
        <f>0.029*stand_validation_1cycle[[#This Row],[stand_level_biomass]]</f>
        <v>21.316499050737576</v>
      </c>
      <c r="O902">
        <f>0.213*stand_validation_1cycle[[#This Row],[stand_level_biomass]]</f>
        <v>156.56601026921047</v>
      </c>
      <c r="P902">
        <f>0.571*stand_validation_1cycle[[#This Row],[stand_level_biomass]]</f>
        <v>419.71451579210878</v>
      </c>
      <c r="Q902">
        <f>stand_validation_1cycle[[#This Row],[stock]]</f>
        <v>100</v>
      </c>
      <c r="R902">
        <v>0</v>
      </c>
      <c r="S902">
        <f>stand_validation_1cycle[[#This Row],[aws]]</f>
        <v>566.72247314453102</v>
      </c>
      <c r="T902">
        <f>stand_validation_1cycle[[#This Row],[percent_tree_cover]]*100</f>
        <v>6.6459807273328302</v>
      </c>
    </row>
    <row r="903" spans="1:20" x14ac:dyDescent="0.2">
      <c r="A903">
        <v>1</v>
      </c>
      <c r="B903" t="s">
        <v>921</v>
      </c>
      <c r="C903">
        <v>27.892119129438701</v>
      </c>
      <c r="D903">
        <v>1015.55030781011</v>
      </c>
      <c r="E903">
        <v>8.5745820926971508</v>
      </c>
      <c r="F903">
        <v>28.741686244477101</v>
      </c>
      <c r="G903">
        <v>97</v>
      </c>
      <c r="H903">
        <v>575.16595458984295</v>
      </c>
      <c r="I903">
        <v>8.4909860259557504E-2</v>
      </c>
      <c r="K903" s="1" t="str">
        <f>TEXT(stand_validation_1cycle[[#This Row],[stand_age]], ".0")</f>
        <v>27.9</v>
      </c>
      <c r="L903" s="1" t="str">
        <f t="shared" si="14"/>
        <v>"27.9"</v>
      </c>
      <c r="M903">
        <v>100</v>
      </c>
      <c r="N903">
        <f>0.029*stand_validation_1cycle[[#This Row],[stand_level_biomass]]</f>
        <v>29.45095892649319</v>
      </c>
      <c r="O903">
        <f>0.213*stand_validation_1cycle[[#This Row],[stand_level_biomass]]</f>
        <v>216.31221556355342</v>
      </c>
      <c r="P903">
        <f>0.571*stand_validation_1cycle[[#This Row],[stand_level_biomass]]</f>
        <v>579.87922575957271</v>
      </c>
      <c r="Q903">
        <f>stand_validation_1cycle[[#This Row],[stock]]</f>
        <v>97</v>
      </c>
      <c r="R903">
        <v>0</v>
      </c>
      <c r="S903">
        <f>stand_validation_1cycle[[#This Row],[aws]]</f>
        <v>575.16595458984295</v>
      </c>
      <c r="T903">
        <f>stand_validation_1cycle[[#This Row],[percent_tree_cover]]*100</f>
        <v>8.4909860259557508</v>
      </c>
    </row>
    <row r="904" spans="1:20" x14ac:dyDescent="0.2">
      <c r="A904">
        <v>1</v>
      </c>
      <c r="B904" t="s">
        <v>922</v>
      </c>
      <c r="C904">
        <v>28.847104377104301</v>
      </c>
      <c r="D904">
        <v>1049.9925922125101</v>
      </c>
      <c r="E904">
        <v>8.9757948904870997</v>
      </c>
      <c r="F904">
        <v>29.212103434343401</v>
      </c>
      <c r="G904">
        <v>99</v>
      </c>
      <c r="H904">
        <v>566.72247314453102</v>
      </c>
      <c r="I904">
        <v>8.9014348071651594E-2</v>
      </c>
      <c r="K904" s="1" t="str">
        <f>TEXT(stand_validation_1cycle[[#This Row],[stand_age]], ".0")</f>
        <v>28.8</v>
      </c>
      <c r="L904" s="1" t="str">
        <f t="shared" si="14"/>
        <v>"28.8"</v>
      </c>
      <c r="M904">
        <v>100</v>
      </c>
      <c r="N904">
        <f>0.029*stand_validation_1cycle[[#This Row],[stand_level_biomass]]</f>
        <v>30.449785174162795</v>
      </c>
      <c r="O904">
        <f>0.213*stand_validation_1cycle[[#This Row],[stand_level_biomass]]</f>
        <v>223.64842214126463</v>
      </c>
      <c r="P904">
        <f>0.571*stand_validation_1cycle[[#This Row],[stand_level_biomass]]</f>
        <v>599.54577015334326</v>
      </c>
      <c r="Q904">
        <f>stand_validation_1cycle[[#This Row],[stock]]</f>
        <v>99</v>
      </c>
      <c r="R904">
        <v>0</v>
      </c>
      <c r="S904">
        <f>stand_validation_1cycle[[#This Row],[aws]]</f>
        <v>566.72247314453102</v>
      </c>
      <c r="T904">
        <f>stand_validation_1cycle[[#This Row],[percent_tree_cover]]*100</f>
        <v>8.9014348071651597</v>
      </c>
    </row>
    <row r="905" spans="1:20" x14ac:dyDescent="0.2">
      <c r="A905">
        <v>1</v>
      </c>
      <c r="B905" t="s">
        <v>923</v>
      </c>
      <c r="C905">
        <v>29.113233333333302</v>
      </c>
      <c r="D905">
        <v>934.03582458164794</v>
      </c>
      <c r="E905">
        <v>8.1557072610087094</v>
      </c>
      <c r="F905">
        <v>27.699736457142802</v>
      </c>
      <c r="G905">
        <v>100</v>
      </c>
      <c r="H905">
        <v>570.63140869140602</v>
      </c>
      <c r="I905">
        <v>8.1247814037555599E-2</v>
      </c>
      <c r="K905" s="1" t="str">
        <f>TEXT(stand_validation_1cycle[[#This Row],[stand_age]], ".0")</f>
        <v>29.1</v>
      </c>
      <c r="L905" s="1" t="str">
        <f t="shared" si="14"/>
        <v>"29.1"</v>
      </c>
      <c r="M905">
        <v>100</v>
      </c>
      <c r="N905">
        <f>0.029*stand_validation_1cycle[[#This Row],[stand_level_biomass]]</f>
        <v>27.08703891286779</v>
      </c>
      <c r="O905">
        <f>0.213*stand_validation_1cycle[[#This Row],[stand_level_biomass]]</f>
        <v>198.949630635891</v>
      </c>
      <c r="P905">
        <f>0.571*stand_validation_1cycle[[#This Row],[stand_level_biomass]]</f>
        <v>533.33445583612092</v>
      </c>
      <c r="Q905">
        <f>stand_validation_1cycle[[#This Row],[stock]]</f>
        <v>100</v>
      </c>
      <c r="R905">
        <v>0</v>
      </c>
      <c r="S905">
        <f>stand_validation_1cycle[[#This Row],[aws]]</f>
        <v>570.63140869140602</v>
      </c>
      <c r="T905">
        <f>stand_validation_1cycle[[#This Row],[percent_tree_cover]]*100</f>
        <v>8.1247814037555592</v>
      </c>
    </row>
    <row r="906" spans="1:20" x14ac:dyDescent="0.2">
      <c r="A906">
        <v>1</v>
      </c>
      <c r="B906" t="s">
        <v>924</v>
      </c>
      <c r="C906">
        <v>28.1927777777777</v>
      </c>
      <c r="D906">
        <v>738.77270035599997</v>
      </c>
      <c r="E906">
        <v>3.0486407809517</v>
      </c>
      <c r="F906">
        <v>26.4719792207792</v>
      </c>
      <c r="G906">
        <v>44</v>
      </c>
      <c r="H906">
        <v>570.63140869140602</v>
      </c>
      <c r="I906">
        <v>7.2200094761101702E-2</v>
      </c>
      <c r="K906" s="1" t="str">
        <f>TEXT(stand_validation_1cycle[[#This Row],[stand_age]], ".0")</f>
        <v>28.2</v>
      </c>
      <c r="L906" s="1" t="str">
        <f t="shared" si="14"/>
        <v>"28.2"</v>
      </c>
      <c r="M906">
        <v>100</v>
      </c>
      <c r="N906">
        <f>0.029*stand_validation_1cycle[[#This Row],[stand_level_biomass]]</f>
        <v>21.424408310324001</v>
      </c>
      <c r="O906">
        <f>0.213*stand_validation_1cycle[[#This Row],[stand_level_biomass]]</f>
        <v>157.35858517582798</v>
      </c>
      <c r="P906">
        <f>0.571*stand_validation_1cycle[[#This Row],[stand_level_biomass]]</f>
        <v>421.83921190327595</v>
      </c>
      <c r="Q906">
        <f>stand_validation_1cycle[[#This Row],[stock]]</f>
        <v>44</v>
      </c>
      <c r="R906">
        <v>0</v>
      </c>
      <c r="S906">
        <f>stand_validation_1cycle[[#This Row],[aws]]</f>
        <v>570.63140869140602</v>
      </c>
      <c r="T906">
        <f>stand_validation_1cycle[[#This Row],[percent_tree_cover]]*100</f>
        <v>7.2200094761101701</v>
      </c>
    </row>
    <row r="907" spans="1:20" x14ac:dyDescent="0.2">
      <c r="A907">
        <v>1</v>
      </c>
      <c r="B907" t="s">
        <v>925</v>
      </c>
      <c r="C907">
        <v>27.010717299578001</v>
      </c>
      <c r="D907">
        <v>890.22812692459502</v>
      </c>
      <c r="E907">
        <v>6.3087123182863198</v>
      </c>
      <c r="F907">
        <v>28.1459443024231</v>
      </c>
      <c r="G907">
        <v>79</v>
      </c>
      <c r="H907">
        <v>568.23400878906205</v>
      </c>
      <c r="I907">
        <v>7.6239806969628801E-2</v>
      </c>
      <c r="K907" s="1" t="str">
        <f>TEXT(stand_validation_1cycle[[#This Row],[stand_age]], ".0")</f>
        <v>27.0</v>
      </c>
      <c r="L907" s="1" t="str">
        <f t="shared" si="14"/>
        <v>"27.0"</v>
      </c>
      <c r="M907">
        <v>100</v>
      </c>
      <c r="N907">
        <f>0.029*stand_validation_1cycle[[#This Row],[stand_level_biomass]]</f>
        <v>25.816615680813257</v>
      </c>
      <c r="O907">
        <f>0.213*stand_validation_1cycle[[#This Row],[stand_level_biomass]]</f>
        <v>189.61859103493873</v>
      </c>
      <c r="P907">
        <f>0.571*stand_validation_1cycle[[#This Row],[stand_level_biomass]]</f>
        <v>508.32026047394373</v>
      </c>
      <c r="Q907">
        <f>stand_validation_1cycle[[#This Row],[stock]]</f>
        <v>79</v>
      </c>
      <c r="R907">
        <v>0</v>
      </c>
      <c r="S907">
        <f>stand_validation_1cycle[[#This Row],[aws]]</f>
        <v>568.23400878906205</v>
      </c>
      <c r="T907">
        <f>stand_validation_1cycle[[#This Row],[percent_tree_cover]]*100</f>
        <v>7.6239806969628798</v>
      </c>
    </row>
    <row r="908" spans="1:20" x14ac:dyDescent="0.2">
      <c r="A908">
        <v>1</v>
      </c>
      <c r="B908" t="s">
        <v>926</v>
      </c>
      <c r="C908">
        <v>26.1424579124579</v>
      </c>
      <c r="D908">
        <v>788.911442338195</v>
      </c>
      <c r="E908">
        <v>4.6567018944053098</v>
      </c>
      <c r="F908">
        <v>25.373526160622198</v>
      </c>
      <c r="G908">
        <v>66</v>
      </c>
      <c r="H908">
        <v>569.97808837890602</v>
      </c>
      <c r="I908">
        <v>7.0701776756163903E-2</v>
      </c>
      <c r="K908" s="1" t="str">
        <f>TEXT(stand_validation_1cycle[[#This Row],[stand_age]], ".0")</f>
        <v>26.1</v>
      </c>
      <c r="L908" s="1" t="str">
        <f t="shared" si="14"/>
        <v>"26.1"</v>
      </c>
      <c r="M908">
        <v>100</v>
      </c>
      <c r="N908">
        <f>0.029*stand_validation_1cycle[[#This Row],[stand_level_biomass]]</f>
        <v>22.878431827807656</v>
      </c>
      <c r="O908">
        <f>0.213*stand_validation_1cycle[[#This Row],[stand_level_biomass]]</f>
        <v>168.03813721803553</v>
      </c>
      <c r="P908">
        <f>0.571*stand_validation_1cycle[[#This Row],[stand_level_biomass]]</f>
        <v>450.46843357510932</v>
      </c>
      <c r="Q908">
        <f>stand_validation_1cycle[[#This Row],[stock]]</f>
        <v>66</v>
      </c>
      <c r="R908">
        <v>0</v>
      </c>
      <c r="S908">
        <f>stand_validation_1cycle[[#This Row],[aws]]</f>
        <v>569.97808837890602</v>
      </c>
      <c r="T908">
        <f>stand_validation_1cycle[[#This Row],[percent_tree_cover]]*100</f>
        <v>7.0701776756163905</v>
      </c>
    </row>
    <row r="909" spans="1:20" x14ac:dyDescent="0.2">
      <c r="A909">
        <v>1</v>
      </c>
      <c r="B909" t="s">
        <v>927</v>
      </c>
      <c r="C909">
        <v>29.296111111111099</v>
      </c>
      <c r="D909">
        <v>1180.3934642035999</v>
      </c>
      <c r="E909">
        <v>9.8311940213918394</v>
      </c>
      <c r="F909">
        <v>29.379895665549199</v>
      </c>
      <c r="G909">
        <v>100</v>
      </c>
      <c r="H909">
        <v>568.08978271484295</v>
      </c>
      <c r="I909">
        <v>9.7930216411218504E-2</v>
      </c>
      <c r="K909" s="1" t="str">
        <f>TEXT(stand_validation_1cycle[[#This Row],[stand_age]], ".0")</f>
        <v>29.3</v>
      </c>
      <c r="L909" s="1" t="str">
        <f t="shared" si="14"/>
        <v>"29.3"</v>
      </c>
      <c r="M909">
        <v>100</v>
      </c>
      <c r="N909">
        <f>0.029*stand_validation_1cycle[[#This Row],[stand_level_biomass]]</f>
        <v>34.231410461904403</v>
      </c>
      <c r="O909">
        <f>0.213*stand_validation_1cycle[[#This Row],[stand_level_biomass]]</f>
        <v>251.42380787536678</v>
      </c>
      <c r="P909">
        <f>0.571*stand_validation_1cycle[[#This Row],[stand_level_biomass]]</f>
        <v>674.00466806025554</v>
      </c>
      <c r="Q909">
        <f>stand_validation_1cycle[[#This Row],[stock]]</f>
        <v>100</v>
      </c>
      <c r="R909">
        <v>0</v>
      </c>
      <c r="S909">
        <f>stand_validation_1cycle[[#This Row],[aws]]</f>
        <v>568.08978271484295</v>
      </c>
      <c r="T909">
        <f>stand_validation_1cycle[[#This Row],[percent_tree_cover]]*100</f>
        <v>9.7930216411218503</v>
      </c>
    </row>
    <row r="910" spans="1:20" x14ac:dyDescent="0.2">
      <c r="A910">
        <v>1</v>
      </c>
      <c r="B910" t="s">
        <v>928</v>
      </c>
      <c r="C910">
        <v>26.534960718293998</v>
      </c>
      <c r="D910">
        <v>630.921385971051</v>
      </c>
      <c r="E910">
        <v>6.0208741015772897</v>
      </c>
      <c r="F910">
        <v>25.018499527678198</v>
      </c>
      <c r="G910">
        <v>99</v>
      </c>
      <c r="H910">
        <v>622.66198730468705</v>
      </c>
      <c r="I910">
        <v>6.0157653614239998E-2</v>
      </c>
      <c r="K910" s="1" t="str">
        <f>TEXT(stand_validation_1cycle[[#This Row],[stand_age]], ".0")</f>
        <v>26.5</v>
      </c>
      <c r="L910" s="1" t="str">
        <f t="shared" si="14"/>
        <v>"26.5"</v>
      </c>
      <c r="M910">
        <v>100</v>
      </c>
      <c r="N910">
        <f>0.029*stand_validation_1cycle[[#This Row],[stand_level_biomass]]</f>
        <v>18.296720193160478</v>
      </c>
      <c r="O910">
        <f>0.213*stand_validation_1cycle[[#This Row],[stand_level_biomass]]</f>
        <v>134.38625521183386</v>
      </c>
      <c r="P910">
        <f>0.571*stand_validation_1cycle[[#This Row],[stand_level_biomass]]</f>
        <v>360.25611138947011</v>
      </c>
      <c r="Q910">
        <f>stand_validation_1cycle[[#This Row],[stock]]</f>
        <v>99</v>
      </c>
      <c r="R910">
        <v>0</v>
      </c>
      <c r="S910">
        <f>stand_validation_1cycle[[#This Row],[aws]]</f>
        <v>622.66198730468705</v>
      </c>
      <c r="T910">
        <f>stand_validation_1cycle[[#This Row],[percent_tree_cover]]*100</f>
        <v>6.0157653614240001</v>
      </c>
    </row>
    <row r="911" spans="1:20" x14ac:dyDescent="0.2">
      <c r="A911">
        <v>1</v>
      </c>
      <c r="B911" t="s">
        <v>929</v>
      </c>
      <c r="C911">
        <v>27.9261552028218</v>
      </c>
      <c r="D911">
        <v>907.95397246842595</v>
      </c>
      <c r="E911">
        <v>5.0664307644809901</v>
      </c>
      <c r="F911">
        <v>27.972501903533999</v>
      </c>
      <c r="G911">
        <v>63</v>
      </c>
      <c r="H911">
        <v>568.08978271484295</v>
      </c>
      <c r="I911">
        <v>8.2018390769105998E-2</v>
      </c>
      <c r="K911" s="1" t="str">
        <f>TEXT(stand_validation_1cycle[[#This Row],[stand_age]], ".0")</f>
        <v>27.9</v>
      </c>
      <c r="L911" s="1" t="str">
        <f t="shared" si="14"/>
        <v>"27.9"</v>
      </c>
      <c r="M911">
        <v>100</v>
      </c>
      <c r="N911">
        <f>0.029*stand_validation_1cycle[[#This Row],[stand_level_biomass]]</f>
        <v>26.330665201584353</v>
      </c>
      <c r="O911">
        <f>0.213*stand_validation_1cycle[[#This Row],[stand_level_biomass]]</f>
        <v>193.39419613577473</v>
      </c>
      <c r="P911">
        <f>0.571*stand_validation_1cycle[[#This Row],[stand_level_biomass]]</f>
        <v>518.44171827947116</v>
      </c>
      <c r="Q911">
        <f>stand_validation_1cycle[[#This Row],[stock]]</f>
        <v>63</v>
      </c>
      <c r="R911">
        <v>0</v>
      </c>
      <c r="S911">
        <f>stand_validation_1cycle[[#This Row],[aws]]</f>
        <v>568.08978271484295</v>
      </c>
      <c r="T911">
        <f>stand_validation_1cycle[[#This Row],[percent_tree_cover]]*100</f>
        <v>8.2018390769106002</v>
      </c>
    </row>
    <row r="912" spans="1:20" x14ac:dyDescent="0.2">
      <c r="A912">
        <v>1</v>
      </c>
      <c r="B912" t="s">
        <v>930</v>
      </c>
      <c r="C912">
        <v>26.3350987654321</v>
      </c>
      <c r="D912">
        <v>895.82556059487399</v>
      </c>
      <c r="E912">
        <v>7.1525417488460503</v>
      </c>
      <c r="F912">
        <v>27.357500517246802</v>
      </c>
      <c r="G912">
        <v>90</v>
      </c>
      <c r="H912">
        <v>575.25958251953102</v>
      </c>
      <c r="I912">
        <v>7.8393004779443207E-2</v>
      </c>
      <c r="K912" s="1" t="str">
        <f>TEXT(stand_validation_1cycle[[#This Row],[stand_age]], ".0")</f>
        <v>26.3</v>
      </c>
      <c r="L912" s="1" t="str">
        <f t="shared" si="14"/>
        <v>"26.3"</v>
      </c>
      <c r="M912">
        <v>100</v>
      </c>
      <c r="N912">
        <f>0.029*stand_validation_1cycle[[#This Row],[stand_level_biomass]]</f>
        <v>25.978941257251346</v>
      </c>
      <c r="O912">
        <f>0.213*stand_validation_1cycle[[#This Row],[stand_level_biomass]]</f>
        <v>190.81084440670816</v>
      </c>
      <c r="P912">
        <f>0.571*stand_validation_1cycle[[#This Row],[stand_level_biomass]]</f>
        <v>511.51639509967299</v>
      </c>
      <c r="Q912">
        <f>stand_validation_1cycle[[#This Row],[stock]]</f>
        <v>90</v>
      </c>
      <c r="R912">
        <v>0</v>
      </c>
      <c r="S912">
        <f>stand_validation_1cycle[[#This Row],[aws]]</f>
        <v>575.25958251953102</v>
      </c>
      <c r="T912">
        <f>stand_validation_1cycle[[#This Row],[percent_tree_cover]]*100</f>
        <v>7.8393004779443203</v>
      </c>
    </row>
    <row r="913" spans="1:20" x14ac:dyDescent="0.2">
      <c r="A913">
        <v>1</v>
      </c>
      <c r="B913" t="s">
        <v>931</v>
      </c>
      <c r="C913">
        <v>27.155744444444402</v>
      </c>
      <c r="D913">
        <v>691.27737114548404</v>
      </c>
      <c r="E913">
        <v>6.4901903449117597</v>
      </c>
      <c r="F913">
        <v>25.444969932387799</v>
      </c>
      <c r="G913">
        <v>100</v>
      </c>
      <c r="H913">
        <v>574.45025634765602</v>
      </c>
      <c r="I913">
        <v>6.4675388870414699E-2</v>
      </c>
      <c r="K913" s="1" t="str">
        <f>TEXT(stand_validation_1cycle[[#This Row],[stand_age]], ".0")</f>
        <v>27.2</v>
      </c>
      <c r="L913" s="1" t="str">
        <f t="shared" si="14"/>
        <v>"27.2"</v>
      </c>
      <c r="M913">
        <v>100</v>
      </c>
      <c r="N913">
        <f>0.029*stand_validation_1cycle[[#This Row],[stand_level_biomass]]</f>
        <v>20.047043763219037</v>
      </c>
      <c r="O913">
        <f>0.213*stand_validation_1cycle[[#This Row],[stand_level_biomass]]</f>
        <v>147.2420800539881</v>
      </c>
      <c r="P913">
        <f>0.571*stand_validation_1cycle[[#This Row],[stand_level_biomass]]</f>
        <v>394.71937892407135</v>
      </c>
      <c r="Q913">
        <f>stand_validation_1cycle[[#This Row],[stock]]</f>
        <v>100</v>
      </c>
      <c r="R913">
        <v>0</v>
      </c>
      <c r="S913">
        <f>stand_validation_1cycle[[#This Row],[aws]]</f>
        <v>574.45025634765602</v>
      </c>
      <c r="T913">
        <f>stand_validation_1cycle[[#This Row],[percent_tree_cover]]*100</f>
        <v>6.4675388870414698</v>
      </c>
    </row>
    <row r="914" spans="1:20" x14ac:dyDescent="0.2">
      <c r="A914">
        <v>1</v>
      </c>
      <c r="B914" t="s">
        <v>932</v>
      </c>
      <c r="C914">
        <v>27.957879818594101</v>
      </c>
      <c r="D914">
        <v>826.60969741845804</v>
      </c>
      <c r="E914">
        <v>7.26991557737498</v>
      </c>
      <c r="F914">
        <v>26.6698460641399</v>
      </c>
      <c r="G914">
        <v>98</v>
      </c>
      <c r="H914">
        <v>578.32214355468705</v>
      </c>
      <c r="I914">
        <v>7.4396633437059906E-2</v>
      </c>
      <c r="K914" s="1" t="str">
        <f>TEXT(stand_validation_1cycle[[#This Row],[stand_age]], ".0")</f>
        <v>28.0</v>
      </c>
      <c r="L914" s="1" t="str">
        <f t="shared" si="14"/>
        <v>"28.0"</v>
      </c>
      <c r="M914">
        <v>100</v>
      </c>
      <c r="N914">
        <f>0.029*stand_validation_1cycle[[#This Row],[stand_level_biomass]]</f>
        <v>23.971681225135285</v>
      </c>
      <c r="O914">
        <f>0.213*stand_validation_1cycle[[#This Row],[stand_level_biomass]]</f>
        <v>176.06786555013156</v>
      </c>
      <c r="P914">
        <f>0.571*stand_validation_1cycle[[#This Row],[stand_level_biomass]]</f>
        <v>471.99413722593948</v>
      </c>
      <c r="Q914">
        <f>stand_validation_1cycle[[#This Row],[stock]]</f>
        <v>98</v>
      </c>
      <c r="R914">
        <v>0</v>
      </c>
      <c r="S914">
        <f>stand_validation_1cycle[[#This Row],[aws]]</f>
        <v>578.32214355468705</v>
      </c>
      <c r="T914">
        <f>stand_validation_1cycle[[#This Row],[percent_tree_cover]]*100</f>
        <v>7.4396633437059903</v>
      </c>
    </row>
    <row r="915" spans="1:20" x14ac:dyDescent="0.2">
      <c r="A915">
        <v>1</v>
      </c>
      <c r="B915" t="s">
        <v>933</v>
      </c>
      <c r="C915">
        <v>29.885536062378101</v>
      </c>
      <c r="D915">
        <v>783.26314228577996</v>
      </c>
      <c r="E915">
        <v>4.2196160355021801</v>
      </c>
      <c r="F915">
        <v>27.937819348370901</v>
      </c>
      <c r="G915">
        <v>57</v>
      </c>
      <c r="H915">
        <v>540</v>
      </c>
      <c r="I915">
        <v>6.9489994481340397E-2</v>
      </c>
      <c r="K915" s="1" t="str">
        <f>TEXT(stand_validation_1cycle[[#This Row],[stand_age]], ".0")</f>
        <v>29.9</v>
      </c>
      <c r="L915" s="1" t="str">
        <f t="shared" si="14"/>
        <v>"29.9"</v>
      </c>
      <c r="M915">
        <v>100</v>
      </c>
      <c r="N915">
        <f>0.029*stand_validation_1cycle[[#This Row],[stand_level_biomass]]</f>
        <v>22.714631126287621</v>
      </c>
      <c r="O915">
        <f>0.213*stand_validation_1cycle[[#This Row],[stand_level_biomass]]</f>
        <v>166.83504930687113</v>
      </c>
      <c r="P915">
        <f>0.571*stand_validation_1cycle[[#This Row],[stand_level_biomass]]</f>
        <v>447.24325424518031</v>
      </c>
      <c r="Q915">
        <f>stand_validation_1cycle[[#This Row],[stock]]</f>
        <v>57</v>
      </c>
      <c r="R915">
        <v>0</v>
      </c>
      <c r="S915">
        <f>stand_validation_1cycle[[#This Row],[aws]]</f>
        <v>540</v>
      </c>
      <c r="T915">
        <f>stand_validation_1cycle[[#This Row],[percent_tree_cover]]*100</f>
        <v>6.9489994481340398</v>
      </c>
    </row>
    <row r="916" spans="1:20" x14ac:dyDescent="0.2">
      <c r="A916">
        <v>1</v>
      </c>
      <c r="B916" t="s">
        <v>934</v>
      </c>
      <c r="C916">
        <v>27.4914764079147</v>
      </c>
      <c r="D916">
        <v>742.52055408636795</v>
      </c>
      <c r="E916">
        <v>5.0838650329120796</v>
      </c>
      <c r="F916">
        <v>26.4410761643835</v>
      </c>
      <c r="G916">
        <v>73</v>
      </c>
      <c r="H916">
        <v>617.08349609375</v>
      </c>
      <c r="I916">
        <v>6.8223027134549294E-2</v>
      </c>
      <c r="K916" s="1" t="str">
        <f>TEXT(stand_validation_1cycle[[#This Row],[stand_age]], ".0")</f>
        <v>27.5</v>
      </c>
      <c r="L916" s="1" t="str">
        <f t="shared" si="14"/>
        <v>"27.5"</v>
      </c>
      <c r="M916">
        <v>100</v>
      </c>
      <c r="N916">
        <f>0.029*stand_validation_1cycle[[#This Row],[stand_level_biomass]]</f>
        <v>21.533096068504673</v>
      </c>
      <c r="O916">
        <f>0.213*stand_validation_1cycle[[#This Row],[stand_level_biomass]]</f>
        <v>158.15687802039636</v>
      </c>
      <c r="P916">
        <f>0.571*stand_validation_1cycle[[#This Row],[stand_level_biomass]]</f>
        <v>423.97923638331605</v>
      </c>
      <c r="Q916">
        <f>stand_validation_1cycle[[#This Row],[stock]]</f>
        <v>73</v>
      </c>
      <c r="R916">
        <v>0</v>
      </c>
      <c r="S916">
        <f>stand_validation_1cycle[[#This Row],[aws]]</f>
        <v>617.08349609375</v>
      </c>
      <c r="T916">
        <f>stand_validation_1cycle[[#This Row],[percent_tree_cover]]*100</f>
        <v>6.8223027134549294</v>
      </c>
    </row>
    <row r="917" spans="1:20" x14ac:dyDescent="0.2">
      <c r="A917">
        <v>1</v>
      </c>
      <c r="B917" t="s">
        <v>935</v>
      </c>
      <c r="C917">
        <v>25.257167277167198</v>
      </c>
      <c r="D917">
        <v>716.70399946882799</v>
      </c>
      <c r="E917">
        <v>5.9811266713240698</v>
      </c>
      <c r="F917">
        <v>24.7843883202511</v>
      </c>
      <c r="G917">
        <v>91</v>
      </c>
      <c r="H917">
        <v>567.23937988281205</v>
      </c>
      <c r="I917">
        <v>6.3557325454699803E-2</v>
      </c>
      <c r="K917" s="1" t="str">
        <f>TEXT(stand_validation_1cycle[[#This Row],[stand_age]], ".0")</f>
        <v>25.3</v>
      </c>
      <c r="L917" s="1" t="str">
        <f t="shared" si="14"/>
        <v>"25.3"</v>
      </c>
      <c r="M917">
        <v>100</v>
      </c>
      <c r="N917">
        <f>0.029*stand_validation_1cycle[[#This Row],[stand_level_biomass]]</f>
        <v>20.784415984596013</v>
      </c>
      <c r="O917">
        <f>0.213*stand_validation_1cycle[[#This Row],[stand_level_biomass]]</f>
        <v>152.65795188686036</v>
      </c>
      <c r="P917">
        <f>0.571*stand_validation_1cycle[[#This Row],[stand_level_biomass]]</f>
        <v>409.23798369670072</v>
      </c>
      <c r="Q917">
        <f>stand_validation_1cycle[[#This Row],[stock]]</f>
        <v>91</v>
      </c>
      <c r="R917">
        <v>0</v>
      </c>
      <c r="S917">
        <f>stand_validation_1cycle[[#This Row],[aws]]</f>
        <v>567.23937988281205</v>
      </c>
      <c r="T917">
        <f>stand_validation_1cycle[[#This Row],[percent_tree_cover]]*100</f>
        <v>6.35573254546998</v>
      </c>
    </row>
    <row r="918" spans="1:20" x14ac:dyDescent="0.2">
      <c r="A918">
        <v>1</v>
      </c>
      <c r="B918" t="s">
        <v>936</v>
      </c>
      <c r="C918">
        <v>27.703501048218001</v>
      </c>
      <c r="D918">
        <v>1059.2576178069801</v>
      </c>
      <c r="E918">
        <v>4.7420848849427397</v>
      </c>
      <c r="F918">
        <v>28.058617358490501</v>
      </c>
      <c r="G918">
        <v>53</v>
      </c>
      <c r="H918">
        <v>567.23937988281205</v>
      </c>
      <c r="I918">
        <v>9.1820179452633294E-2</v>
      </c>
      <c r="K918" s="1" t="str">
        <f>TEXT(stand_validation_1cycle[[#This Row],[stand_age]], ".0")</f>
        <v>27.7</v>
      </c>
      <c r="L918" s="1" t="str">
        <f t="shared" si="14"/>
        <v>"27.7"</v>
      </c>
      <c r="M918">
        <v>100</v>
      </c>
      <c r="N918">
        <f>0.029*stand_validation_1cycle[[#This Row],[stand_level_biomass]]</f>
        <v>30.718470916402424</v>
      </c>
      <c r="O918">
        <f>0.213*stand_validation_1cycle[[#This Row],[stand_level_biomass]]</f>
        <v>225.62187259288675</v>
      </c>
      <c r="P918">
        <f>0.571*stand_validation_1cycle[[#This Row],[stand_level_biomass]]</f>
        <v>604.83609976778553</v>
      </c>
      <c r="Q918">
        <f>stand_validation_1cycle[[#This Row],[stock]]</f>
        <v>53</v>
      </c>
      <c r="R918">
        <v>0</v>
      </c>
      <c r="S918">
        <f>stand_validation_1cycle[[#This Row],[aws]]</f>
        <v>567.23937988281205</v>
      </c>
      <c r="T918">
        <f>stand_validation_1cycle[[#This Row],[percent_tree_cover]]*100</f>
        <v>9.182017945263329</v>
      </c>
    </row>
    <row r="919" spans="1:20" x14ac:dyDescent="0.2">
      <c r="A919">
        <v>1</v>
      </c>
      <c r="B919" t="s">
        <v>937</v>
      </c>
      <c r="C919">
        <v>25.830444444444399</v>
      </c>
      <c r="D919">
        <v>834.08013508086106</v>
      </c>
      <c r="E919">
        <v>5.1328691659191001</v>
      </c>
      <c r="F919">
        <v>25.6973263673469</v>
      </c>
      <c r="G919">
        <v>70</v>
      </c>
      <c r="H919">
        <v>572.96057128906205</v>
      </c>
      <c r="I919">
        <v>7.3033955075691701E-2</v>
      </c>
      <c r="K919" s="1" t="str">
        <f>TEXT(stand_validation_1cycle[[#This Row],[stand_age]], ".0")</f>
        <v>25.8</v>
      </c>
      <c r="L919" s="1" t="str">
        <f t="shared" si="14"/>
        <v>"25.8"</v>
      </c>
      <c r="M919">
        <v>100</v>
      </c>
      <c r="N919">
        <f>0.029*stand_validation_1cycle[[#This Row],[stand_level_biomass]]</f>
        <v>24.18832391734497</v>
      </c>
      <c r="O919">
        <f>0.213*stand_validation_1cycle[[#This Row],[stand_level_biomass]]</f>
        <v>177.65906877222341</v>
      </c>
      <c r="P919">
        <f>0.571*stand_validation_1cycle[[#This Row],[stand_level_biomass]]</f>
        <v>476.25975713117163</v>
      </c>
      <c r="Q919">
        <f>stand_validation_1cycle[[#This Row],[stock]]</f>
        <v>70</v>
      </c>
      <c r="R919">
        <v>0</v>
      </c>
      <c r="S919">
        <f>stand_validation_1cycle[[#This Row],[aws]]</f>
        <v>572.96057128906205</v>
      </c>
      <c r="T919">
        <f>stand_validation_1cycle[[#This Row],[percent_tree_cover]]*100</f>
        <v>7.3033955075691699</v>
      </c>
    </row>
    <row r="920" spans="1:20" x14ac:dyDescent="0.2">
      <c r="A920">
        <v>1</v>
      </c>
      <c r="B920" t="s">
        <v>938</v>
      </c>
      <c r="C920">
        <v>27.1411447811447</v>
      </c>
      <c r="D920">
        <v>729.91340673293598</v>
      </c>
      <c r="E920">
        <v>6.5253950321878902</v>
      </c>
      <c r="F920">
        <v>24.642919711399699</v>
      </c>
      <c r="G920">
        <v>99</v>
      </c>
      <c r="H920">
        <v>573.44451904296795</v>
      </c>
      <c r="I920">
        <v>6.4901479266331594E-2</v>
      </c>
      <c r="K920" s="1" t="str">
        <f>TEXT(stand_validation_1cycle[[#This Row],[stand_age]], ".0")</f>
        <v>27.1</v>
      </c>
      <c r="L920" s="1" t="str">
        <f t="shared" si="14"/>
        <v>"27.1"</v>
      </c>
      <c r="M920">
        <v>100</v>
      </c>
      <c r="N920">
        <f>0.029*stand_validation_1cycle[[#This Row],[stand_level_biomass]]</f>
        <v>21.167488795255146</v>
      </c>
      <c r="O920">
        <f>0.213*stand_validation_1cycle[[#This Row],[stand_level_biomass]]</f>
        <v>155.47155563411536</v>
      </c>
      <c r="P920">
        <f>0.571*stand_validation_1cycle[[#This Row],[stand_level_biomass]]</f>
        <v>416.78055524450639</v>
      </c>
      <c r="Q920">
        <f>stand_validation_1cycle[[#This Row],[stock]]</f>
        <v>99</v>
      </c>
      <c r="R920">
        <v>0</v>
      </c>
      <c r="S920">
        <f>stand_validation_1cycle[[#This Row],[aws]]</f>
        <v>573.44451904296795</v>
      </c>
      <c r="T920">
        <f>stand_validation_1cycle[[#This Row],[percent_tree_cover]]*100</f>
        <v>6.490147926633159</v>
      </c>
    </row>
    <row r="921" spans="1:20" x14ac:dyDescent="0.2">
      <c r="A921">
        <v>1</v>
      </c>
      <c r="B921" t="s">
        <v>939</v>
      </c>
      <c r="C921">
        <v>28.990204081632601</v>
      </c>
      <c r="D921">
        <v>1003.37223134796</v>
      </c>
      <c r="E921">
        <v>8.6615955698217899</v>
      </c>
      <c r="F921">
        <v>28.901753236151599</v>
      </c>
      <c r="G921">
        <v>98</v>
      </c>
      <c r="H921">
        <v>567.36633300781205</v>
      </c>
      <c r="I921">
        <v>8.5355568891379296E-2</v>
      </c>
      <c r="K921" s="1" t="str">
        <f>TEXT(stand_validation_1cycle[[#This Row],[stand_age]], ".0")</f>
        <v>29.0</v>
      </c>
      <c r="L921" s="1" t="str">
        <f t="shared" si="14"/>
        <v>"29.0"</v>
      </c>
      <c r="M921">
        <v>100</v>
      </c>
      <c r="N921">
        <f>0.029*stand_validation_1cycle[[#This Row],[stand_level_biomass]]</f>
        <v>29.097794709090842</v>
      </c>
      <c r="O921">
        <f>0.213*stand_validation_1cycle[[#This Row],[stand_level_biomass]]</f>
        <v>213.71828527711548</v>
      </c>
      <c r="P921">
        <f>0.571*stand_validation_1cycle[[#This Row],[stand_level_biomass]]</f>
        <v>572.92554409968511</v>
      </c>
      <c r="Q921">
        <f>stand_validation_1cycle[[#This Row],[stock]]</f>
        <v>98</v>
      </c>
      <c r="R921">
        <v>0</v>
      </c>
      <c r="S921">
        <f>stand_validation_1cycle[[#This Row],[aws]]</f>
        <v>567.36633300781205</v>
      </c>
      <c r="T921">
        <f>stand_validation_1cycle[[#This Row],[percent_tree_cover]]*100</f>
        <v>8.5355568891379292</v>
      </c>
    </row>
    <row r="922" spans="1:20" x14ac:dyDescent="0.2">
      <c r="A922">
        <v>1</v>
      </c>
      <c r="B922" t="s">
        <v>940</v>
      </c>
      <c r="C922">
        <v>27.177777777777699</v>
      </c>
      <c r="D922">
        <v>796.41903135035795</v>
      </c>
      <c r="E922">
        <v>7.1575062506368896</v>
      </c>
      <c r="F922">
        <v>26.124143542857102</v>
      </c>
      <c r="G922">
        <v>100</v>
      </c>
      <c r="H922">
        <v>570.40130615234295</v>
      </c>
      <c r="I922">
        <v>7.1316380422979594E-2</v>
      </c>
      <c r="K922" s="1" t="str">
        <f>TEXT(stand_validation_1cycle[[#This Row],[stand_age]], ".0")</f>
        <v>27.2</v>
      </c>
      <c r="L922" s="1" t="str">
        <f t="shared" si="14"/>
        <v>"27.2"</v>
      </c>
      <c r="M922">
        <v>100</v>
      </c>
      <c r="N922">
        <f>0.029*stand_validation_1cycle[[#This Row],[stand_level_biomass]]</f>
        <v>23.096151909160383</v>
      </c>
      <c r="O922">
        <f>0.213*stand_validation_1cycle[[#This Row],[stand_level_biomass]]</f>
        <v>169.63725367762623</v>
      </c>
      <c r="P922">
        <f>0.571*stand_validation_1cycle[[#This Row],[stand_level_biomass]]</f>
        <v>454.75526690105437</v>
      </c>
      <c r="Q922">
        <f>stand_validation_1cycle[[#This Row],[stock]]</f>
        <v>100</v>
      </c>
      <c r="R922">
        <v>0</v>
      </c>
      <c r="S922">
        <f>stand_validation_1cycle[[#This Row],[aws]]</f>
        <v>570.40130615234295</v>
      </c>
      <c r="T922">
        <f>stand_validation_1cycle[[#This Row],[percent_tree_cover]]*100</f>
        <v>7.1316380422979595</v>
      </c>
    </row>
    <row r="923" spans="1:20" x14ac:dyDescent="0.2">
      <c r="A923">
        <v>1</v>
      </c>
      <c r="B923" t="s">
        <v>941</v>
      </c>
      <c r="C923">
        <v>26.899833333333302</v>
      </c>
      <c r="D923">
        <v>924.23180036682595</v>
      </c>
      <c r="E923">
        <v>8.0425706555713106</v>
      </c>
      <c r="F923">
        <v>26.9359362285714</v>
      </c>
      <c r="G923">
        <v>100</v>
      </c>
      <c r="H923">
        <v>571.73529052734295</v>
      </c>
      <c r="I923">
        <v>8.0130400977433597E-2</v>
      </c>
      <c r="K923" s="1" t="str">
        <f>TEXT(stand_validation_1cycle[[#This Row],[stand_age]], ".0")</f>
        <v>26.9</v>
      </c>
      <c r="L923" s="1" t="str">
        <f t="shared" si="14"/>
        <v>"26.9"</v>
      </c>
      <c r="M923">
        <v>100</v>
      </c>
      <c r="N923">
        <f>0.029*stand_validation_1cycle[[#This Row],[stand_level_biomass]]</f>
        <v>26.802722210637953</v>
      </c>
      <c r="O923">
        <f>0.213*stand_validation_1cycle[[#This Row],[stand_level_biomass]]</f>
        <v>196.86137347813391</v>
      </c>
      <c r="P923">
        <f>0.571*stand_validation_1cycle[[#This Row],[stand_level_biomass]]</f>
        <v>527.7363580094576</v>
      </c>
      <c r="Q923">
        <f>stand_validation_1cycle[[#This Row],[stock]]</f>
        <v>100</v>
      </c>
      <c r="R923">
        <v>0</v>
      </c>
      <c r="S923">
        <f>stand_validation_1cycle[[#This Row],[aws]]</f>
        <v>571.73529052734295</v>
      </c>
      <c r="T923">
        <f>stand_validation_1cycle[[#This Row],[percent_tree_cover]]*100</f>
        <v>8.0130400977433602</v>
      </c>
    </row>
    <row r="924" spans="1:20" x14ac:dyDescent="0.2">
      <c r="A924">
        <v>1</v>
      </c>
      <c r="B924" t="s">
        <v>942</v>
      </c>
      <c r="C924">
        <v>27.7231777777777</v>
      </c>
      <c r="D924">
        <v>896.10178486683196</v>
      </c>
      <c r="E924">
        <v>7.8422634933765902</v>
      </c>
      <c r="F924">
        <v>26.7678562285714</v>
      </c>
      <c r="G924">
        <v>100</v>
      </c>
      <c r="H924">
        <v>567.18762207031205</v>
      </c>
      <c r="I924">
        <v>7.8134500635417103E-2</v>
      </c>
      <c r="K924" s="1" t="str">
        <f>TEXT(stand_validation_1cycle[[#This Row],[stand_age]], ".0")</f>
        <v>27.7</v>
      </c>
      <c r="L924" s="1" t="str">
        <f t="shared" si="14"/>
        <v>"27.7"</v>
      </c>
      <c r="M924">
        <v>100</v>
      </c>
      <c r="N924">
        <f>0.029*stand_validation_1cycle[[#This Row],[stand_level_biomass]]</f>
        <v>25.98695176113813</v>
      </c>
      <c r="O924">
        <f>0.213*stand_validation_1cycle[[#This Row],[stand_level_biomass]]</f>
        <v>190.8696801766352</v>
      </c>
      <c r="P924">
        <f>0.571*stand_validation_1cycle[[#This Row],[stand_level_biomass]]</f>
        <v>511.67411915896099</v>
      </c>
      <c r="Q924">
        <f>stand_validation_1cycle[[#This Row],[stock]]</f>
        <v>100</v>
      </c>
      <c r="R924">
        <v>0</v>
      </c>
      <c r="S924">
        <f>stand_validation_1cycle[[#This Row],[aws]]</f>
        <v>567.18762207031205</v>
      </c>
      <c r="T924">
        <f>stand_validation_1cycle[[#This Row],[percent_tree_cover]]*100</f>
        <v>7.8134500635417101</v>
      </c>
    </row>
    <row r="925" spans="1:20" x14ac:dyDescent="0.2">
      <c r="A925">
        <v>1</v>
      </c>
      <c r="B925" t="s">
        <v>943</v>
      </c>
      <c r="C925">
        <v>25.673477777777698</v>
      </c>
      <c r="D925">
        <v>682.61146633761496</v>
      </c>
      <c r="E925">
        <v>6.3807136949157899</v>
      </c>
      <c r="F925">
        <v>25.088857828571399</v>
      </c>
      <c r="G925">
        <v>100</v>
      </c>
      <c r="H925">
        <v>568.96154785156205</v>
      </c>
      <c r="I925">
        <v>6.36034935345825E-2</v>
      </c>
      <c r="K925" s="1" t="str">
        <f>TEXT(stand_validation_1cycle[[#This Row],[stand_age]], ".0")</f>
        <v>25.7</v>
      </c>
      <c r="L925" s="1" t="str">
        <f t="shared" si="14"/>
        <v>"25.7"</v>
      </c>
      <c r="M925">
        <v>100</v>
      </c>
      <c r="N925">
        <f>0.029*stand_validation_1cycle[[#This Row],[stand_level_biomass]]</f>
        <v>19.795732523790836</v>
      </c>
      <c r="O925">
        <f>0.213*stand_validation_1cycle[[#This Row],[stand_level_biomass]]</f>
        <v>145.39624232991198</v>
      </c>
      <c r="P925">
        <f>0.571*stand_validation_1cycle[[#This Row],[stand_level_biomass]]</f>
        <v>389.77114727877813</v>
      </c>
      <c r="Q925">
        <f>stand_validation_1cycle[[#This Row],[stock]]</f>
        <v>100</v>
      </c>
      <c r="R925">
        <v>0</v>
      </c>
      <c r="S925">
        <f>stand_validation_1cycle[[#This Row],[aws]]</f>
        <v>568.96154785156205</v>
      </c>
      <c r="T925">
        <f>stand_validation_1cycle[[#This Row],[percent_tree_cover]]*100</f>
        <v>6.3603493534582505</v>
      </c>
    </row>
    <row r="926" spans="1:20" x14ac:dyDescent="0.2">
      <c r="A926">
        <v>1</v>
      </c>
      <c r="B926" t="s">
        <v>944</v>
      </c>
      <c r="C926">
        <v>28.0514814814814</v>
      </c>
      <c r="D926">
        <v>894.51992381619004</v>
      </c>
      <c r="E926">
        <v>7.8988003801687503</v>
      </c>
      <c r="F926">
        <v>27.731061010101001</v>
      </c>
      <c r="G926">
        <v>99</v>
      </c>
      <c r="H926">
        <v>567.400634765625</v>
      </c>
      <c r="I926">
        <v>7.8410608631159298E-2</v>
      </c>
      <c r="K926" s="1" t="str">
        <f>TEXT(stand_validation_1cycle[[#This Row],[stand_age]], ".0")</f>
        <v>28.1</v>
      </c>
      <c r="L926" s="1" t="str">
        <f t="shared" si="14"/>
        <v>"28.1"</v>
      </c>
      <c r="M926">
        <v>100</v>
      </c>
      <c r="N926">
        <f>0.029*stand_validation_1cycle[[#This Row],[stand_level_biomass]]</f>
        <v>25.941077790669514</v>
      </c>
      <c r="O926">
        <f>0.213*stand_validation_1cycle[[#This Row],[stand_level_biomass]]</f>
        <v>190.53274377284848</v>
      </c>
      <c r="P926">
        <f>0.571*stand_validation_1cycle[[#This Row],[stand_level_biomass]]</f>
        <v>510.77087649904445</v>
      </c>
      <c r="Q926">
        <f>stand_validation_1cycle[[#This Row],[stock]]</f>
        <v>99</v>
      </c>
      <c r="R926">
        <v>0</v>
      </c>
      <c r="S926">
        <f>stand_validation_1cycle[[#This Row],[aws]]</f>
        <v>567.400634765625</v>
      </c>
      <c r="T926">
        <f>stand_validation_1cycle[[#This Row],[percent_tree_cover]]*100</f>
        <v>7.8410608631159295</v>
      </c>
    </row>
    <row r="927" spans="1:20" x14ac:dyDescent="0.2">
      <c r="A927">
        <v>1</v>
      </c>
      <c r="B927" t="s">
        <v>945</v>
      </c>
      <c r="C927">
        <v>28.840455555555501</v>
      </c>
      <c r="D927">
        <v>1035.8533838660601</v>
      </c>
      <c r="E927">
        <v>8.8410700457323905</v>
      </c>
      <c r="F927">
        <v>28.2348132571428</v>
      </c>
      <c r="G927">
        <v>100</v>
      </c>
      <c r="H927">
        <v>576.06823730468705</v>
      </c>
      <c r="I927">
        <v>8.8073979920652801E-2</v>
      </c>
      <c r="K927" s="1" t="str">
        <f>TEXT(stand_validation_1cycle[[#This Row],[stand_age]], ".0")</f>
        <v>28.8</v>
      </c>
      <c r="L927" s="1" t="str">
        <f t="shared" si="14"/>
        <v>"28.8"</v>
      </c>
      <c r="M927">
        <v>100</v>
      </c>
      <c r="N927">
        <f>0.029*stand_validation_1cycle[[#This Row],[stand_level_biomass]]</f>
        <v>30.039748132115744</v>
      </c>
      <c r="O927">
        <f>0.213*stand_validation_1cycle[[#This Row],[stand_level_biomass]]</f>
        <v>220.63677076347079</v>
      </c>
      <c r="P927">
        <f>0.571*stand_validation_1cycle[[#This Row],[stand_level_biomass]]</f>
        <v>591.47228218752025</v>
      </c>
      <c r="Q927">
        <f>stand_validation_1cycle[[#This Row],[stock]]</f>
        <v>100</v>
      </c>
      <c r="R927">
        <v>0</v>
      </c>
      <c r="S927">
        <f>stand_validation_1cycle[[#This Row],[aws]]</f>
        <v>576.06823730468705</v>
      </c>
      <c r="T927">
        <f>stand_validation_1cycle[[#This Row],[percent_tree_cover]]*100</f>
        <v>8.8073979920652796</v>
      </c>
    </row>
    <row r="928" spans="1:20" x14ac:dyDescent="0.2">
      <c r="A928">
        <v>1</v>
      </c>
      <c r="B928" t="s">
        <v>946</v>
      </c>
      <c r="C928">
        <v>27.493984287317598</v>
      </c>
      <c r="D928">
        <v>808.64919300079305</v>
      </c>
      <c r="E928">
        <v>7.3046019018632702</v>
      </c>
      <c r="F928">
        <v>26.594807503607498</v>
      </c>
      <c r="G928">
        <v>99</v>
      </c>
      <c r="H928">
        <v>567.94879150390602</v>
      </c>
      <c r="I928">
        <v>7.2273532600323501E-2</v>
      </c>
      <c r="K928" s="1" t="str">
        <f>TEXT(stand_validation_1cycle[[#This Row],[stand_age]], ".0")</f>
        <v>27.5</v>
      </c>
      <c r="L928" s="1" t="str">
        <f t="shared" si="14"/>
        <v>"27.5"</v>
      </c>
      <c r="M928">
        <v>100</v>
      </c>
      <c r="N928">
        <f>0.029*stand_validation_1cycle[[#This Row],[stand_level_biomass]]</f>
        <v>23.450826597022999</v>
      </c>
      <c r="O928">
        <f>0.213*stand_validation_1cycle[[#This Row],[stand_level_biomass]]</f>
        <v>172.24227810916892</v>
      </c>
      <c r="P928">
        <f>0.571*stand_validation_1cycle[[#This Row],[stand_level_biomass]]</f>
        <v>461.73868920345279</v>
      </c>
      <c r="Q928">
        <f>stand_validation_1cycle[[#This Row],[stock]]</f>
        <v>99</v>
      </c>
      <c r="R928">
        <v>0</v>
      </c>
      <c r="S928">
        <f>stand_validation_1cycle[[#This Row],[aws]]</f>
        <v>567.94879150390602</v>
      </c>
      <c r="T928">
        <f>stand_validation_1cycle[[#This Row],[percent_tree_cover]]*100</f>
        <v>7.2273532600323502</v>
      </c>
    </row>
    <row r="929" spans="1:20" x14ac:dyDescent="0.2">
      <c r="A929">
        <v>1</v>
      </c>
      <c r="B929" t="s">
        <v>947</v>
      </c>
      <c r="C929">
        <v>26.718455555555501</v>
      </c>
      <c r="D929">
        <v>786.57093137557104</v>
      </c>
      <c r="E929">
        <v>7.1296285428271</v>
      </c>
      <c r="F929">
        <v>26.4065076571428</v>
      </c>
      <c r="G929">
        <v>100</v>
      </c>
      <c r="H929">
        <v>570.42529296875</v>
      </c>
      <c r="I929">
        <v>7.1049674863896503E-2</v>
      </c>
      <c r="K929" s="1" t="str">
        <f>TEXT(stand_validation_1cycle[[#This Row],[stand_age]], ".0")</f>
        <v>26.7</v>
      </c>
      <c r="L929" s="1" t="str">
        <f t="shared" si="14"/>
        <v>"26.7"</v>
      </c>
      <c r="M929">
        <v>100</v>
      </c>
      <c r="N929">
        <f>0.029*stand_validation_1cycle[[#This Row],[stand_level_biomass]]</f>
        <v>22.810557009891561</v>
      </c>
      <c r="O929">
        <f>0.213*stand_validation_1cycle[[#This Row],[stand_level_biomass]]</f>
        <v>167.53960838299662</v>
      </c>
      <c r="P929">
        <f>0.571*stand_validation_1cycle[[#This Row],[stand_level_biomass]]</f>
        <v>449.13200181545102</v>
      </c>
      <c r="Q929">
        <f>stand_validation_1cycle[[#This Row],[stock]]</f>
        <v>100</v>
      </c>
      <c r="R929">
        <v>0</v>
      </c>
      <c r="S929">
        <f>stand_validation_1cycle[[#This Row],[aws]]</f>
        <v>570.42529296875</v>
      </c>
      <c r="T929">
        <f>stand_validation_1cycle[[#This Row],[percent_tree_cover]]*100</f>
        <v>7.1049674863896506</v>
      </c>
    </row>
    <row r="930" spans="1:20" x14ac:dyDescent="0.2">
      <c r="A930">
        <v>1</v>
      </c>
      <c r="B930" t="s">
        <v>948</v>
      </c>
      <c r="C930">
        <v>26.387879818594101</v>
      </c>
      <c r="D930">
        <v>724.51012968994098</v>
      </c>
      <c r="E930">
        <v>6.6138465733497096</v>
      </c>
      <c r="F930">
        <v>25.588719766763798</v>
      </c>
      <c r="G930">
        <v>98</v>
      </c>
      <c r="H930">
        <v>571.71051025390602</v>
      </c>
      <c r="I930">
        <v>6.5473584891875394E-2</v>
      </c>
      <c r="K930" s="1" t="str">
        <f>TEXT(stand_validation_1cycle[[#This Row],[stand_age]], ".0")</f>
        <v>26.4</v>
      </c>
      <c r="L930" s="1" t="str">
        <f t="shared" si="14"/>
        <v>"26.4"</v>
      </c>
      <c r="M930">
        <v>100</v>
      </c>
      <c r="N930">
        <f>0.029*stand_validation_1cycle[[#This Row],[stand_level_biomass]]</f>
        <v>21.010793761008291</v>
      </c>
      <c r="O930">
        <f>0.213*stand_validation_1cycle[[#This Row],[stand_level_biomass]]</f>
        <v>154.32065762395743</v>
      </c>
      <c r="P930">
        <f>0.571*stand_validation_1cycle[[#This Row],[stand_level_biomass]]</f>
        <v>413.69528405295625</v>
      </c>
      <c r="Q930">
        <f>stand_validation_1cycle[[#This Row],[stock]]</f>
        <v>98</v>
      </c>
      <c r="R930">
        <v>0</v>
      </c>
      <c r="S930">
        <f>stand_validation_1cycle[[#This Row],[aws]]</f>
        <v>571.71051025390602</v>
      </c>
      <c r="T930">
        <f>stand_validation_1cycle[[#This Row],[percent_tree_cover]]*100</f>
        <v>6.5473584891875394</v>
      </c>
    </row>
    <row r="931" spans="1:20" x14ac:dyDescent="0.2">
      <c r="A931">
        <v>1</v>
      </c>
      <c r="B931" t="s">
        <v>949</v>
      </c>
      <c r="C931">
        <v>27.040087145969501</v>
      </c>
      <c r="D931">
        <v>925.85500475503</v>
      </c>
      <c r="E931">
        <v>4.12949787943763</v>
      </c>
      <c r="F931">
        <v>27.683153389355699</v>
      </c>
      <c r="G931">
        <v>51</v>
      </c>
      <c r="H931">
        <v>400</v>
      </c>
      <c r="I931">
        <v>7.9816753339059202E-2</v>
      </c>
      <c r="K931" s="1" t="str">
        <f>TEXT(stand_validation_1cycle[[#This Row],[stand_age]], ".0")</f>
        <v>27.0</v>
      </c>
      <c r="L931" s="1" t="str">
        <f t="shared" si="14"/>
        <v>"27.0"</v>
      </c>
      <c r="M931">
        <v>100</v>
      </c>
      <c r="N931">
        <f>0.029*stand_validation_1cycle[[#This Row],[stand_level_biomass]]</f>
        <v>26.849795137895871</v>
      </c>
      <c r="O931">
        <f>0.213*stand_validation_1cycle[[#This Row],[stand_level_biomass]]</f>
        <v>197.20711601282139</v>
      </c>
      <c r="P931">
        <f>0.571*stand_validation_1cycle[[#This Row],[stand_level_biomass]]</f>
        <v>528.6632077151221</v>
      </c>
      <c r="Q931">
        <f>stand_validation_1cycle[[#This Row],[stock]]</f>
        <v>51</v>
      </c>
      <c r="R931">
        <v>0</v>
      </c>
      <c r="S931">
        <f>stand_validation_1cycle[[#This Row],[aws]]</f>
        <v>400</v>
      </c>
      <c r="T931">
        <f>stand_validation_1cycle[[#This Row],[percent_tree_cover]]*100</f>
        <v>7.9816753339059199</v>
      </c>
    </row>
    <row r="932" spans="1:20" x14ac:dyDescent="0.2">
      <c r="A932">
        <v>1</v>
      </c>
      <c r="B932" t="s">
        <v>950</v>
      </c>
      <c r="C932">
        <v>28.352499999999999</v>
      </c>
      <c r="D932">
        <v>622.07426376317403</v>
      </c>
      <c r="E932">
        <v>1.18862315128202</v>
      </c>
      <c r="F932">
        <v>24.3875485714285</v>
      </c>
      <c r="G932">
        <v>20</v>
      </c>
      <c r="H932">
        <v>570.63140869140602</v>
      </c>
      <c r="I932">
        <v>5.9457122612806702E-2</v>
      </c>
      <c r="K932" s="1" t="str">
        <f>TEXT(stand_validation_1cycle[[#This Row],[stand_age]], ".0")</f>
        <v>28.4</v>
      </c>
      <c r="L932" s="1" t="str">
        <f t="shared" si="14"/>
        <v>"28.4"</v>
      </c>
      <c r="M932">
        <v>100</v>
      </c>
      <c r="N932">
        <f>0.029*stand_validation_1cycle[[#This Row],[stand_level_biomass]]</f>
        <v>18.040153649132048</v>
      </c>
      <c r="O932">
        <f>0.213*stand_validation_1cycle[[#This Row],[stand_level_biomass]]</f>
        <v>132.50181818155608</v>
      </c>
      <c r="P932">
        <f>0.571*stand_validation_1cycle[[#This Row],[stand_level_biomass]]</f>
        <v>355.20440460877234</v>
      </c>
      <c r="Q932">
        <f>stand_validation_1cycle[[#This Row],[stock]]</f>
        <v>20</v>
      </c>
      <c r="R932">
        <v>0</v>
      </c>
      <c r="S932">
        <f>stand_validation_1cycle[[#This Row],[aws]]</f>
        <v>570.63140869140602</v>
      </c>
      <c r="T932">
        <f>stand_validation_1cycle[[#This Row],[percent_tree_cover]]*100</f>
        <v>5.9457122612806703</v>
      </c>
    </row>
    <row r="933" spans="1:20" x14ac:dyDescent="0.2">
      <c r="A933">
        <v>1</v>
      </c>
      <c r="B933" t="s">
        <v>951</v>
      </c>
      <c r="C933">
        <v>34.361904761904697</v>
      </c>
      <c r="D933">
        <v>1253.70549680507</v>
      </c>
      <c r="E933">
        <v>0.77406251170513296</v>
      </c>
      <c r="F933">
        <v>34.662935510204001</v>
      </c>
      <c r="G933">
        <v>7</v>
      </c>
      <c r="H933">
        <v>570.63140869140602</v>
      </c>
      <c r="I933">
        <v>9.1010451551544802E-2</v>
      </c>
      <c r="K933" s="1" t="str">
        <f>TEXT(stand_validation_1cycle[[#This Row],[stand_age]], ".0")</f>
        <v>34.4</v>
      </c>
      <c r="L933" s="1" t="str">
        <f t="shared" si="14"/>
        <v>"34.4"</v>
      </c>
      <c r="M933">
        <v>100</v>
      </c>
      <c r="N933">
        <f>0.029*stand_validation_1cycle[[#This Row],[stand_level_biomass]]</f>
        <v>36.357459407347029</v>
      </c>
      <c r="O933">
        <f>0.213*stand_validation_1cycle[[#This Row],[stand_level_biomass]]</f>
        <v>267.0392708194799</v>
      </c>
      <c r="P933">
        <f>0.571*stand_validation_1cycle[[#This Row],[stand_level_biomass]]</f>
        <v>715.86583867569493</v>
      </c>
      <c r="Q933">
        <f>stand_validation_1cycle[[#This Row],[stock]]</f>
        <v>7</v>
      </c>
      <c r="R933">
        <v>0</v>
      </c>
      <c r="S933">
        <f>stand_validation_1cycle[[#This Row],[aws]]</f>
        <v>570.63140869140602</v>
      </c>
      <c r="T933">
        <f>stand_validation_1cycle[[#This Row],[percent_tree_cover]]*100</f>
        <v>9.1010451551544804</v>
      </c>
    </row>
    <row r="934" spans="1:20" x14ac:dyDescent="0.2">
      <c r="A934">
        <v>1</v>
      </c>
      <c r="B934" t="s">
        <v>952</v>
      </c>
      <c r="C934">
        <v>31.496377314814801</v>
      </c>
      <c r="D934">
        <v>1192.9437703408901</v>
      </c>
      <c r="E934">
        <v>9.7433087523058202</v>
      </c>
      <c r="F934">
        <v>31.440987221053501</v>
      </c>
      <c r="G934">
        <v>96</v>
      </c>
      <c r="H934">
        <v>568.08978271484295</v>
      </c>
      <c r="I934">
        <v>9.9590956875452497E-2</v>
      </c>
      <c r="K934" s="1" t="str">
        <f>TEXT(stand_validation_1cycle[[#This Row],[stand_age]], ".0")</f>
        <v>31.5</v>
      </c>
      <c r="L934" s="1" t="str">
        <f t="shared" si="14"/>
        <v>"31.5"</v>
      </c>
      <c r="M934">
        <v>100</v>
      </c>
      <c r="N934">
        <f>0.029*stand_validation_1cycle[[#This Row],[stand_level_biomass]]</f>
        <v>34.595369339885814</v>
      </c>
      <c r="O934">
        <f>0.213*stand_validation_1cycle[[#This Row],[stand_level_biomass]]</f>
        <v>254.09702308260958</v>
      </c>
      <c r="P934">
        <f>0.571*stand_validation_1cycle[[#This Row],[stand_level_biomass]]</f>
        <v>681.17089286464818</v>
      </c>
      <c r="Q934">
        <f>stand_validation_1cycle[[#This Row],[stock]]</f>
        <v>96</v>
      </c>
      <c r="R934">
        <v>0</v>
      </c>
      <c r="S934">
        <f>stand_validation_1cycle[[#This Row],[aws]]</f>
        <v>568.08978271484295</v>
      </c>
      <c r="T934">
        <f>stand_validation_1cycle[[#This Row],[percent_tree_cover]]*100</f>
        <v>9.9590956875452505</v>
      </c>
    </row>
    <row r="935" spans="1:20" x14ac:dyDescent="0.2">
      <c r="A935">
        <v>1</v>
      </c>
      <c r="B935" t="s">
        <v>953</v>
      </c>
      <c r="C935">
        <v>28.783333333333299</v>
      </c>
      <c r="D935">
        <v>853.13065425293598</v>
      </c>
      <c r="E935">
        <v>6.6183586857984196</v>
      </c>
      <c r="F935">
        <v>27.632572246978398</v>
      </c>
      <c r="G935">
        <v>86</v>
      </c>
      <c r="H935">
        <v>572.63299560546795</v>
      </c>
      <c r="I935">
        <v>7.7822018326260095E-2</v>
      </c>
      <c r="K935" s="1" t="str">
        <f>TEXT(stand_validation_1cycle[[#This Row],[stand_age]], ".0")</f>
        <v>28.8</v>
      </c>
      <c r="L935" s="1" t="str">
        <f t="shared" si="14"/>
        <v>"28.8"</v>
      </c>
      <c r="M935">
        <v>100</v>
      </c>
      <c r="N935">
        <f>0.029*stand_validation_1cycle[[#This Row],[stand_level_biomass]]</f>
        <v>24.740788973335146</v>
      </c>
      <c r="O935">
        <f>0.213*stand_validation_1cycle[[#This Row],[stand_level_biomass]]</f>
        <v>181.71682935587535</v>
      </c>
      <c r="P935">
        <f>0.571*stand_validation_1cycle[[#This Row],[stand_level_biomass]]</f>
        <v>487.13760357842642</v>
      </c>
      <c r="Q935">
        <f>stand_validation_1cycle[[#This Row],[stock]]</f>
        <v>86</v>
      </c>
      <c r="R935">
        <v>0</v>
      </c>
      <c r="S935">
        <f>stand_validation_1cycle[[#This Row],[aws]]</f>
        <v>572.63299560546795</v>
      </c>
      <c r="T935">
        <f>stand_validation_1cycle[[#This Row],[percent_tree_cover]]*100</f>
        <v>7.7822018326260096</v>
      </c>
    </row>
    <row r="936" spans="1:20" x14ac:dyDescent="0.2">
      <c r="A936">
        <v>1</v>
      </c>
      <c r="B936" t="s">
        <v>954</v>
      </c>
      <c r="C936">
        <v>29.404531250000002</v>
      </c>
      <c r="D936">
        <v>1132.36734933086</v>
      </c>
      <c r="E936">
        <v>6.1297452095892799</v>
      </c>
      <c r="F936">
        <v>29.759436665535699</v>
      </c>
      <c r="G936">
        <v>64</v>
      </c>
      <c r="H936">
        <v>568.08978271484295</v>
      </c>
      <c r="I936">
        <v>9.1243228119462894E-2</v>
      </c>
      <c r="K936" s="1" t="str">
        <f>TEXT(stand_validation_1cycle[[#This Row],[stand_age]], ".0")</f>
        <v>29.4</v>
      </c>
      <c r="L936" s="1" t="str">
        <f t="shared" si="14"/>
        <v>"29.4"</v>
      </c>
      <c r="M936">
        <v>100</v>
      </c>
      <c r="N936">
        <f>0.029*stand_validation_1cycle[[#This Row],[stand_level_biomass]]</f>
        <v>32.838653130594942</v>
      </c>
      <c r="O936">
        <f>0.213*stand_validation_1cycle[[#This Row],[stand_level_biomass]]</f>
        <v>241.19424540747318</v>
      </c>
      <c r="P936">
        <f>0.571*stand_validation_1cycle[[#This Row],[stand_level_biomass]]</f>
        <v>646.58175646792097</v>
      </c>
      <c r="Q936">
        <f>stand_validation_1cycle[[#This Row],[stock]]</f>
        <v>64</v>
      </c>
      <c r="R936">
        <v>0</v>
      </c>
      <c r="S936">
        <f>stand_validation_1cycle[[#This Row],[aws]]</f>
        <v>568.08978271484295</v>
      </c>
      <c r="T936">
        <f>stand_validation_1cycle[[#This Row],[percent_tree_cover]]*100</f>
        <v>9.1243228119462891</v>
      </c>
    </row>
    <row r="937" spans="1:20" x14ac:dyDescent="0.2">
      <c r="A937">
        <v>1</v>
      </c>
      <c r="B937" t="s">
        <v>955</v>
      </c>
      <c r="C937">
        <v>26.5315384615384</v>
      </c>
      <c r="D937">
        <v>804.19768323114897</v>
      </c>
      <c r="E937">
        <v>4.6363098164908596</v>
      </c>
      <c r="F937">
        <v>25.3716563067109</v>
      </c>
      <c r="G937">
        <v>65</v>
      </c>
      <c r="H937">
        <v>630.02673339843705</v>
      </c>
      <c r="I937">
        <v>7.1371257710279898E-2</v>
      </c>
      <c r="K937" s="1" t="str">
        <f>TEXT(stand_validation_1cycle[[#This Row],[stand_age]], ".0")</f>
        <v>26.5</v>
      </c>
      <c r="L937" s="1" t="str">
        <f t="shared" si="14"/>
        <v>"26.5"</v>
      </c>
      <c r="M937">
        <v>100</v>
      </c>
      <c r="N937">
        <f>0.029*stand_validation_1cycle[[#This Row],[stand_level_biomass]]</f>
        <v>23.321732813703321</v>
      </c>
      <c r="O937">
        <f>0.213*stand_validation_1cycle[[#This Row],[stand_level_biomass]]</f>
        <v>171.29410652823472</v>
      </c>
      <c r="P937">
        <f>0.571*stand_validation_1cycle[[#This Row],[stand_level_biomass]]</f>
        <v>459.19687712498603</v>
      </c>
      <c r="Q937">
        <f>stand_validation_1cycle[[#This Row],[stock]]</f>
        <v>65</v>
      </c>
      <c r="R937">
        <v>0</v>
      </c>
      <c r="S937">
        <f>stand_validation_1cycle[[#This Row],[aws]]</f>
        <v>630.02673339843705</v>
      </c>
      <c r="T937">
        <f>stand_validation_1cycle[[#This Row],[percent_tree_cover]]*100</f>
        <v>7.1371257710279901</v>
      </c>
    </row>
    <row r="938" spans="1:20" x14ac:dyDescent="0.2">
      <c r="A938">
        <v>1</v>
      </c>
      <c r="B938" t="s">
        <v>956</v>
      </c>
      <c r="C938">
        <v>26.169925093632902</v>
      </c>
      <c r="D938">
        <v>771.13611227525701</v>
      </c>
      <c r="E938">
        <v>6.2109977911853997</v>
      </c>
      <c r="F938">
        <v>25.943615204960601</v>
      </c>
      <c r="G938">
        <v>89</v>
      </c>
      <c r="H938">
        <v>568.08978271484295</v>
      </c>
      <c r="I938">
        <v>7.0251037693777899E-2</v>
      </c>
      <c r="K938" s="1" t="str">
        <f>TEXT(stand_validation_1cycle[[#This Row],[stand_age]], ".0")</f>
        <v>26.2</v>
      </c>
      <c r="L938" s="1" t="str">
        <f t="shared" si="14"/>
        <v>"26.2"</v>
      </c>
      <c r="M938">
        <v>100</v>
      </c>
      <c r="N938">
        <f>0.029*stand_validation_1cycle[[#This Row],[stand_level_biomass]]</f>
        <v>22.362947255982455</v>
      </c>
      <c r="O938">
        <f>0.213*stand_validation_1cycle[[#This Row],[stand_level_biomass]]</f>
        <v>164.25199191462974</v>
      </c>
      <c r="P938">
        <f>0.571*stand_validation_1cycle[[#This Row],[stand_level_biomass]]</f>
        <v>440.31872010917169</v>
      </c>
      <c r="Q938">
        <f>stand_validation_1cycle[[#This Row],[stock]]</f>
        <v>89</v>
      </c>
      <c r="R938">
        <v>0</v>
      </c>
      <c r="S938">
        <f>stand_validation_1cycle[[#This Row],[aws]]</f>
        <v>568.08978271484295</v>
      </c>
      <c r="T938">
        <f>stand_validation_1cycle[[#This Row],[percent_tree_cover]]*100</f>
        <v>7.0251037693777896</v>
      </c>
    </row>
    <row r="939" spans="1:20" x14ac:dyDescent="0.2">
      <c r="A939">
        <v>1</v>
      </c>
      <c r="B939" t="s">
        <v>957</v>
      </c>
      <c r="C939">
        <v>29.26</v>
      </c>
      <c r="D939">
        <v>1068.17698903577</v>
      </c>
      <c r="E939">
        <v>9.1157866153255505</v>
      </c>
      <c r="F939">
        <v>29.257029022449402</v>
      </c>
      <c r="G939">
        <v>99</v>
      </c>
      <c r="H939">
        <v>526.16680908203102</v>
      </c>
      <c r="I939">
        <v>9.0210171083311794E-2</v>
      </c>
      <c r="K939" s="1" t="str">
        <f>TEXT(stand_validation_1cycle[[#This Row],[stand_age]], ".0")</f>
        <v>29.3</v>
      </c>
      <c r="L939" s="1" t="str">
        <f t="shared" si="14"/>
        <v>"29.3"</v>
      </c>
      <c r="M939">
        <v>100</v>
      </c>
      <c r="N939">
        <f>0.029*stand_validation_1cycle[[#This Row],[stand_level_biomass]]</f>
        <v>30.977132682037333</v>
      </c>
      <c r="O939">
        <f>0.213*stand_validation_1cycle[[#This Row],[stand_level_biomass]]</f>
        <v>227.52169866461901</v>
      </c>
      <c r="P939">
        <f>0.571*stand_validation_1cycle[[#This Row],[stand_level_biomass]]</f>
        <v>609.92906073942459</v>
      </c>
      <c r="Q939">
        <f>stand_validation_1cycle[[#This Row],[stock]]</f>
        <v>99</v>
      </c>
      <c r="R939">
        <v>0</v>
      </c>
      <c r="S939">
        <f>stand_validation_1cycle[[#This Row],[aws]]</f>
        <v>526.16680908203102</v>
      </c>
      <c r="T939">
        <f>stand_validation_1cycle[[#This Row],[percent_tree_cover]]*100</f>
        <v>9.0210171083311792</v>
      </c>
    </row>
    <row r="940" spans="1:20" x14ac:dyDescent="0.2">
      <c r="A940">
        <v>1</v>
      </c>
      <c r="B940" t="s">
        <v>958</v>
      </c>
      <c r="C940">
        <v>26.4434006734006</v>
      </c>
      <c r="D940">
        <v>743.51178606072801</v>
      </c>
      <c r="E940">
        <v>6.74972988039542</v>
      </c>
      <c r="F940">
        <v>25.610972814839801</v>
      </c>
      <c r="G940">
        <v>99</v>
      </c>
      <c r="H940">
        <v>525.73571777343705</v>
      </c>
      <c r="I940">
        <v>6.6967171590642305E-2</v>
      </c>
      <c r="K940" s="1" t="str">
        <f>TEXT(stand_validation_1cycle[[#This Row],[stand_age]], ".0")</f>
        <v>26.4</v>
      </c>
      <c r="L940" s="1" t="str">
        <f t="shared" si="14"/>
        <v>"26.4"</v>
      </c>
      <c r="M940">
        <v>100</v>
      </c>
      <c r="N940">
        <f>0.029*stand_validation_1cycle[[#This Row],[stand_level_biomass]]</f>
        <v>21.561841795761115</v>
      </c>
      <c r="O940">
        <f>0.213*stand_validation_1cycle[[#This Row],[stand_level_biomass]]</f>
        <v>158.36801043093507</v>
      </c>
      <c r="P940">
        <f>0.571*stand_validation_1cycle[[#This Row],[stand_level_biomass]]</f>
        <v>424.54522984067569</v>
      </c>
      <c r="Q940">
        <f>stand_validation_1cycle[[#This Row],[stock]]</f>
        <v>99</v>
      </c>
      <c r="R940">
        <v>0</v>
      </c>
      <c r="S940">
        <f>stand_validation_1cycle[[#This Row],[aws]]</f>
        <v>525.73571777343705</v>
      </c>
      <c r="T940">
        <f>stand_validation_1cycle[[#This Row],[percent_tree_cover]]*100</f>
        <v>6.6967171590642307</v>
      </c>
    </row>
    <row r="941" spans="1:20" x14ac:dyDescent="0.2">
      <c r="A941">
        <v>1</v>
      </c>
      <c r="B941" t="s">
        <v>959</v>
      </c>
      <c r="C941">
        <v>27.9886531986531</v>
      </c>
      <c r="D941">
        <v>861.73540349457801</v>
      </c>
      <c r="E941">
        <v>7.6494867287725201</v>
      </c>
      <c r="F941">
        <v>27.2626905157077</v>
      </c>
      <c r="G941">
        <v>99</v>
      </c>
      <c r="H941">
        <v>523.76416015625</v>
      </c>
      <c r="I941">
        <v>7.6037390710734204E-2</v>
      </c>
      <c r="K941" s="1" t="str">
        <f>TEXT(stand_validation_1cycle[[#This Row],[stand_age]], ".0")</f>
        <v>28.0</v>
      </c>
      <c r="L941" s="1" t="str">
        <f t="shared" si="14"/>
        <v>"28.0"</v>
      </c>
      <c r="M941">
        <v>100</v>
      </c>
      <c r="N941">
        <f>0.029*stand_validation_1cycle[[#This Row],[stand_level_biomass]]</f>
        <v>24.990326701342763</v>
      </c>
      <c r="O941">
        <f>0.213*stand_validation_1cycle[[#This Row],[stand_level_biomass]]</f>
        <v>183.5496409443451</v>
      </c>
      <c r="P941">
        <f>0.571*stand_validation_1cycle[[#This Row],[stand_level_biomass]]</f>
        <v>492.05091539540399</v>
      </c>
      <c r="Q941">
        <f>stand_validation_1cycle[[#This Row],[stock]]</f>
        <v>99</v>
      </c>
      <c r="R941">
        <v>0</v>
      </c>
      <c r="S941">
        <f>stand_validation_1cycle[[#This Row],[aws]]</f>
        <v>523.76416015625</v>
      </c>
      <c r="T941">
        <f>stand_validation_1cycle[[#This Row],[percent_tree_cover]]*100</f>
        <v>7.6037390710734201</v>
      </c>
    </row>
    <row r="942" spans="1:20" x14ac:dyDescent="0.2">
      <c r="A942">
        <v>1</v>
      </c>
      <c r="B942" t="s">
        <v>960</v>
      </c>
      <c r="C942">
        <v>25.776285072951701</v>
      </c>
      <c r="D942">
        <v>674.29298295561603</v>
      </c>
      <c r="E942">
        <v>6.2890891451738398</v>
      </c>
      <c r="F942">
        <v>25.0713521030642</v>
      </c>
      <c r="G942">
        <v>99</v>
      </c>
      <c r="H942">
        <v>547</v>
      </c>
      <c r="I942">
        <v>6.2480524091234398E-2</v>
      </c>
      <c r="K942" s="1" t="str">
        <f>TEXT(stand_validation_1cycle[[#This Row],[stand_age]], ".0")</f>
        <v>25.8</v>
      </c>
      <c r="L942" s="1" t="str">
        <f t="shared" si="14"/>
        <v>"25.8"</v>
      </c>
      <c r="M942">
        <v>100</v>
      </c>
      <c r="N942">
        <f>0.029*stand_validation_1cycle[[#This Row],[stand_level_biomass]]</f>
        <v>19.554496505712866</v>
      </c>
      <c r="O942">
        <f>0.213*stand_validation_1cycle[[#This Row],[stand_level_biomass]]</f>
        <v>143.62440536954622</v>
      </c>
      <c r="P942">
        <f>0.571*stand_validation_1cycle[[#This Row],[stand_level_biomass]]</f>
        <v>385.02129326765674</v>
      </c>
      <c r="Q942">
        <f>stand_validation_1cycle[[#This Row],[stock]]</f>
        <v>99</v>
      </c>
      <c r="R942">
        <v>0</v>
      </c>
      <c r="S942">
        <f>stand_validation_1cycle[[#This Row],[aws]]</f>
        <v>547</v>
      </c>
      <c r="T942">
        <f>stand_validation_1cycle[[#This Row],[percent_tree_cover]]*100</f>
        <v>6.2480524091234395</v>
      </c>
    </row>
    <row r="943" spans="1:20" x14ac:dyDescent="0.2">
      <c r="A943">
        <v>1</v>
      </c>
      <c r="B943" t="s">
        <v>961</v>
      </c>
      <c r="C943">
        <v>26.312166666666599</v>
      </c>
      <c r="D943">
        <v>693.68564279149302</v>
      </c>
      <c r="E943">
        <v>6.4871437854359302</v>
      </c>
      <c r="F943">
        <v>25.667108934409899</v>
      </c>
      <c r="G943">
        <v>100</v>
      </c>
      <c r="H943">
        <v>523.76416015625</v>
      </c>
      <c r="I943">
        <v>6.4664771689327702E-2</v>
      </c>
      <c r="K943" s="1" t="str">
        <f>TEXT(stand_validation_1cycle[[#This Row],[stand_age]], ".0")</f>
        <v>26.3</v>
      </c>
      <c r="L943" s="1" t="str">
        <f t="shared" si="14"/>
        <v>"26.3"</v>
      </c>
      <c r="M943">
        <v>100</v>
      </c>
      <c r="N943">
        <f>0.029*stand_validation_1cycle[[#This Row],[stand_level_biomass]]</f>
        <v>20.116883640953297</v>
      </c>
      <c r="O943">
        <f>0.213*stand_validation_1cycle[[#This Row],[stand_level_biomass]]</f>
        <v>147.75504191458802</v>
      </c>
      <c r="P943">
        <f>0.571*stand_validation_1cycle[[#This Row],[stand_level_biomass]]</f>
        <v>396.09450203394249</v>
      </c>
      <c r="Q943">
        <f>stand_validation_1cycle[[#This Row],[stock]]</f>
        <v>100</v>
      </c>
      <c r="R943">
        <v>0</v>
      </c>
      <c r="S943">
        <f>stand_validation_1cycle[[#This Row],[aws]]</f>
        <v>523.76416015625</v>
      </c>
      <c r="T943">
        <f>stand_validation_1cycle[[#This Row],[percent_tree_cover]]*100</f>
        <v>6.4664771689327702</v>
      </c>
    </row>
    <row r="944" spans="1:20" x14ac:dyDescent="0.2">
      <c r="A944">
        <v>1</v>
      </c>
      <c r="B944" t="s">
        <v>962</v>
      </c>
      <c r="C944">
        <v>26.052633333333301</v>
      </c>
      <c r="D944">
        <v>815.96833697537795</v>
      </c>
      <c r="E944">
        <v>7.3284827184195303</v>
      </c>
      <c r="F944">
        <v>26.408876477375699</v>
      </c>
      <c r="G944">
        <v>100</v>
      </c>
      <c r="H944">
        <v>567.03802490234295</v>
      </c>
      <c r="I944">
        <v>7.3042440978753898E-2</v>
      </c>
      <c r="K944" s="1" t="str">
        <f>TEXT(stand_validation_1cycle[[#This Row],[stand_age]], ".0")</f>
        <v>26.1</v>
      </c>
      <c r="L944" s="1" t="str">
        <f t="shared" si="14"/>
        <v>"26.1"</v>
      </c>
      <c r="M944">
        <v>100</v>
      </c>
      <c r="N944">
        <f>0.029*stand_validation_1cycle[[#This Row],[stand_level_biomass]]</f>
        <v>23.663081772285963</v>
      </c>
      <c r="O944">
        <f>0.213*stand_validation_1cycle[[#This Row],[stand_level_biomass]]</f>
        <v>173.80125577575549</v>
      </c>
      <c r="P944">
        <f>0.571*stand_validation_1cycle[[#This Row],[stand_level_biomass]]</f>
        <v>465.91792041294076</v>
      </c>
      <c r="Q944">
        <f>stand_validation_1cycle[[#This Row],[stock]]</f>
        <v>100</v>
      </c>
      <c r="R944">
        <v>0</v>
      </c>
      <c r="S944">
        <f>stand_validation_1cycle[[#This Row],[aws]]</f>
        <v>567.03802490234295</v>
      </c>
      <c r="T944">
        <f>stand_validation_1cycle[[#This Row],[percent_tree_cover]]*100</f>
        <v>7.3042440978753902</v>
      </c>
    </row>
    <row r="945" spans="1:20" x14ac:dyDescent="0.2">
      <c r="A945">
        <v>1</v>
      </c>
      <c r="B945" t="s">
        <v>963</v>
      </c>
      <c r="C945">
        <v>26.023066666666601</v>
      </c>
      <c r="D945">
        <v>831.88321472342898</v>
      </c>
      <c r="E945">
        <v>7.4088509416836601</v>
      </c>
      <c r="F945">
        <v>26.254617039257798</v>
      </c>
      <c r="G945">
        <v>100</v>
      </c>
      <c r="H945">
        <v>576.602783203125</v>
      </c>
      <c r="I945">
        <v>7.3841175600200606E-2</v>
      </c>
      <c r="K945" s="1" t="str">
        <f>TEXT(stand_validation_1cycle[[#This Row],[stand_age]], ".0")</f>
        <v>26.0</v>
      </c>
      <c r="L945" s="1" t="str">
        <f t="shared" si="14"/>
        <v>"26.0"</v>
      </c>
      <c r="M945">
        <v>100</v>
      </c>
      <c r="N945">
        <f>0.029*stand_validation_1cycle[[#This Row],[stand_level_biomass]]</f>
        <v>24.124613226979442</v>
      </c>
      <c r="O945">
        <f>0.213*stand_validation_1cycle[[#This Row],[stand_level_biomass]]</f>
        <v>177.19112473609036</v>
      </c>
      <c r="P945">
        <f>0.571*stand_validation_1cycle[[#This Row],[stand_level_biomass]]</f>
        <v>475.00531560707793</v>
      </c>
      <c r="Q945">
        <f>stand_validation_1cycle[[#This Row],[stock]]</f>
        <v>100</v>
      </c>
      <c r="R945">
        <v>0</v>
      </c>
      <c r="S945">
        <f>stand_validation_1cycle[[#This Row],[aws]]</f>
        <v>576.602783203125</v>
      </c>
      <c r="T945">
        <f>stand_validation_1cycle[[#This Row],[percent_tree_cover]]*100</f>
        <v>7.3841175600200604</v>
      </c>
    </row>
    <row r="946" spans="1:20" x14ac:dyDescent="0.2">
      <c r="A946">
        <v>1</v>
      </c>
      <c r="B946" t="s">
        <v>964</v>
      </c>
      <c r="C946">
        <v>26.5500222222222</v>
      </c>
      <c r="D946">
        <v>792.67759649660604</v>
      </c>
      <c r="E946">
        <v>7.1738511718153504</v>
      </c>
      <c r="F946">
        <v>26.287588382128501</v>
      </c>
      <c r="G946">
        <v>100</v>
      </c>
      <c r="H946">
        <v>568.37799072265602</v>
      </c>
      <c r="I946">
        <v>7.1487078425413006E-2</v>
      </c>
      <c r="K946" s="1" t="str">
        <f>TEXT(stand_validation_1cycle[[#This Row],[stand_age]], ".0")</f>
        <v>26.6</v>
      </c>
      <c r="L946" s="1" t="str">
        <f t="shared" si="14"/>
        <v>"26.6"</v>
      </c>
      <c r="M946">
        <v>100</v>
      </c>
      <c r="N946">
        <f>0.029*stand_validation_1cycle[[#This Row],[stand_level_biomass]]</f>
        <v>22.987650298401576</v>
      </c>
      <c r="O946">
        <f>0.213*stand_validation_1cycle[[#This Row],[stand_level_biomass]]</f>
        <v>168.84032805377709</v>
      </c>
      <c r="P946">
        <f>0.571*stand_validation_1cycle[[#This Row],[stand_level_biomass]]</f>
        <v>452.61890759956202</v>
      </c>
      <c r="Q946">
        <f>stand_validation_1cycle[[#This Row],[stock]]</f>
        <v>100</v>
      </c>
      <c r="R946">
        <v>0</v>
      </c>
      <c r="S946">
        <f>stand_validation_1cycle[[#This Row],[aws]]</f>
        <v>568.37799072265602</v>
      </c>
      <c r="T946">
        <f>stand_validation_1cycle[[#This Row],[percent_tree_cover]]*100</f>
        <v>7.1487078425413006</v>
      </c>
    </row>
    <row r="947" spans="1:20" x14ac:dyDescent="0.2">
      <c r="A947">
        <v>1</v>
      </c>
      <c r="B947" t="s">
        <v>965</v>
      </c>
      <c r="C947">
        <v>29.105077777777701</v>
      </c>
      <c r="D947">
        <v>1032.1968447755901</v>
      </c>
      <c r="E947">
        <v>8.8981245099142399</v>
      </c>
      <c r="F947">
        <v>28.818736924809201</v>
      </c>
      <c r="G947">
        <v>100</v>
      </c>
      <c r="H947">
        <v>578</v>
      </c>
      <c r="I947">
        <v>8.8644461638392805E-2</v>
      </c>
      <c r="K947" s="1" t="str">
        <f>TEXT(stand_validation_1cycle[[#This Row],[stand_age]], ".0")</f>
        <v>29.1</v>
      </c>
      <c r="L947" s="1" t="str">
        <f t="shared" si="14"/>
        <v>"29.1"</v>
      </c>
      <c r="M947">
        <v>100</v>
      </c>
      <c r="N947">
        <f>0.029*stand_validation_1cycle[[#This Row],[stand_level_biomass]]</f>
        <v>29.933708498492113</v>
      </c>
      <c r="O947">
        <f>0.213*stand_validation_1cycle[[#This Row],[stand_level_biomass]]</f>
        <v>219.85792793720069</v>
      </c>
      <c r="P947">
        <f>0.571*stand_validation_1cycle[[#This Row],[stand_level_biomass]]</f>
        <v>589.38439836686189</v>
      </c>
      <c r="Q947">
        <f>stand_validation_1cycle[[#This Row],[stock]]</f>
        <v>100</v>
      </c>
      <c r="R947">
        <v>0</v>
      </c>
      <c r="S947">
        <f>stand_validation_1cycle[[#This Row],[aws]]</f>
        <v>578</v>
      </c>
      <c r="T947">
        <f>stand_validation_1cycle[[#This Row],[percent_tree_cover]]*100</f>
        <v>8.8644461638392809</v>
      </c>
    </row>
    <row r="948" spans="1:20" x14ac:dyDescent="0.2">
      <c r="A948">
        <v>1</v>
      </c>
      <c r="B948" t="s">
        <v>966</v>
      </c>
      <c r="C948">
        <v>26.863613916947202</v>
      </c>
      <c r="D948">
        <v>921.17613183348794</v>
      </c>
      <c r="E948">
        <v>8.0424520604486407</v>
      </c>
      <c r="F948">
        <v>27.708703233570699</v>
      </c>
      <c r="G948">
        <v>99</v>
      </c>
      <c r="H948">
        <v>566.78308105468705</v>
      </c>
      <c r="I948">
        <v>7.9742624815066998E-2</v>
      </c>
      <c r="K948" s="1" t="str">
        <f>TEXT(stand_validation_1cycle[[#This Row],[stand_age]], ".0")</f>
        <v>26.9</v>
      </c>
      <c r="L948" s="1" t="str">
        <f t="shared" si="14"/>
        <v>"26.9"</v>
      </c>
      <c r="M948">
        <v>100</v>
      </c>
      <c r="N948">
        <f>0.029*stand_validation_1cycle[[#This Row],[stand_level_biomass]]</f>
        <v>26.714107823171151</v>
      </c>
      <c r="O948">
        <f>0.213*stand_validation_1cycle[[#This Row],[stand_level_biomass]]</f>
        <v>196.21051608053293</v>
      </c>
      <c r="P948">
        <f>0.571*stand_validation_1cycle[[#This Row],[stand_level_biomass]]</f>
        <v>525.9915712769216</v>
      </c>
      <c r="Q948">
        <f>stand_validation_1cycle[[#This Row],[stock]]</f>
        <v>99</v>
      </c>
      <c r="R948">
        <v>0</v>
      </c>
      <c r="S948">
        <f>stand_validation_1cycle[[#This Row],[aws]]</f>
        <v>566.78308105468705</v>
      </c>
      <c r="T948">
        <f>stand_validation_1cycle[[#This Row],[percent_tree_cover]]*100</f>
        <v>7.9742624815066998</v>
      </c>
    </row>
    <row r="949" spans="1:20" x14ac:dyDescent="0.2">
      <c r="A949">
        <v>1</v>
      </c>
      <c r="B949" t="s">
        <v>967</v>
      </c>
      <c r="C949">
        <v>27.6230333333333</v>
      </c>
      <c r="D949">
        <v>980.61627021818094</v>
      </c>
      <c r="E949">
        <v>8.4828585827866103</v>
      </c>
      <c r="F949">
        <v>28.054212715493499</v>
      </c>
      <c r="G949">
        <v>100</v>
      </c>
      <c r="H949">
        <v>568.81158447265602</v>
      </c>
      <c r="I949">
        <v>8.4530902761652496E-2</v>
      </c>
      <c r="K949" s="1" t="str">
        <f>TEXT(stand_validation_1cycle[[#This Row],[stand_age]], ".0")</f>
        <v>27.6</v>
      </c>
      <c r="L949" s="1" t="str">
        <f t="shared" si="14"/>
        <v>"27.6"</v>
      </c>
      <c r="M949">
        <v>100</v>
      </c>
      <c r="N949">
        <f>0.029*stand_validation_1cycle[[#This Row],[stand_level_biomass]]</f>
        <v>28.43787183632725</v>
      </c>
      <c r="O949">
        <f>0.213*stand_validation_1cycle[[#This Row],[stand_level_biomass]]</f>
        <v>208.87126555647254</v>
      </c>
      <c r="P949">
        <f>0.571*stand_validation_1cycle[[#This Row],[stand_level_biomass]]</f>
        <v>559.93189029458131</v>
      </c>
      <c r="Q949">
        <f>stand_validation_1cycle[[#This Row],[stock]]</f>
        <v>100</v>
      </c>
      <c r="R949">
        <v>0</v>
      </c>
      <c r="S949">
        <f>stand_validation_1cycle[[#This Row],[aws]]</f>
        <v>568.81158447265602</v>
      </c>
      <c r="T949">
        <f>stand_validation_1cycle[[#This Row],[percent_tree_cover]]*100</f>
        <v>8.4530902761652502</v>
      </c>
    </row>
    <row r="950" spans="1:20" x14ac:dyDescent="0.2">
      <c r="A950">
        <v>1</v>
      </c>
      <c r="B950" t="s">
        <v>968</v>
      </c>
      <c r="C950">
        <v>25.871677777777698</v>
      </c>
      <c r="D950">
        <v>659.40142430624496</v>
      </c>
      <c r="E950">
        <v>6.2354613731789001</v>
      </c>
      <c r="F950">
        <v>24.923303562927099</v>
      </c>
      <c r="G950">
        <v>100</v>
      </c>
      <c r="H950">
        <v>566.8505859375</v>
      </c>
      <c r="I950">
        <v>6.2149652837640103E-2</v>
      </c>
      <c r="K950" s="1" t="str">
        <f>TEXT(stand_validation_1cycle[[#This Row],[stand_age]], ".0")</f>
        <v>25.9</v>
      </c>
      <c r="L950" s="1" t="str">
        <f t="shared" si="14"/>
        <v>"25.9"</v>
      </c>
      <c r="M950">
        <v>100</v>
      </c>
      <c r="N950">
        <f>0.029*stand_validation_1cycle[[#This Row],[stand_level_biomass]]</f>
        <v>19.122641304881103</v>
      </c>
      <c r="O950">
        <f>0.213*stand_validation_1cycle[[#This Row],[stand_level_biomass]]</f>
        <v>140.45250337723019</v>
      </c>
      <c r="P950">
        <f>0.571*stand_validation_1cycle[[#This Row],[stand_level_biomass]]</f>
        <v>376.51821327886586</v>
      </c>
      <c r="Q950">
        <f>stand_validation_1cycle[[#This Row],[stock]]</f>
        <v>100</v>
      </c>
      <c r="R950">
        <v>0</v>
      </c>
      <c r="S950">
        <f>stand_validation_1cycle[[#This Row],[aws]]</f>
        <v>566.8505859375</v>
      </c>
      <c r="T950">
        <f>stand_validation_1cycle[[#This Row],[percent_tree_cover]]*100</f>
        <v>6.2149652837640099</v>
      </c>
    </row>
    <row r="951" spans="1:20" x14ac:dyDescent="0.2">
      <c r="A951">
        <v>1</v>
      </c>
      <c r="B951" t="s">
        <v>969</v>
      </c>
      <c r="C951">
        <v>29.639079685746299</v>
      </c>
      <c r="D951">
        <v>1129.1749330376099</v>
      </c>
      <c r="E951">
        <v>9.4782997040122599</v>
      </c>
      <c r="F951">
        <v>29.254782925547602</v>
      </c>
      <c r="G951">
        <v>99</v>
      </c>
      <c r="H951">
        <v>572.62976074218705</v>
      </c>
      <c r="I951">
        <v>9.3776846424034097E-2</v>
      </c>
      <c r="K951" s="1" t="str">
        <f>TEXT(stand_validation_1cycle[[#This Row],[stand_age]], ".0")</f>
        <v>29.6</v>
      </c>
      <c r="L951" s="1" t="str">
        <f t="shared" si="14"/>
        <v>"29.6"</v>
      </c>
      <c r="M951">
        <v>100</v>
      </c>
      <c r="N951">
        <f>0.029*stand_validation_1cycle[[#This Row],[stand_level_biomass]]</f>
        <v>32.746073058090687</v>
      </c>
      <c r="O951">
        <f>0.213*stand_validation_1cycle[[#This Row],[stand_level_biomass]]</f>
        <v>240.51426073701091</v>
      </c>
      <c r="P951">
        <f>0.571*stand_validation_1cycle[[#This Row],[stand_level_biomass]]</f>
        <v>644.75888676447516</v>
      </c>
      <c r="Q951">
        <f>stand_validation_1cycle[[#This Row],[stock]]</f>
        <v>99</v>
      </c>
      <c r="R951">
        <v>0</v>
      </c>
      <c r="S951">
        <f>stand_validation_1cycle[[#This Row],[aws]]</f>
        <v>572.62976074218705</v>
      </c>
      <c r="T951">
        <f>stand_validation_1cycle[[#This Row],[percent_tree_cover]]*100</f>
        <v>9.377684642403409</v>
      </c>
    </row>
    <row r="952" spans="1:20" x14ac:dyDescent="0.2">
      <c r="A952">
        <v>1</v>
      </c>
      <c r="B952" t="s">
        <v>970</v>
      </c>
      <c r="C952">
        <v>28.506475869809201</v>
      </c>
      <c r="D952">
        <v>867.41209337077203</v>
      </c>
      <c r="E952">
        <v>7.6855639934081799</v>
      </c>
      <c r="F952">
        <v>27.391583916349202</v>
      </c>
      <c r="G952">
        <v>99</v>
      </c>
      <c r="H952">
        <v>570.59027099609295</v>
      </c>
      <c r="I952">
        <v>7.6486238722668298E-2</v>
      </c>
      <c r="K952" s="1" t="str">
        <f>TEXT(stand_validation_1cycle[[#This Row],[stand_age]], ".0")</f>
        <v>28.5</v>
      </c>
      <c r="L952" s="1" t="str">
        <f t="shared" si="14"/>
        <v>"28.5"</v>
      </c>
      <c r="M952">
        <v>100</v>
      </c>
      <c r="N952">
        <f>0.029*stand_validation_1cycle[[#This Row],[stand_level_biomass]]</f>
        <v>25.154950707752391</v>
      </c>
      <c r="O952">
        <f>0.213*stand_validation_1cycle[[#This Row],[stand_level_biomass]]</f>
        <v>184.75877588797445</v>
      </c>
      <c r="P952">
        <f>0.571*stand_validation_1cycle[[#This Row],[stand_level_biomass]]</f>
        <v>495.2923053147108</v>
      </c>
      <c r="Q952">
        <f>stand_validation_1cycle[[#This Row],[stock]]</f>
        <v>99</v>
      </c>
      <c r="R952">
        <v>0</v>
      </c>
      <c r="S952">
        <f>stand_validation_1cycle[[#This Row],[aws]]</f>
        <v>570.59027099609295</v>
      </c>
      <c r="T952">
        <f>stand_validation_1cycle[[#This Row],[percent_tree_cover]]*100</f>
        <v>7.64862387226683</v>
      </c>
    </row>
    <row r="953" spans="1:20" x14ac:dyDescent="0.2">
      <c r="A953">
        <v>1</v>
      </c>
      <c r="B953" t="s">
        <v>971</v>
      </c>
      <c r="C953">
        <v>28.1438666666666</v>
      </c>
      <c r="D953">
        <v>1031.9067409578399</v>
      </c>
      <c r="E953">
        <v>8.8481637619441997</v>
      </c>
      <c r="F953">
        <v>28.6411836773757</v>
      </c>
      <c r="G953">
        <v>100</v>
      </c>
      <c r="H953">
        <v>571.57861328125</v>
      </c>
      <c r="I953">
        <v>8.8161850827617794E-2</v>
      </c>
      <c r="K953" s="1" t="str">
        <f>TEXT(stand_validation_1cycle[[#This Row],[stand_age]], ".0")</f>
        <v>28.1</v>
      </c>
      <c r="L953" s="1" t="str">
        <f t="shared" si="14"/>
        <v>"28.1"</v>
      </c>
      <c r="M953">
        <v>100</v>
      </c>
      <c r="N953">
        <f>0.029*stand_validation_1cycle[[#This Row],[stand_level_biomass]]</f>
        <v>29.925295487777358</v>
      </c>
      <c r="O953">
        <f>0.213*stand_validation_1cycle[[#This Row],[stand_level_biomass]]</f>
        <v>219.7961358240199</v>
      </c>
      <c r="P953">
        <f>0.571*stand_validation_1cycle[[#This Row],[stand_level_biomass]]</f>
        <v>589.21874908692655</v>
      </c>
      <c r="Q953">
        <f>stand_validation_1cycle[[#This Row],[stock]]</f>
        <v>100</v>
      </c>
      <c r="R953">
        <v>0</v>
      </c>
      <c r="S953">
        <f>stand_validation_1cycle[[#This Row],[aws]]</f>
        <v>571.57861328125</v>
      </c>
      <c r="T953">
        <f>stand_validation_1cycle[[#This Row],[percent_tree_cover]]*100</f>
        <v>8.8161850827617787</v>
      </c>
    </row>
    <row r="954" spans="1:20" x14ac:dyDescent="0.2">
      <c r="A954">
        <v>1</v>
      </c>
      <c r="B954" t="s">
        <v>972</v>
      </c>
      <c r="C954">
        <v>28.515811111110999</v>
      </c>
      <c r="D954">
        <v>987.66320902446796</v>
      </c>
      <c r="E954">
        <v>8.59669654878393</v>
      </c>
      <c r="F954">
        <v>28.558882514285699</v>
      </c>
      <c r="G954">
        <v>100</v>
      </c>
      <c r="H954">
        <v>572.94677734375</v>
      </c>
      <c r="I954">
        <v>8.5656087700915401E-2</v>
      </c>
      <c r="K954" s="1" t="str">
        <f>TEXT(stand_validation_1cycle[[#This Row],[stand_age]], ".0")</f>
        <v>28.5</v>
      </c>
      <c r="L954" s="1" t="str">
        <f t="shared" si="14"/>
        <v>"28.5"</v>
      </c>
      <c r="M954">
        <v>100</v>
      </c>
      <c r="N954">
        <f>0.029*stand_validation_1cycle[[#This Row],[stand_level_biomass]]</f>
        <v>28.642233061709572</v>
      </c>
      <c r="O954">
        <f>0.213*stand_validation_1cycle[[#This Row],[stand_level_biomass]]</f>
        <v>210.37226352221168</v>
      </c>
      <c r="P954">
        <f>0.571*stand_validation_1cycle[[#This Row],[stand_level_biomass]]</f>
        <v>563.95569235297114</v>
      </c>
      <c r="Q954">
        <f>stand_validation_1cycle[[#This Row],[stock]]</f>
        <v>100</v>
      </c>
      <c r="R954">
        <v>0</v>
      </c>
      <c r="S954">
        <f>stand_validation_1cycle[[#This Row],[aws]]</f>
        <v>572.94677734375</v>
      </c>
      <c r="T954">
        <f>stand_validation_1cycle[[#This Row],[percent_tree_cover]]*100</f>
        <v>8.56560877009154</v>
      </c>
    </row>
    <row r="955" spans="1:20" x14ac:dyDescent="0.2">
      <c r="A955">
        <v>1</v>
      </c>
      <c r="B955" t="s">
        <v>973</v>
      </c>
      <c r="C955">
        <v>26.980975056689299</v>
      </c>
      <c r="D955">
        <v>840.48354914374704</v>
      </c>
      <c r="E955">
        <v>7.48364833577482</v>
      </c>
      <c r="F955">
        <v>27.322330728862902</v>
      </c>
      <c r="G955">
        <v>98</v>
      </c>
      <c r="H955">
        <v>574.01080322265602</v>
      </c>
      <c r="I955">
        <v>7.3877927899926005E-2</v>
      </c>
      <c r="K955" s="1" t="str">
        <f>TEXT(stand_validation_1cycle[[#This Row],[stand_age]], ".0")</f>
        <v>27.0</v>
      </c>
      <c r="L955" s="1" t="str">
        <f t="shared" si="14"/>
        <v>"27.0"</v>
      </c>
      <c r="M955">
        <v>100</v>
      </c>
      <c r="N955">
        <f>0.029*stand_validation_1cycle[[#This Row],[stand_level_biomass]]</f>
        <v>24.374022925168667</v>
      </c>
      <c r="O955">
        <f>0.213*stand_validation_1cycle[[#This Row],[stand_level_biomass]]</f>
        <v>179.02299596761813</v>
      </c>
      <c r="P955">
        <f>0.571*stand_validation_1cycle[[#This Row],[stand_level_biomass]]</f>
        <v>479.91610656107952</v>
      </c>
      <c r="Q955">
        <f>stand_validation_1cycle[[#This Row],[stock]]</f>
        <v>98</v>
      </c>
      <c r="R955">
        <v>0</v>
      </c>
      <c r="S955">
        <f>stand_validation_1cycle[[#This Row],[aws]]</f>
        <v>574.01080322265602</v>
      </c>
      <c r="T955">
        <f>stand_validation_1cycle[[#This Row],[percent_tree_cover]]*100</f>
        <v>7.3877927899926004</v>
      </c>
    </row>
    <row r="956" spans="1:20" x14ac:dyDescent="0.2">
      <c r="A956">
        <v>1</v>
      </c>
      <c r="B956" t="s">
        <v>974</v>
      </c>
      <c r="C956">
        <v>25.304866666666602</v>
      </c>
      <c r="D956">
        <v>618.04021084553301</v>
      </c>
      <c r="E956">
        <v>5.8333830666128801</v>
      </c>
      <c r="F956">
        <v>23.6957977142857</v>
      </c>
      <c r="G956">
        <v>100</v>
      </c>
      <c r="H956">
        <v>566.918701171875</v>
      </c>
      <c r="I956">
        <v>5.8139290524415597E-2</v>
      </c>
      <c r="K956" s="1" t="str">
        <f>TEXT(stand_validation_1cycle[[#This Row],[stand_age]], ".0")</f>
        <v>25.3</v>
      </c>
      <c r="L956" s="1" t="str">
        <f t="shared" si="14"/>
        <v>"25.3"</v>
      </c>
      <c r="M956">
        <v>100</v>
      </c>
      <c r="N956">
        <f>0.029*stand_validation_1cycle[[#This Row],[stand_level_biomass]]</f>
        <v>17.923166114520459</v>
      </c>
      <c r="O956">
        <f>0.213*stand_validation_1cycle[[#This Row],[stand_level_biomass]]</f>
        <v>131.64256491009851</v>
      </c>
      <c r="P956">
        <f>0.571*stand_validation_1cycle[[#This Row],[stand_level_biomass]]</f>
        <v>352.90096039279933</v>
      </c>
      <c r="Q956">
        <f>stand_validation_1cycle[[#This Row],[stock]]</f>
        <v>100</v>
      </c>
      <c r="R956">
        <v>0</v>
      </c>
      <c r="S956">
        <f>stand_validation_1cycle[[#This Row],[aws]]</f>
        <v>566.918701171875</v>
      </c>
      <c r="T956">
        <f>stand_validation_1cycle[[#This Row],[percent_tree_cover]]*100</f>
        <v>5.8139290524415594</v>
      </c>
    </row>
    <row r="957" spans="1:20" x14ac:dyDescent="0.2">
      <c r="A957">
        <v>1</v>
      </c>
      <c r="B957" t="s">
        <v>975</v>
      </c>
      <c r="C957">
        <v>30.170911680911601</v>
      </c>
      <c r="D957">
        <v>1231.61036005661</v>
      </c>
      <c r="E957">
        <v>3.9743534678327599</v>
      </c>
      <c r="F957">
        <v>30.073633406593402</v>
      </c>
      <c r="G957">
        <v>39</v>
      </c>
      <c r="H957">
        <v>566.918701171875</v>
      </c>
      <c r="I957">
        <v>0.100174915900413</v>
      </c>
      <c r="K957" s="1" t="str">
        <f>TEXT(stand_validation_1cycle[[#This Row],[stand_age]], ".0")</f>
        <v>30.2</v>
      </c>
      <c r="L957" s="1" t="str">
        <f t="shared" si="14"/>
        <v>"30.2"</v>
      </c>
      <c r="M957">
        <v>100</v>
      </c>
      <c r="N957">
        <f>0.029*stand_validation_1cycle[[#This Row],[stand_level_biomass]]</f>
        <v>35.716700441641692</v>
      </c>
      <c r="O957">
        <f>0.213*stand_validation_1cycle[[#This Row],[stand_level_biomass]]</f>
        <v>262.33300669205795</v>
      </c>
      <c r="P957">
        <f>0.571*stand_validation_1cycle[[#This Row],[stand_level_biomass]]</f>
        <v>703.24951559232431</v>
      </c>
      <c r="Q957">
        <f>stand_validation_1cycle[[#This Row],[stock]]</f>
        <v>39</v>
      </c>
      <c r="R957">
        <v>0</v>
      </c>
      <c r="S957">
        <f>stand_validation_1cycle[[#This Row],[aws]]</f>
        <v>566.918701171875</v>
      </c>
      <c r="T957">
        <f>stand_validation_1cycle[[#This Row],[percent_tree_cover]]*100</f>
        <v>10.017491590041299</v>
      </c>
    </row>
    <row r="958" spans="1:20" x14ac:dyDescent="0.2">
      <c r="A958">
        <v>1</v>
      </c>
      <c r="B958" t="s">
        <v>976</v>
      </c>
      <c r="C958">
        <v>26.7851927437641</v>
      </c>
      <c r="D958">
        <v>820.87071055558499</v>
      </c>
      <c r="E958">
        <v>7.2762356763958396</v>
      </c>
      <c r="F958">
        <v>26.871726597416099</v>
      </c>
      <c r="G958">
        <v>98</v>
      </c>
      <c r="H958">
        <v>568.08978271484295</v>
      </c>
      <c r="I958">
        <v>7.4418348756463706E-2</v>
      </c>
      <c r="K958" s="1" t="str">
        <f>TEXT(stand_validation_1cycle[[#This Row],[stand_age]], ".0")</f>
        <v>26.8</v>
      </c>
      <c r="L958" s="1" t="str">
        <f t="shared" si="14"/>
        <v>"26.8"</v>
      </c>
      <c r="M958">
        <v>100</v>
      </c>
      <c r="N958">
        <f>0.029*stand_validation_1cycle[[#This Row],[stand_level_biomass]]</f>
        <v>23.805250606111965</v>
      </c>
      <c r="O958">
        <f>0.213*stand_validation_1cycle[[#This Row],[stand_level_biomass]]</f>
        <v>174.8454613483396</v>
      </c>
      <c r="P958">
        <f>0.571*stand_validation_1cycle[[#This Row],[stand_level_biomass]]</f>
        <v>468.71717572723901</v>
      </c>
      <c r="Q958">
        <f>stand_validation_1cycle[[#This Row],[stock]]</f>
        <v>98</v>
      </c>
      <c r="R958">
        <v>0</v>
      </c>
      <c r="S958">
        <f>stand_validation_1cycle[[#This Row],[aws]]</f>
        <v>568.08978271484295</v>
      </c>
      <c r="T958">
        <f>stand_validation_1cycle[[#This Row],[percent_tree_cover]]*100</f>
        <v>7.4418348756463706</v>
      </c>
    </row>
    <row r="959" spans="1:20" x14ac:dyDescent="0.2">
      <c r="A959">
        <v>1</v>
      </c>
      <c r="B959" t="s">
        <v>977</v>
      </c>
      <c r="C959">
        <v>26.842111111111102</v>
      </c>
      <c r="D959">
        <v>607.00221971368501</v>
      </c>
      <c r="E959">
        <v>5.8293052793485201</v>
      </c>
      <c r="F959">
        <v>24.213257465915699</v>
      </c>
      <c r="G959">
        <v>100</v>
      </c>
      <c r="H959">
        <v>569.01220703125</v>
      </c>
      <c r="I959">
        <v>5.8089492684778997E-2</v>
      </c>
      <c r="K959" s="1" t="str">
        <f>TEXT(stand_validation_1cycle[[#This Row],[stand_age]], ".0")</f>
        <v>26.8</v>
      </c>
      <c r="L959" s="1" t="str">
        <f t="shared" si="14"/>
        <v>"26.8"</v>
      </c>
      <c r="M959">
        <v>100</v>
      </c>
      <c r="N959">
        <f>0.029*stand_validation_1cycle[[#This Row],[stand_level_biomass]]</f>
        <v>17.603064371696867</v>
      </c>
      <c r="O959">
        <f>0.213*stand_validation_1cycle[[#This Row],[stand_level_biomass]]</f>
        <v>129.29147279901491</v>
      </c>
      <c r="P959">
        <f>0.571*stand_validation_1cycle[[#This Row],[stand_level_biomass]]</f>
        <v>346.59826745651412</v>
      </c>
      <c r="Q959">
        <f>stand_validation_1cycle[[#This Row],[stock]]</f>
        <v>100</v>
      </c>
      <c r="R959">
        <v>0</v>
      </c>
      <c r="S959">
        <f>stand_validation_1cycle[[#This Row],[aws]]</f>
        <v>569.01220703125</v>
      </c>
      <c r="T959">
        <f>stand_validation_1cycle[[#This Row],[percent_tree_cover]]*100</f>
        <v>5.8089492684778996</v>
      </c>
    </row>
    <row r="960" spans="1:20" x14ac:dyDescent="0.2">
      <c r="A960">
        <v>1</v>
      </c>
      <c r="B960" t="s">
        <v>978</v>
      </c>
      <c r="C960">
        <v>26.837290249433099</v>
      </c>
      <c r="D960">
        <v>1052.9656581878301</v>
      </c>
      <c r="E960">
        <v>8.7774606484788293</v>
      </c>
      <c r="F960">
        <v>28.538201903358502</v>
      </c>
      <c r="G960">
        <v>98</v>
      </c>
      <c r="H960">
        <v>569.01220703125</v>
      </c>
      <c r="I960">
        <v>8.9246797069278599E-2</v>
      </c>
      <c r="K960" s="1" t="str">
        <f>TEXT(stand_validation_1cycle[[#This Row],[stand_age]], ".0")</f>
        <v>26.8</v>
      </c>
      <c r="L960" s="1" t="str">
        <f t="shared" si="14"/>
        <v>"26.8"</v>
      </c>
      <c r="M960">
        <v>100</v>
      </c>
      <c r="N960">
        <f>0.029*stand_validation_1cycle[[#This Row],[stand_level_biomass]]</f>
        <v>30.536004087447072</v>
      </c>
      <c r="O960">
        <f>0.213*stand_validation_1cycle[[#This Row],[stand_level_biomass]]</f>
        <v>224.28168519400779</v>
      </c>
      <c r="P960">
        <f>0.571*stand_validation_1cycle[[#This Row],[stand_level_biomass]]</f>
        <v>601.24339082525091</v>
      </c>
      <c r="Q960">
        <f>stand_validation_1cycle[[#This Row],[stock]]</f>
        <v>98</v>
      </c>
      <c r="R960">
        <v>0</v>
      </c>
      <c r="S960">
        <f>stand_validation_1cycle[[#This Row],[aws]]</f>
        <v>569.01220703125</v>
      </c>
      <c r="T960">
        <f>stand_validation_1cycle[[#This Row],[percent_tree_cover]]*100</f>
        <v>8.9246797069278596</v>
      </c>
    </row>
    <row r="961" spans="1:20" x14ac:dyDescent="0.2">
      <c r="A961">
        <v>1</v>
      </c>
      <c r="B961" t="s">
        <v>979</v>
      </c>
      <c r="C961">
        <v>25.420240549828101</v>
      </c>
      <c r="D961">
        <v>612.25800023846205</v>
      </c>
      <c r="E961">
        <v>5.6512468763265202</v>
      </c>
      <c r="F961">
        <v>23.955966047167902</v>
      </c>
      <c r="G961">
        <v>97</v>
      </c>
      <c r="H961">
        <v>623.44317626953102</v>
      </c>
      <c r="I961">
        <v>5.7535503010214602E-2</v>
      </c>
      <c r="K961" s="1" t="str">
        <f>TEXT(stand_validation_1cycle[[#This Row],[stand_age]], ".0")</f>
        <v>25.4</v>
      </c>
      <c r="L961" s="1" t="str">
        <f t="shared" si="14"/>
        <v>"25.4"</v>
      </c>
      <c r="M961">
        <v>100</v>
      </c>
      <c r="N961">
        <f>0.029*stand_validation_1cycle[[#This Row],[stand_level_biomass]]</f>
        <v>17.7554820069154</v>
      </c>
      <c r="O961">
        <f>0.213*stand_validation_1cycle[[#This Row],[stand_level_biomass]]</f>
        <v>130.41095405079241</v>
      </c>
      <c r="P961">
        <f>0.571*stand_validation_1cycle[[#This Row],[stand_level_biomass]]</f>
        <v>349.5993181361618</v>
      </c>
      <c r="Q961">
        <f>stand_validation_1cycle[[#This Row],[stock]]</f>
        <v>97</v>
      </c>
      <c r="R961">
        <v>0</v>
      </c>
      <c r="S961">
        <f>stand_validation_1cycle[[#This Row],[aws]]</f>
        <v>623.44317626953102</v>
      </c>
      <c r="T961">
        <f>stand_validation_1cycle[[#This Row],[percent_tree_cover]]*100</f>
        <v>5.7535503010214599</v>
      </c>
    </row>
    <row r="962" spans="1:20" x14ac:dyDescent="0.2">
      <c r="A962">
        <v>1</v>
      </c>
      <c r="B962" t="s">
        <v>980</v>
      </c>
      <c r="C962">
        <v>26.220955555555499</v>
      </c>
      <c r="D962">
        <v>957.13744502244106</v>
      </c>
      <c r="E962">
        <v>8.2440692667799098</v>
      </c>
      <c r="F962">
        <v>27.397217332048498</v>
      </c>
      <c r="G962">
        <v>100</v>
      </c>
      <c r="H962">
        <v>569.90576171875</v>
      </c>
      <c r="I962">
        <v>8.21603707684396E-2</v>
      </c>
      <c r="K962" s="1" t="str">
        <f>TEXT(stand_validation_1cycle[[#This Row],[stand_age]], ".0")</f>
        <v>26.2</v>
      </c>
      <c r="L962" s="1" t="str">
        <f t="shared" si="14"/>
        <v>"26.2"</v>
      </c>
      <c r="M962">
        <v>100</v>
      </c>
      <c r="N962">
        <f>0.029*stand_validation_1cycle[[#This Row],[stand_level_biomass]]</f>
        <v>27.756985905650794</v>
      </c>
      <c r="O962">
        <f>0.213*stand_validation_1cycle[[#This Row],[stand_level_biomass]]</f>
        <v>203.87027578977995</v>
      </c>
      <c r="P962">
        <f>0.571*stand_validation_1cycle[[#This Row],[stand_level_biomass]]</f>
        <v>546.52548110781379</v>
      </c>
      <c r="Q962">
        <f>stand_validation_1cycle[[#This Row],[stock]]</f>
        <v>100</v>
      </c>
      <c r="R962">
        <v>0</v>
      </c>
      <c r="S962">
        <f>stand_validation_1cycle[[#This Row],[aws]]</f>
        <v>569.90576171875</v>
      </c>
      <c r="T962">
        <f>stand_validation_1cycle[[#This Row],[percent_tree_cover]]*100</f>
        <v>8.2160370768439606</v>
      </c>
    </row>
    <row r="963" spans="1:20" x14ac:dyDescent="0.2">
      <c r="A963">
        <v>1</v>
      </c>
      <c r="B963" t="s">
        <v>981</v>
      </c>
      <c r="C963">
        <v>25.013569023569001</v>
      </c>
      <c r="D963">
        <v>585.66514654870195</v>
      </c>
      <c r="E963">
        <v>5.6228280291821502</v>
      </c>
      <c r="F963">
        <v>23.721800953354201</v>
      </c>
      <c r="G963">
        <v>99</v>
      </c>
      <c r="H963">
        <v>523.76416015625</v>
      </c>
      <c r="I963">
        <v>5.5869530741315399E-2</v>
      </c>
      <c r="K963" s="1" t="str">
        <f>TEXT(stand_validation_1cycle[[#This Row],[stand_age]], ".0")</f>
        <v>25.0</v>
      </c>
      <c r="L963" s="1" t="str">
        <f t="shared" ref="L963:L1026" si="15">""""&amp;K963&amp;""""</f>
        <v>"25.0"</v>
      </c>
      <c r="M963">
        <v>100</v>
      </c>
      <c r="N963">
        <f>0.029*stand_validation_1cycle[[#This Row],[stand_level_biomass]]</f>
        <v>16.984289249912358</v>
      </c>
      <c r="O963">
        <f>0.213*stand_validation_1cycle[[#This Row],[stand_level_biomass]]</f>
        <v>124.74667621487352</v>
      </c>
      <c r="P963">
        <f>0.571*stand_validation_1cycle[[#This Row],[stand_level_biomass]]</f>
        <v>334.41479867930877</v>
      </c>
      <c r="Q963">
        <f>stand_validation_1cycle[[#This Row],[stock]]</f>
        <v>99</v>
      </c>
      <c r="R963">
        <v>0</v>
      </c>
      <c r="S963">
        <f>stand_validation_1cycle[[#This Row],[aws]]</f>
        <v>523.76416015625</v>
      </c>
      <c r="T963">
        <f>stand_validation_1cycle[[#This Row],[percent_tree_cover]]*100</f>
        <v>5.5869530741315394</v>
      </c>
    </row>
    <row r="964" spans="1:20" x14ac:dyDescent="0.2">
      <c r="A964">
        <v>1</v>
      </c>
      <c r="B964" t="s">
        <v>982</v>
      </c>
      <c r="C964">
        <v>27.802682379349001</v>
      </c>
      <c r="D964">
        <v>794.830702985426</v>
      </c>
      <c r="E964">
        <v>7.2304995851467204</v>
      </c>
      <c r="F964">
        <v>27.050364291584401</v>
      </c>
      <c r="G964">
        <v>99</v>
      </c>
      <c r="H964">
        <v>523.76416015625</v>
      </c>
      <c r="I964">
        <v>7.1942556075506106E-2</v>
      </c>
      <c r="K964" s="1" t="str">
        <f>TEXT(stand_validation_1cycle[[#This Row],[stand_age]], ".0")</f>
        <v>27.8</v>
      </c>
      <c r="L964" s="1" t="str">
        <f t="shared" si="15"/>
        <v>"27.8"</v>
      </c>
      <c r="M964">
        <v>100</v>
      </c>
      <c r="N964">
        <f>0.029*stand_validation_1cycle[[#This Row],[stand_level_biomass]]</f>
        <v>23.050090386577356</v>
      </c>
      <c r="O964">
        <f>0.213*stand_validation_1cycle[[#This Row],[stand_level_biomass]]</f>
        <v>169.29893973589574</v>
      </c>
      <c r="P964">
        <f>0.571*stand_validation_1cycle[[#This Row],[stand_level_biomass]]</f>
        <v>453.84833140467822</v>
      </c>
      <c r="Q964">
        <f>stand_validation_1cycle[[#This Row],[stock]]</f>
        <v>99</v>
      </c>
      <c r="R964">
        <v>0</v>
      </c>
      <c r="S964">
        <f>stand_validation_1cycle[[#This Row],[aws]]</f>
        <v>523.76416015625</v>
      </c>
      <c r="T964">
        <f>stand_validation_1cycle[[#This Row],[percent_tree_cover]]*100</f>
        <v>7.1942556075506108</v>
      </c>
    </row>
    <row r="965" spans="1:20" x14ac:dyDescent="0.2">
      <c r="A965">
        <v>1</v>
      </c>
      <c r="B965" t="s">
        <v>983</v>
      </c>
      <c r="C965">
        <v>26.157833333333301</v>
      </c>
      <c r="D965">
        <v>766.38720422745098</v>
      </c>
      <c r="E965">
        <v>6.9678325941764099</v>
      </c>
      <c r="F965">
        <v>25.8243285630221</v>
      </c>
      <c r="G965">
        <v>100</v>
      </c>
      <c r="H965">
        <v>523.76416015625</v>
      </c>
      <c r="I965">
        <v>6.9447496115879095E-2</v>
      </c>
      <c r="K965" s="1" t="str">
        <f>TEXT(stand_validation_1cycle[[#This Row],[stand_age]], ".0")</f>
        <v>26.2</v>
      </c>
      <c r="L965" s="1" t="str">
        <f t="shared" si="15"/>
        <v>"26.2"</v>
      </c>
      <c r="M965">
        <v>100</v>
      </c>
      <c r="N965">
        <f>0.029*stand_validation_1cycle[[#This Row],[stand_level_biomass]]</f>
        <v>22.225228922596081</v>
      </c>
      <c r="O965">
        <f>0.213*stand_validation_1cycle[[#This Row],[stand_level_biomass]]</f>
        <v>163.24047450044705</v>
      </c>
      <c r="P965">
        <f>0.571*stand_validation_1cycle[[#This Row],[stand_level_biomass]]</f>
        <v>437.6070936138745</v>
      </c>
      <c r="Q965">
        <f>stand_validation_1cycle[[#This Row],[stock]]</f>
        <v>100</v>
      </c>
      <c r="R965">
        <v>0</v>
      </c>
      <c r="S965">
        <f>stand_validation_1cycle[[#This Row],[aws]]</f>
        <v>523.76416015625</v>
      </c>
      <c r="T965">
        <f>stand_validation_1cycle[[#This Row],[percent_tree_cover]]*100</f>
        <v>6.9447496115879099</v>
      </c>
    </row>
    <row r="966" spans="1:20" x14ac:dyDescent="0.2">
      <c r="A966">
        <v>1</v>
      </c>
      <c r="B966" t="s">
        <v>984</v>
      </c>
      <c r="C966">
        <v>27.148978675645299</v>
      </c>
      <c r="D966">
        <v>811.534429641977</v>
      </c>
      <c r="E966">
        <v>7.1915320552697599</v>
      </c>
      <c r="F966">
        <v>26.2234484955057</v>
      </c>
      <c r="G966">
        <v>99</v>
      </c>
      <c r="H966">
        <v>562</v>
      </c>
      <c r="I966">
        <v>7.1671700021193802E-2</v>
      </c>
      <c r="K966" s="1" t="str">
        <f>TEXT(stand_validation_1cycle[[#This Row],[stand_age]], ".0")</f>
        <v>27.1</v>
      </c>
      <c r="L966" s="1" t="str">
        <f t="shared" si="15"/>
        <v>"27.1"</v>
      </c>
      <c r="M966">
        <v>100</v>
      </c>
      <c r="N966">
        <f>0.029*stand_validation_1cycle[[#This Row],[stand_level_biomass]]</f>
        <v>23.534498459617335</v>
      </c>
      <c r="O966">
        <f>0.213*stand_validation_1cycle[[#This Row],[stand_level_biomass]]</f>
        <v>172.85683351374109</v>
      </c>
      <c r="P966">
        <f>0.571*stand_validation_1cycle[[#This Row],[stand_level_biomass]]</f>
        <v>463.38615932556883</v>
      </c>
      <c r="Q966">
        <f>stand_validation_1cycle[[#This Row],[stock]]</f>
        <v>99</v>
      </c>
      <c r="R966">
        <v>0</v>
      </c>
      <c r="S966">
        <f>stand_validation_1cycle[[#This Row],[aws]]</f>
        <v>562</v>
      </c>
      <c r="T966">
        <f>stand_validation_1cycle[[#This Row],[percent_tree_cover]]*100</f>
        <v>7.1671700021193798</v>
      </c>
    </row>
    <row r="967" spans="1:20" x14ac:dyDescent="0.2">
      <c r="A967">
        <v>1</v>
      </c>
      <c r="B967" t="s">
        <v>985</v>
      </c>
      <c r="C967">
        <v>27.176105499438801</v>
      </c>
      <c r="D967">
        <v>805.22456355797203</v>
      </c>
      <c r="E967">
        <v>7.1912069004301102</v>
      </c>
      <c r="F967">
        <v>26.296483348695499</v>
      </c>
      <c r="G967">
        <v>99</v>
      </c>
      <c r="H967">
        <v>595.43988037109295</v>
      </c>
      <c r="I967">
        <v>7.1571463810653393E-2</v>
      </c>
      <c r="K967" s="1" t="str">
        <f>TEXT(stand_validation_1cycle[[#This Row],[stand_age]], ".0")</f>
        <v>27.2</v>
      </c>
      <c r="L967" s="1" t="str">
        <f t="shared" si="15"/>
        <v>"27.2"</v>
      </c>
      <c r="M967">
        <v>100</v>
      </c>
      <c r="N967">
        <f>0.029*stand_validation_1cycle[[#This Row],[stand_level_biomass]]</f>
        <v>23.351512343181192</v>
      </c>
      <c r="O967">
        <f>0.213*stand_validation_1cycle[[#This Row],[stand_level_biomass]]</f>
        <v>171.51283203784803</v>
      </c>
      <c r="P967">
        <f>0.571*stand_validation_1cycle[[#This Row],[stand_level_biomass]]</f>
        <v>459.78322579160198</v>
      </c>
      <c r="Q967">
        <f>stand_validation_1cycle[[#This Row],[stock]]</f>
        <v>99</v>
      </c>
      <c r="R967">
        <v>0</v>
      </c>
      <c r="S967">
        <f>stand_validation_1cycle[[#This Row],[aws]]</f>
        <v>595.43988037109295</v>
      </c>
      <c r="T967">
        <f>stand_validation_1cycle[[#This Row],[percent_tree_cover]]*100</f>
        <v>7.1571463810653393</v>
      </c>
    </row>
    <row r="968" spans="1:20" x14ac:dyDescent="0.2">
      <c r="A968">
        <v>1</v>
      </c>
      <c r="B968" t="s">
        <v>986</v>
      </c>
      <c r="C968">
        <v>29.4291806958473</v>
      </c>
      <c r="D968">
        <v>1053.9988582834301</v>
      </c>
      <c r="E968">
        <v>8.8924374418130707</v>
      </c>
      <c r="F968">
        <v>28.548598577216399</v>
      </c>
      <c r="G968">
        <v>99</v>
      </c>
      <c r="H968">
        <v>525.74664306640602</v>
      </c>
      <c r="I968">
        <v>8.8499791155013205E-2</v>
      </c>
      <c r="K968" s="1" t="str">
        <f>TEXT(stand_validation_1cycle[[#This Row],[stand_age]], ".0")</f>
        <v>29.4</v>
      </c>
      <c r="L968" s="1" t="str">
        <f t="shared" si="15"/>
        <v>"29.4"</v>
      </c>
      <c r="M968">
        <v>100</v>
      </c>
      <c r="N968">
        <f>0.029*stand_validation_1cycle[[#This Row],[stand_level_biomass]]</f>
        <v>30.565966890219475</v>
      </c>
      <c r="O968">
        <f>0.213*stand_validation_1cycle[[#This Row],[stand_level_biomass]]</f>
        <v>224.50175681437059</v>
      </c>
      <c r="P968">
        <f>0.571*stand_validation_1cycle[[#This Row],[stand_level_biomass]]</f>
        <v>601.83334807983852</v>
      </c>
      <c r="Q968">
        <f>stand_validation_1cycle[[#This Row],[stock]]</f>
        <v>99</v>
      </c>
      <c r="R968">
        <v>0</v>
      </c>
      <c r="S968">
        <f>stand_validation_1cycle[[#This Row],[aws]]</f>
        <v>525.74664306640602</v>
      </c>
      <c r="T968">
        <f>stand_validation_1cycle[[#This Row],[percent_tree_cover]]*100</f>
        <v>8.8499791155013199</v>
      </c>
    </row>
    <row r="969" spans="1:20" x14ac:dyDescent="0.2">
      <c r="A969">
        <v>1</v>
      </c>
      <c r="B969" t="s">
        <v>987</v>
      </c>
      <c r="C969">
        <v>28.163877777777699</v>
      </c>
      <c r="D969">
        <v>1000.30874526834</v>
      </c>
      <c r="E969">
        <v>8.6976272813639692</v>
      </c>
      <c r="F969">
        <v>28.573521134504901</v>
      </c>
      <c r="G969">
        <v>100</v>
      </c>
      <c r="H969">
        <v>523.83917236328102</v>
      </c>
      <c r="I969">
        <v>8.6668282610947001E-2</v>
      </c>
      <c r="K969" s="1" t="str">
        <f>TEXT(stand_validation_1cycle[[#This Row],[stand_age]], ".0")</f>
        <v>28.2</v>
      </c>
      <c r="L969" s="1" t="str">
        <f t="shared" si="15"/>
        <v>"28.2"</v>
      </c>
      <c r="M969">
        <v>100</v>
      </c>
      <c r="N969">
        <f>0.029*stand_validation_1cycle[[#This Row],[stand_level_biomass]]</f>
        <v>29.008953612781859</v>
      </c>
      <c r="O969">
        <f>0.213*stand_validation_1cycle[[#This Row],[stand_level_biomass]]</f>
        <v>213.06576274215641</v>
      </c>
      <c r="P969">
        <f>0.571*stand_validation_1cycle[[#This Row],[stand_level_biomass]]</f>
        <v>571.17629354822213</v>
      </c>
      <c r="Q969">
        <f>stand_validation_1cycle[[#This Row],[stock]]</f>
        <v>100</v>
      </c>
      <c r="R969">
        <v>0</v>
      </c>
      <c r="S969">
        <f>stand_validation_1cycle[[#This Row],[aws]]</f>
        <v>523.83917236328102</v>
      </c>
      <c r="T969">
        <f>stand_validation_1cycle[[#This Row],[percent_tree_cover]]*100</f>
        <v>8.6668282610947003</v>
      </c>
    </row>
    <row r="970" spans="1:20" x14ac:dyDescent="0.2">
      <c r="A970">
        <v>1</v>
      </c>
      <c r="B970" t="s">
        <v>988</v>
      </c>
      <c r="C970">
        <v>27.482111111111099</v>
      </c>
      <c r="D970">
        <v>813.96740197778195</v>
      </c>
      <c r="E970">
        <v>7.2303487886993496</v>
      </c>
      <c r="F970">
        <v>25.863823734219999</v>
      </c>
      <c r="G970">
        <v>100</v>
      </c>
      <c r="H970">
        <v>572.39605712890602</v>
      </c>
      <c r="I970">
        <v>7.2034040005152303E-2</v>
      </c>
      <c r="K970" s="1" t="str">
        <f>TEXT(stand_validation_1cycle[[#This Row],[stand_age]], ".0")</f>
        <v>27.5</v>
      </c>
      <c r="L970" s="1" t="str">
        <f t="shared" si="15"/>
        <v>"27.5"</v>
      </c>
      <c r="M970">
        <v>100</v>
      </c>
      <c r="N970">
        <f>0.029*stand_validation_1cycle[[#This Row],[stand_level_biomass]]</f>
        <v>23.605054657355677</v>
      </c>
      <c r="O970">
        <f>0.213*stand_validation_1cycle[[#This Row],[stand_level_biomass]]</f>
        <v>173.37505662126756</v>
      </c>
      <c r="P970">
        <f>0.571*stand_validation_1cycle[[#This Row],[stand_level_biomass]]</f>
        <v>464.77538652931344</v>
      </c>
      <c r="Q970">
        <f>stand_validation_1cycle[[#This Row],[stock]]</f>
        <v>100</v>
      </c>
      <c r="R970">
        <v>0</v>
      </c>
      <c r="S970">
        <f>stand_validation_1cycle[[#This Row],[aws]]</f>
        <v>572.39605712890602</v>
      </c>
      <c r="T970">
        <f>stand_validation_1cycle[[#This Row],[percent_tree_cover]]*100</f>
        <v>7.2034040005152304</v>
      </c>
    </row>
    <row r="971" spans="1:20" x14ac:dyDescent="0.2">
      <c r="A971">
        <v>1</v>
      </c>
      <c r="B971" t="s">
        <v>989</v>
      </c>
      <c r="C971">
        <v>30.361622222222199</v>
      </c>
      <c r="D971">
        <v>1149.5377927710001</v>
      </c>
      <c r="E971">
        <v>9.6893888121940996</v>
      </c>
      <c r="F971">
        <v>29.8563612581742</v>
      </c>
      <c r="G971">
        <v>100</v>
      </c>
      <c r="H971">
        <v>572.04248046875</v>
      </c>
      <c r="I971">
        <v>9.6516165668359799E-2</v>
      </c>
      <c r="K971" s="1" t="str">
        <f>TEXT(stand_validation_1cycle[[#This Row],[stand_age]], ".0")</f>
        <v>30.4</v>
      </c>
      <c r="L971" s="1" t="str">
        <f t="shared" si="15"/>
        <v>"30.4"</v>
      </c>
      <c r="M971">
        <v>100</v>
      </c>
      <c r="N971">
        <f>0.029*stand_validation_1cycle[[#This Row],[stand_level_biomass]]</f>
        <v>33.336595990359008</v>
      </c>
      <c r="O971">
        <f>0.213*stand_validation_1cycle[[#This Row],[stand_level_biomass]]</f>
        <v>244.85154986022303</v>
      </c>
      <c r="P971">
        <f>0.571*stand_validation_1cycle[[#This Row],[stand_level_biomass]]</f>
        <v>656.38607967224095</v>
      </c>
      <c r="Q971">
        <f>stand_validation_1cycle[[#This Row],[stock]]</f>
        <v>100</v>
      </c>
      <c r="R971">
        <v>0</v>
      </c>
      <c r="S971">
        <f>stand_validation_1cycle[[#This Row],[aws]]</f>
        <v>572.04248046875</v>
      </c>
      <c r="T971">
        <f>stand_validation_1cycle[[#This Row],[percent_tree_cover]]*100</f>
        <v>9.6516165668359797</v>
      </c>
    </row>
    <row r="972" spans="1:20" x14ac:dyDescent="0.2">
      <c r="A972">
        <v>1</v>
      </c>
      <c r="B972" t="s">
        <v>990</v>
      </c>
      <c r="C972">
        <v>28.0526444444444</v>
      </c>
      <c r="D972">
        <v>840.239664069588</v>
      </c>
      <c r="E972">
        <v>7.5345531323372699</v>
      </c>
      <c r="F972">
        <v>27.064072781938499</v>
      </c>
      <c r="G972">
        <v>100</v>
      </c>
      <c r="H972">
        <v>566.78308105468705</v>
      </c>
      <c r="I972">
        <v>7.5077703372526797E-2</v>
      </c>
      <c r="K972" s="1" t="str">
        <f>TEXT(stand_validation_1cycle[[#This Row],[stand_age]], ".0")</f>
        <v>28.1</v>
      </c>
      <c r="L972" s="1" t="str">
        <f t="shared" si="15"/>
        <v>"28.1"</v>
      </c>
      <c r="M972">
        <v>100</v>
      </c>
      <c r="N972">
        <f>0.029*stand_validation_1cycle[[#This Row],[stand_level_biomass]]</f>
        <v>24.366950258018054</v>
      </c>
      <c r="O972">
        <f>0.213*stand_validation_1cycle[[#This Row],[stand_level_biomass]]</f>
        <v>178.97104844682224</v>
      </c>
      <c r="P972">
        <f>0.571*stand_validation_1cycle[[#This Row],[stand_level_biomass]]</f>
        <v>479.77684818373473</v>
      </c>
      <c r="Q972">
        <f>stand_validation_1cycle[[#This Row],[stock]]</f>
        <v>100</v>
      </c>
      <c r="R972">
        <v>0</v>
      </c>
      <c r="S972">
        <f>stand_validation_1cycle[[#This Row],[aws]]</f>
        <v>566.78308105468705</v>
      </c>
      <c r="T972">
        <f>stand_validation_1cycle[[#This Row],[percent_tree_cover]]*100</f>
        <v>7.5077703372526798</v>
      </c>
    </row>
    <row r="973" spans="1:20" x14ac:dyDescent="0.2">
      <c r="A973">
        <v>1</v>
      </c>
      <c r="B973" t="s">
        <v>991</v>
      </c>
      <c r="C973">
        <v>26.161366666666598</v>
      </c>
      <c r="D973">
        <v>775.62974180180902</v>
      </c>
      <c r="E973">
        <v>6.9976023261618199</v>
      </c>
      <c r="F973">
        <v>25.7172147725278</v>
      </c>
      <c r="G973">
        <v>100</v>
      </c>
      <c r="H973">
        <v>581</v>
      </c>
      <c r="I973">
        <v>6.9740353114114098E-2</v>
      </c>
      <c r="K973" s="1" t="str">
        <f>TEXT(stand_validation_1cycle[[#This Row],[stand_age]], ".0")</f>
        <v>26.2</v>
      </c>
      <c r="L973" s="1" t="str">
        <f t="shared" si="15"/>
        <v>"26.2"</v>
      </c>
      <c r="M973">
        <v>100</v>
      </c>
      <c r="N973">
        <f>0.029*stand_validation_1cycle[[#This Row],[stand_level_biomass]]</f>
        <v>22.493262512252464</v>
      </c>
      <c r="O973">
        <f>0.213*stand_validation_1cycle[[#This Row],[stand_level_biomass]]</f>
        <v>165.20913500378532</v>
      </c>
      <c r="P973">
        <f>0.571*stand_validation_1cycle[[#This Row],[stand_level_biomass]]</f>
        <v>442.88458256883291</v>
      </c>
      <c r="Q973">
        <f>stand_validation_1cycle[[#This Row],[stock]]</f>
        <v>100</v>
      </c>
      <c r="R973">
        <v>0</v>
      </c>
      <c r="S973">
        <f>stand_validation_1cycle[[#This Row],[aws]]</f>
        <v>581</v>
      </c>
      <c r="T973">
        <f>stand_validation_1cycle[[#This Row],[percent_tree_cover]]*100</f>
        <v>6.9740353114114102</v>
      </c>
    </row>
    <row r="974" spans="1:20" x14ac:dyDescent="0.2">
      <c r="A974">
        <v>1</v>
      </c>
      <c r="B974" t="s">
        <v>992</v>
      </c>
      <c r="C974">
        <v>29.2061888888888</v>
      </c>
      <c r="D974">
        <v>1016.74249185676</v>
      </c>
      <c r="E974">
        <v>8.7790424403799197</v>
      </c>
      <c r="F974">
        <v>28.7022927915392</v>
      </c>
      <c r="G974">
        <v>100</v>
      </c>
      <c r="H974">
        <v>573.98291015625</v>
      </c>
      <c r="I974">
        <v>8.7458548474654799E-2</v>
      </c>
      <c r="K974" s="1" t="str">
        <f>TEXT(stand_validation_1cycle[[#This Row],[stand_age]], ".0")</f>
        <v>29.2</v>
      </c>
      <c r="L974" s="1" t="str">
        <f t="shared" si="15"/>
        <v>"29.2"</v>
      </c>
      <c r="M974">
        <v>100</v>
      </c>
      <c r="N974">
        <f>0.029*stand_validation_1cycle[[#This Row],[stand_level_biomass]]</f>
        <v>29.485532263846043</v>
      </c>
      <c r="O974">
        <f>0.213*stand_validation_1cycle[[#This Row],[stand_level_biomass]]</f>
        <v>216.56615076548988</v>
      </c>
      <c r="P974">
        <f>0.571*stand_validation_1cycle[[#This Row],[stand_level_biomass]]</f>
        <v>580.5599628502099</v>
      </c>
      <c r="Q974">
        <f>stand_validation_1cycle[[#This Row],[stock]]</f>
        <v>100</v>
      </c>
      <c r="R974">
        <v>0</v>
      </c>
      <c r="S974">
        <f>stand_validation_1cycle[[#This Row],[aws]]</f>
        <v>573.98291015625</v>
      </c>
      <c r="T974">
        <f>stand_validation_1cycle[[#This Row],[percent_tree_cover]]*100</f>
        <v>8.7458548474654805</v>
      </c>
    </row>
    <row r="975" spans="1:20" x14ac:dyDescent="0.2">
      <c r="A975">
        <v>1</v>
      </c>
      <c r="B975" t="s">
        <v>993</v>
      </c>
      <c r="C975">
        <v>28.757188888888798</v>
      </c>
      <c r="D975">
        <v>951.25643199049705</v>
      </c>
      <c r="E975">
        <v>8.2375834487465696</v>
      </c>
      <c r="F975">
        <v>27.144391591349201</v>
      </c>
      <c r="G975">
        <v>100</v>
      </c>
      <c r="H975">
        <v>572.244140625</v>
      </c>
      <c r="I975">
        <v>8.2052514610714E-2</v>
      </c>
      <c r="K975" s="1" t="str">
        <f>TEXT(stand_validation_1cycle[[#This Row],[stand_age]], ".0")</f>
        <v>28.8</v>
      </c>
      <c r="L975" s="1" t="str">
        <f t="shared" si="15"/>
        <v>"28.8"</v>
      </c>
      <c r="M975">
        <v>100</v>
      </c>
      <c r="N975">
        <f>0.029*stand_validation_1cycle[[#This Row],[stand_level_biomass]]</f>
        <v>27.586436527724416</v>
      </c>
      <c r="O975">
        <f>0.213*stand_validation_1cycle[[#This Row],[stand_level_biomass]]</f>
        <v>202.61762001397588</v>
      </c>
      <c r="P975">
        <f>0.571*stand_validation_1cycle[[#This Row],[stand_level_biomass]]</f>
        <v>543.16742266657377</v>
      </c>
      <c r="Q975">
        <f>stand_validation_1cycle[[#This Row],[stock]]</f>
        <v>100</v>
      </c>
      <c r="R975">
        <v>0</v>
      </c>
      <c r="S975">
        <f>stand_validation_1cycle[[#This Row],[aws]]</f>
        <v>572.244140625</v>
      </c>
      <c r="T975">
        <f>stand_validation_1cycle[[#This Row],[percent_tree_cover]]*100</f>
        <v>8.2052514610714002</v>
      </c>
    </row>
    <row r="976" spans="1:20" x14ac:dyDescent="0.2">
      <c r="A976">
        <v>1</v>
      </c>
      <c r="B976" t="s">
        <v>994</v>
      </c>
      <c r="C976">
        <v>26.5924555555555</v>
      </c>
      <c r="D976">
        <v>856.02434618420705</v>
      </c>
      <c r="E976">
        <v>7.62499016005615</v>
      </c>
      <c r="F976">
        <v>26.963264134409901</v>
      </c>
      <c r="G976">
        <v>100</v>
      </c>
      <c r="H976">
        <v>570.705810546875</v>
      </c>
      <c r="I976">
        <v>7.5986549782360302E-2</v>
      </c>
      <c r="K976" s="1" t="str">
        <f>TEXT(stand_validation_1cycle[[#This Row],[stand_age]], ".0")</f>
        <v>26.6</v>
      </c>
      <c r="L976" s="1" t="str">
        <f t="shared" si="15"/>
        <v>"26.6"</v>
      </c>
      <c r="M976">
        <v>100</v>
      </c>
      <c r="N976">
        <f>0.029*stand_validation_1cycle[[#This Row],[stand_level_biomass]]</f>
        <v>24.824706039342004</v>
      </c>
      <c r="O976">
        <f>0.213*stand_validation_1cycle[[#This Row],[stand_level_biomass]]</f>
        <v>182.33318573723611</v>
      </c>
      <c r="P976">
        <f>0.571*stand_validation_1cycle[[#This Row],[stand_level_biomass]]</f>
        <v>488.78990167118218</v>
      </c>
      <c r="Q976">
        <f>stand_validation_1cycle[[#This Row],[stock]]</f>
        <v>100</v>
      </c>
      <c r="R976">
        <v>0</v>
      </c>
      <c r="S976">
        <f>stand_validation_1cycle[[#This Row],[aws]]</f>
        <v>570.705810546875</v>
      </c>
      <c r="T976">
        <f>stand_validation_1cycle[[#This Row],[percent_tree_cover]]*100</f>
        <v>7.5986549782360306</v>
      </c>
    </row>
    <row r="977" spans="1:20" x14ac:dyDescent="0.2">
      <c r="A977">
        <v>1</v>
      </c>
      <c r="B977" t="s">
        <v>995</v>
      </c>
      <c r="C977">
        <v>28.330111111111101</v>
      </c>
      <c r="D977">
        <v>966.57411988766899</v>
      </c>
      <c r="E977">
        <v>8.3861925622338198</v>
      </c>
      <c r="F977">
        <v>27.985284458174199</v>
      </c>
      <c r="G977">
        <v>100</v>
      </c>
      <c r="H977">
        <v>568.71081542968705</v>
      </c>
      <c r="I977">
        <v>8.35512246610947E-2</v>
      </c>
      <c r="K977" s="1" t="str">
        <f>TEXT(stand_validation_1cycle[[#This Row],[stand_age]], ".0")</f>
        <v>28.3</v>
      </c>
      <c r="L977" s="1" t="str">
        <f t="shared" si="15"/>
        <v>"28.3"</v>
      </c>
      <c r="M977">
        <v>100</v>
      </c>
      <c r="N977">
        <f>0.029*stand_validation_1cycle[[#This Row],[stand_level_biomass]]</f>
        <v>28.030649476742401</v>
      </c>
      <c r="O977">
        <f>0.213*stand_validation_1cycle[[#This Row],[stand_level_biomass]]</f>
        <v>205.8802875360735</v>
      </c>
      <c r="P977">
        <f>0.571*stand_validation_1cycle[[#This Row],[stand_level_biomass]]</f>
        <v>551.91382245585896</v>
      </c>
      <c r="Q977">
        <f>stand_validation_1cycle[[#This Row],[stock]]</f>
        <v>100</v>
      </c>
      <c r="R977">
        <v>0</v>
      </c>
      <c r="S977">
        <f>stand_validation_1cycle[[#This Row],[aws]]</f>
        <v>568.71081542968705</v>
      </c>
      <c r="T977">
        <f>stand_validation_1cycle[[#This Row],[percent_tree_cover]]*100</f>
        <v>8.3551224661094707</v>
      </c>
    </row>
    <row r="978" spans="1:20" x14ac:dyDescent="0.2">
      <c r="A978">
        <v>1</v>
      </c>
      <c r="B978" t="s">
        <v>996</v>
      </c>
      <c r="C978">
        <v>25.646554433221102</v>
      </c>
      <c r="D978">
        <v>628.50843256344501</v>
      </c>
      <c r="E978">
        <v>5.8722759836643297</v>
      </c>
      <c r="F978">
        <v>23.818578596323899</v>
      </c>
      <c r="G978">
        <v>99</v>
      </c>
      <c r="H978">
        <v>574.32952880859295</v>
      </c>
      <c r="I978">
        <v>5.8421270584960799E-2</v>
      </c>
      <c r="K978" s="1" t="str">
        <f>TEXT(stand_validation_1cycle[[#This Row],[stand_age]], ".0")</f>
        <v>25.6</v>
      </c>
      <c r="L978" s="1" t="str">
        <f t="shared" si="15"/>
        <v>"25.6"</v>
      </c>
      <c r="M978">
        <v>100</v>
      </c>
      <c r="N978">
        <f>0.029*stand_validation_1cycle[[#This Row],[stand_level_biomass]]</f>
        <v>18.226744544339905</v>
      </c>
      <c r="O978">
        <f>0.213*stand_validation_1cycle[[#This Row],[stand_level_biomass]]</f>
        <v>133.87229613601377</v>
      </c>
      <c r="P978">
        <f>0.571*stand_validation_1cycle[[#This Row],[stand_level_biomass]]</f>
        <v>358.87831499372709</v>
      </c>
      <c r="Q978">
        <f>stand_validation_1cycle[[#This Row],[stock]]</f>
        <v>99</v>
      </c>
      <c r="R978">
        <v>0</v>
      </c>
      <c r="S978">
        <f>stand_validation_1cycle[[#This Row],[aws]]</f>
        <v>574.32952880859295</v>
      </c>
      <c r="T978">
        <f>stand_validation_1cycle[[#This Row],[percent_tree_cover]]*100</f>
        <v>5.8421270584960796</v>
      </c>
    </row>
    <row r="979" spans="1:20" x14ac:dyDescent="0.2">
      <c r="A979">
        <v>1</v>
      </c>
      <c r="B979" t="s">
        <v>997</v>
      </c>
      <c r="C979">
        <v>26.639893162393101</v>
      </c>
      <c r="D979">
        <v>954.47229142132801</v>
      </c>
      <c r="E979">
        <v>4.2372497950667798</v>
      </c>
      <c r="F979">
        <v>26.668872528516399</v>
      </c>
      <c r="G979">
        <v>52</v>
      </c>
      <c r="H979">
        <v>566.78308105468705</v>
      </c>
      <c r="I979">
        <v>8.7507186950935803E-2</v>
      </c>
      <c r="K979" s="1" t="str">
        <f>TEXT(stand_validation_1cycle[[#This Row],[stand_age]], ".0")</f>
        <v>26.6</v>
      </c>
      <c r="L979" s="1" t="str">
        <f t="shared" si="15"/>
        <v>"26.6"</v>
      </c>
      <c r="M979">
        <v>100</v>
      </c>
      <c r="N979">
        <f>0.029*stand_validation_1cycle[[#This Row],[stand_level_biomass]]</f>
        <v>27.679696451218515</v>
      </c>
      <c r="O979">
        <f>0.213*stand_validation_1cycle[[#This Row],[stand_level_biomass]]</f>
        <v>203.30259807274285</v>
      </c>
      <c r="P979">
        <f>0.571*stand_validation_1cycle[[#This Row],[stand_level_biomass]]</f>
        <v>545.00367840157821</v>
      </c>
      <c r="Q979">
        <f>stand_validation_1cycle[[#This Row],[stock]]</f>
        <v>52</v>
      </c>
      <c r="R979">
        <v>0</v>
      </c>
      <c r="S979">
        <f>stand_validation_1cycle[[#This Row],[aws]]</f>
        <v>566.78308105468705</v>
      </c>
      <c r="T979">
        <f>stand_validation_1cycle[[#This Row],[percent_tree_cover]]*100</f>
        <v>8.75071869509358</v>
      </c>
    </row>
    <row r="980" spans="1:20" x14ac:dyDescent="0.2">
      <c r="A980">
        <v>1</v>
      </c>
      <c r="B980" t="s">
        <v>998</v>
      </c>
      <c r="C980">
        <v>25.934907407407401</v>
      </c>
      <c r="D980">
        <v>629.85710325812704</v>
      </c>
      <c r="E980">
        <v>4.3918640629113703</v>
      </c>
      <c r="F980">
        <v>24.996994128114999</v>
      </c>
      <c r="G980">
        <v>72</v>
      </c>
      <c r="H980">
        <v>568.27777099609295</v>
      </c>
      <c r="I980">
        <v>6.07113993291395E-2</v>
      </c>
      <c r="K980" s="1" t="str">
        <f>TEXT(stand_validation_1cycle[[#This Row],[stand_age]], ".0")</f>
        <v>25.9</v>
      </c>
      <c r="L980" s="1" t="str">
        <f t="shared" si="15"/>
        <v>"25.9"</v>
      </c>
      <c r="M980">
        <v>100</v>
      </c>
      <c r="N980">
        <f>0.029*stand_validation_1cycle[[#This Row],[stand_level_biomass]]</f>
        <v>18.265855994485687</v>
      </c>
      <c r="O980">
        <f>0.213*stand_validation_1cycle[[#This Row],[stand_level_biomass]]</f>
        <v>134.15956299398107</v>
      </c>
      <c r="P980">
        <f>0.571*stand_validation_1cycle[[#This Row],[stand_level_biomass]]</f>
        <v>359.64840596039051</v>
      </c>
      <c r="Q980">
        <f>stand_validation_1cycle[[#This Row],[stock]]</f>
        <v>72</v>
      </c>
      <c r="R980">
        <v>0</v>
      </c>
      <c r="S980">
        <f>stand_validation_1cycle[[#This Row],[aws]]</f>
        <v>568.27777099609295</v>
      </c>
      <c r="T980">
        <f>stand_validation_1cycle[[#This Row],[percent_tree_cover]]*100</f>
        <v>6.0711399329139502</v>
      </c>
    </row>
    <row r="981" spans="1:20" x14ac:dyDescent="0.2">
      <c r="A981">
        <v>1</v>
      </c>
      <c r="B981" t="s">
        <v>999</v>
      </c>
      <c r="C981">
        <v>24.801895424836498</v>
      </c>
      <c r="D981">
        <v>550.46427054353796</v>
      </c>
      <c r="E981">
        <v>2.7544227749613799</v>
      </c>
      <c r="F981">
        <v>23.413896246498599</v>
      </c>
      <c r="G981">
        <v>51</v>
      </c>
      <c r="H981">
        <v>569.85168457031205</v>
      </c>
      <c r="I981">
        <v>5.4627436224065601E-2</v>
      </c>
      <c r="K981" s="1" t="str">
        <f>TEXT(stand_validation_1cycle[[#This Row],[stand_age]], ".0")</f>
        <v>24.8</v>
      </c>
      <c r="L981" s="1" t="str">
        <f t="shared" si="15"/>
        <v>"24.8"</v>
      </c>
      <c r="M981">
        <v>100</v>
      </c>
      <c r="N981">
        <f>0.029*stand_validation_1cycle[[#This Row],[stand_level_biomass]]</f>
        <v>15.963463845762602</v>
      </c>
      <c r="O981">
        <f>0.213*stand_validation_1cycle[[#This Row],[stand_level_biomass]]</f>
        <v>117.24888962577359</v>
      </c>
      <c r="P981">
        <f>0.571*stand_validation_1cycle[[#This Row],[stand_level_biomass]]</f>
        <v>314.31509848036018</v>
      </c>
      <c r="Q981">
        <f>stand_validation_1cycle[[#This Row],[stock]]</f>
        <v>51</v>
      </c>
      <c r="R981">
        <v>0</v>
      </c>
      <c r="S981">
        <f>stand_validation_1cycle[[#This Row],[aws]]</f>
        <v>569.85168457031205</v>
      </c>
      <c r="T981">
        <f>stand_validation_1cycle[[#This Row],[percent_tree_cover]]*100</f>
        <v>5.4627436224065598</v>
      </c>
    </row>
    <row r="982" spans="1:20" x14ac:dyDescent="0.2">
      <c r="A982">
        <v>1</v>
      </c>
      <c r="B982" t="s">
        <v>1000</v>
      </c>
      <c r="C982">
        <v>28.7662962962963</v>
      </c>
      <c r="D982">
        <v>1020.52379333496</v>
      </c>
      <c r="E982">
        <v>1.8640530054332101</v>
      </c>
      <c r="F982">
        <v>29.916362448979498</v>
      </c>
      <c r="G982">
        <v>21</v>
      </c>
      <c r="H982">
        <v>566.918701171875</v>
      </c>
      <c r="I982">
        <v>8.8117175150746699E-2</v>
      </c>
      <c r="K982" s="1" t="str">
        <f>TEXT(stand_validation_1cycle[[#This Row],[stand_age]], ".0")</f>
        <v>28.8</v>
      </c>
      <c r="L982" s="1" t="str">
        <f t="shared" si="15"/>
        <v>"28.8"</v>
      </c>
      <c r="M982">
        <v>100</v>
      </c>
      <c r="N982">
        <f>0.029*stand_validation_1cycle[[#This Row],[stand_level_biomass]]</f>
        <v>29.595190006713842</v>
      </c>
      <c r="O982">
        <f>0.213*stand_validation_1cycle[[#This Row],[stand_level_biomass]]</f>
        <v>217.37156798034647</v>
      </c>
      <c r="P982">
        <f>0.571*stand_validation_1cycle[[#This Row],[stand_level_biomass]]</f>
        <v>582.71908599426217</v>
      </c>
      <c r="Q982">
        <f>stand_validation_1cycle[[#This Row],[stock]]</f>
        <v>21</v>
      </c>
      <c r="R982">
        <v>0</v>
      </c>
      <c r="S982">
        <f>stand_validation_1cycle[[#This Row],[aws]]</f>
        <v>566.918701171875</v>
      </c>
      <c r="T982">
        <f>stand_validation_1cycle[[#This Row],[percent_tree_cover]]*100</f>
        <v>8.8117175150746707</v>
      </c>
    </row>
    <row r="983" spans="1:20" x14ac:dyDescent="0.2">
      <c r="A983">
        <v>1</v>
      </c>
      <c r="B983" t="s">
        <v>1001</v>
      </c>
      <c r="C983">
        <v>24.395972222222198</v>
      </c>
      <c r="D983">
        <v>721.83687362989497</v>
      </c>
      <c r="E983">
        <v>0.54269128135171496</v>
      </c>
      <c r="F983">
        <v>26.476497142857099</v>
      </c>
      <c r="G983">
        <v>8</v>
      </c>
      <c r="H983">
        <v>566.918701171875</v>
      </c>
      <c r="I983">
        <v>6.4948229592637102E-2</v>
      </c>
      <c r="K983" s="1" t="str">
        <f>TEXT(stand_validation_1cycle[[#This Row],[stand_age]], ".0")</f>
        <v>24.4</v>
      </c>
      <c r="L983" s="1" t="str">
        <f t="shared" si="15"/>
        <v>"24.4"</v>
      </c>
      <c r="M983">
        <v>100</v>
      </c>
      <c r="N983">
        <f>0.029*stand_validation_1cycle[[#This Row],[stand_level_biomass]]</f>
        <v>20.933269335266957</v>
      </c>
      <c r="O983">
        <f>0.213*stand_validation_1cycle[[#This Row],[stand_level_biomass]]</f>
        <v>153.75125408316762</v>
      </c>
      <c r="P983">
        <f>0.571*stand_validation_1cycle[[#This Row],[stand_level_biomass]]</f>
        <v>412.16885484266999</v>
      </c>
      <c r="Q983">
        <f>stand_validation_1cycle[[#This Row],[stock]]</f>
        <v>8</v>
      </c>
      <c r="R983">
        <v>0</v>
      </c>
      <c r="S983">
        <f>stand_validation_1cycle[[#This Row],[aws]]</f>
        <v>566.918701171875</v>
      </c>
      <c r="T983">
        <f>stand_validation_1cycle[[#This Row],[percent_tree_cover]]*100</f>
        <v>6.4948229592637103</v>
      </c>
    </row>
    <row r="984" spans="1:20" x14ac:dyDescent="0.2">
      <c r="A984">
        <v>1</v>
      </c>
      <c r="B984" t="s">
        <v>1002</v>
      </c>
      <c r="C984">
        <v>29.1933333333333</v>
      </c>
      <c r="D984">
        <v>843.419981631214</v>
      </c>
      <c r="E984">
        <v>1.5007859345096399</v>
      </c>
      <c r="F984">
        <v>26.487377999321399</v>
      </c>
      <c r="G984">
        <v>20</v>
      </c>
      <c r="H984">
        <v>568.08978271484295</v>
      </c>
      <c r="I984">
        <v>7.0769430451550194E-2</v>
      </c>
      <c r="K984" s="1" t="str">
        <f>TEXT(stand_validation_1cycle[[#This Row],[stand_age]], ".0")</f>
        <v>29.2</v>
      </c>
      <c r="L984" s="1" t="str">
        <f t="shared" si="15"/>
        <v>"29.2"</v>
      </c>
      <c r="M984">
        <v>100</v>
      </c>
      <c r="N984">
        <f>0.029*stand_validation_1cycle[[#This Row],[stand_level_biomass]]</f>
        <v>24.459179467305209</v>
      </c>
      <c r="O984">
        <f>0.213*stand_validation_1cycle[[#This Row],[stand_level_biomass]]</f>
        <v>179.64845608744858</v>
      </c>
      <c r="P984">
        <f>0.571*stand_validation_1cycle[[#This Row],[stand_level_biomass]]</f>
        <v>481.59280951142313</v>
      </c>
      <c r="Q984">
        <f>stand_validation_1cycle[[#This Row],[stock]]</f>
        <v>20</v>
      </c>
      <c r="R984">
        <v>0</v>
      </c>
      <c r="S984">
        <f>stand_validation_1cycle[[#This Row],[aws]]</f>
        <v>568.08978271484295</v>
      </c>
      <c r="T984">
        <f>stand_validation_1cycle[[#This Row],[percent_tree_cover]]*100</f>
        <v>7.0769430451550193</v>
      </c>
    </row>
    <row r="985" spans="1:20" x14ac:dyDescent="0.2">
      <c r="A985">
        <v>1</v>
      </c>
      <c r="B985" t="s">
        <v>1003</v>
      </c>
      <c r="C985">
        <v>26.705458937197999</v>
      </c>
      <c r="D985">
        <v>808.22558768066597</v>
      </c>
      <c r="E985">
        <v>1.6512470168661799</v>
      </c>
      <c r="F985">
        <v>25.5702924628043</v>
      </c>
      <c r="G985">
        <v>23</v>
      </c>
      <c r="H985">
        <v>569.01220703125</v>
      </c>
      <c r="I985">
        <v>7.5936117151565494E-2</v>
      </c>
      <c r="K985" s="1" t="str">
        <f>TEXT(stand_validation_1cycle[[#This Row],[stand_age]], ".0")</f>
        <v>26.7</v>
      </c>
      <c r="L985" s="1" t="str">
        <f t="shared" si="15"/>
        <v>"26.7"</v>
      </c>
      <c r="M985">
        <v>100</v>
      </c>
      <c r="N985">
        <f>0.029*stand_validation_1cycle[[#This Row],[stand_level_biomass]]</f>
        <v>23.438542042739314</v>
      </c>
      <c r="O985">
        <f>0.213*stand_validation_1cycle[[#This Row],[stand_level_biomass]]</f>
        <v>172.15205017598186</v>
      </c>
      <c r="P985">
        <f>0.571*stand_validation_1cycle[[#This Row],[stand_level_biomass]]</f>
        <v>461.49681056566021</v>
      </c>
      <c r="Q985">
        <f>stand_validation_1cycle[[#This Row],[stock]]</f>
        <v>23</v>
      </c>
      <c r="R985">
        <v>0</v>
      </c>
      <c r="S985">
        <f>stand_validation_1cycle[[#This Row],[aws]]</f>
        <v>569.01220703125</v>
      </c>
      <c r="T985">
        <f>stand_validation_1cycle[[#This Row],[percent_tree_cover]]*100</f>
        <v>7.5936117151565492</v>
      </c>
    </row>
    <row r="986" spans="1:20" x14ac:dyDescent="0.2">
      <c r="A986">
        <v>1</v>
      </c>
      <c r="B986" t="s">
        <v>1004</v>
      </c>
      <c r="C986">
        <v>30.281919191919101</v>
      </c>
      <c r="D986">
        <v>1009.68410776309</v>
      </c>
      <c r="E986">
        <v>1.916396651431</v>
      </c>
      <c r="F986">
        <v>28.5422427263474</v>
      </c>
      <c r="G986">
        <v>22</v>
      </c>
      <c r="H986">
        <v>569.01220703125</v>
      </c>
      <c r="I986">
        <v>8.8082504776430398E-2</v>
      </c>
      <c r="K986" s="1" t="str">
        <f>TEXT(stand_validation_1cycle[[#This Row],[stand_age]], ".0")</f>
        <v>30.3</v>
      </c>
      <c r="L986" s="1" t="str">
        <f t="shared" si="15"/>
        <v>"30.3"</v>
      </c>
      <c r="M986">
        <v>100</v>
      </c>
      <c r="N986">
        <f>0.029*stand_validation_1cycle[[#This Row],[stand_level_biomass]]</f>
        <v>29.28083912512961</v>
      </c>
      <c r="O986">
        <f>0.213*stand_validation_1cycle[[#This Row],[stand_level_biomass]]</f>
        <v>215.06271495353815</v>
      </c>
      <c r="P986">
        <f>0.571*stand_validation_1cycle[[#This Row],[stand_level_biomass]]</f>
        <v>576.52962553272437</v>
      </c>
      <c r="Q986">
        <f>stand_validation_1cycle[[#This Row],[stock]]</f>
        <v>22</v>
      </c>
      <c r="R986">
        <v>0</v>
      </c>
      <c r="S986">
        <f>stand_validation_1cycle[[#This Row],[aws]]</f>
        <v>569.01220703125</v>
      </c>
      <c r="T986">
        <f>stand_validation_1cycle[[#This Row],[percent_tree_cover]]*100</f>
        <v>8.808250477643039</v>
      </c>
    </row>
    <row r="987" spans="1:20" x14ac:dyDescent="0.2">
      <c r="A987">
        <v>1</v>
      </c>
      <c r="B987" t="s">
        <v>1005</v>
      </c>
      <c r="C987">
        <v>26.720467836257299</v>
      </c>
      <c r="D987">
        <v>888.165833637128</v>
      </c>
      <c r="E987">
        <v>7.4044362186072101</v>
      </c>
      <c r="F987">
        <v>26.835100700663901</v>
      </c>
      <c r="G987">
        <v>95</v>
      </c>
      <c r="H987">
        <v>663.27276611328102</v>
      </c>
      <c r="I987">
        <v>7.7662764232788395E-2</v>
      </c>
      <c r="K987" s="1" t="str">
        <f>TEXT(stand_validation_1cycle[[#This Row],[stand_age]], ".0")</f>
        <v>26.7</v>
      </c>
      <c r="L987" s="1" t="str">
        <f t="shared" si="15"/>
        <v>"26.7"</v>
      </c>
      <c r="M987">
        <v>100</v>
      </c>
      <c r="N987">
        <f>0.029*stand_validation_1cycle[[#This Row],[stand_level_biomass]]</f>
        <v>25.756809175476715</v>
      </c>
      <c r="O987">
        <f>0.213*stand_validation_1cycle[[#This Row],[stand_level_biomass]]</f>
        <v>189.17932256470826</v>
      </c>
      <c r="P987">
        <f>0.571*stand_validation_1cycle[[#This Row],[stand_level_biomass]]</f>
        <v>507.14269100680002</v>
      </c>
      <c r="Q987">
        <f>stand_validation_1cycle[[#This Row],[stock]]</f>
        <v>95</v>
      </c>
      <c r="R987">
        <v>0</v>
      </c>
      <c r="S987">
        <f>stand_validation_1cycle[[#This Row],[aws]]</f>
        <v>663.27276611328102</v>
      </c>
      <c r="T987">
        <f>stand_validation_1cycle[[#This Row],[percent_tree_cover]]*100</f>
        <v>7.766276423278839</v>
      </c>
    </row>
    <row r="988" spans="1:20" x14ac:dyDescent="0.2">
      <c r="A988">
        <v>1</v>
      </c>
      <c r="B988" t="s">
        <v>1006</v>
      </c>
      <c r="C988">
        <v>26.6157111111111</v>
      </c>
      <c r="D988">
        <v>688.93569407581401</v>
      </c>
      <c r="E988">
        <v>6.47191727124215</v>
      </c>
      <c r="F988">
        <v>25.5231935990228</v>
      </c>
      <c r="G988">
        <v>100</v>
      </c>
      <c r="H988">
        <v>568.36535644531205</v>
      </c>
      <c r="I988">
        <v>6.4488653862825096E-2</v>
      </c>
      <c r="K988" s="1" t="str">
        <f>TEXT(stand_validation_1cycle[[#This Row],[stand_age]], ".0")</f>
        <v>26.6</v>
      </c>
      <c r="L988" s="1" t="str">
        <f t="shared" si="15"/>
        <v>"26.6"</v>
      </c>
      <c r="M988">
        <v>100</v>
      </c>
      <c r="N988">
        <f>0.029*stand_validation_1cycle[[#This Row],[stand_level_biomass]]</f>
        <v>19.979135128198607</v>
      </c>
      <c r="O988">
        <f>0.213*stand_validation_1cycle[[#This Row],[stand_level_biomass]]</f>
        <v>146.7433028381484</v>
      </c>
      <c r="P988">
        <f>0.571*stand_validation_1cycle[[#This Row],[stand_level_biomass]]</f>
        <v>393.38228131728977</v>
      </c>
      <c r="Q988">
        <f>stand_validation_1cycle[[#This Row],[stock]]</f>
        <v>100</v>
      </c>
      <c r="R988">
        <v>0</v>
      </c>
      <c r="S988">
        <f>stand_validation_1cycle[[#This Row],[aws]]</f>
        <v>568.36535644531205</v>
      </c>
      <c r="T988">
        <f>stand_validation_1cycle[[#This Row],[percent_tree_cover]]*100</f>
        <v>6.4488653862825096</v>
      </c>
    </row>
    <row r="989" spans="1:20" x14ac:dyDescent="0.2">
      <c r="A989">
        <v>1</v>
      </c>
      <c r="B989" t="s">
        <v>1007</v>
      </c>
      <c r="C989">
        <v>25.812444444444399</v>
      </c>
      <c r="D989">
        <v>671.25402821464502</v>
      </c>
      <c r="E989">
        <v>6.3041632921239303</v>
      </c>
      <c r="F989">
        <v>25.0202255439157</v>
      </c>
      <c r="G989">
        <v>100</v>
      </c>
      <c r="H989">
        <v>523.76416015625</v>
      </c>
      <c r="I989">
        <v>6.2833156234954293E-2</v>
      </c>
      <c r="K989" s="1" t="str">
        <f>TEXT(stand_validation_1cycle[[#This Row],[stand_age]], ".0")</f>
        <v>25.8</v>
      </c>
      <c r="L989" s="1" t="str">
        <f t="shared" si="15"/>
        <v>"25.8"</v>
      </c>
      <c r="M989">
        <v>100</v>
      </c>
      <c r="N989">
        <f>0.029*stand_validation_1cycle[[#This Row],[stand_level_biomass]]</f>
        <v>19.466366818224706</v>
      </c>
      <c r="O989">
        <f>0.213*stand_validation_1cycle[[#This Row],[stand_level_biomass]]</f>
        <v>142.97710800971939</v>
      </c>
      <c r="P989">
        <f>0.571*stand_validation_1cycle[[#This Row],[stand_level_biomass]]</f>
        <v>383.28605011056226</v>
      </c>
      <c r="Q989">
        <f>stand_validation_1cycle[[#This Row],[stock]]</f>
        <v>100</v>
      </c>
      <c r="R989">
        <v>0</v>
      </c>
      <c r="S989">
        <f>stand_validation_1cycle[[#This Row],[aws]]</f>
        <v>523.76416015625</v>
      </c>
      <c r="T989">
        <f>stand_validation_1cycle[[#This Row],[percent_tree_cover]]*100</f>
        <v>6.2833156234954295</v>
      </c>
    </row>
    <row r="990" spans="1:20" x14ac:dyDescent="0.2">
      <c r="A990">
        <v>1</v>
      </c>
      <c r="B990" t="s">
        <v>1008</v>
      </c>
      <c r="C990">
        <v>28.698288888888801</v>
      </c>
      <c r="D990">
        <v>1086.2222507337799</v>
      </c>
      <c r="E990">
        <v>9.2230798584272797</v>
      </c>
      <c r="F990">
        <v>29.2041346964821</v>
      </c>
      <c r="G990">
        <v>100</v>
      </c>
      <c r="H990">
        <v>523.76416015625</v>
      </c>
      <c r="I990">
        <v>9.1888005430883601E-2</v>
      </c>
      <c r="K990" s="1" t="str">
        <f>TEXT(stand_validation_1cycle[[#This Row],[stand_age]], ".0")</f>
        <v>28.7</v>
      </c>
      <c r="L990" s="1" t="str">
        <f t="shared" si="15"/>
        <v>"28.7"</v>
      </c>
      <c r="M990">
        <v>100</v>
      </c>
      <c r="N990">
        <f>0.029*stand_validation_1cycle[[#This Row],[stand_level_biomass]]</f>
        <v>31.50044527127962</v>
      </c>
      <c r="O990">
        <f>0.213*stand_validation_1cycle[[#This Row],[stand_level_biomass]]</f>
        <v>231.36533940629511</v>
      </c>
      <c r="P990">
        <f>0.571*stand_validation_1cycle[[#This Row],[stand_level_biomass]]</f>
        <v>620.23290516898828</v>
      </c>
      <c r="Q990">
        <f>stand_validation_1cycle[[#This Row],[stock]]</f>
        <v>100</v>
      </c>
      <c r="R990">
        <v>0</v>
      </c>
      <c r="S990">
        <f>stand_validation_1cycle[[#This Row],[aws]]</f>
        <v>523.76416015625</v>
      </c>
      <c r="T990">
        <f>stand_validation_1cycle[[#This Row],[percent_tree_cover]]*100</f>
        <v>9.1888005430883606</v>
      </c>
    </row>
    <row r="991" spans="1:20" x14ac:dyDescent="0.2">
      <c r="A991">
        <v>1</v>
      </c>
      <c r="B991" t="s">
        <v>1009</v>
      </c>
      <c r="C991">
        <v>29.8552040816326</v>
      </c>
      <c r="D991">
        <v>973.06143200120903</v>
      </c>
      <c r="E991">
        <v>8.4363245270034799</v>
      </c>
      <c r="F991">
        <v>28.893119019456901</v>
      </c>
      <c r="G991">
        <v>98</v>
      </c>
      <c r="H991">
        <v>526.27142333984295</v>
      </c>
      <c r="I991">
        <v>8.3406704406019105E-2</v>
      </c>
      <c r="K991" s="1" t="str">
        <f>TEXT(stand_validation_1cycle[[#This Row],[stand_age]], ".0")</f>
        <v>29.9</v>
      </c>
      <c r="L991" s="1" t="str">
        <f t="shared" si="15"/>
        <v>"29.9"</v>
      </c>
      <c r="M991">
        <v>100</v>
      </c>
      <c r="N991">
        <f>0.029*stand_validation_1cycle[[#This Row],[stand_level_biomass]]</f>
        <v>28.218781528035063</v>
      </c>
      <c r="O991">
        <f>0.213*stand_validation_1cycle[[#This Row],[stand_level_biomass]]</f>
        <v>207.26208501625752</v>
      </c>
      <c r="P991">
        <f>0.571*stand_validation_1cycle[[#This Row],[stand_level_biomass]]</f>
        <v>555.61807767269033</v>
      </c>
      <c r="Q991">
        <f>stand_validation_1cycle[[#This Row],[stock]]</f>
        <v>98</v>
      </c>
      <c r="R991">
        <v>0</v>
      </c>
      <c r="S991">
        <f>stand_validation_1cycle[[#This Row],[aws]]</f>
        <v>526.27142333984295</v>
      </c>
      <c r="T991">
        <f>stand_validation_1cycle[[#This Row],[percent_tree_cover]]*100</f>
        <v>8.3406704406019099</v>
      </c>
    </row>
    <row r="992" spans="1:20" x14ac:dyDescent="0.2">
      <c r="A992">
        <v>1</v>
      </c>
      <c r="B992" t="s">
        <v>1010</v>
      </c>
      <c r="C992">
        <v>26.979599999999898</v>
      </c>
      <c r="D992">
        <v>789.42305883108895</v>
      </c>
      <c r="E992">
        <v>7.1127393407213999</v>
      </c>
      <c r="F992">
        <v>25.890603267585</v>
      </c>
      <c r="G992">
        <v>100</v>
      </c>
      <c r="H992">
        <v>586</v>
      </c>
      <c r="I992">
        <v>7.0868947435158494E-2</v>
      </c>
      <c r="K992" s="1" t="str">
        <f>TEXT(stand_validation_1cycle[[#This Row],[stand_age]], ".0")</f>
        <v>27.0</v>
      </c>
      <c r="L992" s="1" t="str">
        <f t="shared" si="15"/>
        <v>"27.0"</v>
      </c>
      <c r="M992">
        <v>100</v>
      </c>
      <c r="N992">
        <f>0.029*stand_validation_1cycle[[#This Row],[stand_level_biomass]]</f>
        <v>22.89326870610158</v>
      </c>
      <c r="O992">
        <f>0.213*stand_validation_1cycle[[#This Row],[stand_level_biomass]]</f>
        <v>168.14711153102195</v>
      </c>
      <c r="P992">
        <f>0.571*stand_validation_1cycle[[#This Row],[stand_level_biomass]]</f>
        <v>450.76056659255175</v>
      </c>
      <c r="Q992">
        <f>stand_validation_1cycle[[#This Row],[stock]]</f>
        <v>100</v>
      </c>
      <c r="R992">
        <v>0</v>
      </c>
      <c r="S992">
        <f>stand_validation_1cycle[[#This Row],[aws]]</f>
        <v>586</v>
      </c>
      <c r="T992">
        <f>stand_validation_1cycle[[#This Row],[percent_tree_cover]]*100</f>
        <v>7.0868947435158498</v>
      </c>
    </row>
    <row r="993" spans="1:20" x14ac:dyDescent="0.2">
      <c r="A993">
        <v>1</v>
      </c>
      <c r="B993" t="s">
        <v>1011</v>
      </c>
      <c r="C993">
        <v>29.436790123456799</v>
      </c>
      <c r="D993">
        <v>1128.2954486967701</v>
      </c>
      <c r="E993">
        <v>9.3926591028772393</v>
      </c>
      <c r="F993">
        <v>29.303445070763999</v>
      </c>
      <c r="G993">
        <v>99</v>
      </c>
      <c r="H993">
        <v>595.43988037109295</v>
      </c>
      <c r="I993">
        <v>9.3559174403792397E-2</v>
      </c>
      <c r="K993" s="1" t="str">
        <f>TEXT(stand_validation_1cycle[[#This Row],[stand_age]], ".0")</f>
        <v>29.4</v>
      </c>
      <c r="L993" s="1" t="str">
        <f t="shared" si="15"/>
        <v>"29.4"</v>
      </c>
      <c r="M993">
        <v>100</v>
      </c>
      <c r="N993">
        <f>0.029*stand_validation_1cycle[[#This Row],[stand_level_biomass]]</f>
        <v>32.720568012206336</v>
      </c>
      <c r="O993">
        <f>0.213*stand_validation_1cycle[[#This Row],[stand_level_biomass]]</f>
        <v>240.32693057241204</v>
      </c>
      <c r="P993">
        <f>0.571*stand_validation_1cycle[[#This Row],[stand_level_biomass]]</f>
        <v>644.25670120585573</v>
      </c>
      <c r="Q993">
        <f>stand_validation_1cycle[[#This Row],[stock]]</f>
        <v>99</v>
      </c>
      <c r="R993">
        <v>0</v>
      </c>
      <c r="S993">
        <f>stand_validation_1cycle[[#This Row],[aws]]</f>
        <v>595.43988037109295</v>
      </c>
      <c r="T993">
        <f>stand_validation_1cycle[[#This Row],[percent_tree_cover]]*100</f>
        <v>9.3559174403792404</v>
      </c>
    </row>
    <row r="994" spans="1:20" x14ac:dyDescent="0.2">
      <c r="A994">
        <v>1</v>
      </c>
      <c r="B994" t="s">
        <v>1012</v>
      </c>
      <c r="C994">
        <v>24.8381222222222</v>
      </c>
      <c r="D994">
        <v>661.91106923298901</v>
      </c>
      <c r="E994">
        <v>6.1587154062443599</v>
      </c>
      <c r="F994">
        <v>24.218580886786398</v>
      </c>
      <c r="G994">
        <v>100</v>
      </c>
      <c r="H994">
        <v>524.92572021484295</v>
      </c>
      <c r="I994">
        <v>6.1390001922771199E-2</v>
      </c>
      <c r="K994" s="1" t="str">
        <f>TEXT(stand_validation_1cycle[[#This Row],[stand_age]], ".0")</f>
        <v>24.8</v>
      </c>
      <c r="L994" s="1" t="str">
        <f t="shared" si="15"/>
        <v>"24.8"</v>
      </c>
      <c r="M994">
        <v>100</v>
      </c>
      <c r="N994">
        <f>0.029*stand_validation_1cycle[[#This Row],[stand_level_biomass]]</f>
        <v>19.195421007756682</v>
      </c>
      <c r="O994">
        <f>0.213*stand_validation_1cycle[[#This Row],[stand_level_biomass]]</f>
        <v>140.98705774662665</v>
      </c>
      <c r="P994">
        <f>0.571*stand_validation_1cycle[[#This Row],[stand_level_biomass]]</f>
        <v>377.9512205320367</v>
      </c>
      <c r="Q994">
        <f>stand_validation_1cycle[[#This Row],[stock]]</f>
        <v>100</v>
      </c>
      <c r="R994">
        <v>0</v>
      </c>
      <c r="S994">
        <f>stand_validation_1cycle[[#This Row],[aws]]</f>
        <v>524.92572021484295</v>
      </c>
      <c r="T994">
        <f>stand_validation_1cycle[[#This Row],[percent_tree_cover]]*100</f>
        <v>6.1390001922771198</v>
      </c>
    </row>
    <row r="995" spans="1:20" x14ac:dyDescent="0.2">
      <c r="A995">
        <v>1</v>
      </c>
      <c r="B995" t="s">
        <v>1013</v>
      </c>
      <c r="C995">
        <v>26.766744444444399</v>
      </c>
      <c r="D995">
        <v>913.69145656174896</v>
      </c>
      <c r="E995">
        <v>8.1413666759432406</v>
      </c>
      <c r="F995">
        <v>28.266536125189202</v>
      </c>
      <c r="G995">
        <v>100</v>
      </c>
      <c r="H995">
        <v>523.76416015625</v>
      </c>
      <c r="I995">
        <v>8.1147423926863402E-2</v>
      </c>
      <c r="K995" s="1" t="str">
        <f>TEXT(stand_validation_1cycle[[#This Row],[stand_age]], ".0")</f>
        <v>26.8</v>
      </c>
      <c r="L995" s="1" t="str">
        <f t="shared" si="15"/>
        <v>"26.8"</v>
      </c>
      <c r="M995">
        <v>100</v>
      </c>
      <c r="N995">
        <f>0.029*stand_validation_1cycle[[#This Row],[stand_level_biomass]]</f>
        <v>26.497052240290721</v>
      </c>
      <c r="O995">
        <f>0.213*stand_validation_1cycle[[#This Row],[stand_level_biomass]]</f>
        <v>194.61628024765253</v>
      </c>
      <c r="P995">
        <f>0.571*stand_validation_1cycle[[#This Row],[stand_level_biomass]]</f>
        <v>521.71782169675862</v>
      </c>
      <c r="Q995">
        <f>stand_validation_1cycle[[#This Row],[stock]]</f>
        <v>100</v>
      </c>
      <c r="R995">
        <v>0</v>
      </c>
      <c r="S995">
        <f>stand_validation_1cycle[[#This Row],[aws]]</f>
        <v>523.76416015625</v>
      </c>
      <c r="T995">
        <f>stand_validation_1cycle[[#This Row],[percent_tree_cover]]*100</f>
        <v>8.11474239268634</v>
      </c>
    </row>
    <row r="996" spans="1:20" x14ac:dyDescent="0.2">
      <c r="A996">
        <v>1</v>
      </c>
      <c r="B996" t="s">
        <v>1014</v>
      </c>
      <c r="C996">
        <v>28.471699999999998</v>
      </c>
      <c r="D996">
        <v>912.83126107398402</v>
      </c>
      <c r="E996">
        <v>8.1027470774526602</v>
      </c>
      <c r="F996">
        <v>28.096696277280699</v>
      </c>
      <c r="G996">
        <v>100</v>
      </c>
      <c r="H996">
        <v>523.76416015625</v>
      </c>
      <c r="I996">
        <v>8.07376850196206E-2</v>
      </c>
      <c r="K996" s="1" t="str">
        <f>TEXT(stand_validation_1cycle[[#This Row],[stand_age]], ".0")</f>
        <v>28.5</v>
      </c>
      <c r="L996" s="1" t="str">
        <f t="shared" si="15"/>
        <v>"28.5"</v>
      </c>
      <c r="M996">
        <v>100</v>
      </c>
      <c r="N996">
        <f>0.029*stand_validation_1cycle[[#This Row],[stand_level_biomass]]</f>
        <v>26.472106571145538</v>
      </c>
      <c r="O996">
        <f>0.213*stand_validation_1cycle[[#This Row],[stand_level_biomass]]</f>
        <v>194.43305860875859</v>
      </c>
      <c r="P996">
        <f>0.571*stand_validation_1cycle[[#This Row],[stand_level_biomass]]</f>
        <v>521.22665007324485</v>
      </c>
      <c r="Q996">
        <f>stand_validation_1cycle[[#This Row],[stock]]</f>
        <v>100</v>
      </c>
      <c r="R996">
        <v>0</v>
      </c>
      <c r="S996">
        <f>stand_validation_1cycle[[#This Row],[aws]]</f>
        <v>523.76416015625</v>
      </c>
      <c r="T996">
        <f>stand_validation_1cycle[[#This Row],[percent_tree_cover]]*100</f>
        <v>8.0737685019620606</v>
      </c>
    </row>
    <row r="997" spans="1:20" x14ac:dyDescent="0.2">
      <c r="A997">
        <v>1</v>
      </c>
      <c r="B997" t="s">
        <v>1015</v>
      </c>
      <c r="C997">
        <v>27.718383838383801</v>
      </c>
      <c r="D997">
        <v>903.517140053199</v>
      </c>
      <c r="E997">
        <v>7.91415491426317</v>
      </c>
      <c r="F997">
        <v>27.639415903041101</v>
      </c>
      <c r="G997">
        <v>99</v>
      </c>
      <c r="H997">
        <v>569.23822021484295</v>
      </c>
      <c r="I997">
        <v>7.8752476005758104E-2</v>
      </c>
      <c r="K997" s="1" t="str">
        <f>TEXT(stand_validation_1cycle[[#This Row],[stand_age]], ".0")</f>
        <v>27.7</v>
      </c>
      <c r="L997" s="1" t="str">
        <f t="shared" si="15"/>
        <v>"27.7"</v>
      </c>
      <c r="M997">
        <v>100</v>
      </c>
      <c r="N997">
        <f>0.029*stand_validation_1cycle[[#This Row],[stand_level_biomass]]</f>
        <v>26.201997061542773</v>
      </c>
      <c r="O997">
        <f>0.213*stand_validation_1cycle[[#This Row],[stand_level_biomass]]</f>
        <v>192.44915083133139</v>
      </c>
      <c r="P997">
        <f>0.571*stand_validation_1cycle[[#This Row],[stand_level_biomass]]</f>
        <v>515.90828697037659</v>
      </c>
      <c r="Q997">
        <f>stand_validation_1cycle[[#This Row],[stock]]</f>
        <v>99</v>
      </c>
      <c r="R997">
        <v>0</v>
      </c>
      <c r="S997">
        <f>stand_validation_1cycle[[#This Row],[aws]]</f>
        <v>569.23822021484295</v>
      </c>
      <c r="T997">
        <f>stand_validation_1cycle[[#This Row],[percent_tree_cover]]*100</f>
        <v>7.8752476005758103</v>
      </c>
    </row>
    <row r="998" spans="1:20" x14ac:dyDescent="0.2">
      <c r="A998">
        <v>1</v>
      </c>
      <c r="B998" t="s">
        <v>1016</v>
      </c>
      <c r="C998">
        <v>26.980707070706998</v>
      </c>
      <c r="D998">
        <v>620.771607312279</v>
      </c>
      <c r="E998">
        <v>5.9571492507936998</v>
      </c>
      <c r="F998">
        <v>24.913660712735101</v>
      </c>
      <c r="G998">
        <v>99</v>
      </c>
      <c r="H998">
        <v>566.84893798828102</v>
      </c>
      <c r="I998">
        <v>5.9256762587974202E-2</v>
      </c>
      <c r="K998" s="1" t="str">
        <f>TEXT(stand_validation_1cycle[[#This Row],[stand_age]], ".0")</f>
        <v>27.0</v>
      </c>
      <c r="L998" s="1" t="str">
        <f t="shared" si="15"/>
        <v>"27.0"</v>
      </c>
      <c r="M998">
        <v>100</v>
      </c>
      <c r="N998">
        <f>0.029*stand_validation_1cycle[[#This Row],[stand_level_biomass]]</f>
        <v>18.002376612056093</v>
      </c>
      <c r="O998">
        <f>0.213*stand_validation_1cycle[[#This Row],[stand_level_biomass]]</f>
        <v>132.22435235751541</v>
      </c>
      <c r="P998">
        <f>0.571*stand_validation_1cycle[[#This Row],[stand_level_biomass]]</f>
        <v>354.4605877753113</v>
      </c>
      <c r="Q998">
        <f>stand_validation_1cycle[[#This Row],[stock]]</f>
        <v>99</v>
      </c>
      <c r="R998">
        <v>0</v>
      </c>
      <c r="S998">
        <f>stand_validation_1cycle[[#This Row],[aws]]</f>
        <v>566.84893798828102</v>
      </c>
      <c r="T998">
        <f>stand_validation_1cycle[[#This Row],[percent_tree_cover]]*100</f>
        <v>5.9256762587974201</v>
      </c>
    </row>
    <row r="999" spans="1:20" x14ac:dyDescent="0.2">
      <c r="A999">
        <v>1</v>
      </c>
      <c r="B999" t="s">
        <v>1017</v>
      </c>
      <c r="C999">
        <v>25.9867666666666</v>
      </c>
      <c r="D999">
        <v>620.86077504445404</v>
      </c>
      <c r="E999">
        <v>6.0172172877285099</v>
      </c>
      <c r="F999">
        <v>24.981542296292101</v>
      </c>
      <c r="G999">
        <v>100</v>
      </c>
      <c r="H999">
        <v>570.28277587890602</v>
      </c>
      <c r="I999">
        <v>5.9978951536871002E-2</v>
      </c>
      <c r="K999" s="1" t="str">
        <f>TEXT(stand_validation_1cycle[[#This Row],[stand_age]], ".0")</f>
        <v>26.0</v>
      </c>
      <c r="L999" s="1" t="str">
        <f t="shared" si="15"/>
        <v>"26.0"</v>
      </c>
      <c r="M999">
        <v>100</v>
      </c>
      <c r="N999">
        <f>0.029*stand_validation_1cycle[[#This Row],[stand_level_biomass]]</f>
        <v>18.004962476289169</v>
      </c>
      <c r="O999">
        <f>0.213*stand_validation_1cycle[[#This Row],[stand_level_biomass]]</f>
        <v>132.2433450844687</v>
      </c>
      <c r="P999">
        <f>0.571*stand_validation_1cycle[[#This Row],[stand_level_biomass]]</f>
        <v>354.51150255038323</v>
      </c>
      <c r="Q999">
        <f>stand_validation_1cycle[[#This Row],[stock]]</f>
        <v>100</v>
      </c>
      <c r="R999">
        <v>0</v>
      </c>
      <c r="S999">
        <f>stand_validation_1cycle[[#This Row],[aws]]</f>
        <v>570.28277587890602</v>
      </c>
      <c r="T999">
        <f>stand_validation_1cycle[[#This Row],[percent_tree_cover]]*100</f>
        <v>5.9978951536871001</v>
      </c>
    </row>
    <row r="1000" spans="1:20" x14ac:dyDescent="0.2">
      <c r="A1000">
        <v>1</v>
      </c>
      <c r="B1000" t="s">
        <v>1018</v>
      </c>
      <c r="C1000">
        <v>28.834826038159299</v>
      </c>
      <c r="D1000">
        <v>1028.32687018353</v>
      </c>
      <c r="E1000">
        <v>8.7414988373731894</v>
      </c>
      <c r="F1000">
        <v>28.302218307888101</v>
      </c>
      <c r="G1000">
        <v>99</v>
      </c>
      <c r="H1000">
        <v>568.1728515625</v>
      </c>
      <c r="I1000">
        <v>8.6884052359254393E-2</v>
      </c>
      <c r="K1000" s="1" t="str">
        <f>TEXT(stand_validation_1cycle[[#This Row],[stand_age]], ".0")</f>
        <v>28.8</v>
      </c>
      <c r="L1000" s="1" t="str">
        <f t="shared" si="15"/>
        <v>"28.8"</v>
      </c>
      <c r="M1000">
        <v>100</v>
      </c>
      <c r="N1000">
        <f>0.029*stand_validation_1cycle[[#This Row],[stand_level_biomass]]</f>
        <v>29.821479235322371</v>
      </c>
      <c r="O1000">
        <f>0.213*stand_validation_1cycle[[#This Row],[stand_level_biomass]]</f>
        <v>219.03362334909187</v>
      </c>
      <c r="P1000">
        <f>0.571*stand_validation_1cycle[[#This Row],[stand_level_biomass]]</f>
        <v>587.17464287479561</v>
      </c>
      <c r="Q1000">
        <f>stand_validation_1cycle[[#This Row],[stock]]</f>
        <v>99</v>
      </c>
      <c r="R1000">
        <v>0</v>
      </c>
      <c r="S1000">
        <f>stand_validation_1cycle[[#This Row],[aws]]</f>
        <v>568.1728515625</v>
      </c>
      <c r="T1000">
        <f>stand_validation_1cycle[[#This Row],[percent_tree_cover]]*100</f>
        <v>8.6884052359254387</v>
      </c>
    </row>
    <row r="1001" spans="1:20" x14ac:dyDescent="0.2">
      <c r="A1001">
        <v>1</v>
      </c>
      <c r="B1001" t="s">
        <v>1019</v>
      </c>
      <c r="C1001">
        <v>27.010077777777699</v>
      </c>
      <c r="D1001">
        <v>868.42510106845498</v>
      </c>
      <c r="E1001">
        <v>7.6456202136141203</v>
      </c>
      <c r="F1001">
        <v>26.294215610550701</v>
      </c>
      <c r="G1001">
        <v>100</v>
      </c>
      <c r="H1001">
        <v>585</v>
      </c>
      <c r="I1001">
        <v>7.6175160761746893E-2</v>
      </c>
      <c r="K1001" s="1" t="str">
        <f>TEXT(stand_validation_1cycle[[#This Row],[stand_age]], ".0")</f>
        <v>27.0</v>
      </c>
      <c r="L1001" s="1" t="str">
        <f t="shared" si="15"/>
        <v>"27.0"</v>
      </c>
      <c r="M1001">
        <v>100</v>
      </c>
      <c r="N1001">
        <f>0.029*stand_validation_1cycle[[#This Row],[stand_level_biomass]]</f>
        <v>25.184327930985194</v>
      </c>
      <c r="O1001">
        <f>0.213*stand_validation_1cycle[[#This Row],[stand_level_biomass]]</f>
        <v>184.97454652758091</v>
      </c>
      <c r="P1001">
        <f>0.571*stand_validation_1cycle[[#This Row],[stand_level_biomass]]</f>
        <v>495.87073271008774</v>
      </c>
      <c r="Q1001">
        <f>stand_validation_1cycle[[#This Row],[stock]]</f>
        <v>100</v>
      </c>
      <c r="R1001">
        <v>0</v>
      </c>
      <c r="S1001">
        <f>stand_validation_1cycle[[#This Row],[aws]]</f>
        <v>585</v>
      </c>
      <c r="T1001">
        <f>stand_validation_1cycle[[#This Row],[percent_tree_cover]]*100</f>
        <v>7.617516076174689</v>
      </c>
    </row>
    <row r="1002" spans="1:20" x14ac:dyDescent="0.2">
      <c r="A1002">
        <v>1</v>
      </c>
      <c r="B1002" t="s">
        <v>1020</v>
      </c>
      <c r="C1002">
        <v>27.0176655443322</v>
      </c>
      <c r="D1002">
        <v>821.69839847357605</v>
      </c>
      <c r="E1002">
        <v>7.3084095121594199</v>
      </c>
      <c r="F1002">
        <v>26.728897297883101</v>
      </c>
      <c r="G1002">
        <v>99</v>
      </c>
      <c r="H1002">
        <v>567.78125</v>
      </c>
      <c r="I1002">
        <v>7.2721263685005602E-2</v>
      </c>
      <c r="K1002" s="1" t="str">
        <f>TEXT(stand_validation_1cycle[[#This Row],[stand_age]], ".0")</f>
        <v>27.0</v>
      </c>
      <c r="L1002" s="1" t="str">
        <f t="shared" si="15"/>
        <v>"27.0"</v>
      </c>
      <c r="M1002">
        <v>100</v>
      </c>
      <c r="N1002">
        <f>0.029*stand_validation_1cycle[[#This Row],[stand_level_biomass]]</f>
        <v>23.829253555733708</v>
      </c>
      <c r="O1002">
        <f>0.213*stand_validation_1cycle[[#This Row],[stand_level_biomass]]</f>
        <v>175.02175887487169</v>
      </c>
      <c r="P1002">
        <f>0.571*stand_validation_1cycle[[#This Row],[stand_level_biomass]]</f>
        <v>469.1897855284119</v>
      </c>
      <c r="Q1002">
        <f>stand_validation_1cycle[[#This Row],[stock]]</f>
        <v>99</v>
      </c>
      <c r="R1002">
        <v>0</v>
      </c>
      <c r="S1002">
        <f>stand_validation_1cycle[[#This Row],[aws]]</f>
        <v>567.78125</v>
      </c>
      <c r="T1002">
        <f>stand_validation_1cycle[[#This Row],[percent_tree_cover]]*100</f>
        <v>7.2721263685005599</v>
      </c>
    </row>
    <row r="1003" spans="1:20" x14ac:dyDescent="0.2">
      <c r="A1003">
        <v>1</v>
      </c>
      <c r="B1003" t="s">
        <v>1021</v>
      </c>
      <c r="C1003">
        <v>28.568526077097498</v>
      </c>
      <c r="D1003">
        <v>807.26220881037</v>
      </c>
      <c r="E1003">
        <v>7.4670505163877401</v>
      </c>
      <c r="F1003">
        <v>26.446743149491201</v>
      </c>
      <c r="G1003">
        <v>98</v>
      </c>
      <c r="H1003">
        <v>567.78125</v>
      </c>
      <c r="I1003">
        <v>7.1209347319687505E-2</v>
      </c>
      <c r="K1003" s="1" t="str">
        <f>TEXT(stand_validation_1cycle[[#This Row],[stand_age]], ".0")</f>
        <v>28.6</v>
      </c>
      <c r="L1003" s="1" t="str">
        <f t="shared" si="15"/>
        <v>"28.6"</v>
      </c>
      <c r="M1003">
        <v>100</v>
      </c>
      <c r="N1003">
        <f>0.029*stand_validation_1cycle[[#This Row],[stand_level_biomass]]</f>
        <v>23.41060405550073</v>
      </c>
      <c r="O1003">
        <f>0.213*stand_validation_1cycle[[#This Row],[stand_level_biomass]]</f>
        <v>171.9468504766088</v>
      </c>
      <c r="P1003">
        <f>0.571*stand_validation_1cycle[[#This Row],[stand_level_biomass]]</f>
        <v>460.94672123072121</v>
      </c>
      <c r="Q1003">
        <f>stand_validation_1cycle[[#This Row],[stock]]</f>
        <v>98</v>
      </c>
      <c r="R1003">
        <v>0</v>
      </c>
      <c r="S1003">
        <f>stand_validation_1cycle[[#This Row],[aws]]</f>
        <v>567.78125</v>
      </c>
      <c r="T1003">
        <f>stand_validation_1cycle[[#This Row],[percent_tree_cover]]*100</f>
        <v>7.1209347319687506</v>
      </c>
    </row>
    <row r="1004" spans="1:20" x14ac:dyDescent="0.2">
      <c r="A1004">
        <v>1</v>
      </c>
      <c r="B1004" t="s">
        <v>1022</v>
      </c>
      <c r="C1004">
        <v>28.612390572390499</v>
      </c>
      <c r="D1004">
        <v>937.95721629121999</v>
      </c>
      <c r="E1004">
        <v>8.2858226039424405</v>
      </c>
      <c r="F1004">
        <v>28.775836586107399</v>
      </c>
      <c r="G1004">
        <v>99</v>
      </c>
      <c r="H1004">
        <v>566.78308105468705</v>
      </c>
      <c r="I1004">
        <v>8.2333836243541805E-2</v>
      </c>
      <c r="K1004" s="1" t="str">
        <f>TEXT(stand_validation_1cycle[[#This Row],[stand_age]], ".0")</f>
        <v>28.6</v>
      </c>
      <c r="L1004" s="1" t="str">
        <f t="shared" si="15"/>
        <v>"28.6"</v>
      </c>
      <c r="M1004">
        <v>100</v>
      </c>
      <c r="N1004">
        <f>0.029*stand_validation_1cycle[[#This Row],[stand_level_biomass]]</f>
        <v>27.200759272445381</v>
      </c>
      <c r="O1004">
        <f>0.213*stand_validation_1cycle[[#This Row],[stand_level_biomass]]</f>
        <v>199.78488707002987</v>
      </c>
      <c r="P1004">
        <f>0.571*stand_validation_1cycle[[#This Row],[stand_level_biomass]]</f>
        <v>535.57357050228654</v>
      </c>
      <c r="Q1004">
        <f>stand_validation_1cycle[[#This Row],[stock]]</f>
        <v>99</v>
      </c>
      <c r="R1004">
        <v>0</v>
      </c>
      <c r="S1004">
        <f>stand_validation_1cycle[[#This Row],[aws]]</f>
        <v>566.78308105468705</v>
      </c>
      <c r="T1004">
        <f>stand_validation_1cycle[[#This Row],[percent_tree_cover]]*100</f>
        <v>8.2333836243541807</v>
      </c>
    </row>
    <row r="1005" spans="1:20" x14ac:dyDescent="0.2">
      <c r="A1005">
        <v>1</v>
      </c>
      <c r="B1005" t="s">
        <v>1023</v>
      </c>
      <c r="C1005">
        <v>27.585422222222199</v>
      </c>
      <c r="D1005">
        <v>981.89177585262303</v>
      </c>
      <c r="E1005">
        <v>8.4884553300989793</v>
      </c>
      <c r="F1005">
        <v>28.047518696482101</v>
      </c>
      <c r="G1005">
        <v>100</v>
      </c>
      <c r="H1005">
        <v>570.17816162109295</v>
      </c>
      <c r="I1005">
        <v>8.4586056470136395E-2</v>
      </c>
      <c r="K1005" s="1" t="str">
        <f>TEXT(stand_validation_1cycle[[#This Row],[stand_age]], ".0")</f>
        <v>27.6</v>
      </c>
      <c r="L1005" s="1" t="str">
        <f t="shared" si="15"/>
        <v>"27.6"</v>
      </c>
      <c r="M1005">
        <v>100</v>
      </c>
      <c r="N1005">
        <f>0.029*stand_validation_1cycle[[#This Row],[stand_level_biomass]]</f>
        <v>28.474861499726071</v>
      </c>
      <c r="O1005">
        <f>0.213*stand_validation_1cycle[[#This Row],[stand_level_biomass]]</f>
        <v>209.14294825660869</v>
      </c>
      <c r="P1005">
        <f>0.571*stand_validation_1cycle[[#This Row],[stand_level_biomass]]</f>
        <v>560.66020401184767</v>
      </c>
      <c r="Q1005">
        <f>stand_validation_1cycle[[#This Row],[stock]]</f>
        <v>100</v>
      </c>
      <c r="R1005">
        <v>0</v>
      </c>
      <c r="S1005">
        <f>stand_validation_1cycle[[#This Row],[aws]]</f>
        <v>570.17816162109295</v>
      </c>
      <c r="T1005">
        <f>stand_validation_1cycle[[#This Row],[percent_tree_cover]]*100</f>
        <v>8.4586056470136395</v>
      </c>
    </row>
    <row r="1006" spans="1:20" x14ac:dyDescent="0.2">
      <c r="A1006">
        <v>1</v>
      </c>
      <c r="B1006" t="s">
        <v>1024</v>
      </c>
      <c r="C1006">
        <v>26.370655555555501</v>
      </c>
      <c r="D1006">
        <v>807.22417102455097</v>
      </c>
      <c r="E1006">
        <v>7.1974531720236099</v>
      </c>
      <c r="F1006">
        <v>25.797438058174201</v>
      </c>
      <c r="G1006">
        <v>100</v>
      </c>
      <c r="H1006">
        <v>571.16253662109295</v>
      </c>
      <c r="I1006">
        <v>7.1719358257099894E-2</v>
      </c>
      <c r="K1006" s="1" t="str">
        <f>TEXT(stand_validation_1cycle[[#This Row],[stand_age]], ".0")</f>
        <v>26.4</v>
      </c>
      <c r="L1006" s="1" t="str">
        <f t="shared" si="15"/>
        <v>"26.4"</v>
      </c>
      <c r="M1006">
        <v>100</v>
      </c>
      <c r="N1006">
        <f>0.029*stand_validation_1cycle[[#This Row],[stand_level_biomass]]</f>
        <v>23.409500959711981</v>
      </c>
      <c r="O1006">
        <f>0.213*stand_validation_1cycle[[#This Row],[stand_level_biomass]]</f>
        <v>171.93874842822936</v>
      </c>
      <c r="P1006">
        <f>0.571*stand_validation_1cycle[[#This Row],[stand_level_biomass]]</f>
        <v>460.92500165501855</v>
      </c>
      <c r="Q1006">
        <f>stand_validation_1cycle[[#This Row],[stock]]</f>
        <v>100</v>
      </c>
      <c r="R1006">
        <v>0</v>
      </c>
      <c r="S1006">
        <f>stand_validation_1cycle[[#This Row],[aws]]</f>
        <v>571.16253662109295</v>
      </c>
      <c r="T1006">
        <f>stand_validation_1cycle[[#This Row],[percent_tree_cover]]*100</f>
        <v>7.1719358257099897</v>
      </c>
    </row>
    <row r="1007" spans="1:20" x14ac:dyDescent="0.2">
      <c r="A1007">
        <v>1</v>
      </c>
      <c r="B1007" t="s">
        <v>1025</v>
      </c>
      <c r="C1007">
        <v>28.690326797385602</v>
      </c>
      <c r="D1007">
        <v>804.57275823953398</v>
      </c>
      <c r="E1007">
        <v>2.4580417824290701</v>
      </c>
      <c r="F1007">
        <v>26.055255462983101</v>
      </c>
      <c r="G1007">
        <v>34</v>
      </c>
      <c r="H1007">
        <v>571.16253662109295</v>
      </c>
      <c r="I1007">
        <v>7.1124641549278306E-2</v>
      </c>
      <c r="K1007" s="1" t="str">
        <f>TEXT(stand_validation_1cycle[[#This Row],[stand_age]], ".0")</f>
        <v>28.7</v>
      </c>
      <c r="L1007" s="1" t="str">
        <f t="shared" si="15"/>
        <v>"28.7"</v>
      </c>
      <c r="M1007">
        <v>100</v>
      </c>
      <c r="N1007">
        <f>0.029*stand_validation_1cycle[[#This Row],[stand_level_biomass]]</f>
        <v>23.332609988946487</v>
      </c>
      <c r="O1007">
        <f>0.213*stand_validation_1cycle[[#This Row],[stand_level_biomass]]</f>
        <v>171.37399750502072</v>
      </c>
      <c r="P1007">
        <f>0.571*stand_validation_1cycle[[#This Row],[stand_level_biomass]]</f>
        <v>459.41104495477384</v>
      </c>
      <c r="Q1007">
        <f>stand_validation_1cycle[[#This Row],[stock]]</f>
        <v>34</v>
      </c>
      <c r="R1007">
        <v>0</v>
      </c>
      <c r="S1007">
        <f>stand_validation_1cycle[[#This Row],[aws]]</f>
        <v>571.16253662109295</v>
      </c>
      <c r="T1007">
        <f>stand_validation_1cycle[[#This Row],[percent_tree_cover]]*100</f>
        <v>7.1124641549278307</v>
      </c>
    </row>
    <row r="1008" spans="1:20" x14ac:dyDescent="0.2">
      <c r="A1008">
        <v>1</v>
      </c>
      <c r="B1008" t="s">
        <v>1026</v>
      </c>
      <c r="C1008">
        <v>30.105641025640999</v>
      </c>
      <c r="D1008">
        <v>1500.8013140079499</v>
      </c>
      <c r="E1008">
        <v>1.55993112860245</v>
      </c>
      <c r="F1008">
        <v>31.817538609241701</v>
      </c>
      <c r="G1008">
        <v>13</v>
      </c>
      <c r="H1008">
        <v>568.27777099609295</v>
      </c>
      <c r="I1008">
        <v>0.11151233406901701</v>
      </c>
      <c r="K1008" s="1" t="str">
        <f>TEXT(stand_validation_1cycle[[#This Row],[stand_age]], ".0")</f>
        <v>30.1</v>
      </c>
      <c r="L1008" s="1" t="str">
        <f t="shared" si="15"/>
        <v>"30.1"</v>
      </c>
      <c r="M1008">
        <v>100</v>
      </c>
      <c r="N1008">
        <f>0.029*stand_validation_1cycle[[#This Row],[stand_level_biomass]]</f>
        <v>43.523238106230551</v>
      </c>
      <c r="O1008">
        <f>0.213*stand_validation_1cycle[[#This Row],[stand_level_biomass]]</f>
        <v>319.67067988369331</v>
      </c>
      <c r="P1008">
        <f>0.571*stand_validation_1cycle[[#This Row],[stand_level_biomass]]</f>
        <v>856.95755029853933</v>
      </c>
      <c r="Q1008">
        <f>stand_validation_1cycle[[#This Row],[stock]]</f>
        <v>13</v>
      </c>
      <c r="R1008">
        <v>0</v>
      </c>
      <c r="S1008">
        <f>stand_validation_1cycle[[#This Row],[aws]]</f>
        <v>568.27777099609295</v>
      </c>
      <c r="T1008">
        <f>stand_validation_1cycle[[#This Row],[percent_tree_cover]]*100</f>
        <v>11.151233406901701</v>
      </c>
    </row>
    <row r="1009" spans="1:20" x14ac:dyDescent="0.2">
      <c r="A1009">
        <v>1</v>
      </c>
      <c r="B1009" t="s">
        <v>1027</v>
      </c>
      <c r="C1009">
        <v>48.519999999999897</v>
      </c>
      <c r="D1009">
        <v>3806.8167264673498</v>
      </c>
      <c r="E1009">
        <v>1.9937528727385001</v>
      </c>
      <c r="F1009">
        <v>55.272314151275502</v>
      </c>
      <c r="G1009">
        <v>7</v>
      </c>
      <c r="H1009">
        <v>568.27777099609295</v>
      </c>
      <c r="I1009">
        <v>0.24778378899978601</v>
      </c>
      <c r="K1009" s="1" t="str">
        <f>TEXT(stand_validation_1cycle[[#This Row],[stand_age]], ".0")</f>
        <v>48.5</v>
      </c>
      <c r="L1009" s="1" t="str">
        <f t="shared" si="15"/>
        <v>"48.5"</v>
      </c>
      <c r="M1009">
        <v>100</v>
      </c>
      <c r="N1009">
        <f>0.029*stand_validation_1cycle[[#This Row],[stand_level_biomass]]</f>
        <v>110.39768506755316</v>
      </c>
      <c r="O1009">
        <f>0.213*stand_validation_1cycle[[#This Row],[stand_level_biomass]]</f>
        <v>810.85196273754548</v>
      </c>
      <c r="P1009">
        <f>0.571*stand_validation_1cycle[[#This Row],[stand_level_biomass]]</f>
        <v>2173.6923508128566</v>
      </c>
      <c r="Q1009">
        <f>stand_validation_1cycle[[#This Row],[stock]]</f>
        <v>7</v>
      </c>
      <c r="R1009">
        <v>0</v>
      </c>
      <c r="S1009">
        <f>stand_validation_1cycle[[#This Row],[aws]]</f>
        <v>568.27777099609295</v>
      </c>
      <c r="T1009">
        <f>stand_validation_1cycle[[#This Row],[percent_tree_cover]]*100</f>
        <v>24.778378899978602</v>
      </c>
    </row>
    <row r="1010" spans="1:20" x14ac:dyDescent="0.2">
      <c r="A1010">
        <v>1</v>
      </c>
      <c r="B1010" t="s">
        <v>1028</v>
      </c>
      <c r="C1010">
        <v>31.411414141414099</v>
      </c>
      <c r="D1010">
        <v>1067.00358709069</v>
      </c>
      <c r="E1010">
        <v>2.0595244711359002</v>
      </c>
      <c r="F1010">
        <v>30.826823029233701</v>
      </c>
      <c r="G1010">
        <v>22</v>
      </c>
      <c r="H1010">
        <v>663.27276611328102</v>
      </c>
      <c r="I1010">
        <v>9.8476729045450503E-2</v>
      </c>
      <c r="K1010" s="1" t="str">
        <f>TEXT(stand_validation_1cycle[[#This Row],[stand_age]], ".0")</f>
        <v>31.4</v>
      </c>
      <c r="L1010" s="1" t="str">
        <f t="shared" si="15"/>
        <v>"31.4"</v>
      </c>
      <c r="M1010">
        <v>100</v>
      </c>
      <c r="N1010">
        <f>0.029*stand_validation_1cycle[[#This Row],[stand_level_biomass]]</f>
        <v>30.94310402563001</v>
      </c>
      <c r="O1010">
        <f>0.213*stand_validation_1cycle[[#This Row],[stand_level_biomass]]</f>
        <v>227.27176405031696</v>
      </c>
      <c r="P1010">
        <f>0.571*stand_validation_1cycle[[#This Row],[stand_level_biomass]]</f>
        <v>609.25904822878397</v>
      </c>
      <c r="Q1010">
        <f>stand_validation_1cycle[[#This Row],[stock]]</f>
        <v>22</v>
      </c>
      <c r="R1010">
        <v>0</v>
      </c>
      <c r="S1010">
        <f>stand_validation_1cycle[[#This Row],[aws]]</f>
        <v>663.27276611328102</v>
      </c>
      <c r="T1010">
        <f>stand_validation_1cycle[[#This Row],[percent_tree_cover]]*100</f>
        <v>9.8476729045450497</v>
      </c>
    </row>
    <row r="1011" spans="1:20" x14ac:dyDescent="0.2">
      <c r="A1011">
        <v>1</v>
      </c>
      <c r="B1011" t="s">
        <v>1029</v>
      </c>
      <c r="C1011">
        <v>24.4641798941798</v>
      </c>
      <c r="D1011">
        <v>672.18620431843203</v>
      </c>
      <c r="E1011">
        <v>1.3131205411529701</v>
      </c>
      <c r="F1011">
        <v>24.584506350261901</v>
      </c>
      <c r="G1011">
        <v>21</v>
      </c>
      <c r="H1011">
        <v>568.36535644531205</v>
      </c>
      <c r="I1011">
        <v>5.8831591900535198E-2</v>
      </c>
      <c r="K1011" s="1" t="str">
        <f>TEXT(stand_validation_1cycle[[#This Row],[stand_age]], ".0")</f>
        <v>24.5</v>
      </c>
      <c r="L1011" s="1" t="str">
        <f t="shared" si="15"/>
        <v>"24.5"</v>
      </c>
      <c r="M1011">
        <v>100</v>
      </c>
      <c r="N1011">
        <f>0.029*stand_validation_1cycle[[#This Row],[stand_level_biomass]]</f>
        <v>19.493399925234531</v>
      </c>
      <c r="O1011">
        <f>0.213*stand_validation_1cycle[[#This Row],[stand_level_biomass]]</f>
        <v>143.17566151982601</v>
      </c>
      <c r="P1011">
        <f>0.571*stand_validation_1cycle[[#This Row],[stand_level_biomass]]</f>
        <v>383.81832266582467</v>
      </c>
      <c r="Q1011">
        <f>stand_validation_1cycle[[#This Row],[stock]]</f>
        <v>21</v>
      </c>
      <c r="R1011">
        <v>0</v>
      </c>
      <c r="S1011">
        <f>stand_validation_1cycle[[#This Row],[aws]]</f>
        <v>568.36535644531205</v>
      </c>
      <c r="T1011">
        <f>stand_validation_1cycle[[#This Row],[percent_tree_cover]]*100</f>
        <v>5.8831591900535196</v>
      </c>
    </row>
    <row r="1012" spans="1:20" x14ac:dyDescent="0.2">
      <c r="A1012">
        <v>1</v>
      </c>
      <c r="B1012" t="s">
        <v>1030</v>
      </c>
      <c r="C1012">
        <v>28.5039371980676</v>
      </c>
      <c r="D1012">
        <v>1029.48512108616</v>
      </c>
      <c r="E1012">
        <v>8.1663658994841803</v>
      </c>
      <c r="F1012">
        <v>29.018924090241399</v>
      </c>
      <c r="G1012">
        <v>92</v>
      </c>
      <c r="H1012">
        <v>523.815185546875</v>
      </c>
      <c r="I1012">
        <v>8.7432672913565102E-2</v>
      </c>
      <c r="K1012" s="1" t="str">
        <f>TEXT(stand_validation_1cycle[[#This Row],[stand_age]], ".0")</f>
        <v>28.5</v>
      </c>
      <c r="L1012" s="1" t="str">
        <f t="shared" si="15"/>
        <v>"28.5"</v>
      </c>
      <c r="M1012">
        <v>100</v>
      </c>
      <c r="N1012">
        <f>0.029*stand_validation_1cycle[[#This Row],[stand_level_biomass]]</f>
        <v>29.85506851149864</v>
      </c>
      <c r="O1012">
        <f>0.213*stand_validation_1cycle[[#This Row],[stand_level_biomass]]</f>
        <v>219.28033079135207</v>
      </c>
      <c r="P1012">
        <f>0.571*stand_validation_1cycle[[#This Row],[stand_level_biomass]]</f>
        <v>587.83600414019736</v>
      </c>
      <c r="Q1012">
        <f>stand_validation_1cycle[[#This Row],[stock]]</f>
        <v>92</v>
      </c>
      <c r="R1012">
        <v>0</v>
      </c>
      <c r="S1012">
        <f>stand_validation_1cycle[[#This Row],[aws]]</f>
        <v>523.815185546875</v>
      </c>
      <c r="T1012">
        <f>stand_validation_1cycle[[#This Row],[percent_tree_cover]]*100</f>
        <v>8.7432672913565099</v>
      </c>
    </row>
    <row r="1013" spans="1:20" x14ac:dyDescent="0.2">
      <c r="A1013">
        <v>1</v>
      </c>
      <c r="B1013" t="s">
        <v>1031</v>
      </c>
      <c r="C1013">
        <v>25.4393083900226</v>
      </c>
      <c r="D1013">
        <v>669.88095450428</v>
      </c>
      <c r="E1013">
        <v>6.2025728250866301</v>
      </c>
      <c r="F1013">
        <v>25.1077554821712</v>
      </c>
      <c r="G1013">
        <v>98</v>
      </c>
      <c r="H1013">
        <v>523.76416015625</v>
      </c>
      <c r="I1013">
        <v>6.1619284132076103E-2</v>
      </c>
      <c r="K1013" s="1" t="str">
        <f>TEXT(stand_validation_1cycle[[#This Row],[stand_age]], ".0")</f>
        <v>25.4</v>
      </c>
      <c r="L1013" s="1" t="str">
        <f t="shared" si="15"/>
        <v>"25.4"</v>
      </c>
      <c r="M1013">
        <v>100</v>
      </c>
      <c r="N1013">
        <f>0.029*stand_validation_1cycle[[#This Row],[stand_level_biomass]]</f>
        <v>19.426547680624122</v>
      </c>
      <c r="O1013">
        <f>0.213*stand_validation_1cycle[[#This Row],[stand_level_biomass]]</f>
        <v>142.68464330941163</v>
      </c>
      <c r="P1013">
        <f>0.571*stand_validation_1cycle[[#This Row],[stand_level_biomass]]</f>
        <v>382.50202502194384</v>
      </c>
      <c r="Q1013">
        <f>stand_validation_1cycle[[#This Row],[stock]]</f>
        <v>98</v>
      </c>
      <c r="R1013">
        <v>0</v>
      </c>
      <c r="S1013">
        <f>stand_validation_1cycle[[#This Row],[aws]]</f>
        <v>523.76416015625</v>
      </c>
      <c r="T1013">
        <f>stand_validation_1cycle[[#This Row],[percent_tree_cover]]*100</f>
        <v>6.16192841320761</v>
      </c>
    </row>
    <row r="1014" spans="1:20" x14ac:dyDescent="0.2">
      <c r="A1014">
        <v>1</v>
      </c>
      <c r="B1014" t="s">
        <v>1032</v>
      </c>
      <c r="C1014">
        <v>24.8564333333333</v>
      </c>
      <c r="D1014">
        <v>564.24448804886697</v>
      </c>
      <c r="E1014">
        <v>5.4999446325369803</v>
      </c>
      <c r="F1014">
        <v>23.597390753326401</v>
      </c>
      <c r="G1014">
        <v>100</v>
      </c>
      <c r="H1014">
        <v>523.76416015625</v>
      </c>
      <c r="I1014">
        <v>5.48285852884614E-2</v>
      </c>
      <c r="K1014" s="1" t="str">
        <f>TEXT(stand_validation_1cycle[[#This Row],[stand_age]], ".0")</f>
        <v>24.9</v>
      </c>
      <c r="L1014" s="1" t="str">
        <f t="shared" si="15"/>
        <v>"24.9"</v>
      </c>
      <c r="M1014">
        <v>100</v>
      </c>
      <c r="N1014">
        <f>0.029*stand_validation_1cycle[[#This Row],[stand_level_biomass]]</f>
        <v>16.363090153417144</v>
      </c>
      <c r="O1014">
        <f>0.213*stand_validation_1cycle[[#This Row],[stand_level_biomass]]</f>
        <v>120.18407595440866</v>
      </c>
      <c r="P1014">
        <f>0.571*stand_validation_1cycle[[#This Row],[stand_level_biomass]]</f>
        <v>322.18360267590299</v>
      </c>
      <c r="Q1014">
        <f>stand_validation_1cycle[[#This Row],[stock]]</f>
        <v>100</v>
      </c>
      <c r="R1014">
        <v>0</v>
      </c>
      <c r="S1014">
        <f>stand_validation_1cycle[[#This Row],[aws]]</f>
        <v>523.76416015625</v>
      </c>
      <c r="T1014">
        <f>stand_validation_1cycle[[#This Row],[percent_tree_cover]]*100</f>
        <v>5.4828585288461396</v>
      </c>
    </row>
    <row r="1015" spans="1:20" x14ac:dyDescent="0.2">
      <c r="A1015">
        <v>1</v>
      </c>
      <c r="B1015" t="s">
        <v>1033</v>
      </c>
      <c r="C1015">
        <v>27.950022222222199</v>
      </c>
      <c r="D1015">
        <v>879.50200883528601</v>
      </c>
      <c r="E1015">
        <v>7.8292730077539998</v>
      </c>
      <c r="F1015">
        <v>27.453839105892801</v>
      </c>
      <c r="G1015">
        <v>100</v>
      </c>
      <c r="H1015">
        <v>593</v>
      </c>
      <c r="I1015">
        <v>7.8009584485848202E-2</v>
      </c>
      <c r="K1015" s="1" t="str">
        <f>TEXT(stand_validation_1cycle[[#This Row],[stand_age]], ".0")</f>
        <v>28.0</v>
      </c>
      <c r="L1015" s="1" t="str">
        <f t="shared" si="15"/>
        <v>"28.0"</v>
      </c>
      <c r="M1015">
        <v>100</v>
      </c>
      <c r="N1015">
        <f>0.029*stand_validation_1cycle[[#This Row],[stand_level_biomass]]</f>
        <v>25.505558256223296</v>
      </c>
      <c r="O1015">
        <f>0.213*stand_validation_1cycle[[#This Row],[stand_level_biomass]]</f>
        <v>187.33392788191591</v>
      </c>
      <c r="P1015">
        <f>0.571*stand_validation_1cycle[[#This Row],[stand_level_biomass]]</f>
        <v>502.19564704494826</v>
      </c>
      <c r="Q1015">
        <f>stand_validation_1cycle[[#This Row],[stock]]</f>
        <v>100</v>
      </c>
      <c r="R1015">
        <v>0</v>
      </c>
      <c r="S1015">
        <f>stand_validation_1cycle[[#This Row],[aws]]</f>
        <v>593</v>
      </c>
      <c r="T1015">
        <f>stand_validation_1cycle[[#This Row],[percent_tree_cover]]*100</f>
        <v>7.8009584485848205</v>
      </c>
    </row>
    <row r="1016" spans="1:20" x14ac:dyDescent="0.2">
      <c r="A1016">
        <v>1</v>
      </c>
      <c r="B1016" t="s">
        <v>1034</v>
      </c>
      <c r="C1016">
        <v>28.719000000000001</v>
      </c>
      <c r="D1016">
        <v>832.628169458206</v>
      </c>
      <c r="E1016">
        <v>7.4749225621794801</v>
      </c>
      <c r="F1016">
        <v>26.9388623247143</v>
      </c>
      <c r="G1016">
        <v>100</v>
      </c>
      <c r="H1016">
        <v>597.06872558593705</v>
      </c>
      <c r="I1016">
        <v>7.4472430435009299E-2</v>
      </c>
      <c r="K1016" s="1" t="str">
        <f>TEXT(stand_validation_1cycle[[#This Row],[stand_age]], ".0")</f>
        <v>28.7</v>
      </c>
      <c r="L1016" s="1" t="str">
        <f t="shared" si="15"/>
        <v>"28.7"</v>
      </c>
      <c r="M1016">
        <v>100</v>
      </c>
      <c r="N1016">
        <f>0.029*stand_validation_1cycle[[#This Row],[stand_level_biomass]]</f>
        <v>24.146216914287976</v>
      </c>
      <c r="O1016">
        <f>0.213*stand_validation_1cycle[[#This Row],[stand_level_biomass]]</f>
        <v>177.34980009459787</v>
      </c>
      <c r="P1016">
        <f>0.571*stand_validation_1cycle[[#This Row],[stand_level_biomass]]</f>
        <v>475.43068476063559</v>
      </c>
      <c r="Q1016">
        <f>stand_validation_1cycle[[#This Row],[stock]]</f>
        <v>100</v>
      </c>
      <c r="R1016">
        <v>0</v>
      </c>
      <c r="S1016">
        <f>stand_validation_1cycle[[#This Row],[aws]]</f>
        <v>597.06872558593705</v>
      </c>
      <c r="T1016">
        <f>stand_validation_1cycle[[#This Row],[percent_tree_cover]]*100</f>
        <v>7.4472430435009302</v>
      </c>
    </row>
    <row r="1017" spans="1:20" x14ac:dyDescent="0.2">
      <c r="A1017">
        <v>1</v>
      </c>
      <c r="B1017" t="s">
        <v>1035</v>
      </c>
      <c r="C1017">
        <v>25.7053444444444</v>
      </c>
      <c r="D1017">
        <v>855.178364723355</v>
      </c>
      <c r="E1017">
        <v>7.51578525782472</v>
      </c>
      <c r="F1017">
        <v>25.9143783058928</v>
      </c>
      <c r="G1017">
        <v>100</v>
      </c>
      <c r="H1017">
        <v>523.76416015625</v>
      </c>
      <c r="I1017">
        <v>7.4890230157647203E-2</v>
      </c>
      <c r="K1017" s="1" t="str">
        <f>TEXT(stand_validation_1cycle[[#This Row],[stand_age]], ".0")</f>
        <v>25.7</v>
      </c>
      <c r="L1017" s="1" t="str">
        <f t="shared" si="15"/>
        <v>"25.7"</v>
      </c>
      <c r="M1017">
        <v>100</v>
      </c>
      <c r="N1017">
        <f>0.029*stand_validation_1cycle[[#This Row],[stand_level_biomass]]</f>
        <v>24.800172576977296</v>
      </c>
      <c r="O1017">
        <f>0.213*stand_validation_1cycle[[#This Row],[stand_level_biomass]]</f>
        <v>182.15299168607461</v>
      </c>
      <c r="P1017">
        <f>0.571*stand_validation_1cycle[[#This Row],[stand_level_biomass]]</f>
        <v>488.30684625703566</v>
      </c>
      <c r="Q1017">
        <f>stand_validation_1cycle[[#This Row],[stock]]</f>
        <v>100</v>
      </c>
      <c r="R1017">
        <v>0</v>
      </c>
      <c r="S1017">
        <f>stand_validation_1cycle[[#This Row],[aws]]</f>
        <v>523.76416015625</v>
      </c>
      <c r="T1017">
        <f>stand_validation_1cycle[[#This Row],[percent_tree_cover]]*100</f>
        <v>7.4890230157647206</v>
      </c>
    </row>
    <row r="1018" spans="1:20" x14ac:dyDescent="0.2">
      <c r="A1018">
        <v>1</v>
      </c>
      <c r="B1018" t="s">
        <v>1036</v>
      </c>
      <c r="C1018">
        <v>27.880500000000001</v>
      </c>
      <c r="D1018">
        <v>952.28144318418401</v>
      </c>
      <c r="E1018">
        <v>8.2786448501271508</v>
      </c>
      <c r="F1018">
        <v>27.7296755725278</v>
      </c>
      <c r="G1018">
        <v>100</v>
      </c>
      <c r="H1018">
        <v>523.76416015625</v>
      </c>
      <c r="I1018">
        <v>8.2489040506680197E-2</v>
      </c>
      <c r="K1018" s="1" t="str">
        <f>TEXT(stand_validation_1cycle[[#This Row],[stand_age]], ".0")</f>
        <v>27.9</v>
      </c>
      <c r="L1018" s="1" t="str">
        <f t="shared" si="15"/>
        <v>"27.9"</v>
      </c>
      <c r="M1018">
        <v>100</v>
      </c>
      <c r="N1018">
        <f>0.029*stand_validation_1cycle[[#This Row],[stand_level_biomass]]</f>
        <v>27.616161852341339</v>
      </c>
      <c r="O1018">
        <f>0.213*stand_validation_1cycle[[#This Row],[stand_level_biomass]]</f>
        <v>202.83594739823118</v>
      </c>
      <c r="P1018">
        <f>0.571*stand_validation_1cycle[[#This Row],[stand_level_biomass]]</f>
        <v>543.752704058169</v>
      </c>
      <c r="Q1018">
        <f>stand_validation_1cycle[[#This Row],[stock]]</f>
        <v>100</v>
      </c>
      <c r="R1018">
        <v>0</v>
      </c>
      <c r="S1018">
        <f>stand_validation_1cycle[[#This Row],[aws]]</f>
        <v>523.76416015625</v>
      </c>
      <c r="T1018">
        <f>stand_validation_1cycle[[#This Row],[percent_tree_cover]]*100</f>
        <v>8.2489040506680205</v>
      </c>
    </row>
    <row r="1019" spans="1:20" x14ac:dyDescent="0.2">
      <c r="A1019">
        <v>1</v>
      </c>
      <c r="B1019" t="s">
        <v>1037</v>
      </c>
      <c r="C1019">
        <v>27.287048260381599</v>
      </c>
      <c r="D1019">
        <v>694.82192440810195</v>
      </c>
      <c r="E1019">
        <v>6.4794955781207699</v>
      </c>
      <c r="F1019">
        <v>25.392909245688301</v>
      </c>
      <c r="G1019">
        <v>99</v>
      </c>
      <c r="H1019">
        <v>523.76416015625</v>
      </c>
      <c r="I1019">
        <v>6.4249397580487796E-2</v>
      </c>
      <c r="K1019" s="1" t="str">
        <f>TEXT(stand_validation_1cycle[[#This Row],[stand_age]], ".0")</f>
        <v>27.3</v>
      </c>
      <c r="L1019" s="1" t="str">
        <f t="shared" si="15"/>
        <v>"27.3"</v>
      </c>
      <c r="M1019">
        <v>100</v>
      </c>
      <c r="N1019">
        <f>0.029*stand_validation_1cycle[[#This Row],[stand_level_biomass]]</f>
        <v>20.149835807834958</v>
      </c>
      <c r="O1019">
        <f>0.213*stand_validation_1cycle[[#This Row],[stand_level_biomass]]</f>
        <v>147.9970698989257</v>
      </c>
      <c r="P1019">
        <f>0.571*stand_validation_1cycle[[#This Row],[stand_level_biomass]]</f>
        <v>396.74331883702615</v>
      </c>
      <c r="Q1019">
        <f>stand_validation_1cycle[[#This Row],[stock]]</f>
        <v>99</v>
      </c>
      <c r="R1019">
        <v>0</v>
      </c>
      <c r="S1019">
        <f>stand_validation_1cycle[[#This Row],[aws]]</f>
        <v>523.76416015625</v>
      </c>
      <c r="T1019">
        <f>stand_validation_1cycle[[#This Row],[percent_tree_cover]]*100</f>
        <v>6.4249397580487795</v>
      </c>
    </row>
    <row r="1020" spans="1:20" x14ac:dyDescent="0.2">
      <c r="A1020">
        <v>1</v>
      </c>
      <c r="B1020" t="s">
        <v>1038</v>
      </c>
      <c r="C1020">
        <v>28.452400000000001</v>
      </c>
      <c r="D1020">
        <v>857.71568609593999</v>
      </c>
      <c r="E1020">
        <v>7.6517557440665804</v>
      </c>
      <c r="F1020">
        <v>27.0963525438207</v>
      </c>
      <c r="G1020">
        <v>100</v>
      </c>
      <c r="H1020">
        <v>567.35827636718705</v>
      </c>
      <c r="I1020">
        <v>7.6240485136349803E-2</v>
      </c>
      <c r="K1020" s="1" t="str">
        <f>TEXT(stand_validation_1cycle[[#This Row],[stand_age]], ".0")</f>
        <v>28.5</v>
      </c>
      <c r="L1020" s="1" t="str">
        <f t="shared" si="15"/>
        <v>"28.5"</v>
      </c>
      <c r="M1020">
        <v>100</v>
      </c>
      <c r="N1020">
        <f>0.029*stand_validation_1cycle[[#This Row],[stand_level_biomass]]</f>
        <v>24.873754896782263</v>
      </c>
      <c r="O1020">
        <f>0.213*stand_validation_1cycle[[#This Row],[stand_level_biomass]]</f>
        <v>182.69344113843522</v>
      </c>
      <c r="P1020">
        <f>0.571*stand_validation_1cycle[[#This Row],[stand_level_biomass]]</f>
        <v>489.75565676078168</v>
      </c>
      <c r="Q1020">
        <f>stand_validation_1cycle[[#This Row],[stock]]</f>
        <v>100</v>
      </c>
      <c r="R1020">
        <v>0</v>
      </c>
      <c r="S1020">
        <f>stand_validation_1cycle[[#This Row],[aws]]</f>
        <v>567.35827636718705</v>
      </c>
      <c r="T1020">
        <f>stand_validation_1cycle[[#This Row],[percent_tree_cover]]*100</f>
        <v>7.62404851363498</v>
      </c>
    </row>
    <row r="1021" spans="1:20" x14ac:dyDescent="0.2">
      <c r="A1021">
        <v>1</v>
      </c>
      <c r="B1021" t="s">
        <v>1039</v>
      </c>
      <c r="C1021">
        <v>25.586477777777699</v>
      </c>
      <c r="D1021">
        <v>765.30601204120603</v>
      </c>
      <c r="E1021">
        <v>7.0522511157691801</v>
      </c>
      <c r="F1021">
        <v>26.5617661442007</v>
      </c>
      <c r="G1021">
        <v>100</v>
      </c>
      <c r="H1021">
        <v>573.073974609375</v>
      </c>
      <c r="I1021">
        <v>7.0313669172746202E-2</v>
      </c>
      <c r="K1021" s="1" t="str">
        <f>TEXT(stand_validation_1cycle[[#This Row],[stand_age]], ".0")</f>
        <v>25.6</v>
      </c>
      <c r="L1021" s="1" t="str">
        <f t="shared" si="15"/>
        <v>"25.6"</v>
      </c>
      <c r="M1021">
        <v>100</v>
      </c>
      <c r="N1021">
        <f>0.029*stand_validation_1cycle[[#This Row],[stand_level_biomass]]</f>
        <v>22.193874349194974</v>
      </c>
      <c r="O1021">
        <f>0.213*stand_validation_1cycle[[#This Row],[stand_level_biomass]]</f>
        <v>163.01018056477687</v>
      </c>
      <c r="P1021">
        <f>0.571*stand_validation_1cycle[[#This Row],[stand_level_biomass]]</f>
        <v>436.9897328755286</v>
      </c>
      <c r="Q1021">
        <f>stand_validation_1cycle[[#This Row],[stock]]</f>
        <v>100</v>
      </c>
      <c r="R1021">
        <v>0</v>
      </c>
      <c r="S1021">
        <f>stand_validation_1cycle[[#This Row],[aws]]</f>
        <v>573.073974609375</v>
      </c>
      <c r="T1021">
        <f>stand_validation_1cycle[[#This Row],[percent_tree_cover]]*100</f>
        <v>7.03136691727462</v>
      </c>
    </row>
    <row r="1022" spans="1:20" x14ac:dyDescent="0.2">
      <c r="A1022">
        <v>1</v>
      </c>
      <c r="B1022" t="s">
        <v>1040</v>
      </c>
      <c r="C1022">
        <v>25.691288888888799</v>
      </c>
      <c r="D1022">
        <v>692.32322244866702</v>
      </c>
      <c r="E1022">
        <v>6.4332780377974901</v>
      </c>
      <c r="F1022">
        <v>25.0027560295621</v>
      </c>
      <c r="G1022">
        <v>100</v>
      </c>
      <c r="H1022">
        <v>568.08282470703102</v>
      </c>
      <c r="I1022">
        <v>6.4116554700521106E-2</v>
      </c>
      <c r="K1022" s="1" t="str">
        <f>TEXT(stand_validation_1cycle[[#This Row],[stand_age]], ".0")</f>
        <v>25.7</v>
      </c>
      <c r="L1022" s="1" t="str">
        <f t="shared" si="15"/>
        <v>"25.7"</v>
      </c>
      <c r="M1022">
        <v>100</v>
      </c>
      <c r="N1022">
        <f>0.029*stand_validation_1cycle[[#This Row],[stand_level_biomass]]</f>
        <v>20.077373451011344</v>
      </c>
      <c r="O1022">
        <f>0.213*stand_validation_1cycle[[#This Row],[stand_level_biomass]]</f>
        <v>147.46484638156608</v>
      </c>
      <c r="P1022">
        <f>0.571*stand_validation_1cycle[[#This Row],[stand_level_biomass]]</f>
        <v>395.31656001818885</v>
      </c>
      <c r="Q1022">
        <f>stand_validation_1cycle[[#This Row],[stock]]</f>
        <v>100</v>
      </c>
      <c r="R1022">
        <v>0</v>
      </c>
      <c r="S1022">
        <f>stand_validation_1cycle[[#This Row],[aws]]</f>
        <v>568.08282470703102</v>
      </c>
      <c r="T1022">
        <f>stand_validation_1cycle[[#This Row],[percent_tree_cover]]*100</f>
        <v>6.4116554700521107</v>
      </c>
    </row>
    <row r="1023" spans="1:20" x14ac:dyDescent="0.2">
      <c r="A1023">
        <v>1</v>
      </c>
      <c r="B1023" t="s">
        <v>1041</v>
      </c>
      <c r="C1023">
        <v>29.305499438832701</v>
      </c>
      <c r="D1023">
        <v>1015.16820054203</v>
      </c>
      <c r="E1023">
        <v>8.7187521357648698</v>
      </c>
      <c r="F1023">
        <v>28.768195595114001</v>
      </c>
      <c r="G1023">
        <v>99</v>
      </c>
      <c r="H1023">
        <v>572.37109375</v>
      </c>
      <c r="I1023">
        <v>8.6747563663785193E-2</v>
      </c>
      <c r="K1023" s="1" t="str">
        <f>TEXT(stand_validation_1cycle[[#This Row],[stand_age]], ".0")</f>
        <v>29.3</v>
      </c>
      <c r="L1023" s="1" t="str">
        <f t="shared" si="15"/>
        <v>"29.3"</v>
      </c>
      <c r="M1023">
        <v>100</v>
      </c>
      <c r="N1023">
        <f>0.029*stand_validation_1cycle[[#This Row],[stand_level_biomass]]</f>
        <v>29.439877815718873</v>
      </c>
      <c r="O1023">
        <f>0.213*stand_validation_1cycle[[#This Row],[stand_level_biomass]]</f>
        <v>216.23082671545239</v>
      </c>
      <c r="P1023">
        <f>0.571*stand_validation_1cycle[[#This Row],[stand_level_biomass]]</f>
        <v>579.66104250949911</v>
      </c>
      <c r="Q1023">
        <f>stand_validation_1cycle[[#This Row],[stock]]</f>
        <v>99</v>
      </c>
      <c r="R1023">
        <v>0</v>
      </c>
      <c r="S1023">
        <f>stand_validation_1cycle[[#This Row],[aws]]</f>
        <v>572.37109375</v>
      </c>
      <c r="T1023">
        <f>stand_validation_1cycle[[#This Row],[percent_tree_cover]]*100</f>
        <v>8.674756366378519</v>
      </c>
    </row>
    <row r="1024" spans="1:20" x14ac:dyDescent="0.2">
      <c r="A1024">
        <v>1</v>
      </c>
      <c r="B1024" t="s">
        <v>1042</v>
      </c>
      <c r="C1024">
        <v>23.6669555555555</v>
      </c>
      <c r="D1024">
        <v>534.63951248573903</v>
      </c>
      <c r="E1024">
        <v>5.2349787811423996</v>
      </c>
      <c r="F1024">
        <v>23.006948220056401</v>
      </c>
      <c r="G1024">
        <v>100</v>
      </c>
      <c r="H1024">
        <v>569.74237060546795</v>
      </c>
      <c r="I1024">
        <v>5.2196651284252403E-2</v>
      </c>
      <c r="K1024" s="1" t="str">
        <f>TEXT(stand_validation_1cycle[[#This Row],[stand_age]], ".0")</f>
        <v>23.7</v>
      </c>
      <c r="L1024" s="1" t="str">
        <f t="shared" si="15"/>
        <v>"23.7"</v>
      </c>
      <c r="M1024">
        <v>100</v>
      </c>
      <c r="N1024">
        <f>0.029*stand_validation_1cycle[[#This Row],[stand_level_biomass]]</f>
        <v>15.504545862086433</v>
      </c>
      <c r="O1024">
        <f>0.213*stand_validation_1cycle[[#This Row],[stand_level_biomass]]</f>
        <v>113.87821615946241</v>
      </c>
      <c r="P1024">
        <f>0.571*stand_validation_1cycle[[#This Row],[stand_level_biomass]]</f>
        <v>305.27916162935696</v>
      </c>
      <c r="Q1024">
        <f>stand_validation_1cycle[[#This Row],[stock]]</f>
        <v>100</v>
      </c>
      <c r="R1024">
        <v>0</v>
      </c>
      <c r="S1024">
        <f>stand_validation_1cycle[[#This Row],[aws]]</f>
        <v>569.74237060546795</v>
      </c>
      <c r="T1024">
        <f>stand_validation_1cycle[[#This Row],[percent_tree_cover]]*100</f>
        <v>5.2196651284252402</v>
      </c>
    </row>
    <row r="1025" spans="1:20" x14ac:dyDescent="0.2">
      <c r="A1025">
        <v>1</v>
      </c>
      <c r="B1025" t="s">
        <v>1043</v>
      </c>
      <c r="C1025">
        <v>26.936433333333301</v>
      </c>
      <c r="D1025">
        <v>840.75117881889105</v>
      </c>
      <c r="E1025">
        <v>7.4843905370392303</v>
      </c>
      <c r="F1025">
        <v>26.4630445057978</v>
      </c>
      <c r="G1025">
        <v>100</v>
      </c>
      <c r="H1025">
        <v>575</v>
      </c>
      <c r="I1025">
        <v>7.4573301556649194E-2</v>
      </c>
      <c r="K1025" s="1" t="str">
        <f>TEXT(stand_validation_1cycle[[#This Row],[stand_age]], ".0")</f>
        <v>26.9</v>
      </c>
      <c r="L1025" s="1" t="str">
        <f t="shared" si="15"/>
        <v>"26.9"</v>
      </c>
      <c r="M1025">
        <v>100</v>
      </c>
      <c r="N1025">
        <f>0.029*stand_validation_1cycle[[#This Row],[stand_level_biomass]]</f>
        <v>24.38178418574784</v>
      </c>
      <c r="O1025">
        <f>0.213*stand_validation_1cycle[[#This Row],[stand_level_biomass]]</f>
        <v>179.08000108842378</v>
      </c>
      <c r="P1025">
        <f>0.571*stand_validation_1cycle[[#This Row],[stand_level_biomass]]</f>
        <v>480.06892310558675</v>
      </c>
      <c r="Q1025">
        <f>stand_validation_1cycle[[#This Row],[stock]]</f>
        <v>100</v>
      </c>
      <c r="R1025">
        <v>0</v>
      </c>
      <c r="S1025">
        <f>stand_validation_1cycle[[#This Row],[aws]]</f>
        <v>575</v>
      </c>
      <c r="T1025">
        <f>stand_validation_1cycle[[#This Row],[percent_tree_cover]]*100</f>
        <v>7.457330155664919</v>
      </c>
    </row>
    <row r="1026" spans="1:20" x14ac:dyDescent="0.2">
      <c r="A1026">
        <v>1</v>
      </c>
      <c r="B1026" t="s">
        <v>1044</v>
      </c>
      <c r="C1026">
        <v>27.158077777777699</v>
      </c>
      <c r="D1026">
        <v>884.696519655261</v>
      </c>
      <c r="E1026">
        <v>7.8156628429804798</v>
      </c>
      <c r="F1026">
        <v>27.009868982033499</v>
      </c>
      <c r="G1026">
        <v>100</v>
      </c>
      <c r="H1026">
        <v>566.78308105468705</v>
      </c>
      <c r="I1026">
        <v>7.7876407117641294E-2</v>
      </c>
      <c r="K1026" s="1" t="str">
        <f>TEXT(stand_validation_1cycle[[#This Row],[stand_age]], ".0")</f>
        <v>27.2</v>
      </c>
      <c r="L1026" s="1" t="str">
        <f t="shared" si="15"/>
        <v>"27.2"</v>
      </c>
      <c r="M1026">
        <v>100</v>
      </c>
      <c r="N1026">
        <f>0.029*stand_validation_1cycle[[#This Row],[stand_level_biomass]]</f>
        <v>25.656199070002572</v>
      </c>
      <c r="O1026">
        <f>0.213*stand_validation_1cycle[[#This Row],[stand_level_biomass]]</f>
        <v>188.44035868657059</v>
      </c>
      <c r="P1026">
        <f>0.571*stand_validation_1cycle[[#This Row],[stand_level_biomass]]</f>
        <v>505.16171272315398</v>
      </c>
      <c r="Q1026">
        <f>stand_validation_1cycle[[#This Row],[stock]]</f>
        <v>100</v>
      </c>
      <c r="R1026">
        <v>0</v>
      </c>
      <c r="S1026">
        <f>stand_validation_1cycle[[#This Row],[aws]]</f>
        <v>566.78308105468705</v>
      </c>
      <c r="T1026">
        <f>stand_validation_1cycle[[#This Row],[percent_tree_cover]]*100</f>
        <v>7.7876407117641291</v>
      </c>
    </row>
    <row r="1027" spans="1:20" x14ac:dyDescent="0.2">
      <c r="A1027">
        <v>1</v>
      </c>
      <c r="B1027" t="s">
        <v>1045</v>
      </c>
      <c r="C1027">
        <v>27.256733333333301</v>
      </c>
      <c r="D1027">
        <v>940.34261360849803</v>
      </c>
      <c r="E1027">
        <v>8.0944257839114595</v>
      </c>
      <c r="F1027">
        <v>26.8718112867864</v>
      </c>
      <c r="G1027">
        <v>100</v>
      </c>
      <c r="H1027">
        <v>571.32611083984295</v>
      </c>
      <c r="I1027">
        <v>8.0652739429978706E-2</v>
      </c>
      <c r="K1027" s="1" t="str">
        <f>TEXT(stand_validation_1cycle[[#This Row],[stand_age]], ".0")</f>
        <v>27.3</v>
      </c>
      <c r="L1027" s="1" t="str">
        <f t="shared" ref="L1027:L1090" si="16">""""&amp;K1027&amp;""""</f>
        <v>"27.3"</v>
      </c>
      <c r="M1027">
        <v>100</v>
      </c>
      <c r="N1027">
        <f>0.029*stand_validation_1cycle[[#This Row],[stand_level_biomass]]</f>
        <v>27.269935794646443</v>
      </c>
      <c r="O1027">
        <f>0.213*stand_validation_1cycle[[#This Row],[stand_level_biomass]]</f>
        <v>200.29297669861006</v>
      </c>
      <c r="P1027">
        <f>0.571*stand_validation_1cycle[[#This Row],[stand_level_biomass]]</f>
        <v>536.93563237045237</v>
      </c>
      <c r="Q1027">
        <f>stand_validation_1cycle[[#This Row],[stock]]</f>
        <v>100</v>
      </c>
      <c r="R1027">
        <v>0</v>
      </c>
      <c r="S1027">
        <f>stand_validation_1cycle[[#This Row],[aws]]</f>
        <v>571.32611083984295</v>
      </c>
      <c r="T1027">
        <f>stand_validation_1cycle[[#This Row],[percent_tree_cover]]*100</f>
        <v>8.0652739429978713</v>
      </c>
    </row>
    <row r="1028" spans="1:20" x14ac:dyDescent="0.2">
      <c r="A1028">
        <v>1</v>
      </c>
      <c r="B1028" t="s">
        <v>1046</v>
      </c>
      <c r="C1028">
        <v>27.7730976430976</v>
      </c>
      <c r="D1028">
        <v>761.9658622613</v>
      </c>
      <c r="E1028">
        <v>6.9349047761759701</v>
      </c>
      <c r="F1028">
        <v>26.336525609420601</v>
      </c>
      <c r="G1028">
        <v>99</v>
      </c>
      <c r="H1028">
        <v>568.90997314453102</v>
      </c>
      <c r="I1028">
        <v>6.9097000184578095E-2</v>
      </c>
      <c r="K1028" s="1" t="str">
        <f>TEXT(stand_validation_1cycle[[#This Row],[stand_age]], ".0")</f>
        <v>27.8</v>
      </c>
      <c r="L1028" s="1" t="str">
        <f t="shared" si="16"/>
        <v>"27.8"</v>
      </c>
      <c r="M1028">
        <v>100</v>
      </c>
      <c r="N1028">
        <f>0.029*stand_validation_1cycle[[#This Row],[stand_level_biomass]]</f>
        <v>22.097010005577701</v>
      </c>
      <c r="O1028">
        <f>0.213*stand_validation_1cycle[[#This Row],[stand_level_biomass]]</f>
        <v>162.2987286616569</v>
      </c>
      <c r="P1028">
        <f>0.571*stand_validation_1cycle[[#This Row],[stand_level_biomass]]</f>
        <v>435.08250735120225</v>
      </c>
      <c r="Q1028">
        <f>stand_validation_1cycle[[#This Row],[stock]]</f>
        <v>99</v>
      </c>
      <c r="R1028">
        <v>0</v>
      </c>
      <c r="S1028">
        <f>stand_validation_1cycle[[#This Row],[aws]]</f>
        <v>568.90997314453102</v>
      </c>
      <c r="T1028">
        <f>stand_validation_1cycle[[#This Row],[percent_tree_cover]]*100</f>
        <v>6.9097000184578095</v>
      </c>
    </row>
    <row r="1029" spans="1:20" x14ac:dyDescent="0.2">
      <c r="A1029">
        <v>1</v>
      </c>
      <c r="B1029" t="s">
        <v>1047</v>
      </c>
      <c r="C1029">
        <v>29.302709750566901</v>
      </c>
      <c r="D1029">
        <v>1118.46367132825</v>
      </c>
      <c r="E1029">
        <v>9.3304280794004395</v>
      </c>
      <c r="F1029">
        <v>29.5392618863964</v>
      </c>
      <c r="G1029">
        <v>98</v>
      </c>
      <c r="H1029">
        <v>572.12396240234295</v>
      </c>
      <c r="I1029">
        <v>9.2436121794105902E-2</v>
      </c>
      <c r="K1029" s="1" t="str">
        <f>TEXT(stand_validation_1cycle[[#This Row],[stand_age]], ".0")</f>
        <v>29.3</v>
      </c>
      <c r="L1029" s="1" t="str">
        <f t="shared" si="16"/>
        <v>"29.3"</v>
      </c>
      <c r="M1029">
        <v>100</v>
      </c>
      <c r="N1029">
        <f>0.029*stand_validation_1cycle[[#This Row],[stand_level_biomass]]</f>
        <v>32.435446468519253</v>
      </c>
      <c r="O1029">
        <f>0.213*stand_validation_1cycle[[#This Row],[stand_level_biomass]]</f>
        <v>238.23276199291726</v>
      </c>
      <c r="P1029">
        <f>0.571*stand_validation_1cycle[[#This Row],[stand_level_biomass]]</f>
        <v>638.64275632843066</v>
      </c>
      <c r="Q1029">
        <f>stand_validation_1cycle[[#This Row],[stock]]</f>
        <v>98</v>
      </c>
      <c r="R1029">
        <v>0</v>
      </c>
      <c r="S1029">
        <f>stand_validation_1cycle[[#This Row],[aws]]</f>
        <v>572.12396240234295</v>
      </c>
      <c r="T1029">
        <f>stand_validation_1cycle[[#This Row],[percent_tree_cover]]*100</f>
        <v>9.2436121794105901</v>
      </c>
    </row>
    <row r="1030" spans="1:20" x14ac:dyDescent="0.2">
      <c r="A1030">
        <v>1</v>
      </c>
      <c r="B1030" t="s">
        <v>1048</v>
      </c>
      <c r="C1030">
        <v>28.2854888888888</v>
      </c>
      <c r="D1030">
        <v>1011.19328022205</v>
      </c>
      <c r="E1030">
        <v>8.6444448301276804</v>
      </c>
      <c r="F1030">
        <v>27.995561782033501</v>
      </c>
      <c r="G1030">
        <v>100</v>
      </c>
      <c r="H1030">
        <v>574.51434326171795</v>
      </c>
      <c r="I1030">
        <v>8.6127328328293798E-2</v>
      </c>
      <c r="K1030" s="1" t="str">
        <f>TEXT(stand_validation_1cycle[[#This Row],[stand_age]], ".0")</f>
        <v>28.3</v>
      </c>
      <c r="L1030" s="1" t="str">
        <f t="shared" si="16"/>
        <v>"28.3"</v>
      </c>
      <c r="M1030">
        <v>100</v>
      </c>
      <c r="N1030">
        <f>0.029*stand_validation_1cycle[[#This Row],[stand_level_biomass]]</f>
        <v>29.324605126439451</v>
      </c>
      <c r="O1030">
        <f>0.213*stand_validation_1cycle[[#This Row],[stand_level_biomass]]</f>
        <v>215.38416868729664</v>
      </c>
      <c r="P1030">
        <f>0.571*stand_validation_1cycle[[#This Row],[stand_level_biomass]]</f>
        <v>577.39136300679047</v>
      </c>
      <c r="Q1030">
        <f>stand_validation_1cycle[[#This Row],[stock]]</f>
        <v>100</v>
      </c>
      <c r="R1030">
        <v>0</v>
      </c>
      <c r="S1030">
        <f>stand_validation_1cycle[[#This Row],[aws]]</f>
        <v>574.51434326171795</v>
      </c>
      <c r="T1030">
        <f>stand_validation_1cycle[[#This Row],[percent_tree_cover]]*100</f>
        <v>8.61273283282938</v>
      </c>
    </row>
    <row r="1031" spans="1:20" x14ac:dyDescent="0.2">
      <c r="A1031">
        <v>1</v>
      </c>
      <c r="B1031" t="s">
        <v>1049</v>
      </c>
      <c r="C1031">
        <v>25.004747474747401</v>
      </c>
      <c r="D1031">
        <v>948.39190249735202</v>
      </c>
      <c r="E1031">
        <v>2.7206844260563199</v>
      </c>
      <c r="F1031">
        <v>27.767991920727201</v>
      </c>
      <c r="G1031">
        <v>33</v>
      </c>
      <c r="H1031">
        <v>574.51434326171795</v>
      </c>
      <c r="I1031">
        <v>7.8790820685621599E-2</v>
      </c>
      <c r="K1031" s="1" t="str">
        <f>TEXT(stand_validation_1cycle[[#This Row],[stand_age]], ".0")</f>
        <v>25.0</v>
      </c>
      <c r="L1031" s="1" t="str">
        <f t="shared" si="16"/>
        <v>"25.0"</v>
      </c>
      <c r="M1031">
        <v>100</v>
      </c>
      <c r="N1031">
        <f>0.029*stand_validation_1cycle[[#This Row],[stand_level_biomass]]</f>
        <v>27.503365172423209</v>
      </c>
      <c r="O1031">
        <f>0.213*stand_validation_1cycle[[#This Row],[stand_level_biomass]]</f>
        <v>202.00747523193598</v>
      </c>
      <c r="P1031">
        <f>0.571*stand_validation_1cycle[[#This Row],[stand_level_biomass]]</f>
        <v>541.53177632598795</v>
      </c>
      <c r="Q1031">
        <f>stand_validation_1cycle[[#This Row],[stock]]</f>
        <v>33</v>
      </c>
      <c r="R1031">
        <v>0</v>
      </c>
      <c r="S1031">
        <f>stand_validation_1cycle[[#This Row],[aws]]</f>
        <v>574.51434326171795</v>
      </c>
      <c r="T1031">
        <f>stand_validation_1cycle[[#This Row],[percent_tree_cover]]*100</f>
        <v>7.8790820685621599</v>
      </c>
    </row>
    <row r="1032" spans="1:20" x14ac:dyDescent="0.2">
      <c r="A1032">
        <v>1</v>
      </c>
      <c r="B1032" t="s">
        <v>1050</v>
      </c>
      <c r="C1032">
        <v>27.497012345679</v>
      </c>
      <c r="D1032">
        <v>822.20675033295799</v>
      </c>
      <c r="E1032">
        <v>6.7288932671204904</v>
      </c>
      <c r="F1032">
        <v>27.036280614912599</v>
      </c>
      <c r="G1032">
        <v>90</v>
      </c>
      <c r="H1032">
        <v>0</v>
      </c>
      <c r="I1032">
        <v>7.3169297597167698E-2</v>
      </c>
      <c r="K1032" s="1" t="str">
        <f>TEXT(stand_validation_1cycle[[#This Row],[stand_age]], ".0")</f>
        <v>27.5</v>
      </c>
      <c r="L1032" s="1" t="str">
        <f t="shared" si="16"/>
        <v>"27.5"</v>
      </c>
      <c r="M1032">
        <v>100</v>
      </c>
      <c r="N1032">
        <f>0.029*stand_validation_1cycle[[#This Row],[stand_level_biomass]]</f>
        <v>23.843995759655783</v>
      </c>
      <c r="O1032">
        <f>0.213*stand_validation_1cycle[[#This Row],[stand_level_biomass]]</f>
        <v>175.13003782092005</v>
      </c>
      <c r="P1032">
        <f>0.571*stand_validation_1cycle[[#This Row],[stand_level_biomass]]</f>
        <v>469.48005444011898</v>
      </c>
      <c r="Q1032">
        <f>stand_validation_1cycle[[#This Row],[stock]]</f>
        <v>90</v>
      </c>
      <c r="R1032">
        <v>0</v>
      </c>
      <c r="S1032">
        <f>stand_validation_1cycle[[#This Row],[aws]]</f>
        <v>0</v>
      </c>
      <c r="T1032">
        <f>stand_validation_1cycle[[#This Row],[percent_tree_cover]]*100</f>
        <v>7.3169297597167695</v>
      </c>
    </row>
    <row r="1033" spans="1:20" x14ac:dyDescent="0.2">
      <c r="A1033">
        <v>1</v>
      </c>
      <c r="B1033" t="s">
        <v>1051</v>
      </c>
      <c r="C1033">
        <v>27.017599999999899</v>
      </c>
      <c r="D1033">
        <v>828.84783755163005</v>
      </c>
      <c r="E1033">
        <v>7.4056959972612999</v>
      </c>
      <c r="F1033">
        <v>26.391686343915701</v>
      </c>
      <c r="G1033">
        <v>100</v>
      </c>
      <c r="H1033">
        <v>525.458984375</v>
      </c>
      <c r="I1033">
        <v>7.3785274956469998E-2</v>
      </c>
      <c r="K1033" s="1" t="str">
        <f>TEXT(stand_validation_1cycle[[#This Row],[stand_age]], ".0")</f>
        <v>27.0</v>
      </c>
      <c r="L1033" s="1" t="str">
        <f t="shared" si="16"/>
        <v>"27.0"</v>
      </c>
      <c r="M1033">
        <v>100</v>
      </c>
      <c r="N1033">
        <f>0.029*stand_validation_1cycle[[#This Row],[stand_level_biomass]]</f>
        <v>24.036587288997271</v>
      </c>
      <c r="O1033">
        <f>0.213*stand_validation_1cycle[[#This Row],[stand_level_biomass]]</f>
        <v>176.54458939849721</v>
      </c>
      <c r="P1033">
        <f>0.571*stand_validation_1cycle[[#This Row],[stand_level_biomass]]</f>
        <v>473.27211524198071</v>
      </c>
      <c r="Q1033">
        <f>stand_validation_1cycle[[#This Row],[stock]]</f>
        <v>100</v>
      </c>
      <c r="R1033">
        <v>0</v>
      </c>
      <c r="S1033">
        <f>stand_validation_1cycle[[#This Row],[aws]]</f>
        <v>525.458984375</v>
      </c>
      <c r="T1033">
        <f>stand_validation_1cycle[[#This Row],[percent_tree_cover]]*100</f>
        <v>7.3785274956469999</v>
      </c>
    </row>
    <row r="1034" spans="1:20" x14ac:dyDescent="0.2">
      <c r="A1034">
        <v>1</v>
      </c>
      <c r="B1034" t="s">
        <v>1052</v>
      </c>
      <c r="C1034">
        <v>27.2384777777777</v>
      </c>
      <c r="D1034">
        <v>847.55304486007503</v>
      </c>
      <c r="E1034">
        <v>7.5665251207728499</v>
      </c>
      <c r="F1034">
        <v>26.765177782033501</v>
      </c>
      <c r="G1034">
        <v>100</v>
      </c>
      <c r="H1034">
        <v>523.76416015625</v>
      </c>
      <c r="I1034">
        <v>7.53903383864514E-2</v>
      </c>
      <c r="K1034" s="1" t="str">
        <f>TEXT(stand_validation_1cycle[[#This Row],[stand_age]], ".0")</f>
        <v>27.2</v>
      </c>
      <c r="L1034" s="1" t="str">
        <f t="shared" si="16"/>
        <v>"27.2"</v>
      </c>
      <c r="M1034">
        <v>100</v>
      </c>
      <c r="N1034">
        <f>0.029*stand_validation_1cycle[[#This Row],[stand_level_biomass]]</f>
        <v>24.579038300942177</v>
      </c>
      <c r="O1034">
        <f>0.213*stand_validation_1cycle[[#This Row],[stand_level_biomass]]</f>
        <v>180.52879855519598</v>
      </c>
      <c r="P1034">
        <f>0.571*stand_validation_1cycle[[#This Row],[stand_level_biomass]]</f>
        <v>483.9527886151028</v>
      </c>
      <c r="Q1034">
        <f>stand_validation_1cycle[[#This Row],[stock]]</f>
        <v>100</v>
      </c>
      <c r="R1034">
        <v>0</v>
      </c>
      <c r="S1034">
        <f>stand_validation_1cycle[[#This Row],[aws]]</f>
        <v>523.76416015625</v>
      </c>
      <c r="T1034">
        <f>stand_validation_1cycle[[#This Row],[percent_tree_cover]]*100</f>
        <v>7.5390338386451399</v>
      </c>
    </row>
    <row r="1035" spans="1:20" x14ac:dyDescent="0.2">
      <c r="A1035">
        <v>1</v>
      </c>
      <c r="B1035" t="s">
        <v>1053</v>
      </c>
      <c r="C1035">
        <v>26.803355555555498</v>
      </c>
      <c r="D1035">
        <v>944.58658082691602</v>
      </c>
      <c r="E1035">
        <v>8.2633625726637607</v>
      </c>
      <c r="F1035">
        <v>27.7552679727178</v>
      </c>
      <c r="G1035">
        <v>100</v>
      </c>
      <c r="H1035">
        <v>596</v>
      </c>
      <c r="I1035">
        <v>8.2349678270397506E-2</v>
      </c>
      <c r="K1035" s="1" t="str">
        <f>TEXT(stand_validation_1cycle[[#This Row],[stand_age]], ".0")</f>
        <v>26.8</v>
      </c>
      <c r="L1035" s="1" t="str">
        <f t="shared" si="16"/>
        <v>"26.8"</v>
      </c>
      <c r="M1035">
        <v>100</v>
      </c>
      <c r="N1035">
        <f>0.029*stand_validation_1cycle[[#This Row],[stand_level_biomass]]</f>
        <v>27.393010843980566</v>
      </c>
      <c r="O1035">
        <f>0.213*stand_validation_1cycle[[#This Row],[stand_level_biomass]]</f>
        <v>201.1969417161331</v>
      </c>
      <c r="P1035">
        <f>0.571*stand_validation_1cycle[[#This Row],[stand_level_biomass]]</f>
        <v>539.35893765216895</v>
      </c>
      <c r="Q1035">
        <f>stand_validation_1cycle[[#This Row],[stock]]</f>
        <v>100</v>
      </c>
      <c r="R1035">
        <v>0</v>
      </c>
      <c r="S1035">
        <f>stand_validation_1cycle[[#This Row],[aws]]</f>
        <v>596</v>
      </c>
      <c r="T1035">
        <f>stand_validation_1cycle[[#This Row],[percent_tree_cover]]*100</f>
        <v>8.2349678270397497</v>
      </c>
    </row>
    <row r="1036" spans="1:20" x14ac:dyDescent="0.2">
      <c r="A1036">
        <v>1</v>
      </c>
      <c r="B1036" t="s">
        <v>1054</v>
      </c>
      <c r="C1036">
        <v>25.964747474747401</v>
      </c>
      <c r="D1036">
        <v>714.99460480174002</v>
      </c>
      <c r="E1036">
        <v>6.5348260933339599</v>
      </c>
      <c r="F1036">
        <v>25.102541107269801</v>
      </c>
      <c r="G1036">
        <v>99</v>
      </c>
      <c r="H1036">
        <v>596.71270751953102</v>
      </c>
      <c r="I1036">
        <v>6.4892949467465599E-2</v>
      </c>
      <c r="K1036" s="1" t="str">
        <f>TEXT(stand_validation_1cycle[[#This Row],[stand_age]], ".0")</f>
        <v>26.0</v>
      </c>
      <c r="L1036" s="1" t="str">
        <f t="shared" si="16"/>
        <v>"26.0"</v>
      </c>
      <c r="M1036">
        <v>100</v>
      </c>
      <c r="N1036">
        <f>0.029*stand_validation_1cycle[[#This Row],[stand_level_biomass]]</f>
        <v>20.734843539250463</v>
      </c>
      <c r="O1036">
        <f>0.213*stand_validation_1cycle[[#This Row],[stand_level_biomass]]</f>
        <v>152.29385082277062</v>
      </c>
      <c r="P1036">
        <f>0.571*stand_validation_1cycle[[#This Row],[stand_level_biomass]]</f>
        <v>408.26191934179354</v>
      </c>
      <c r="Q1036">
        <f>stand_validation_1cycle[[#This Row],[stock]]</f>
        <v>99</v>
      </c>
      <c r="R1036">
        <v>0</v>
      </c>
      <c r="S1036">
        <f>stand_validation_1cycle[[#This Row],[aws]]</f>
        <v>596.71270751953102</v>
      </c>
      <c r="T1036">
        <f>stand_validation_1cycle[[#This Row],[percent_tree_cover]]*100</f>
        <v>6.4892949467465595</v>
      </c>
    </row>
    <row r="1037" spans="1:20" x14ac:dyDescent="0.2">
      <c r="A1037">
        <v>1</v>
      </c>
      <c r="B1037" t="s">
        <v>1055</v>
      </c>
      <c r="C1037">
        <v>28.376060606060602</v>
      </c>
      <c r="D1037">
        <v>1061.17489772248</v>
      </c>
      <c r="E1037">
        <v>8.9795718702548797</v>
      </c>
      <c r="F1037">
        <v>28.602400713022998</v>
      </c>
      <c r="G1037">
        <v>99</v>
      </c>
      <c r="H1037">
        <v>523.76416015625</v>
      </c>
      <c r="I1037">
        <v>8.8964320274904807E-2</v>
      </c>
      <c r="K1037" s="1" t="str">
        <f>TEXT(stand_validation_1cycle[[#This Row],[stand_age]], ".0")</f>
        <v>28.4</v>
      </c>
      <c r="L1037" s="1" t="str">
        <f t="shared" si="16"/>
        <v>"28.4"</v>
      </c>
      <c r="M1037">
        <v>100</v>
      </c>
      <c r="N1037">
        <f>0.029*stand_validation_1cycle[[#This Row],[stand_level_biomass]]</f>
        <v>30.774072033951921</v>
      </c>
      <c r="O1037">
        <f>0.213*stand_validation_1cycle[[#This Row],[stand_level_biomass]]</f>
        <v>226.03025321488823</v>
      </c>
      <c r="P1037">
        <f>0.571*stand_validation_1cycle[[#This Row],[stand_level_biomass]]</f>
        <v>605.93086659953599</v>
      </c>
      <c r="Q1037">
        <f>stand_validation_1cycle[[#This Row],[stock]]</f>
        <v>99</v>
      </c>
      <c r="R1037">
        <v>0</v>
      </c>
      <c r="S1037">
        <f>stand_validation_1cycle[[#This Row],[aws]]</f>
        <v>523.76416015625</v>
      </c>
      <c r="T1037">
        <f>stand_validation_1cycle[[#This Row],[percent_tree_cover]]*100</f>
        <v>8.89643202749048</v>
      </c>
    </row>
    <row r="1038" spans="1:20" x14ac:dyDescent="0.2">
      <c r="A1038">
        <v>1</v>
      </c>
      <c r="B1038" t="s">
        <v>1056</v>
      </c>
      <c r="C1038">
        <v>28.848866666666598</v>
      </c>
      <c r="D1038">
        <v>1169.1268525748801</v>
      </c>
      <c r="E1038">
        <v>9.7476441501677797</v>
      </c>
      <c r="F1038">
        <v>29.509251305987799</v>
      </c>
      <c r="G1038">
        <v>100</v>
      </c>
      <c r="H1038">
        <v>524.74951171875</v>
      </c>
      <c r="I1038">
        <v>9.7099120954163801E-2</v>
      </c>
      <c r="K1038" s="1" t="str">
        <f>TEXT(stand_validation_1cycle[[#This Row],[stand_age]], ".0")</f>
        <v>28.8</v>
      </c>
      <c r="L1038" s="1" t="str">
        <f t="shared" si="16"/>
        <v>"28.8"</v>
      </c>
      <c r="M1038">
        <v>100</v>
      </c>
      <c r="N1038">
        <f>0.029*stand_validation_1cycle[[#This Row],[stand_level_biomass]]</f>
        <v>33.904678724671527</v>
      </c>
      <c r="O1038">
        <f>0.213*stand_validation_1cycle[[#This Row],[stand_level_biomass]]</f>
        <v>249.02401959844946</v>
      </c>
      <c r="P1038">
        <f>0.571*stand_validation_1cycle[[#This Row],[stand_level_biomass]]</f>
        <v>667.57143282025652</v>
      </c>
      <c r="Q1038">
        <f>stand_validation_1cycle[[#This Row],[stock]]</f>
        <v>100</v>
      </c>
      <c r="R1038">
        <v>0</v>
      </c>
      <c r="S1038">
        <f>stand_validation_1cycle[[#This Row],[aws]]</f>
        <v>524.74951171875</v>
      </c>
      <c r="T1038">
        <f>stand_validation_1cycle[[#This Row],[percent_tree_cover]]*100</f>
        <v>9.7099120954163798</v>
      </c>
    </row>
    <row r="1039" spans="1:20" x14ac:dyDescent="0.2">
      <c r="A1039">
        <v>1</v>
      </c>
      <c r="B1039" t="s">
        <v>1057</v>
      </c>
      <c r="C1039">
        <v>29.4572111111111</v>
      </c>
      <c r="D1039">
        <v>1122.46540009918</v>
      </c>
      <c r="E1039">
        <v>9.4557163652219192</v>
      </c>
      <c r="F1039">
        <v>29.004091048668499</v>
      </c>
      <c r="G1039">
        <v>100</v>
      </c>
      <c r="H1039">
        <v>525.09698486328102</v>
      </c>
      <c r="I1039">
        <v>9.4185538275041503E-2</v>
      </c>
      <c r="K1039" s="1" t="str">
        <f>TEXT(stand_validation_1cycle[[#This Row],[stand_age]], ".0")</f>
        <v>29.5</v>
      </c>
      <c r="L1039" s="1" t="str">
        <f t="shared" si="16"/>
        <v>"29.5"</v>
      </c>
      <c r="M1039">
        <v>100</v>
      </c>
      <c r="N1039">
        <f>0.029*stand_validation_1cycle[[#This Row],[stand_level_biomass]]</f>
        <v>32.55149660287622</v>
      </c>
      <c r="O1039">
        <f>0.213*stand_validation_1cycle[[#This Row],[stand_level_biomass]]</f>
        <v>239.08513022112533</v>
      </c>
      <c r="P1039">
        <f>0.571*stand_validation_1cycle[[#This Row],[stand_level_biomass]]</f>
        <v>640.92774345663167</v>
      </c>
      <c r="Q1039">
        <f>stand_validation_1cycle[[#This Row],[stock]]</f>
        <v>100</v>
      </c>
      <c r="R1039">
        <v>0</v>
      </c>
      <c r="S1039">
        <f>stand_validation_1cycle[[#This Row],[aws]]</f>
        <v>525.09698486328102</v>
      </c>
      <c r="T1039">
        <f>stand_validation_1cycle[[#This Row],[percent_tree_cover]]*100</f>
        <v>9.4185538275041498</v>
      </c>
    </row>
    <row r="1040" spans="1:20" x14ac:dyDescent="0.2">
      <c r="A1040">
        <v>1</v>
      </c>
      <c r="B1040" t="s">
        <v>1058</v>
      </c>
      <c r="C1040">
        <v>25.651054421768698</v>
      </c>
      <c r="D1040">
        <v>661.11552606050998</v>
      </c>
      <c r="E1040">
        <v>6.0159857834082997</v>
      </c>
      <c r="F1040">
        <v>24.363154451869502</v>
      </c>
      <c r="G1040">
        <v>98</v>
      </c>
      <c r="H1040">
        <v>578.17254638671795</v>
      </c>
      <c r="I1040">
        <v>5.9805173021097599E-2</v>
      </c>
      <c r="K1040" s="1" t="str">
        <f>TEXT(stand_validation_1cycle[[#This Row],[stand_age]], ".0")</f>
        <v>25.7</v>
      </c>
      <c r="L1040" s="1" t="str">
        <f t="shared" si="16"/>
        <v>"25.7"</v>
      </c>
      <c r="M1040">
        <v>100</v>
      </c>
      <c r="N1040">
        <f>0.029*stand_validation_1cycle[[#This Row],[stand_level_biomass]]</f>
        <v>19.17235025575479</v>
      </c>
      <c r="O1040">
        <f>0.213*stand_validation_1cycle[[#This Row],[stand_level_biomass]]</f>
        <v>140.81760705088863</v>
      </c>
      <c r="P1040">
        <f>0.571*stand_validation_1cycle[[#This Row],[stand_level_biomass]]</f>
        <v>377.49696538055116</v>
      </c>
      <c r="Q1040">
        <f>stand_validation_1cycle[[#This Row],[stock]]</f>
        <v>98</v>
      </c>
      <c r="R1040">
        <v>0</v>
      </c>
      <c r="S1040">
        <f>stand_validation_1cycle[[#This Row],[aws]]</f>
        <v>578.17254638671795</v>
      </c>
      <c r="T1040">
        <f>stand_validation_1cycle[[#This Row],[percent_tree_cover]]*100</f>
        <v>5.9805173021097602</v>
      </c>
    </row>
    <row r="1041" spans="1:20" x14ac:dyDescent="0.2">
      <c r="A1041">
        <v>1</v>
      </c>
      <c r="B1041" t="s">
        <v>1059</v>
      </c>
      <c r="C1041">
        <v>28.2744111111111</v>
      </c>
      <c r="D1041">
        <v>825.77746237245401</v>
      </c>
      <c r="E1041">
        <v>7.3735669291930401</v>
      </c>
      <c r="F1041">
        <v>26.646874696102099</v>
      </c>
      <c r="G1041">
        <v>100</v>
      </c>
      <c r="H1041">
        <v>570.66162109375</v>
      </c>
      <c r="I1041">
        <v>7.3460774561468406E-2</v>
      </c>
      <c r="K1041" s="1" t="str">
        <f>TEXT(stand_validation_1cycle[[#This Row],[stand_age]], ".0")</f>
        <v>28.3</v>
      </c>
      <c r="L1041" s="1" t="str">
        <f t="shared" si="16"/>
        <v>"28.3"</v>
      </c>
      <c r="M1041">
        <v>100</v>
      </c>
      <c r="N1041">
        <f>0.029*stand_validation_1cycle[[#This Row],[stand_level_biomass]]</f>
        <v>23.947546408801166</v>
      </c>
      <c r="O1041">
        <f>0.213*stand_validation_1cycle[[#This Row],[stand_level_biomass]]</f>
        <v>175.8905994853327</v>
      </c>
      <c r="P1041">
        <f>0.571*stand_validation_1cycle[[#This Row],[stand_level_biomass]]</f>
        <v>471.51893101467118</v>
      </c>
      <c r="Q1041">
        <f>stand_validation_1cycle[[#This Row],[stock]]</f>
        <v>100</v>
      </c>
      <c r="R1041">
        <v>0</v>
      </c>
      <c r="S1041">
        <f>stand_validation_1cycle[[#This Row],[aws]]</f>
        <v>570.66162109375</v>
      </c>
      <c r="T1041">
        <f>stand_validation_1cycle[[#This Row],[percent_tree_cover]]*100</f>
        <v>7.3460774561468405</v>
      </c>
    </row>
    <row r="1042" spans="1:20" x14ac:dyDescent="0.2">
      <c r="A1042">
        <v>1</v>
      </c>
      <c r="B1042" t="s">
        <v>1060</v>
      </c>
      <c r="C1042">
        <v>25.978577777777701</v>
      </c>
      <c r="D1042">
        <v>643.71657785222203</v>
      </c>
      <c r="E1042">
        <v>6.1101039723190302</v>
      </c>
      <c r="F1042">
        <v>24.676633524714202</v>
      </c>
      <c r="G1042">
        <v>100</v>
      </c>
      <c r="H1042">
        <v>573.36859130859295</v>
      </c>
      <c r="I1042">
        <v>6.0895839291651897E-2</v>
      </c>
      <c r="K1042" s="1" t="str">
        <f>TEXT(stand_validation_1cycle[[#This Row],[stand_age]], ".0")</f>
        <v>26.0</v>
      </c>
      <c r="L1042" s="1" t="str">
        <f t="shared" si="16"/>
        <v>"26.0"</v>
      </c>
      <c r="M1042">
        <v>100</v>
      </c>
      <c r="N1042">
        <f>0.029*stand_validation_1cycle[[#This Row],[stand_level_biomass]]</f>
        <v>18.667780757714439</v>
      </c>
      <c r="O1042">
        <f>0.213*stand_validation_1cycle[[#This Row],[stand_level_biomass]]</f>
        <v>137.1116310825233</v>
      </c>
      <c r="P1042">
        <f>0.571*stand_validation_1cycle[[#This Row],[stand_level_biomass]]</f>
        <v>367.56216595361877</v>
      </c>
      <c r="Q1042">
        <f>stand_validation_1cycle[[#This Row],[stock]]</f>
        <v>100</v>
      </c>
      <c r="R1042">
        <v>0</v>
      </c>
      <c r="S1042">
        <f>stand_validation_1cycle[[#This Row],[aws]]</f>
        <v>573.36859130859295</v>
      </c>
      <c r="T1042">
        <f>stand_validation_1cycle[[#This Row],[percent_tree_cover]]*100</f>
        <v>6.0895839291651894</v>
      </c>
    </row>
    <row r="1043" spans="1:20" x14ac:dyDescent="0.2">
      <c r="A1043">
        <v>1</v>
      </c>
      <c r="B1043" t="s">
        <v>1061</v>
      </c>
      <c r="C1043">
        <v>24.2980498866213</v>
      </c>
      <c r="D1043">
        <v>620.20541387939898</v>
      </c>
      <c r="E1043">
        <v>5.8746643794792099</v>
      </c>
      <c r="F1043">
        <v>24.450533013792199</v>
      </c>
      <c r="G1043">
        <v>98</v>
      </c>
      <c r="H1043">
        <v>571.16070556640602</v>
      </c>
      <c r="I1043">
        <v>5.8009508157490397E-2</v>
      </c>
      <c r="K1043" s="1" t="str">
        <f>TEXT(stand_validation_1cycle[[#This Row],[stand_age]], ".0")</f>
        <v>24.3</v>
      </c>
      <c r="L1043" s="1" t="str">
        <f t="shared" si="16"/>
        <v>"24.3"</v>
      </c>
      <c r="M1043">
        <v>100</v>
      </c>
      <c r="N1043">
        <f>0.029*stand_validation_1cycle[[#This Row],[stand_level_biomass]]</f>
        <v>17.98595700250257</v>
      </c>
      <c r="O1043">
        <f>0.213*stand_validation_1cycle[[#This Row],[stand_level_biomass]]</f>
        <v>132.10375315631197</v>
      </c>
      <c r="P1043">
        <f>0.571*stand_validation_1cycle[[#This Row],[stand_level_biomass]]</f>
        <v>354.1372913251368</v>
      </c>
      <c r="Q1043">
        <f>stand_validation_1cycle[[#This Row],[stock]]</f>
        <v>98</v>
      </c>
      <c r="R1043">
        <v>0</v>
      </c>
      <c r="S1043">
        <f>stand_validation_1cycle[[#This Row],[aws]]</f>
        <v>571.16070556640602</v>
      </c>
      <c r="T1043">
        <f>stand_validation_1cycle[[#This Row],[percent_tree_cover]]*100</f>
        <v>5.8009508157490401</v>
      </c>
    </row>
    <row r="1044" spans="1:20" x14ac:dyDescent="0.2">
      <c r="A1044">
        <v>1</v>
      </c>
      <c r="B1044" t="s">
        <v>1062</v>
      </c>
      <c r="C1044">
        <v>29.141166666666599</v>
      </c>
      <c r="D1044">
        <v>1002.39147236902</v>
      </c>
      <c r="E1044">
        <v>8.7091412184393793</v>
      </c>
      <c r="F1044">
        <v>28.659638201044999</v>
      </c>
      <c r="G1044">
        <v>100</v>
      </c>
      <c r="H1044">
        <v>566.87634277343705</v>
      </c>
      <c r="I1044">
        <v>8.6767407705243604E-2</v>
      </c>
      <c r="K1044" s="1" t="str">
        <f>TEXT(stand_validation_1cycle[[#This Row],[stand_age]], ".0")</f>
        <v>29.1</v>
      </c>
      <c r="L1044" s="1" t="str">
        <f t="shared" si="16"/>
        <v>"29.1"</v>
      </c>
      <c r="M1044">
        <v>100</v>
      </c>
      <c r="N1044">
        <f>0.029*stand_validation_1cycle[[#This Row],[stand_level_biomass]]</f>
        <v>29.069352698701582</v>
      </c>
      <c r="O1044">
        <f>0.213*stand_validation_1cycle[[#This Row],[stand_level_biomass]]</f>
        <v>213.50938361460126</v>
      </c>
      <c r="P1044">
        <f>0.571*stand_validation_1cycle[[#This Row],[stand_level_biomass]]</f>
        <v>572.36553072271033</v>
      </c>
      <c r="Q1044">
        <f>stand_validation_1cycle[[#This Row],[stock]]</f>
        <v>100</v>
      </c>
      <c r="R1044">
        <v>0</v>
      </c>
      <c r="S1044">
        <f>stand_validation_1cycle[[#This Row],[aws]]</f>
        <v>566.87634277343705</v>
      </c>
      <c r="T1044">
        <f>stand_validation_1cycle[[#This Row],[percent_tree_cover]]*100</f>
        <v>8.6767407705243613</v>
      </c>
    </row>
    <row r="1045" spans="1:20" x14ac:dyDescent="0.2">
      <c r="A1045">
        <v>1</v>
      </c>
      <c r="B1045" t="s">
        <v>1063</v>
      </c>
      <c r="C1045">
        <v>28.935011111111098</v>
      </c>
      <c r="D1045">
        <v>850.70213577664003</v>
      </c>
      <c r="E1045">
        <v>7.6598618385110004</v>
      </c>
      <c r="F1045">
        <v>27.541755648573499</v>
      </c>
      <c r="G1045">
        <v>100</v>
      </c>
      <c r="H1045">
        <v>573</v>
      </c>
      <c r="I1045">
        <v>7.6323446502285605E-2</v>
      </c>
      <c r="K1045" s="1" t="str">
        <f>TEXT(stand_validation_1cycle[[#This Row],[stand_age]], ".0")</f>
        <v>28.9</v>
      </c>
      <c r="L1045" s="1" t="str">
        <f t="shared" si="16"/>
        <v>"28.9"</v>
      </c>
      <c r="M1045">
        <v>100</v>
      </c>
      <c r="N1045">
        <f>0.029*stand_validation_1cycle[[#This Row],[stand_level_biomass]]</f>
        <v>24.670361937522561</v>
      </c>
      <c r="O1045">
        <f>0.213*stand_validation_1cycle[[#This Row],[stand_level_biomass]]</f>
        <v>181.19955492042433</v>
      </c>
      <c r="P1045">
        <f>0.571*stand_validation_1cycle[[#This Row],[stand_level_biomass]]</f>
        <v>485.7509195284614</v>
      </c>
      <c r="Q1045">
        <f>stand_validation_1cycle[[#This Row],[stock]]</f>
        <v>100</v>
      </c>
      <c r="R1045">
        <v>0</v>
      </c>
      <c r="S1045">
        <f>stand_validation_1cycle[[#This Row],[aws]]</f>
        <v>573</v>
      </c>
      <c r="T1045">
        <f>stand_validation_1cycle[[#This Row],[percent_tree_cover]]*100</f>
        <v>7.6323446502285606</v>
      </c>
    </row>
    <row r="1046" spans="1:20" x14ac:dyDescent="0.2">
      <c r="A1046">
        <v>1</v>
      </c>
      <c r="B1046" t="s">
        <v>1064</v>
      </c>
      <c r="C1046">
        <v>26.387048260381501</v>
      </c>
      <c r="D1046">
        <v>572.85094330148002</v>
      </c>
      <c r="E1046">
        <v>5.6134213153791404</v>
      </c>
      <c r="F1046">
        <v>24.467435258189699</v>
      </c>
      <c r="G1046">
        <v>99</v>
      </c>
      <c r="H1046">
        <v>567.72796630859295</v>
      </c>
      <c r="I1046">
        <v>5.5928760730486297E-2</v>
      </c>
      <c r="K1046" s="1" t="str">
        <f>TEXT(stand_validation_1cycle[[#This Row],[stand_age]], ".0")</f>
        <v>26.4</v>
      </c>
      <c r="L1046" s="1" t="str">
        <f t="shared" si="16"/>
        <v>"26.4"</v>
      </c>
      <c r="M1046">
        <v>100</v>
      </c>
      <c r="N1046">
        <f>0.029*stand_validation_1cycle[[#This Row],[stand_level_biomass]]</f>
        <v>16.612677355742921</v>
      </c>
      <c r="O1046">
        <f>0.213*stand_validation_1cycle[[#This Row],[stand_level_biomass]]</f>
        <v>122.01725092321524</v>
      </c>
      <c r="P1046">
        <f>0.571*stand_validation_1cycle[[#This Row],[stand_level_biomass]]</f>
        <v>327.09788862514506</v>
      </c>
      <c r="Q1046">
        <f>stand_validation_1cycle[[#This Row],[stock]]</f>
        <v>99</v>
      </c>
      <c r="R1046">
        <v>0</v>
      </c>
      <c r="S1046">
        <f>stand_validation_1cycle[[#This Row],[aws]]</f>
        <v>567.72796630859295</v>
      </c>
      <c r="T1046">
        <f>stand_validation_1cycle[[#This Row],[percent_tree_cover]]*100</f>
        <v>5.5928760730486298</v>
      </c>
    </row>
    <row r="1047" spans="1:20" x14ac:dyDescent="0.2">
      <c r="A1047">
        <v>1</v>
      </c>
      <c r="B1047" t="s">
        <v>1065</v>
      </c>
      <c r="C1047">
        <v>26.983820861678002</v>
      </c>
      <c r="D1047">
        <v>731.01073545418603</v>
      </c>
      <c r="E1047">
        <v>6.7391607773105804</v>
      </c>
      <c r="F1047">
        <v>26.525593363563399</v>
      </c>
      <c r="G1047">
        <v>98</v>
      </c>
      <c r="H1047">
        <v>572.94714355468705</v>
      </c>
      <c r="I1047">
        <v>6.6702265403319999E-2</v>
      </c>
      <c r="K1047" s="1" t="str">
        <f>TEXT(stand_validation_1cycle[[#This Row],[stand_age]], ".0")</f>
        <v>27.0</v>
      </c>
      <c r="L1047" s="1" t="str">
        <f t="shared" si="16"/>
        <v>"27.0"</v>
      </c>
      <c r="M1047">
        <v>100</v>
      </c>
      <c r="N1047">
        <f>0.029*stand_validation_1cycle[[#This Row],[stand_level_biomass]]</f>
        <v>21.199311328171397</v>
      </c>
      <c r="O1047">
        <f>0.213*stand_validation_1cycle[[#This Row],[stand_level_biomass]]</f>
        <v>155.70528665174163</v>
      </c>
      <c r="P1047">
        <f>0.571*stand_validation_1cycle[[#This Row],[stand_level_biomass]]</f>
        <v>417.40712994434017</v>
      </c>
      <c r="Q1047">
        <f>stand_validation_1cycle[[#This Row],[stock]]</f>
        <v>98</v>
      </c>
      <c r="R1047">
        <v>0</v>
      </c>
      <c r="S1047">
        <f>stand_validation_1cycle[[#This Row],[aws]]</f>
        <v>572.94714355468705</v>
      </c>
      <c r="T1047">
        <f>stand_validation_1cycle[[#This Row],[percent_tree_cover]]*100</f>
        <v>6.670226540332</v>
      </c>
    </row>
    <row r="1048" spans="1:20" x14ac:dyDescent="0.2">
      <c r="A1048">
        <v>1</v>
      </c>
      <c r="B1048" t="s">
        <v>1066</v>
      </c>
      <c r="C1048">
        <v>28.5527555555555</v>
      </c>
      <c r="D1048">
        <v>899.06593747529405</v>
      </c>
      <c r="E1048">
        <v>7.8994577584315202</v>
      </c>
      <c r="F1048">
        <v>27.0860736199614</v>
      </c>
      <c r="G1048">
        <v>100</v>
      </c>
      <c r="H1048">
        <v>566.78308105468705</v>
      </c>
      <c r="I1048">
        <v>7.8686916069073604E-2</v>
      </c>
      <c r="K1048" s="1" t="str">
        <f>TEXT(stand_validation_1cycle[[#This Row],[stand_age]], ".0")</f>
        <v>28.6</v>
      </c>
      <c r="L1048" s="1" t="str">
        <f t="shared" si="16"/>
        <v>"28.6"</v>
      </c>
      <c r="M1048">
        <v>100</v>
      </c>
      <c r="N1048">
        <f>0.029*stand_validation_1cycle[[#This Row],[stand_level_biomass]]</f>
        <v>26.07291218678353</v>
      </c>
      <c r="O1048">
        <f>0.213*stand_validation_1cycle[[#This Row],[stand_level_biomass]]</f>
        <v>191.50104468223762</v>
      </c>
      <c r="P1048">
        <f>0.571*stand_validation_1cycle[[#This Row],[stand_level_biomass]]</f>
        <v>513.36665029839287</v>
      </c>
      <c r="Q1048">
        <f>stand_validation_1cycle[[#This Row],[stock]]</f>
        <v>100</v>
      </c>
      <c r="R1048">
        <v>0</v>
      </c>
      <c r="S1048">
        <f>stand_validation_1cycle[[#This Row],[aws]]</f>
        <v>566.78308105468705</v>
      </c>
      <c r="T1048">
        <f>stand_validation_1cycle[[#This Row],[percent_tree_cover]]*100</f>
        <v>7.86869160690736</v>
      </c>
    </row>
    <row r="1049" spans="1:20" x14ac:dyDescent="0.2">
      <c r="A1049">
        <v>1</v>
      </c>
      <c r="B1049" t="s">
        <v>1067</v>
      </c>
      <c r="C1049">
        <v>30.035433333333302</v>
      </c>
      <c r="D1049">
        <v>896.43798803059201</v>
      </c>
      <c r="E1049">
        <v>7.9831246539819203</v>
      </c>
      <c r="F1049">
        <v>27.9631898484785</v>
      </c>
      <c r="G1049">
        <v>100</v>
      </c>
      <c r="H1049">
        <v>566.78308105468705</v>
      </c>
      <c r="I1049">
        <v>7.9526413136121493E-2</v>
      </c>
      <c r="K1049" s="1" t="str">
        <f>TEXT(stand_validation_1cycle[[#This Row],[stand_age]], ".0")</f>
        <v>30.0</v>
      </c>
      <c r="L1049" s="1" t="str">
        <f t="shared" si="16"/>
        <v>"30.0"</v>
      </c>
      <c r="M1049">
        <v>100</v>
      </c>
      <c r="N1049">
        <f>0.029*stand_validation_1cycle[[#This Row],[stand_level_biomass]]</f>
        <v>25.996701652887168</v>
      </c>
      <c r="O1049">
        <f>0.213*stand_validation_1cycle[[#This Row],[stand_level_biomass]]</f>
        <v>190.9412914505161</v>
      </c>
      <c r="P1049">
        <f>0.571*stand_validation_1cycle[[#This Row],[stand_level_biomass]]</f>
        <v>511.86609116546799</v>
      </c>
      <c r="Q1049">
        <f>stand_validation_1cycle[[#This Row],[stock]]</f>
        <v>100</v>
      </c>
      <c r="R1049">
        <v>0</v>
      </c>
      <c r="S1049">
        <f>stand_validation_1cycle[[#This Row],[aws]]</f>
        <v>566.78308105468705</v>
      </c>
      <c r="T1049">
        <f>stand_validation_1cycle[[#This Row],[percent_tree_cover]]*100</f>
        <v>7.9526413136121494</v>
      </c>
    </row>
    <row r="1050" spans="1:20" x14ac:dyDescent="0.2">
      <c r="A1050">
        <v>1</v>
      </c>
      <c r="B1050" t="s">
        <v>1068</v>
      </c>
      <c r="C1050">
        <v>25.1483888888888</v>
      </c>
      <c r="D1050">
        <v>689.59196171779502</v>
      </c>
      <c r="E1050">
        <v>6.3099587451716399</v>
      </c>
      <c r="F1050">
        <v>24.2772952295621</v>
      </c>
      <c r="G1050">
        <v>100</v>
      </c>
      <c r="H1050">
        <v>572.57708740234295</v>
      </c>
      <c r="I1050">
        <v>6.2882695544986905E-2</v>
      </c>
      <c r="K1050" s="1" t="str">
        <f>TEXT(stand_validation_1cycle[[#This Row],[stand_age]], ".0")</f>
        <v>25.1</v>
      </c>
      <c r="L1050" s="1" t="str">
        <f t="shared" si="16"/>
        <v>"25.1"</v>
      </c>
      <c r="M1050">
        <v>100</v>
      </c>
      <c r="N1050">
        <f>0.029*stand_validation_1cycle[[#This Row],[stand_level_biomass]]</f>
        <v>19.998166889816055</v>
      </c>
      <c r="O1050">
        <f>0.213*stand_validation_1cycle[[#This Row],[stand_level_biomass]]</f>
        <v>146.88308784589034</v>
      </c>
      <c r="P1050">
        <f>0.571*stand_validation_1cycle[[#This Row],[stand_level_biomass]]</f>
        <v>393.75701014086093</v>
      </c>
      <c r="Q1050">
        <f>stand_validation_1cycle[[#This Row],[stock]]</f>
        <v>100</v>
      </c>
      <c r="R1050">
        <v>0</v>
      </c>
      <c r="S1050">
        <f>stand_validation_1cycle[[#This Row],[aws]]</f>
        <v>572.57708740234295</v>
      </c>
      <c r="T1050">
        <f>stand_validation_1cycle[[#This Row],[percent_tree_cover]]*100</f>
        <v>6.2882695544986902</v>
      </c>
    </row>
    <row r="1051" spans="1:20" x14ac:dyDescent="0.2">
      <c r="A1051">
        <v>1</v>
      </c>
      <c r="B1051" t="s">
        <v>1069</v>
      </c>
      <c r="C1051">
        <v>22.2994285714285</v>
      </c>
      <c r="D1051">
        <v>514.95799283495603</v>
      </c>
      <c r="E1051">
        <v>1.8099516383457399</v>
      </c>
      <c r="F1051">
        <v>23.171222885659098</v>
      </c>
      <c r="G1051">
        <v>35</v>
      </c>
      <c r="H1051">
        <v>572.57708740234295</v>
      </c>
      <c r="I1051">
        <v>5.2454989103970097E-2</v>
      </c>
      <c r="K1051" s="1" t="str">
        <f>TEXT(stand_validation_1cycle[[#This Row],[stand_age]], ".0")</f>
        <v>22.3</v>
      </c>
      <c r="L1051" s="1" t="str">
        <f t="shared" si="16"/>
        <v>"22.3"</v>
      </c>
      <c r="M1051">
        <v>100</v>
      </c>
      <c r="N1051">
        <f>0.029*stand_validation_1cycle[[#This Row],[stand_level_biomass]]</f>
        <v>14.933781792213725</v>
      </c>
      <c r="O1051">
        <f>0.213*stand_validation_1cycle[[#This Row],[stand_level_biomass]]</f>
        <v>109.68605247384563</v>
      </c>
      <c r="P1051">
        <f>0.571*stand_validation_1cycle[[#This Row],[stand_level_biomass]]</f>
        <v>294.04101390875985</v>
      </c>
      <c r="Q1051">
        <f>stand_validation_1cycle[[#This Row],[stock]]</f>
        <v>35</v>
      </c>
      <c r="R1051">
        <v>0</v>
      </c>
      <c r="S1051">
        <f>stand_validation_1cycle[[#This Row],[aws]]</f>
        <v>572.57708740234295</v>
      </c>
      <c r="T1051">
        <f>stand_validation_1cycle[[#This Row],[percent_tree_cover]]*100</f>
        <v>5.2454989103970098</v>
      </c>
    </row>
    <row r="1052" spans="1:20" x14ac:dyDescent="0.2">
      <c r="A1052">
        <v>1</v>
      </c>
      <c r="B1052" t="s">
        <v>1070</v>
      </c>
      <c r="C1052">
        <v>29.775140415140399</v>
      </c>
      <c r="D1052">
        <v>1044.5609084319201</v>
      </c>
      <c r="E1052">
        <v>8.1799792058503495</v>
      </c>
      <c r="F1052">
        <v>28.958908206137298</v>
      </c>
      <c r="G1052">
        <v>91</v>
      </c>
      <c r="H1052">
        <v>0</v>
      </c>
      <c r="I1052">
        <v>8.94709400678496E-2</v>
      </c>
      <c r="K1052" s="1" t="str">
        <f>TEXT(stand_validation_1cycle[[#This Row],[stand_age]], ".0")</f>
        <v>29.8</v>
      </c>
      <c r="L1052" s="1" t="str">
        <f t="shared" si="16"/>
        <v>"29.8"</v>
      </c>
      <c r="M1052">
        <v>100</v>
      </c>
      <c r="N1052">
        <f>0.029*stand_validation_1cycle[[#This Row],[stand_level_biomass]]</f>
        <v>30.292266344525686</v>
      </c>
      <c r="O1052">
        <f>0.213*stand_validation_1cycle[[#This Row],[stand_level_biomass]]</f>
        <v>222.49147349599897</v>
      </c>
      <c r="P1052">
        <f>0.571*stand_validation_1cycle[[#This Row],[stand_level_biomass]]</f>
        <v>596.44427871462631</v>
      </c>
      <c r="Q1052">
        <f>stand_validation_1cycle[[#This Row],[stock]]</f>
        <v>91</v>
      </c>
      <c r="R1052">
        <v>0</v>
      </c>
      <c r="S1052">
        <f>stand_validation_1cycle[[#This Row],[aws]]</f>
        <v>0</v>
      </c>
      <c r="T1052">
        <f>stand_validation_1cycle[[#This Row],[percent_tree_cover]]*100</f>
        <v>8.94709400678496</v>
      </c>
    </row>
    <row r="1053" spans="1:20" x14ac:dyDescent="0.2">
      <c r="A1053">
        <v>1</v>
      </c>
      <c r="B1053" t="s">
        <v>1071</v>
      </c>
      <c r="C1053">
        <v>28.149011111111101</v>
      </c>
      <c r="D1053">
        <v>816.64829496089601</v>
      </c>
      <c r="E1053">
        <v>7.3790655017349804</v>
      </c>
      <c r="F1053">
        <v>26.745216448573501</v>
      </c>
      <c r="G1053">
        <v>100</v>
      </c>
      <c r="H1053">
        <v>524.64001464843705</v>
      </c>
      <c r="I1053">
        <v>7.3521790014524496E-2</v>
      </c>
      <c r="K1053" s="1" t="str">
        <f>TEXT(stand_validation_1cycle[[#This Row],[stand_age]], ".0")</f>
        <v>28.1</v>
      </c>
      <c r="L1053" s="1" t="str">
        <f t="shared" si="16"/>
        <v>"28.1"</v>
      </c>
      <c r="M1053">
        <v>100</v>
      </c>
      <c r="N1053">
        <f>0.029*stand_validation_1cycle[[#This Row],[stand_level_biomass]]</f>
        <v>23.682800553865984</v>
      </c>
      <c r="O1053">
        <f>0.213*stand_validation_1cycle[[#This Row],[stand_level_biomass]]</f>
        <v>173.94608682667084</v>
      </c>
      <c r="P1053">
        <f>0.571*stand_validation_1cycle[[#This Row],[stand_level_biomass]]</f>
        <v>466.30617642267157</v>
      </c>
      <c r="Q1053">
        <f>stand_validation_1cycle[[#This Row],[stock]]</f>
        <v>100</v>
      </c>
      <c r="R1053">
        <v>0</v>
      </c>
      <c r="S1053">
        <f>stand_validation_1cycle[[#This Row],[aws]]</f>
        <v>524.64001464843705</v>
      </c>
      <c r="T1053">
        <f>stand_validation_1cycle[[#This Row],[percent_tree_cover]]*100</f>
        <v>7.3521790014524493</v>
      </c>
    </row>
    <row r="1054" spans="1:20" x14ac:dyDescent="0.2">
      <c r="A1054">
        <v>1</v>
      </c>
      <c r="B1054" t="s">
        <v>1072</v>
      </c>
      <c r="C1054">
        <v>27.350145903479198</v>
      </c>
      <c r="D1054">
        <v>819.67817366033398</v>
      </c>
      <c r="E1054">
        <v>7.27342395097088</v>
      </c>
      <c r="F1054">
        <v>26.308650342492701</v>
      </c>
      <c r="G1054">
        <v>99</v>
      </c>
      <c r="H1054">
        <v>523.76416015625</v>
      </c>
      <c r="I1054">
        <v>7.2162395464673804E-2</v>
      </c>
      <c r="K1054" s="1" t="str">
        <f>TEXT(stand_validation_1cycle[[#This Row],[stand_age]], ".0")</f>
        <v>27.4</v>
      </c>
      <c r="L1054" s="1" t="str">
        <f t="shared" si="16"/>
        <v>"27.4"</v>
      </c>
      <c r="M1054">
        <v>100</v>
      </c>
      <c r="N1054">
        <f>0.029*stand_validation_1cycle[[#This Row],[stand_level_biomass]]</f>
        <v>23.770667036149685</v>
      </c>
      <c r="O1054">
        <f>0.213*stand_validation_1cycle[[#This Row],[stand_level_biomass]]</f>
        <v>174.59145098965112</v>
      </c>
      <c r="P1054">
        <f>0.571*stand_validation_1cycle[[#This Row],[stand_level_biomass]]</f>
        <v>468.03623716005069</v>
      </c>
      <c r="Q1054">
        <f>stand_validation_1cycle[[#This Row],[stock]]</f>
        <v>99</v>
      </c>
      <c r="R1054">
        <v>0</v>
      </c>
      <c r="S1054">
        <f>stand_validation_1cycle[[#This Row],[aws]]</f>
        <v>523.76416015625</v>
      </c>
      <c r="T1054">
        <f>stand_validation_1cycle[[#This Row],[percent_tree_cover]]*100</f>
        <v>7.2162395464673805</v>
      </c>
    </row>
    <row r="1055" spans="1:20" x14ac:dyDescent="0.2">
      <c r="A1055">
        <v>1</v>
      </c>
      <c r="B1055" t="s">
        <v>1073</v>
      </c>
      <c r="C1055">
        <v>27.279411111111099</v>
      </c>
      <c r="D1055">
        <v>887.78716275803004</v>
      </c>
      <c r="E1055">
        <v>7.8396944559841097</v>
      </c>
      <c r="F1055">
        <v>27.145059572527799</v>
      </c>
      <c r="G1055">
        <v>100</v>
      </c>
      <c r="H1055">
        <v>596</v>
      </c>
      <c r="I1055">
        <v>7.8121074257753095E-2</v>
      </c>
      <c r="K1055" s="1" t="str">
        <f>TEXT(stand_validation_1cycle[[#This Row],[stand_age]], ".0")</f>
        <v>27.3</v>
      </c>
      <c r="L1055" s="1" t="str">
        <f t="shared" si="16"/>
        <v>"27.3"</v>
      </c>
      <c r="M1055">
        <v>100</v>
      </c>
      <c r="N1055">
        <f>0.029*stand_validation_1cycle[[#This Row],[stand_level_biomass]]</f>
        <v>25.745827719982874</v>
      </c>
      <c r="O1055">
        <f>0.213*stand_validation_1cycle[[#This Row],[stand_level_biomass]]</f>
        <v>189.09866566746038</v>
      </c>
      <c r="P1055">
        <f>0.571*stand_validation_1cycle[[#This Row],[stand_level_biomass]]</f>
        <v>506.9264699348351</v>
      </c>
      <c r="Q1055">
        <f>stand_validation_1cycle[[#This Row],[stock]]</f>
        <v>100</v>
      </c>
      <c r="R1055">
        <v>0</v>
      </c>
      <c r="S1055">
        <f>stand_validation_1cycle[[#This Row],[aws]]</f>
        <v>596</v>
      </c>
      <c r="T1055">
        <f>stand_validation_1cycle[[#This Row],[percent_tree_cover]]*100</f>
        <v>7.8121074257753094</v>
      </c>
    </row>
    <row r="1056" spans="1:20" x14ac:dyDescent="0.2">
      <c r="A1056">
        <v>1</v>
      </c>
      <c r="B1056" t="s">
        <v>1074</v>
      </c>
      <c r="C1056">
        <v>26.938989898989899</v>
      </c>
      <c r="D1056">
        <v>802.92303689006803</v>
      </c>
      <c r="E1056">
        <v>7.1905314580095903</v>
      </c>
      <c r="F1056">
        <v>26.370399048756799</v>
      </c>
      <c r="G1056">
        <v>99</v>
      </c>
      <c r="H1056">
        <v>595.43988037109295</v>
      </c>
      <c r="I1056">
        <v>7.1651233979936196E-2</v>
      </c>
      <c r="K1056" s="1" t="str">
        <f>TEXT(stand_validation_1cycle[[#This Row],[stand_age]], ".0")</f>
        <v>26.9</v>
      </c>
      <c r="L1056" s="1" t="str">
        <f t="shared" si="16"/>
        <v>"26.9"</v>
      </c>
      <c r="M1056">
        <v>100</v>
      </c>
      <c r="N1056">
        <f>0.029*stand_validation_1cycle[[#This Row],[stand_level_biomass]]</f>
        <v>23.284768069811975</v>
      </c>
      <c r="O1056">
        <f>0.213*stand_validation_1cycle[[#This Row],[stand_level_biomass]]</f>
        <v>171.02260685758449</v>
      </c>
      <c r="P1056">
        <f>0.571*stand_validation_1cycle[[#This Row],[stand_level_biomass]]</f>
        <v>458.46905406422883</v>
      </c>
      <c r="Q1056">
        <f>stand_validation_1cycle[[#This Row],[stock]]</f>
        <v>99</v>
      </c>
      <c r="R1056">
        <v>0</v>
      </c>
      <c r="S1056">
        <f>stand_validation_1cycle[[#This Row],[aws]]</f>
        <v>595.43988037109295</v>
      </c>
      <c r="T1056">
        <f>stand_validation_1cycle[[#This Row],[percent_tree_cover]]*100</f>
        <v>7.1651233979936197</v>
      </c>
    </row>
    <row r="1057" spans="1:20" x14ac:dyDescent="0.2">
      <c r="A1057">
        <v>1</v>
      </c>
      <c r="B1057" t="s">
        <v>1075</v>
      </c>
      <c r="C1057">
        <v>26.023468013468001</v>
      </c>
      <c r="D1057">
        <v>795.54284884972503</v>
      </c>
      <c r="E1057">
        <v>7.0673951631558101</v>
      </c>
      <c r="F1057">
        <v>25.803237596112499</v>
      </c>
      <c r="G1057">
        <v>99</v>
      </c>
      <c r="H1057">
        <v>523.76416015625</v>
      </c>
      <c r="I1057">
        <v>7.0283528601330206E-2</v>
      </c>
      <c r="K1057" s="1" t="str">
        <f>TEXT(stand_validation_1cycle[[#This Row],[stand_age]], ".0")</f>
        <v>26.0</v>
      </c>
      <c r="L1057" s="1" t="str">
        <f t="shared" si="16"/>
        <v>"26.0"</v>
      </c>
      <c r="M1057">
        <v>100</v>
      </c>
      <c r="N1057">
        <f>0.029*stand_validation_1cycle[[#This Row],[stand_level_biomass]]</f>
        <v>23.070742616642026</v>
      </c>
      <c r="O1057">
        <f>0.213*stand_validation_1cycle[[#This Row],[stand_level_biomass]]</f>
        <v>169.45062680499143</v>
      </c>
      <c r="P1057">
        <f>0.571*stand_validation_1cycle[[#This Row],[stand_level_biomass]]</f>
        <v>454.25496669319296</v>
      </c>
      <c r="Q1057">
        <f>stand_validation_1cycle[[#This Row],[stock]]</f>
        <v>99</v>
      </c>
      <c r="R1057">
        <v>0</v>
      </c>
      <c r="S1057">
        <f>stand_validation_1cycle[[#This Row],[aws]]</f>
        <v>523.76416015625</v>
      </c>
      <c r="T1057">
        <f>stand_validation_1cycle[[#This Row],[percent_tree_cover]]*100</f>
        <v>7.0283528601330207</v>
      </c>
    </row>
    <row r="1058" spans="1:20" x14ac:dyDescent="0.2">
      <c r="A1058">
        <v>1</v>
      </c>
      <c r="B1058" t="s">
        <v>1076</v>
      </c>
      <c r="C1058">
        <v>26.794803591470199</v>
      </c>
      <c r="D1058">
        <v>789.767700588102</v>
      </c>
      <c r="E1058">
        <v>7.0856823739923502</v>
      </c>
      <c r="F1058">
        <v>26.0717311794747</v>
      </c>
      <c r="G1058">
        <v>99</v>
      </c>
      <c r="H1058">
        <v>525.82208251953102</v>
      </c>
      <c r="I1058">
        <v>7.0493235478618299E-2</v>
      </c>
      <c r="K1058" s="1" t="str">
        <f>TEXT(stand_validation_1cycle[[#This Row],[stand_age]], ".0")</f>
        <v>26.8</v>
      </c>
      <c r="L1058" s="1" t="str">
        <f t="shared" si="16"/>
        <v>"26.8"</v>
      </c>
      <c r="M1058">
        <v>100</v>
      </c>
      <c r="N1058">
        <f>0.029*stand_validation_1cycle[[#This Row],[stand_level_biomass]]</f>
        <v>22.903263317054961</v>
      </c>
      <c r="O1058">
        <f>0.213*stand_validation_1cycle[[#This Row],[stand_level_biomass]]</f>
        <v>168.22052022526572</v>
      </c>
      <c r="P1058">
        <f>0.571*stand_validation_1cycle[[#This Row],[stand_level_biomass]]</f>
        <v>450.95735703580618</v>
      </c>
      <c r="Q1058">
        <f>stand_validation_1cycle[[#This Row],[stock]]</f>
        <v>99</v>
      </c>
      <c r="R1058">
        <v>0</v>
      </c>
      <c r="S1058">
        <f>stand_validation_1cycle[[#This Row],[aws]]</f>
        <v>525.82208251953102</v>
      </c>
      <c r="T1058">
        <f>stand_validation_1cycle[[#This Row],[percent_tree_cover]]*100</f>
        <v>7.0493235478618299</v>
      </c>
    </row>
    <row r="1059" spans="1:20" x14ac:dyDescent="0.2">
      <c r="A1059">
        <v>1</v>
      </c>
      <c r="B1059" t="s">
        <v>1077</v>
      </c>
      <c r="C1059">
        <v>24.948566666666601</v>
      </c>
      <c r="D1059">
        <v>573.44459643611697</v>
      </c>
      <c r="E1059">
        <v>5.5143936025490099</v>
      </c>
      <c r="F1059">
        <v>23.349641477090699</v>
      </c>
      <c r="G1059">
        <v>100</v>
      </c>
      <c r="H1059">
        <v>523.76416015625</v>
      </c>
      <c r="I1059">
        <v>5.49688153803762E-2</v>
      </c>
      <c r="K1059" s="1" t="str">
        <f>TEXT(stand_validation_1cycle[[#This Row],[stand_age]], ".0")</f>
        <v>24.9</v>
      </c>
      <c r="L1059" s="1" t="str">
        <f t="shared" si="16"/>
        <v>"24.9"</v>
      </c>
      <c r="M1059">
        <v>100</v>
      </c>
      <c r="N1059">
        <f>0.029*stand_validation_1cycle[[#This Row],[stand_level_biomass]]</f>
        <v>16.629893296647392</v>
      </c>
      <c r="O1059">
        <f>0.213*stand_validation_1cycle[[#This Row],[stand_level_biomass]]</f>
        <v>122.14369904089291</v>
      </c>
      <c r="P1059">
        <f>0.571*stand_validation_1cycle[[#This Row],[stand_level_biomass]]</f>
        <v>327.43686456502274</v>
      </c>
      <c r="Q1059">
        <f>stand_validation_1cycle[[#This Row],[stock]]</f>
        <v>100</v>
      </c>
      <c r="R1059">
        <v>0</v>
      </c>
      <c r="S1059">
        <f>stand_validation_1cycle[[#This Row],[aws]]</f>
        <v>523.76416015625</v>
      </c>
      <c r="T1059">
        <f>stand_validation_1cycle[[#This Row],[percent_tree_cover]]*100</f>
        <v>5.4968815380376199</v>
      </c>
    </row>
    <row r="1060" spans="1:20" x14ac:dyDescent="0.2">
      <c r="A1060">
        <v>1</v>
      </c>
      <c r="B1060" t="s">
        <v>1078</v>
      </c>
      <c r="C1060">
        <v>29.4707631874298</v>
      </c>
      <c r="D1060">
        <v>1233.56813509996</v>
      </c>
      <c r="E1060">
        <v>10.1841425312446</v>
      </c>
      <c r="F1060">
        <v>30.622876056956699</v>
      </c>
      <c r="G1060">
        <v>99</v>
      </c>
      <c r="H1060">
        <v>567.14227294921795</v>
      </c>
      <c r="I1060">
        <v>0.10127487169911099</v>
      </c>
      <c r="K1060" s="1" t="str">
        <f>TEXT(stand_validation_1cycle[[#This Row],[stand_age]], ".0")</f>
        <v>29.5</v>
      </c>
      <c r="L1060" s="1" t="str">
        <f t="shared" si="16"/>
        <v>"29.5"</v>
      </c>
      <c r="M1060">
        <v>100</v>
      </c>
      <c r="N1060">
        <f>0.029*stand_validation_1cycle[[#This Row],[stand_level_biomass]]</f>
        <v>35.773475917898843</v>
      </c>
      <c r="O1060">
        <f>0.213*stand_validation_1cycle[[#This Row],[stand_level_biomass]]</f>
        <v>262.7500127762915</v>
      </c>
      <c r="P1060">
        <f>0.571*stand_validation_1cycle[[#This Row],[stand_level_biomass]]</f>
        <v>704.36740514207713</v>
      </c>
      <c r="Q1060">
        <f>stand_validation_1cycle[[#This Row],[stock]]</f>
        <v>99</v>
      </c>
      <c r="R1060">
        <v>0</v>
      </c>
      <c r="S1060">
        <f>stand_validation_1cycle[[#This Row],[aws]]</f>
        <v>567.14227294921795</v>
      </c>
      <c r="T1060">
        <f>stand_validation_1cycle[[#This Row],[percent_tree_cover]]*100</f>
        <v>10.127487169911099</v>
      </c>
    </row>
    <row r="1061" spans="1:20" x14ac:dyDescent="0.2">
      <c r="A1061">
        <v>1</v>
      </c>
      <c r="B1061" t="s">
        <v>1079</v>
      </c>
      <c r="C1061">
        <v>24.6388548752834</v>
      </c>
      <c r="D1061">
        <v>614.90092143128504</v>
      </c>
      <c r="E1061">
        <v>5.8435076343372403</v>
      </c>
      <c r="F1061">
        <v>24.022139913575</v>
      </c>
      <c r="G1061">
        <v>98</v>
      </c>
      <c r="H1061">
        <v>569.00897216796795</v>
      </c>
      <c r="I1061">
        <v>5.7210353899714503E-2</v>
      </c>
      <c r="K1061" s="1" t="str">
        <f>TEXT(stand_validation_1cycle[[#This Row],[stand_age]], ".0")</f>
        <v>24.6</v>
      </c>
      <c r="L1061" s="1" t="str">
        <f t="shared" si="16"/>
        <v>"24.6"</v>
      </c>
      <c r="M1061">
        <v>100</v>
      </c>
      <c r="N1061">
        <f>0.029*stand_validation_1cycle[[#This Row],[stand_level_biomass]]</f>
        <v>17.832126721507269</v>
      </c>
      <c r="O1061">
        <f>0.213*stand_validation_1cycle[[#This Row],[stand_level_biomass]]</f>
        <v>130.9738962648637</v>
      </c>
      <c r="P1061">
        <f>0.571*stand_validation_1cycle[[#This Row],[stand_level_biomass]]</f>
        <v>351.10842613726373</v>
      </c>
      <c r="Q1061">
        <f>stand_validation_1cycle[[#This Row],[stock]]</f>
        <v>98</v>
      </c>
      <c r="R1061">
        <v>0</v>
      </c>
      <c r="S1061">
        <f>stand_validation_1cycle[[#This Row],[aws]]</f>
        <v>569.00897216796795</v>
      </c>
      <c r="T1061">
        <f>stand_validation_1cycle[[#This Row],[percent_tree_cover]]*100</f>
        <v>5.7210353899714503</v>
      </c>
    </row>
    <row r="1062" spans="1:20" x14ac:dyDescent="0.2">
      <c r="A1062">
        <v>1</v>
      </c>
      <c r="B1062" t="s">
        <v>1080</v>
      </c>
      <c r="C1062">
        <v>25.442199775533101</v>
      </c>
      <c r="D1062">
        <v>723.75165639260604</v>
      </c>
      <c r="E1062">
        <v>6.7655595803787003</v>
      </c>
      <c r="F1062">
        <v>25.286329168970401</v>
      </c>
      <c r="G1062">
        <v>99</v>
      </c>
      <c r="H1062">
        <v>571.89831542968705</v>
      </c>
      <c r="I1062">
        <v>6.5451553211816102E-2</v>
      </c>
      <c r="K1062" s="1" t="str">
        <f>TEXT(stand_validation_1cycle[[#This Row],[stand_age]], ".0")</f>
        <v>25.4</v>
      </c>
      <c r="L1062" s="1" t="str">
        <f t="shared" si="16"/>
        <v>"25.4"</v>
      </c>
      <c r="M1062">
        <v>100</v>
      </c>
      <c r="N1062">
        <f>0.029*stand_validation_1cycle[[#This Row],[stand_level_biomass]]</f>
        <v>20.988798035385575</v>
      </c>
      <c r="O1062">
        <f>0.213*stand_validation_1cycle[[#This Row],[stand_level_biomass]]</f>
        <v>154.15910281162508</v>
      </c>
      <c r="P1062">
        <f>0.571*stand_validation_1cycle[[#This Row],[stand_level_biomass]]</f>
        <v>413.26219580017801</v>
      </c>
      <c r="Q1062">
        <f>stand_validation_1cycle[[#This Row],[stock]]</f>
        <v>99</v>
      </c>
      <c r="R1062">
        <v>0</v>
      </c>
      <c r="S1062">
        <f>stand_validation_1cycle[[#This Row],[aws]]</f>
        <v>571.89831542968705</v>
      </c>
      <c r="T1062">
        <f>stand_validation_1cycle[[#This Row],[percent_tree_cover]]*100</f>
        <v>6.5451553211816105</v>
      </c>
    </row>
    <row r="1063" spans="1:20" x14ac:dyDescent="0.2">
      <c r="A1063">
        <v>1</v>
      </c>
      <c r="B1063" t="s">
        <v>1081</v>
      </c>
      <c r="C1063">
        <v>27.091290684623999</v>
      </c>
      <c r="D1063">
        <v>868.072489335044</v>
      </c>
      <c r="E1063">
        <v>7.6410696166553898</v>
      </c>
      <c r="F1063">
        <v>26.933288216575701</v>
      </c>
      <c r="G1063">
        <v>99</v>
      </c>
      <c r="H1063">
        <v>568.89001464843705</v>
      </c>
      <c r="I1063">
        <v>7.5764278206271601E-2</v>
      </c>
      <c r="K1063" s="1" t="str">
        <f>TEXT(stand_validation_1cycle[[#This Row],[stand_age]], ".0")</f>
        <v>27.1</v>
      </c>
      <c r="L1063" s="1" t="str">
        <f t="shared" si="16"/>
        <v>"27.1"</v>
      </c>
      <c r="M1063">
        <v>100</v>
      </c>
      <c r="N1063">
        <f>0.029*stand_validation_1cycle[[#This Row],[stand_level_biomass]]</f>
        <v>25.174102190716276</v>
      </c>
      <c r="O1063">
        <f>0.213*stand_validation_1cycle[[#This Row],[stand_level_biomass]]</f>
        <v>184.89944022836437</v>
      </c>
      <c r="P1063">
        <f>0.571*stand_validation_1cycle[[#This Row],[stand_level_biomass]]</f>
        <v>495.66939141031008</v>
      </c>
      <c r="Q1063">
        <f>stand_validation_1cycle[[#This Row],[stock]]</f>
        <v>99</v>
      </c>
      <c r="R1063">
        <v>0</v>
      </c>
      <c r="S1063">
        <f>stand_validation_1cycle[[#This Row],[aws]]</f>
        <v>568.89001464843705</v>
      </c>
      <c r="T1063">
        <f>stand_validation_1cycle[[#This Row],[percent_tree_cover]]*100</f>
        <v>7.5764278206271598</v>
      </c>
    </row>
    <row r="1064" spans="1:20" x14ac:dyDescent="0.2">
      <c r="A1064">
        <v>1</v>
      </c>
      <c r="B1064" t="s">
        <v>1082</v>
      </c>
      <c r="C1064">
        <v>26.7299102132435</v>
      </c>
      <c r="D1064">
        <v>706.77183531570904</v>
      </c>
      <c r="E1064">
        <v>6.4912820483588796</v>
      </c>
      <c r="F1064">
        <v>24.871203569823201</v>
      </c>
      <c r="G1064">
        <v>99</v>
      </c>
      <c r="H1064">
        <v>575</v>
      </c>
      <c r="I1064">
        <v>6.4165659891582599E-2</v>
      </c>
      <c r="K1064" s="1" t="str">
        <f>TEXT(stand_validation_1cycle[[#This Row],[stand_age]], ".0")</f>
        <v>26.7</v>
      </c>
      <c r="L1064" s="1" t="str">
        <f t="shared" si="16"/>
        <v>"26.7"</v>
      </c>
      <c r="M1064">
        <v>100</v>
      </c>
      <c r="N1064">
        <f>0.029*stand_validation_1cycle[[#This Row],[stand_level_biomass]]</f>
        <v>20.496383224155561</v>
      </c>
      <c r="O1064">
        <f>0.213*stand_validation_1cycle[[#This Row],[stand_level_biomass]]</f>
        <v>150.54240092224603</v>
      </c>
      <c r="P1064">
        <f>0.571*stand_validation_1cycle[[#This Row],[stand_level_biomass]]</f>
        <v>403.56671796526985</v>
      </c>
      <c r="Q1064">
        <f>stand_validation_1cycle[[#This Row],[stock]]</f>
        <v>99</v>
      </c>
      <c r="R1064">
        <v>0</v>
      </c>
      <c r="S1064">
        <f>stand_validation_1cycle[[#This Row],[aws]]</f>
        <v>575</v>
      </c>
      <c r="T1064">
        <f>stand_validation_1cycle[[#This Row],[percent_tree_cover]]*100</f>
        <v>6.4165659891582596</v>
      </c>
    </row>
    <row r="1065" spans="1:20" x14ac:dyDescent="0.2">
      <c r="A1065">
        <v>1</v>
      </c>
      <c r="B1065" t="s">
        <v>1083</v>
      </c>
      <c r="C1065">
        <v>25.796955555555499</v>
      </c>
      <c r="D1065">
        <v>616.16230051145703</v>
      </c>
      <c r="E1065">
        <v>5.9433992851471098</v>
      </c>
      <c r="F1065">
        <v>24.636591277185701</v>
      </c>
      <c r="G1065">
        <v>100</v>
      </c>
      <c r="H1065">
        <v>570.26416015625</v>
      </c>
      <c r="I1065">
        <v>5.9245321517038901E-2</v>
      </c>
      <c r="K1065" s="1" t="str">
        <f>TEXT(stand_validation_1cycle[[#This Row],[stand_age]], ".0")</f>
        <v>25.8</v>
      </c>
      <c r="L1065" s="1" t="str">
        <f t="shared" si="16"/>
        <v>"25.8"</v>
      </c>
      <c r="M1065">
        <v>100</v>
      </c>
      <c r="N1065">
        <f>0.029*stand_validation_1cycle[[#This Row],[stand_level_biomass]]</f>
        <v>17.868706714832253</v>
      </c>
      <c r="O1065">
        <f>0.213*stand_validation_1cycle[[#This Row],[stand_level_biomass]]</f>
        <v>131.24257000894033</v>
      </c>
      <c r="P1065">
        <f>0.571*stand_validation_1cycle[[#This Row],[stand_level_biomass]]</f>
        <v>351.82867359204192</v>
      </c>
      <c r="Q1065">
        <f>stand_validation_1cycle[[#This Row],[stock]]</f>
        <v>100</v>
      </c>
      <c r="R1065">
        <v>0</v>
      </c>
      <c r="S1065">
        <f>stand_validation_1cycle[[#This Row],[aws]]</f>
        <v>570.26416015625</v>
      </c>
      <c r="T1065">
        <f>stand_validation_1cycle[[#This Row],[percent_tree_cover]]*100</f>
        <v>5.9245321517038905</v>
      </c>
    </row>
    <row r="1066" spans="1:20" x14ac:dyDescent="0.2">
      <c r="A1066">
        <v>1</v>
      </c>
      <c r="B1066" t="s">
        <v>1084</v>
      </c>
      <c r="C1066">
        <v>26.8127999999999</v>
      </c>
      <c r="D1066">
        <v>830.90799003333996</v>
      </c>
      <c r="E1066">
        <v>7.4014132210762904</v>
      </c>
      <c r="F1066">
        <v>26.2955605630221</v>
      </c>
      <c r="G1066">
        <v>100</v>
      </c>
      <c r="H1066">
        <v>574.78924560546795</v>
      </c>
      <c r="I1066">
        <v>7.3756274735758798E-2</v>
      </c>
      <c r="K1066" s="1" t="str">
        <f>TEXT(stand_validation_1cycle[[#This Row],[stand_age]], ".0")</f>
        <v>26.8</v>
      </c>
      <c r="L1066" s="1" t="str">
        <f t="shared" si="16"/>
        <v>"26.8"</v>
      </c>
      <c r="M1066">
        <v>100</v>
      </c>
      <c r="N1066">
        <f>0.029*stand_validation_1cycle[[#This Row],[stand_level_biomass]]</f>
        <v>24.096331710966862</v>
      </c>
      <c r="O1066">
        <f>0.213*stand_validation_1cycle[[#This Row],[stand_level_biomass]]</f>
        <v>176.98340187710141</v>
      </c>
      <c r="P1066">
        <f>0.571*stand_validation_1cycle[[#This Row],[stand_level_biomass]]</f>
        <v>474.4484623090371</v>
      </c>
      <c r="Q1066">
        <f>stand_validation_1cycle[[#This Row],[stock]]</f>
        <v>100</v>
      </c>
      <c r="R1066">
        <v>0</v>
      </c>
      <c r="S1066">
        <f>stand_validation_1cycle[[#This Row],[aws]]</f>
        <v>574.78924560546795</v>
      </c>
      <c r="T1066">
        <f>stand_validation_1cycle[[#This Row],[percent_tree_cover]]*100</f>
        <v>7.3756274735758796</v>
      </c>
    </row>
    <row r="1067" spans="1:20" x14ac:dyDescent="0.2">
      <c r="A1067">
        <v>1</v>
      </c>
      <c r="B1067" t="s">
        <v>1085</v>
      </c>
      <c r="C1067">
        <v>28.260774410774399</v>
      </c>
      <c r="D1067">
        <v>990.69129872325004</v>
      </c>
      <c r="E1067">
        <v>8.47675603905701</v>
      </c>
      <c r="F1067">
        <v>28.2077824349956</v>
      </c>
      <c r="G1067">
        <v>99</v>
      </c>
      <c r="H1067">
        <v>576.291015625</v>
      </c>
      <c r="I1067">
        <v>8.43231795196481E-2</v>
      </c>
      <c r="K1067" s="1" t="str">
        <f>TEXT(stand_validation_1cycle[[#This Row],[stand_age]], ".0")</f>
        <v>28.3</v>
      </c>
      <c r="L1067" s="1" t="str">
        <f t="shared" si="16"/>
        <v>"28.3"</v>
      </c>
      <c r="M1067">
        <v>100</v>
      </c>
      <c r="N1067">
        <f>0.029*stand_validation_1cycle[[#This Row],[stand_level_biomass]]</f>
        <v>28.730047662974254</v>
      </c>
      <c r="O1067">
        <f>0.213*stand_validation_1cycle[[#This Row],[stand_level_biomass]]</f>
        <v>211.01724662805225</v>
      </c>
      <c r="P1067">
        <f>0.571*stand_validation_1cycle[[#This Row],[stand_level_biomass]]</f>
        <v>565.68473157097571</v>
      </c>
      <c r="Q1067">
        <f>stand_validation_1cycle[[#This Row],[stock]]</f>
        <v>99</v>
      </c>
      <c r="R1067">
        <v>0</v>
      </c>
      <c r="S1067">
        <f>stand_validation_1cycle[[#This Row],[aws]]</f>
        <v>576.291015625</v>
      </c>
      <c r="T1067">
        <f>stand_validation_1cycle[[#This Row],[percent_tree_cover]]*100</f>
        <v>8.4323179519648104</v>
      </c>
    </row>
    <row r="1068" spans="1:20" x14ac:dyDescent="0.2">
      <c r="A1068">
        <v>1</v>
      </c>
      <c r="B1068" t="s">
        <v>1086</v>
      </c>
      <c r="C1068">
        <v>27.934333333333299</v>
      </c>
      <c r="D1068">
        <v>760.19904512833295</v>
      </c>
      <c r="E1068">
        <v>7.0125594487855603</v>
      </c>
      <c r="F1068">
        <v>26.550851934314899</v>
      </c>
      <c r="G1068">
        <v>100</v>
      </c>
      <c r="H1068">
        <v>569.089599609375</v>
      </c>
      <c r="I1068">
        <v>6.9885359924767201E-2</v>
      </c>
      <c r="K1068" s="1" t="str">
        <f>TEXT(stand_validation_1cycle[[#This Row],[stand_age]], ".0")</f>
        <v>27.9</v>
      </c>
      <c r="L1068" s="1" t="str">
        <f t="shared" si="16"/>
        <v>"27.9"</v>
      </c>
      <c r="M1068">
        <v>100</v>
      </c>
      <c r="N1068">
        <f>0.029*stand_validation_1cycle[[#This Row],[stand_level_biomass]]</f>
        <v>22.045772308721656</v>
      </c>
      <c r="O1068">
        <f>0.213*stand_validation_1cycle[[#This Row],[stand_level_biomass]]</f>
        <v>161.92239661233492</v>
      </c>
      <c r="P1068">
        <f>0.571*stand_validation_1cycle[[#This Row],[stand_level_biomass]]</f>
        <v>434.07365476827806</v>
      </c>
      <c r="Q1068">
        <f>stand_validation_1cycle[[#This Row],[stock]]</f>
        <v>100</v>
      </c>
      <c r="R1068">
        <v>0</v>
      </c>
      <c r="S1068">
        <f>stand_validation_1cycle[[#This Row],[aws]]</f>
        <v>569.089599609375</v>
      </c>
      <c r="T1068">
        <f>stand_validation_1cycle[[#This Row],[percent_tree_cover]]*100</f>
        <v>6.9885359924767201</v>
      </c>
    </row>
    <row r="1069" spans="1:20" x14ac:dyDescent="0.2">
      <c r="A1069">
        <v>1</v>
      </c>
      <c r="B1069" t="s">
        <v>1087</v>
      </c>
      <c r="C1069">
        <v>28.033755555555501</v>
      </c>
      <c r="D1069">
        <v>858.73689056186697</v>
      </c>
      <c r="E1069">
        <v>3.76757776636429</v>
      </c>
      <c r="F1069">
        <v>26.528998038972802</v>
      </c>
      <c r="G1069">
        <v>50</v>
      </c>
      <c r="H1069">
        <v>569.17102050781205</v>
      </c>
      <c r="I1069">
        <v>7.6901555203036598E-2</v>
      </c>
      <c r="K1069" s="1" t="str">
        <f>TEXT(stand_validation_1cycle[[#This Row],[stand_age]], ".0")</f>
        <v>28.0</v>
      </c>
      <c r="L1069" s="1" t="str">
        <f t="shared" si="16"/>
        <v>"28.0"</v>
      </c>
      <c r="M1069">
        <v>100</v>
      </c>
      <c r="N1069">
        <f>0.029*stand_validation_1cycle[[#This Row],[stand_level_biomass]]</f>
        <v>24.903369826294142</v>
      </c>
      <c r="O1069">
        <f>0.213*stand_validation_1cycle[[#This Row],[stand_level_biomass]]</f>
        <v>182.91095768967767</v>
      </c>
      <c r="P1069">
        <f>0.571*stand_validation_1cycle[[#This Row],[stand_level_biomass]]</f>
        <v>490.33876451082602</v>
      </c>
      <c r="Q1069">
        <f>stand_validation_1cycle[[#This Row],[stock]]</f>
        <v>50</v>
      </c>
      <c r="R1069">
        <v>0</v>
      </c>
      <c r="S1069">
        <f>stand_validation_1cycle[[#This Row],[aws]]</f>
        <v>569.17102050781205</v>
      </c>
      <c r="T1069">
        <f>stand_validation_1cycle[[#This Row],[percent_tree_cover]]*100</f>
        <v>7.6901555203036596</v>
      </c>
    </row>
    <row r="1070" spans="1:20" x14ac:dyDescent="0.2">
      <c r="A1070">
        <v>1</v>
      </c>
      <c r="B1070" t="s">
        <v>1088</v>
      </c>
      <c r="C1070">
        <v>29.562345679012299</v>
      </c>
      <c r="D1070">
        <v>906.077196369891</v>
      </c>
      <c r="E1070">
        <v>0.74813651833138295</v>
      </c>
      <c r="F1070">
        <v>30.056562752428501</v>
      </c>
      <c r="G1070">
        <v>9</v>
      </c>
      <c r="H1070">
        <v>572.57708740234295</v>
      </c>
      <c r="I1070">
        <v>9.2447718406145699E-2</v>
      </c>
      <c r="K1070" s="1" t="str">
        <f>TEXT(stand_validation_1cycle[[#This Row],[stand_age]], ".0")</f>
        <v>29.6</v>
      </c>
      <c r="L1070" s="1" t="str">
        <f t="shared" si="16"/>
        <v>"29.6"</v>
      </c>
      <c r="M1070">
        <v>100</v>
      </c>
      <c r="N1070">
        <f>0.029*stand_validation_1cycle[[#This Row],[stand_level_biomass]]</f>
        <v>26.276238694726839</v>
      </c>
      <c r="O1070">
        <f>0.213*stand_validation_1cycle[[#This Row],[stand_level_biomass]]</f>
        <v>192.99444282678678</v>
      </c>
      <c r="P1070">
        <f>0.571*stand_validation_1cycle[[#This Row],[stand_level_biomass]]</f>
        <v>517.37007912720776</v>
      </c>
      <c r="Q1070">
        <f>stand_validation_1cycle[[#This Row],[stock]]</f>
        <v>9</v>
      </c>
      <c r="R1070">
        <v>0</v>
      </c>
      <c r="S1070">
        <f>stand_validation_1cycle[[#This Row],[aws]]</f>
        <v>572.57708740234295</v>
      </c>
      <c r="T1070">
        <f>stand_validation_1cycle[[#This Row],[percent_tree_cover]]*100</f>
        <v>9.24477184061457</v>
      </c>
    </row>
    <row r="1071" spans="1:20" x14ac:dyDescent="0.2">
      <c r="A1071">
        <v>1</v>
      </c>
      <c r="B1071" t="s">
        <v>1089</v>
      </c>
      <c r="C1071">
        <v>27.451306471306399</v>
      </c>
      <c r="D1071">
        <v>630.67214569741395</v>
      </c>
      <c r="E1071">
        <v>5.4791205856326597</v>
      </c>
      <c r="F1071">
        <v>24.659979718171101</v>
      </c>
      <c r="G1071">
        <v>91</v>
      </c>
      <c r="H1071">
        <v>0</v>
      </c>
      <c r="I1071">
        <v>5.9942802169162403E-2</v>
      </c>
      <c r="K1071" s="1" t="str">
        <f>TEXT(stand_validation_1cycle[[#This Row],[stand_age]], ".0")</f>
        <v>27.5</v>
      </c>
      <c r="L1071" s="1" t="str">
        <f t="shared" si="16"/>
        <v>"27.5"</v>
      </c>
      <c r="M1071">
        <v>100</v>
      </c>
      <c r="N1071">
        <f>0.029*stand_validation_1cycle[[#This Row],[stand_level_biomass]]</f>
        <v>18.289492225225004</v>
      </c>
      <c r="O1071">
        <f>0.213*stand_validation_1cycle[[#This Row],[stand_level_biomass]]</f>
        <v>134.33316703354916</v>
      </c>
      <c r="P1071">
        <f>0.571*stand_validation_1cycle[[#This Row],[stand_level_biomass]]</f>
        <v>360.11379519322332</v>
      </c>
      <c r="Q1071">
        <f>stand_validation_1cycle[[#This Row],[stock]]</f>
        <v>91</v>
      </c>
      <c r="R1071">
        <v>0</v>
      </c>
      <c r="S1071">
        <f>stand_validation_1cycle[[#This Row],[aws]]</f>
        <v>0</v>
      </c>
      <c r="T1071">
        <f>stand_validation_1cycle[[#This Row],[percent_tree_cover]]*100</f>
        <v>5.9942802169162404</v>
      </c>
    </row>
    <row r="1072" spans="1:20" x14ac:dyDescent="0.2">
      <c r="A1072">
        <v>1</v>
      </c>
      <c r="B1072" t="s">
        <v>1090</v>
      </c>
      <c r="C1072">
        <v>27.964788888888801</v>
      </c>
      <c r="D1072">
        <v>785.16657979119202</v>
      </c>
      <c r="E1072">
        <v>7.1130778473298202</v>
      </c>
      <c r="F1072">
        <v>26.233574229467099</v>
      </c>
      <c r="G1072">
        <v>100</v>
      </c>
      <c r="H1072">
        <v>523.76416015625</v>
      </c>
      <c r="I1072">
        <v>7.0879344992099996E-2</v>
      </c>
      <c r="K1072" s="1" t="str">
        <f>TEXT(stand_validation_1cycle[[#This Row],[stand_age]], ".0")</f>
        <v>28.0</v>
      </c>
      <c r="L1072" s="1" t="str">
        <f t="shared" si="16"/>
        <v>"28.0"</v>
      </c>
      <c r="M1072">
        <v>100</v>
      </c>
      <c r="N1072">
        <f>0.029*stand_validation_1cycle[[#This Row],[stand_level_biomass]]</f>
        <v>22.769830813944569</v>
      </c>
      <c r="O1072">
        <f>0.213*stand_validation_1cycle[[#This Row],[stand_level_biomass]]</f>
        <v>167.24048149552391</v>
      </c>
      <c r="P1072">
        <f>0.571*stand_validation_1cycle[[#This Row],[stand_level_biomass]]</f>
        <v>448.33011706077059</v>
      </c>
      <c r="Q1072">
        <f>stand_validation_1cycle[[#This Row],[stock]]</f>
        <v>100</v>
      </c>
      <c r="R1072">
        <v>0</v>
      </c>
      <c r="S1072">
        <f>stand_validation_1cycle[[#This Row],[aws]]</f>
        <v>523.76416015625</v>
      </c>
      <c r="T1072">
        <f>stand_validation_1cycle[[#This Row],[percent_tree_cover]]*100</f>
        <v>7.0879344992099993</v>
      </c>
    </row>
    <row r="1073" spans="1:20" x14ac:dyDescent="0.2">
      <c r="A1073">
        <v>1</v>
      </c>
      <c r="B1073" t="s">
        <v>1091</v>
      </c>
      <c r="C1073">
        <v>29.5499222222222</v>
      </c>
      <c r="D1073">
        <v>1074.7524721463001</v>
      </c>
      <c r="E1073">
        <v>9.2561898888016199</v>
      </c>
      <c r="F1073">
        <v>29.806442734504898</v>
      </c>
      <c r="G1073">
        <v>100</v>
      </c>
      <c r="H1073">
        <v>523.76416015625</v>
      </c>
      <c r="I1073">
        <v>9.2228929524164602E-2</v>
      </c>
      <c r="K1073" s="1" t="str">
        <f>TEXT(stand_validation_1cycle[[#This Row],[stand_age]], ".0")</f>
        <v>29.5</v>
      </c>
      <c r="L1073" s="1" t="str">
        <f t="shared" si="16"/>
        <v>"29.5"</v>
      </c>
      <c r="M1073">
        <v>100</v>
      </c>
      <c r="N1073">
        <f>0.029*stand_validation_1cycle[[#This Row],[stand_level_biomass]]</f>
        <v>31.167821692242704</v>
      </c>
      <c r="O1073">
        <f>0.213*stand_validation_1cycle[[#This Row],[stand_level_biomass]]</f>
        <v>228.9222765671619</v>
      </c>
      <c r="P1073">
        <f>0.571*stand_validation_1cycle[[#This Row],[stand_level_biomass]]</f>
        <v>613.68366159553727</v>
      </c>
      <c r="Q1073">
        <f>stand_validation_1cycle[[#This Row],[stock]]</f>
        <v>100</v>
      </c>
      <c r="R1073">
        <v>0</v>
      </c>
      <c r="S1073">
        <f>stand_validation_1cycle[[#This Row],[aws]]</f>
        <v>523.76416015625</v>
      </c>
      <c r="T1073">
        <f>stand_validation_1cycle[[#This Row],[percent_tree_cover]]*100</f>
        <v>9.2228929524164602</v>
      </c>
    </row>
    <row r="1074" spans="1:20" x14ac:dyDescent="0.2">
      <c r="A1074">
        <v>1</v>
      </c>
      <c r="B1074" t="s">
        <v>1092</v>
      </c>
      <c r="C1074">
        <v>27.785411111111099</v>
      </c>
      <c r="D1074">
        <v>927.48294664487696</v>
      </c>
      <c r="E1074">
        <v>8.1683773041806393</v>
      </c>
      <c r="F1074">
        <v>27.856964048763501</v>
      </c>
      <c r="G1074">
        <v>100</v>
      </c>
      <c r="H1074">
        <v>600</v>
      </c>
      <c r="I1074">
        <v>8.1398096421376007E-2</v>
      </c>
      <c r="K1074" s="1" t="str">
        <f>TEXT(stand_validation_1cycle[[#This Row],[stand_age]], ".0")</f>
        <v>27.8</v>
      </c>
      <c r="L1074" s="1" t="str">
        <f t="shared" si="16"/>
        <v>"27.8"</v>
      </c>
      <c r="M1074">
        <v>100</v>
      </c>
      <c r="N1074">
        <f>0.029*stand_validation_1cycle[[#This Row],[stand_level_biomass]]</f>
        <v>26.897005452701432</v>
      </c>
      <c r="O1074">
        <f>0.213*stand_validation_1cycle[[#This Row],[stand_level_biomass]]</f>
        <v>197.55386763535878</v>
      </c>
      <c r="P1074">
        <f>0.571*stand_validation_1cycle[[#This Row],[stand_level_biomass]]</f>
        <v>529.59276253422468</v>
      </c>
      <c r="Q1074">
        <f>stand_validation_1cycle[[#This Row],[stock]]</f>
        <v>100</v>
      </c>
      <c r="R1074">
        <v>0</v>
      </c>
      <c r="S1074">
        <f>stand_validation_1cycle[[#This Row],[aws]]</f>
        <v>600</v>
      </c>
      <c r="T1074">
        <f>stand_validation_1cycle[[#This Row],[percent_tree_cover]]*100</f>
        <v>8.1398096421376014</v>
      </c>
    </row>
    <row r="1075" spans="1:20" x14ac:dyDescent="0.2">
      <c r="A1075">
        <v>1</v>
      </c>
      <c r="B1075" t="s">
        <v>1093</v>
      </c>
      <c r="C1075">
        <v>29.440695847362498</v>
      </c>
      <c r="D1075">
        <v>974.03067858753104</v>
      </c>
      <c r="E1075">
        <v>8.3767921316161207</v>
      </c>
      <c r="F1075">
        <v>27.798609688231501</v>
      </c>
      <c r="G1075">
        <v>99</v>
      </c>
      <c r="H1075">
        <v>597.69616699218705</v>
      </c>
      <c r="I1075">
        <v>8.3121339681172399E-2</v>
      </c>
      <c r="K1075" s="1" t="str">
        <f>TEXT(stand_validation_1cycle[[#This Row],[stand_age]], ".0")</f>
        <v>29.4</v>
      </c>
      <c r="L1075" s="1" t="str">
        <f t="shared" si="16"/>
        <v>"29.4"</v>
      </c>
      <c r="M1075">
        <v>100</v>
      </c>
      <c r="N1075">
        <f>0.029*stand_validation_1cycle[[#This Row],[stand_level_biomass]]</f>
        <v>28.2468896790384</v>
      </c>
      <c r="O1075">
        <f>0.213*stand_validation_1cycle[[#This Row],[stand_level_biomass]]</f>
        <v>207.46853453914412</v>
      </c>
      <c r="P1075">
        <f>0.571*stand_validation_1cycle[[#This Row],[stand_level_biomass]]</f>
        <v>556.17151747348021</v>
      </c>
      <c r="Q1075">
        <f>stand_validation_1cycle[[#This Row],[stock]]</f>
        <v>99</v>
      </c>
      <c r="R1075">
        <v>0</v>
      </c>
      <c r="S1075">
        <f>stand_validation_1cycle[[#This Row],[aws]]</f>
        <v>597.69616699218705</v>
      </c>
      <c r="T1075">
        <f>stand_validation_1cycle[[#This Row],[percent_tree_cover]]*100</f>
        <v>8.312133968117239</v>
      </c>
    </row>
    <row r="1076" spans="1:20" x14ac:dyDescent="0.2">
      <c r="A1076">
        <v>1</v>
      </c>
      <c r="B1076" t="s">
        <v>1094</v>
      </c>
      <c r="C1076">
        <v>28.355733333333301</v>
      </c>
      <c r="D1076">
        <v>1024.2800670776901</v>
      </c>
      <c r="E1076">
        <v>8.9128499400797807</v>
      </c>
      <c r="F1076">
        <v>29.3743762488585</v>
      </c>
      <c r="G1076">
        <v>100</v>
      </c>
      <c r="H1076">
        <v>523.76416015625</v>
      </c>
      <c r="I1076">
        <v>8.8816035280178507E-2</v>
      </c>
      <c r="K1076" s="1" t="str">
        <f>TEXT(stand_validation_1cycle[[#This Row],[stand_age]], ".0")</f>
        <v>28.4</v>
      </c>
      <c r="L1076" s="1" t="str">
        <f t="shared" si="16"/>
        <v>"28.4"</v>
      </c>
      <c r="M1076">
        <v>100</v>
      </c>
      <c r="N1076">
        <f>0.029*stand_validation_1cycle[[#This Row],[stand_level_biomass]]</f>
        <v>29.704121945253014</v>
      </c>
      <c r="O1076">
        <f>0.213*stand_validation_1cycle[[#This Row],[stand_level_biomass]]</f>
        <v>218.17165428754799</v>
      </c>
      <c r="P1076">
        <f>0.571*stand_validation_1cycle[[#This Row],[stand_level_biomass]]</f>
        <v>584.86391830136097</v>
      </c>
      <c r="Q1076">
        <f>stand_validation_1cycle[[#This Row],[stock]]</f>
        <v>100</v>
      </c>
      <c r="R1076">
        <v>0</v>
      </c>
      <c r="S1076">
        <f>stand_validation_1cycle[[#This Row],[aws]]</f>
        <v>523.76416015625</v>
      </c>
      <c r="T1076">
        <f>stand_validation_1cycle[[#This Row],[percent_tree_cover]]*100</f>
        <v>8.88160352801785</v>
      </c>
    </row>
    <row r="1077" spans="1:20" x14ac:dyDescent="0.2">
      <c r="A1077">
        <v>1</v>
      </c>
      <c r="B1077" t="s">
        <v>1095</v>
      </c>
      <c r="C1077">
        <v>27.964299999999898</v>
      </c>
      <c r="D1077">
        <v>950.02899279913299</v>
      </c>
      <c r="E1077">
        <v>8.2206895342518909</v>
      </c>
      <c r="F1077">
        <v>27.368284458174202</v>
      </c>
      <c r="G1077">
        <v>100</v>
      </c>
      <c r="H1077">
        <v>526.78363037109295</v>
      </c>
      <c r="I1077">
        <v>8.1900567526711501E-2</v>
      </c>
      <c r="K1077" s="1" t="str">
        <f>TEXT(stand_validation_1cycle[[#This Row],[stand_age]], ".0")</f>
        <v>28.0</v>
      </c>
      <c r="L1077" s="1" t="str">
        <f t="shared" si="16"/>
        <v>"28.0"</v>
      </c>
      <c r="M1077">
        <v>100</v>
      </c>
      <c r="N1077">
        <f>0.029*stand_validation_1cycle[[#This Row],[stand_level_biomass]]</f>
        <v>27.55084079117486</v>
      </c>
      <c r="O1077">
        <f>0.213*stand_validation_1cycle[[#This Row],[stand_level_biomass]]</f>
        <v>202.35617546621532</v>
      </c>
      <c r="P1077">
        <f>0.571*stand_validation_1cycle[[#This Row],[stand_level_biomass]]</f>
        <v>542.46655488830493</v>
      </c>
      <c r="Q1077">
        <f>stand_validation_1cycle[[#This Row],[stock]]</f>
        <v>100</v>
      </c>
      <c r="R1077">
        <v>0</v>
      </c>
      <c r="S1077">
        <f>stand_validation_1cycle[[#This Row],[aws]]</f>
        <v>526.78363037109295</v>
      </c>
      <c r="T1077">
        <f>stand_validation_1cycle[[#This Row],[percent_tree_cover]]*100</f>
        <v>8.1900567526711505</v>
      </c>
    </row>
    <row r="1078" spans="1:20" x14ac:dyDescent="0.2">
      <c r="A1078">
        <v>1</v>
      </c>
      <c r="B1078" t="s">
        <v>1096</v>
      </c>
      <c r="C1078">
        <v>26.798174603174498</v>
      </c>
      <c r="D1078">
        <v>854.43503257165003</v>
      </c>
      <c r="E1078">
        <v>7.4839452162805902</v>
      </c>
      <c r="F1078">
        <v>27.000447386900799</v>
      </c>
      <c r="G1078">
        <v>98</v>
      </c>
      <c r="H1078">
        <v>523.76416015625</v>
      </c>
      <c r="I1078">
        <v>7.4394560431478796E-2</v>
      </c>
      <c r="K1078" s="1" t="str">
        <f>TEXT(stand_validation_1cycle[[#This Row],[stand_age]], ".0")</f>
        <v>26.8</v>
      </c>
      <c r="L1078" s="1" t="str">
        <f t="shared" si="16"/>
        <v>"26.8"</v>
      </c>
      <c r="M1078">
        <v>100</v>
      </c>
      <c r="N1078">
        <f>0.029*stand_validation_1cycle[[#This Row],[stand_level_biomass]]</f>
        <v>24.778615944577851</v>
      </c>
      <c r="O1078">
        <f>0.213*stand_validation_1cycle[[#This Row],[stand_level_biomass]]</f>
        <v>181.99466193776146</v>
      </c>
      <c r="P1078">
        <f>0.571*stand_validation_1cycle[[#This Row],[stand_level_biomass]]</f>
        <v>487.88240359841211</v>
      </c>
      <c r="Q1078">
        <f>stand_validation_1cycle[[#This Row],[stock]]</f>
        <v>98</v>
      </c>
      <c r="R1078">
        <v>0</v>
      </c>
      <c r="S1078">
        <f>stand_validation_1cycle[[#This Row],[aws]]</f>
        <v>523.76416015625</v>
      </c>
      <c r="T1078">
        <f>stand_validation_1cycle[[#This Row],[percent_tree_cover]]*100</f>
        <v>7.4394560431478798</v>
      </c>
    </row>
    <row r="1079" spans="1:20" x14ac:dyDescent="0.2">
      <c r="A1079">
        <v>1</v>
      </c>
      <c r="B1079" t="s">
        <v>1097</v>
      </c>
      <c r="C1079">
        <v>27.9390011223344</v>
      </c>
      <c r="D1079">
        <v>1005.33333643915</v>
      </c>
      <c r="E1079">
        <v>8.5966266483473799</v>
      </c>
      <c r="F1079">
        <v>28.087767360390298</v>
      </c>
      <c r="G1079">
        <v>99</v>
      </c>
      <c r="H1079">
        <v>523.76416015625</v>
      </c>
      <c r="I1079">
        <v>8.5149277342558297E-2</v>
      </c>
      <c r="K1079" s="1" t="str">
        <f>TEXT(stand_validation_1cycle[[#This Row],[stand_age]], ".0")</f>
        <v>27.9</v>
      </c>
      <c r="L1079" s="1" t="str">
        <f t="shared" si="16"/>
        <v>"27.9"</v>
      </c>
      <c r="M1079">
        <v>100</v>
      </c>
      <c r="N1079">
        <f>0.029*stand_validation_1cycle[[#This Row],[stand_level_biomass]]</f>
        <v>29.154666756735352</v>
      </c>
      <c r="O1079">
        <f>0.213*stand_validation_1cycle[[#This Row],[stand_level_biomass]]</f>
        <v>214.13600066153896</v>
      </c>
      <c r="P1079">
        <f>0.571*stand_validation_1cycle[[#This Row],[stand_level_biomass]]</f>
        <v>574.04533510675458</v>
      </c>
      <c r="Q1079">
        <f>stand_validation_1cycle[[#This Row],[stock]]</f>
        <v>99</v>
      </c>
      <c r="R1079">
        <v>0</v>
      </c>
      <c r="S1079">
        <f>stand_validation_1cycle[[#This Row],[aws]]</f>
        <v>523.76416015625</v>
      </c>
      <c r="T1079">
        <f>stand_validation_1cycle[[#This Row],[percent_tree_cover]]*100</f>
        <v>8.5149277342558296</v>
      </c>
    </row>
    <row r="1080" spans="1:20" x14ac:dyDescent="0.2">
      <c r="A1080">
        <v>1</v>
      </c>
      <c r="B1080" t="s">
        <v>1098</v>
      </c>
      <c r="C1080">
        <v>28.023737373737301</v>
      </c>
      <c r="D1080">
        <v>873.52327646909305</v>
      </c>
      <c r="E1080">
        <v>7.7730879793390297</v>
      </c>
      <c r="F1080">
        <v>27.7311723723924</v>
      </c>
      <c r="G1080">
        <v>99</v>
      </c>
      <c r="H1080">
        <v>570.56555175781205</v>
      </c>
      <c r="I1080">
        <v>7.7145383417301802E-2</v>
      </c>
      <c r="K1080" s="1" t="str">
        <f>TEXT(stand_validation_1cycle[[#This Row],[stand_age]], ".0")</f>
        <v>28.0</v>
      </c>
      <c r="L1080" s="1" t="str">
        <f t="shared" si="16"/>
        <v>"28.0"</v>
      </c>
      <c r="M1080">
        <v>100</v>
      </c>
      <c r="N1080">
        <f>0.029*stand_validation_1cycle[[#This Row],[stand_level_biomass]]</f>
        <v>25.332175017603699</v>
      </c>
      <c r="O1080">
        <f>0.213*stand_validation_1cycle[[#This Row],[stand_level_biomass]]</f>
        <v>186.06045788791681</v>
      </c>
      <c r="P1080">
        <f>0.571*stand_validation_1cycle[[#This Row],[stand_level_biomass]]</f>
        <v>498.78179086385211</v>
      </c>
      <c r="Q1080">
        <f>stand_validation_1cycle[[#This Row],[stock]]</f>
        <v>99</v>
      </c>
      <c r="R1080">
        <v>0</v>
      </c>
      <c r="S1080">
        <f>stand_validation_1cycle[[#This Row],[aws]]</f>
        <v>570.56555175781205</v>
      </c>
      <c r="T1080">
        <f>stand_validation_1cycle[[#This Row],[percent_tree_cover]]*100</f>
        <v>7.7145383417301803</v>
      </c>
    </row>
    <row r="1081" spans="1:20" x14ac:dyDescent="0.2">
      <c r="A1081">
        <v>1</v>
      </c>
      <c r="B1081" t="s">
        <v>1099</v>
      </c>
      <c r="C1081">
        <v>27.708103254769899</v>
      </c>
      <c r="D1081">
        <v>846.14824526800896</v>
      </c>
      <c r="E1081">
        <v>7.4749225621794801</v>
      </c>
      <c r="F1081">
        <v>26.676276403194802</v>
      </c>
      <c r="G1081">
        <v>99</v>
      </c>
      <c r="H1081">
        <v>567.119140625</v>
      </c>
      <c r="I1081">
        <v>7.4358058720989398E-2</v>
      </c>
      <c r="K1081" s="1" t="str">
        <f>TEXT(stand_validation_1cycle[[#This Row],[stand_age]], ".0")</f>
        <v>27.7</v>
      </c>
      <c r="L1081" s="1" t="str">
        <f t="shared" si="16"/>
        <v>"27.7"</v>
      </c>
      <c r="M1081">
        <v>100</v>
      </c>
      <c r="N1081">
        <f>0.029*stand_validation_1cycle[[#This Row],[stand_level_biomass]]</f>
        <v>24.538299112772261</v>
      </c>
      <c r="O1081">
        <f>0.213*stand_validation_1cycle[[#This Row],[stand_level_biomass]]</f>
        <v>180.2295762420859</v>
      </c>
      <c r="P1081">
        <f>0.571*stand_validation_1cycle[[#This Row],[stand_level_biomass]]</f>
        <v>483.15064804803308</v>
      </c>
      <c r="Q1081">
        <f>stand_validation_1cycle[[#This Row],[stock]]</f>
        <v>99</v>
      </c>
      <c r="R1081">
        <v>0</v>
      </c>
      <c r="S1081">
        <f>stand_validation_1cycle[[#This Row],[aws]]</f>
        <v>567.119140625</v>
      </c>
      <c r="T1081">
        <f>stand_validation_1cycle[[#This Row],[percent_tree_cover]]*100</f>
        <v>7.43580587209894</v>
      </c>
    </row>
    <row r="1082" spans="1:20" x14ac:dyDescent="0.2">
      <c r="A1082">
        <v>1</v>
      </c>
      <c r="B1082" t="s">
        <v>1100</v>
      </c>
      <c r="C1082">
        <v>27.941511111111101</v>
      </c>
      <c r="D1082">
        <v>968.28131287150597</v>
      </c>
      <c r="E1082">
        <v>8.5161736020816097</v>
      </c>
      <c r="F1082">
        <v>28.7650363537064</v>
      </c>
      <c r="G1082">
        <v>100</v>
      </c>
      <c r="H1082">
        <v>571.96844482421795</v>
      </c>
      <c r="I1082">
        <v>8.4875048070657197E-2</v>
      </c>
      <c r="K1082" s="1" t="str">
        <f>TEXT(stand_validation_1cycle[[#This Row],[stand_age]], ".0")</f>
        <v>27.9</v>
      </c>
      <c r="L1082" s="1" t="str">
        <f t="shared" si="16"/>
        <v>"27.9"</v>
      </c>
      <c r="M1082">
        <v>100</v>
      </c>
      <c r="N1082">
        <f>0.029*stand_validation_1cycle[[#This Row],[stand_level_biomass]]</f>
        <v>28.080158073273676</v>
      </c>
      <c r="O1082">
        <f>0.213*stand_validation_1cycle[[#This Row],[stand_level_biomass]]</f>
        <v>206.24391964163075</v>
      </c>
      <c r="P1082">
        <f>0.571*stand_validation_1cycle[[#This Row],[stand_level_biomass]]</f>
        <v>552.88862964962982</v>
      </c>
      <c r="Q1082">
        <f>stand_validation_1cycle[[#This Row],[stock]]</f>
        <v>100</v>
      </c>
      <c r="R1082">
        <v>0</v>
      </c>
      <c r="S1082">
        <f>stand_validation_1cycle[[#This Row],[aws]]</f>
        <v>571.96844482421795</v>
      </c>
      <c r="T1082">
        <f>stand_validation_1cycle[[#This Row],[percent_tree_cover]]*100</f>
        <v>8.4875048070657204</v>
      </c>
    </row>
    <row r="1083" spans="1:20" x14ac:dyDescent="0.2">
      <c r="A1083">
        <v>1</v>
      </c>
      <c r="B1083" t="s">
        <v>1101</v>
      </c>
      <c r="C1083">
        <v>27.122132435465701</v>
      </c>
      <c r="D1083">
        <v>789.90231553206297</v>
      </c>
      <c r="E1083">
        <v>7.0937146410094201</v>
      </c>
      <c r="F1083">
        <v>26.229279606616799</v>
      </c>
      <c r="G1083">
        <v>99</v>
      </c>
      <c r="H1083">
        <v>566.78308105468705</v>
      </c>
      <c r="I1083">
        <v>7.0567356455389099E-2</v>
      </c>
      <c r="K1083" s="1" t="str">
        <f>TEXT(stand_validation_1cycle[[#This Row],[stand_age]], ".0")</f>
        <v>27.1</v>
      </c>
      <c r="L1083" s="1" t="str">
        <f t="shared" si="16"/>
        <v>"27.1"</v>
      </c>
      <c r="M1083">
        <v>100</v>
      </c>
      <c r="N1083">
        <f>0.029*stand_validation_1cycle[[#This Row],[stand_level_biomass]]</f>
        <v>22.907167150429828</v>
      </c>
      <c r="O1083">
        <f>0.213*stand_validation_1cycle[[#This Row],[stand_level_biomass]]</f>
        <v>168.24919320832942</v>
      </c>
      <c r="P1083">
        <f>0.571*stand_validation_1cycle[[#This Row],[stand_level_biomass]]</f>
        <v>451.0342221688079</v>
      </c>
      <c r="Q1083">
        <f>stand_validation_1cycle[[#This Row],[stock]]</f>
        <v>99</v>
      </c>
      <c r="R1083">
        <v>0</v>
      </c>
      <c r="S1083">
        <f>stand_validation_1cycle[[#This Row],[aws]]</f>
        <v>566.78308105468705</v>
      </c>
      <c r="T1083">
        <f>stand_validation_1cycle[[#This Row],[percent_tree_cover]]*100</f>
        <v>7.0567356455389101</v>
      </c>
    </row>
    <row r="1084" spans="1:20" x14ac:dyDescent="0.2">
      <c r="A1084">
        <v>1</v>
      </c>
      <c r="B1084" t="s">
        <v>1102</v>
      </c>
      <c r="C1084">
        <v>28.118033333333301</v>
      </c>
      <c r="D1084">
        <v>983.51673622870703</v>
      </c>
      <c r="E1084">
        <v>8.4693285286257591</v>
      </c>
      <c r="F1084">
        <v>27.8873326010449</v>
      </c>
      <c r="G1084">
        <v>100</v>
      </c>
      <c r="H1084">
        <v>562</v>
      </c>
      <c r="I1084">
        <v>8.4377869088341301E-2</v>
      </c>
      <c r="K1084" s="1" t="str">
        <f>TEXT(stand_validation_1cycle[[#This Row],[stand_age]], ".0")</f>
        <v>28.1</v>
      </c>
      <c r="L1084" s="1" t="str">
        <f t="shared" si="16"/>
        <v>"28.1"</v>
      </c>
      <c r="M1084">
        <v>100</v>
      </c>
      <c r="N1084">
        <f>0.029*stand_validation_1cycle[[#This Row],[stand_level_biomass]]</f>
        <v>28.521985350632505</v>
      </c>
      <c r="O1084">
        <f>0.213*stand_validation_1cycle[[#This Row],[stand_level_biomass]]</f>
        <v>209.4890648167146</v>
      </c>
      <c r="P1084">
        <f>0.571*stand_validation_1cycle[[#This Row],[stand_level_biomass]]</f>
        <v>561.58805638659169</v>
      </c>
      <c r="Q1084">
        <f>stand_validation_1cycle[[#This Row],[stock]]</f>
        <v>100</v>
      </c>
      <c r="R1084">
        <v>0</v>
      </c>
      <c r="S1084">
        <f>stand_validation_1cycle[[#This Row],[aws]]</f>
        <v>562</v>
      </c>
      <c r="T1084">
        <f>stand_validation_1cycle[[#This Row],[percent_tree_cover]]*100</f>
        <v>8.4377869088341306</v>
      </c>
    </row>
    <row r="1085" spans="1:20" x14ac:dyDescent="0.2">
      <c r="A1085">
        <v>1</v>
      </c>
      <c r="B1085" t="s">
        <v>1103</v>
      </c>
      <c r="C1085">
        <v>28.041972789115601</v>
      </c>
      <c r="D1085">
        <v>891.94120683823496</v>
      </c>
      <c r="E1085">
        <v>7.6779691931681304</v>
      </c>
      <c r="F1085">
        <v>26.845483052494099</v>
      </c>
      <c r="G1085">
        <v>98</v>
      </c>
      <c r="H1085">
        <v>566.78308105468705</v>
      </c>
      <c r="I1085">
        <v>7.62549853797371E-2</v>
      </c>
      <c r="K1085" s="1" t="str">
        <f>TEXT(stand_validation_1cycle[[#This Row],[stand_age]], ".0")</f>
        <v>28.0</v>
      </c>
      <c r="L1085" s="1" t="str">
        <f t="shared" si="16"/>
        <v>"28.0"</v>
      </c>
      <c r="M1085">
        <v>100</v>
      </c>
      <c r="N1085">
        <f>0.029*stand_validation_1cycle[[#This Row],[stand_level_biomass]]</f>
        <v>25.866294998308817</v>
      </c>
      <c r="O1085">
        <f>0.213*stand_validation_1cycle[[#This Row],[stand_level_biomass]]</f>
        <v>189.98347705654405</v>
      </c>
      <c r="P1085">
        <f>0.571*stand_validation_1cycle[[#This Row],[stand_level_biomass]]</f>
        <v>509.29842910463213</v>
      </c>
      <c r="Q1085">
        <f>stand_validation_1cycle[[#This Row],[stock]]</f>
        <v>98</v>
      </c>
      <c r="R1085">
        <v>0</v>
      </c>
      <c r="S1085">
        <f>stand_validation_1cycle[[#This Row],[aws]]</f>
        <v>566.78308105468705</v>
      </c>
      <c r="T1085">
        <f>stand_validation_1cycle[[#This Row],[percent_tree_cover]]*100</f>
        <v>7.6254985379737104</v>
      </c>
    </row>
    <row r="1086" spans="1:20" x14ac:dyDescent="0.2">
      <c r="A1086">
        <v>1</v>
      </c>
      <c r="B1086" t="s">
        <v>1104</v>
      </c>
      <c r="C1086">
        <v>26.376177777777698</v>
      </c>
      <c r="D1086">
        <v>756.31097109343796</v>
      </c>
      <c r="E1086">
        <v>6.8413803482767603</v>
      </c>
      <c r="F1086">
        <v>25.442177020056398</v>
      </c>
      <c r="G1086">
        <v>100</v>
      </c>
      <c r="H1086">
        <v>568.013916015625</v>
      </c>
      <c r="I1086">
        <v>6.8180744225940698E-2</v>
      </c>
      <c r="K1086" s="1" t="str">
        <f>TEXT(stand_validation_1cycle[[#This Row],[stand_age]], ".0")</f>
        <v>26.4</v>
      </c>
      <c r="L1086" s="1" t="str">
        <f t="shared" si="16"/>
        <v>"26.4"</v>
      </c>
      <c r="M1086">
        <v>100</v>
      </c>
      <c r="N1086">
        <f>0.029*stand_validation_1cycle[[#This Row],[stand_level_biomass]]</f>
        <v>21.9330181617097</v>
      </c>
      <c r="O1086">
        <f>0.213*stand_validation_1cycle[[#This Row],[stand_level_biomass]]</f>
        <v>161.09423684290229</v>
      </c>
      <c r="P1086">
        <f>0.571*stand_validation_1cycle[[#This Row],[stand_level_biomass]]</f>
        <v>431.85356449435301</v>
      </c>
      <c r="Q1086">
        <f>stand_validation_1cycle[[#This Row],[stock]]</f>
        <v>100</v>
      </c>
      <c r="R1086">
        <v>0</v>
      </c>
      <c r="S1086">
        <f>stand_validation_1cycle[[#This Row],[aws]]</f>
        <v>568.013916015625</v>
      </c>
      <c r="T1086">
        <f>stand_validation_1cycle[[#This Row],[percent_tree_cover]]*100</f>
        <v>6.8180744225940701</v>
      </c>
    </row>
    <row r="1087" spans="1:20" x14ac:dyDescent="0.2">
      <c r="A1087">
        <v>1</v>
      </c>
      <c r="B1087" t="s">
        <v>1105</v>
      </c>
      <c r="C1087">
        <v>27.648011111111099</v>
      </c>
      <c r="D1087">
        <v>784.72205089416298</v>
      </c>
      <c r="E1087">
        <v>7.1178412871908296</v>
      </c>
      <c r="F1087">
        <v>26.1330899057028</v>
      </c>
      <c r="G1087">
        <v>100</v>
      </c>
      <c r="H1087">
        <v>572.14221191406205</v>
      </c>
      <c r="I1087">
        <v>7.0930189306933095E-2</v>
      </c>
      <c r="K1087" s="1" t="str">
        <f>TEXT(stand_validation_1cycle[[#This Row],[stand_age]], ".0")</f>
        <v>27.6</v>
      </c>
      <c r="L1087" s="1" t="str">
        <f t="shared" si="16"/>
        <v>"27.6"</v>
      </c>
      <c r="M1087">
        <v>100</v>
      </c>
      <c r="N1087">
        <f>0.029*stand_validation_1cycle[[#This Row],[stand_level_biomass]]</f>
        <v>22.756939475930729</v>
      </c>
      <c r="O1087">
        <f>0.213*stand_validation_1cycle[[#This Row],[stand_level_biomass]]</f>
        <v>167.14579684045671</v>
      </c>
      <c r="P1087">
        <f>0.571*stand_validation_1cycle[[#This Row],[stand_level_biomass]]</f>
        <v>448.07629106056703</v>
      </c>
      <c r="Q1087">
        <f>stand_validation_1cycle[[#This Row],[stock]]</f>
        <v>100</v>
      </c>
      <c r="R1087">
        <v>0</v>
      </c>
      <c r="S1087">
        <f>stand_validation_1cycle[[#This Row],[aws]]</f>
        <v>572.14221191406205</v>
      </c>
      <c r="T1087">
        <f>stand_validation_1cycle[[#This Row],[percent_tree_cover]]*100</f>
        <v>7.0930189306933098</v>
      </c>
    </row>
    <row r="1088" spans="1:20" x14ac:dyDescent="0.2">
      <c r="A1088">
        <v>1</v>
      </c>
      <c r="B1088" t="s">
        <v>1106</v>
      </c>
      <c r="C1088">
        <v>27.144777777777801</v>
      </c>
      <c r="D1088">
        <v>795.26624295309705</v>
      </c>
      <c r="E1088">
        <v>7.2759788511964096</v>
      </c>
      <c r="F1088">
        <v>27.1611259821285</v>
      </c>
      <c r="G1088">
        <v>100</v>
      </c>
      <c r="H1088">
        <v>569.63543701171795</v>
      </c>
      <c r="I1088">
        <v>7.2521682507013102E-2</v>
      </c>
      <c r="K1088" s="1" t="str">
        <f>TEXT(stand_validation_1cycle[[#This Row],[stand_age]], ".0")</f>
        <v>27.1</v>
      </c>
      <c r="L1088" s="1" t="str">
        <f t="shared" si="16"/>
        <v>"27.1"</v>
      </c>
      <c r="M1088">
        <v>100</v>
      </c>
      <c r="N1088">
        <f>0.029*stand_validation_1cycle[[#This Row],[stand_level_biomass]]</f>
        <v>23.062721045639815</v>
      </c>
      <c r="O1088">
        <f>0.213*stand_validation_1cycle[[#This Row],[stand_level_biomass]]</f>
        <v>169.39170974900966</v>
      </c>
      <c r="P1088">
        <f>0.571*stand_validation_1cycle[[#This Row],[stand_level_biomass]]</f>
        <v>454.09702472621836</v>
      </c>
      <c r="Q1088">
        <f>stand_validation_1cycle[[#This Row],[stock]]</f>
        <v>100</v>
      </c>
      <c r="R1088">
        <v>0</v>
      </c>
      <c r="S1088">
        <f>stand_validation_1cycle[[#This Row],[aws]]</f>
        <v>569.63543701171795</v>
      </c>
      <c r="T1088">
        <f>stand_validation_1cycle[[#This Row],[percent_tree_cover]]*100</f>
        <v>7.2521682507013105</v>
      </c>
    </row>
    <row r="1089" spans="1:20" x14ac:dyDescent="0.2">
      <c r="A1089">
        <v>1</v>
      </c>
      <c r="B1089" t="s">
        <v>1107</v>
      </c>
      <c r="C1089">
        <v>24.814444444444401</v>
      </c>
      <c r="D1089">
        <v>536.85566828053697</v>
      </c>
      <c r="E1089">
        <v>1.67504850820794</v>
      </c>
      <c r="F1089">
        <v>23.080799078243299</v>
      </c>
      <c r="G1089">
        <v>32</v>
      </c>
      <c r="H1089">
        <v>569.63543701171795</v>
      </c>
      <c r="I1089">
        <v>5.0378143963213301E-2</v>
      </c>
      <c r="K1089" s="1" t="str">
        <f>TEXT(stand_validation_1cycle[[#This Row],[stand_age]], ".0")</f>
        <v>24.8</v>
      </c>
      <c r="L1089" s="1" t="str">
        <f t="shared" si="16"/>
        <v>"24.8"</v>
      </c>
      <c r="M1089">
        <v>100</v>
      </c>
      <c r="N1089">
        <f>0.029*stand_validation_1cycle[[#This Row],[stand_level_biomass]]</f>
        <v>15.568814380135573</v>
      </c>
      <c r="O1089">
        <f>0.213*stand_validation_1cycle[[#This Row],[stand_level_biomass]]</f>
        <v>114.35025734375438</v>
      </c>
      <c r="P1089">
        <f>0.571*stand_validation_1cycle[[#This Row],[stand_level_biomass]]</f>
        <v>306.54458658818658</v>
      </c>
      <c r="Q1089">
        <f>stand_validation_1cycle[[#This Row],[stock]]</f>
        <v>32</v>
      </c>
      <c r="R1089">
        <v>0</v>
      </c>
      <c r="S1089">
        <f>stand_validation_1cycle[[#This Row],[aws]]</f>
        <v>569.63543701171795</v>
      </c>
      <c r="T1089">
        <f>stand_validation_1cycle[[#This Row],[percent_tree_cover]]*100</f>
        <v>5.0378143963213304</v>
      </c>
    </row>
    <row r="1090" spans="1:20" x14ac:dyDescent="0.2">
      <c r="A1090">
        <v>1</v>
      </c>
      <c r="B1090" t="s">
        <v>1108</v>
      </c>
      <c r="C1090">
        <v>27.3359057971014</v>
      </c>
      <c r="D1090">
        <v>798.29134637408094</v>
      </c>
      <c r="E1090">
        <v>6.5766351937660898</v>
      </c>
      <c r="F1090">
        <v>25.7383398559674</v>
      </c>
      <c r="G1090">
        <v>92</v>
      </c>
      <c r="H1090">
        <v>525.94195556640602</v>
      </c>
      <c r="I1090">
        <v>7.1936878418119299E-2</v>
      </c>
      <c r="K1090" s="1" t="str">
        <f>TEXT(stand_validation_1cycle[[#This Row],[stand_age]], ".0")</f>
        <v>27.3</v>
      </c>
      <c r="L1090" s="1" t="str">
        <f t="shared" si="16"/>
        <v>"27.3"</v>
      </c>
      <c r="M1090">
        <v>100</v>
      </c>
      <c r="N1090">
        <f>0.029*stand_validation_1cycle[[#This Row],[stand_level_biomass]]</f>
        <v>23.150449044848347</v>
      </c>
      <c r="O1090">
        <f>0.213*stand_validation_1cycle[[#This Row],[stand_level_biomass]]</f>
        <v>170.03605677767925</v>
      </c>
      <c r="P1090">
        <f>0.571*stand_validation_1cycle[[#This Row],[stand_level_biomass]]</f>
        <v>455.82435877960017</v>
      </c>
      <c r="Q1090">
        <f>stand_validation_1cycle[[#This Row],[stock]]</f>
        <v>92</v>
      </c>
      <c r="R1090">
        <v>0</v>
      </c>
      <c r="S1090">
        <f>stand_validation_1cycle[[#This Row],[aws]]</f>
        <v>525.94195556640602</v>
      </c>
      <c r="T1090">
        <f>stand_validation_1cycle[[#This Row],[percent_tree_cover]]*100</f>
        <v>7.1936878418119301</v>
      </c>
    </row>
    <row r="1091" spans="1:20" x14ac:dyDescent="0.2">
      <c r="A1091">
        <v>1</v>
      </c>
      <c r="B1091" t="s">
        <v>1109</v>
      </c>
      <c r="C1091">
        <v>24.4808666666666</v>
      </c>
      <c r="D1091">
        <v>662.06896275125405</v>
      </c>
      <c r="E1091">
        <v>6.2516358629558999</v>
      </c>
      <c r="F1091">
        <v>25.003990648858501</v>
      </c>
      <c r="G1091">
        <v>100</v>
      </c>
      <c r="H1091">
        <v>523.76416015625</v>
      </c>
      <c r="I1091">
        <v>6.2336643532582899E-2</v>
      </c>
      <c r="K1091" s="1" t="str">
        <f>TEXT(stand_validation_1cycle[[#This Row],[stand_age]], ".0")</f>
        <v>24.5</v>
      </c>
      <c r="L1091" s="1" t="str">
        <f t="shared" ref="L1091:L1154" si="17">""""&amp;K1091&amp;""""</f>
        <v>"24.5"</v>
      </c>
      <c r="M1091">
        <v>100</v>
      </c>
      <c r="N1091">
        <f>0.029*stand_validation_1cycle[[#This Row],[stand_level_biomass]]</f>
        <v>19.199999919786368</v>
      </c>
      <c r="O1091">
        <f>0.213*stand_validation_1cycle[[#This Row],[stand_level_biomass]]</f>
        <v>141.0206890660171</v>
      </c>
      <c r="P1091">
        <f>0.571*stand_validation_1cycle[[#This Row],[stand_level_biomass]]</f>
        <v>378.04137773096602</v>
      </c>
      <c r="Q1091">
        <f>stand_validation_1cycle[[#This Row],[stock]]</f>
        <v>100</v>
      </c>
      <c r="R1091">
        <v>0</v>
      </c>
      <c r="S1091">
        <f>stand_validation_1cycle[[#This Row],[aws]]</f>
        <v>523.76416015625</v>
      </c>
      <c r="T1091">
        <f>stand_validation_1cycle[[#This Row],[percent_tree_cover]]*100</f>
        <v>6.2336643532582903</v>
      </c>
    </row>
    <row r="1092" spans="1:20" x14ac:dyDescent="0.2">
      <c r="A1092">
        <v>1</v>
      </c>
      <c r="B1092" t="s">
        <v>1110</v>
      </c>
      <c r="C1092">
        <v>26.093388888888899</v>
      </c>
      <c r="D1092">
        <v>715.51578409302704</v>
      </c>
      <c r="E1092">
        <v>6.6437631747916797</v>
      </c>
      <c r="F1092">
        <v>25.6063986296571</v>
      </c>
      <c r="G1092">
        <v>100</v>
      </c>
      <c r="H1092">
        <v>523.76416015625</v>
      </c>
      <c r="I1092">
        <v>6.6219663175694998E-2</v>
      </c>
      <c r="K1092" s="1" t="str">
        <f>TEXT(stand_validation_1cycle[[#This Row],[stand_age]], ".0")</f>
        <v>26.1</v>
      </c>
      <c r="L1092" s="1" t="str">
        <f t="shared" si="17"/>
        <v>"26.1"</v>
      </c>
      <c r="M1092">
        <v>100</v>
      </c>
      <c r="N1092">
        <f>0.029*stand_validation_1cycle[[#This Row],[stand_level_biomass]]</f>
        <v>20.749957738697784</v>
      </c>
      <c r="O1092">
        <f>0.213*stand_validation_1cycle[[#This Row],[stand_level_biomass]]</f>
        <v>152.40486201181474</v>
      </c>
      <c r="P1092">
        <f>0.571*stand_validation_1cycle[[#This Row],[stand_level_biomass]]</f>
        <v>408.55951271711842</v>
      </c>
      <c r="Q1092">
        <f>stand_validation_1cycle[[#This Row],[stock]]</f>
        <v>100</v>
      </c>
      <c r="R1092">
        <v>0</v>
      </c>
      <c r="S1092">
        <f>stand_validation_1cycle[[#This Row],[aws]]</f>
        <v>523.76416015625</v>
      </c>
      <c r="T1092">
        <f>stand_validation_1cycle[[#This Row],[percent_tree_cover]]*100</f>
        <v>6.6219663175695</v>
      </c>
    </row>
    <row r="1093" spans="1:20" x14ac:dyDescent="0.2">
      <c r="A1093">
        <v>1</v>
      </c>
      <c r="B1093" t="s">
        <v>1111</v>
      </c>
      <c r="C1093">
        <v>29.4251222222222</v>
      </c>
      <c r="D1093">
        <v>1009.70477361281</v>
      </c>
      <c r="E1093">
        <v>8.7533536372515108</v>
      </c>
      <c r="F1093">
        <v>28.958676791539201</v>
      </c>
      <c r="G1093">
        <v>100</v>
      </c>
      <c r="H1093">
        <v>601</v>
      </c>
      <c r="I1093">
        <v>8.7215145260520793E-2</v>
      </c>
      <c r="K1093" s="1" t="str">
        <f>TEXT(stand_validation_1cycle[[#This Row],[stand_age]], ".0")</f>
        <v>29.4</v>
      </c>
      <c r="L1093" s="1" t="str">
        <f t="shared" si="17"/>
        <v>"29.4"</v>
      </c>
      <c r="M1093">
        <v>100</v>
      </c>
      <c r="N1093">
        <f>0.029*stand_validation_1cycle[[#This Row],[stand_level_biomass]]</f>
        <v>29.281438434771491</v>
      </c>
      <c r="O1093">
        <f>0.213*stand_validation_1cycle[[#This Row],[stand_level_biomass]]</f>
        <v>215.0671167795285</v>
      </c>
      <c r="P1093">
        <f>0.571*stand_validation_1cycle[[#This Row],[stand_level_biomass]]</f>
        <v>576.54142573291449</v>
      </c>
      <c r="Q1093">
        <f>stand_validation_1cycle[[#This Row],[stock]]</f>
        <v>100</v>
      </c>
      <c r="R1093">
        <v>0</v>
      </c>
      <c r="S1093">
        <f>stand_validation_1cycle[[#This Row],[aws]]</f>
        <v>601</v>
      </c>
      <c r="T1093">
        <f>stand_validation_1cycle[[#This Row],[percent_tree_cover]]*100</f>
        <v>8.7215145260520792</v>
      </c>
    </row>
    <row r="1094" spans="1:20" x14ac:dyDescent="0.2">
      <c r="A1094">
        <v>1</v>
      </c>
      <c r="B1094" t="s">
        <v>1112</v>
      </c>
      <c r="C1094">
        <v>26.644166666666599</v>
      </c>
      <c r="D1094">
        <v>872.26167808277899</v>
      </c>
      <c r="E1094">
        <v>7.6268939652042302</v>
      </c>
      <c r="F1094">
        <v>26.3992064391628</v>
      </c>
      <c r="G1094">
        <v>100</v>
      </c>
      <c r="H1094">
        <v>596.13055419921795</v>
      </c>
      <c r="I1094">
        <v>7.59936699190083E-2</v>
      </c>
      <c r="K1094" s="1" t="str">
        <f>TEXT(stand_validation_1cycle[[#This Row],[stand_age]], ".0")</f>
        <v>26.6</v>
      </c>
      <c r="L1094" s="1" t="str">
        <f t="shared" si="17"/>
        <v>"26.6"</v>
      </c>
      <c r="M1094">
        <v>100</v>
      </c>
      <c r="N1094">
        <f>0.029*stand_validation_1cycle[[#This Row],[stand_level_biomass]]</f>
        <v>25.295588664400594</v>
      </c>
      <c r="O1094">
        <f>0.213*stand_validation_1cycle[[#This Row],[stand_level_biomass]]</f>
        <v>185.79173743163193</v>
      </c>
      <c r="P1094">
        <f>0.571*stand_validation_1cycle[[#This Row],[stand_level_biomass]]</f>
        <v>498.06141818526675</v>
      </c>
      <c r="Q1094">
        <f>stand_validation_1cycle[[#This Row],[stock]]</f>
        <v>100</v>
      </c>
      <c r="R1094">
        <v>0</v>
      </c>
      <c r="S1094">
        <f>stand_validation_1cycle[[#This Row],[aws]]</f>
        <v>596.13055419921795</v>
      </c>
      <c r="T1094">
        <f>stand_validation_1cycle[[#This Row],[percent_tree_cover]]*100</f>
        <v>7.5993669919008298</v>
      </c>
    </row>
    <row r="1095" spans="1:20" x14ac:dyDescent="0.2">
      <c r="A1095">
        <v>1</v>
      </c>
      <c r="B1095" t="s">
        <v>1113</v>
      </c>
      <c r="C1095">
        <v>26.2993714927048</v>
      </c>
      <c r="D1095">
        <v>697.46067778536303</v>
      </c>
      <c r="E1095">
        <v>6.4249433924875099</v>
      </c>
      <c r="F1095">
        <v>25.0291944598066</v>
      </c>
      <c r="G1095">
        <v>99</v>
      </c>
      <c r="H1095">
        <v>523.76416015625</v>
      </c>
      <c r="I1095">
        <v>6.3712228235012297E-2</v>
      </c>
      <c r="K1095" s="1" t="str">
        <f>TEXT(stand_validation_1cycle[[#This Row],[stand_age]], ".0")</f>
        <v>26.3</v>
      </c>
      <c r="L1095" s="1" t="str">
        <f t="shared" si="17"/>
        <v>"26.3"</v>
      </c>
      <c r="M1095">
        <v>100</v>
      </c>
      <c r="N1095">
        <f>0.029*stand_validation_1cycle[[#This Row],[stand_level_biomass]]</f>
        <v>20.226359655775529</v>
      </c>
      <c r="O1095">
        <f>0.213*stand_validation_1cycle[[#This Row],[stand_level_biomass]]</f>
        <v>148.55912436828231</v>
      </c>
      <c r="P1095">
        <f>0.571*stand_validation_1cycle[[#This Row],[stand_level_biomass]]</f>
        <v>398.25004701544225</v>
      </c>
      <c r="Q1095">
        <f>stand_validation_1cycle[[#This Row],[stock]]</f>
        <v>99</v>
      </c>
      <c r="R1095">
        <v>0</v>
      </c>
      <c r="S1095">
        <f>stand_validation_1cycle[[#This Row],[aws]]</f>
        <v>523.76416015625</v>
      </c>
      <c r="T1095">
        <f>stand_validation_1cycle[[#This Row],[percent_tree_cover]]*100</f>
        <v>6.3712228235012294</v>
      </c>
    </row>
    <row r="1096" spans="1:20" x14ac:dyDescent="0.2">
      <c r="A1096">
        <v>1</v>
      </c>
      <c r="B1096" t="s">
        <v>1114</v>
      </c>
      <c r="C1096">
        <v>30.503233333333299</v>
      </c>
      <c r="D1096">
        <v>1124.3350620440201</v>
      </c>
      <c r="E1096">
        <v>9.5303841686161199</v>
      </c>
      <c r="F1096">
        <v>29.729399467679901</v>
      </c>
      <c r="G1096">
        <v>100</v>
      </c>
      <c r="H1096">
        <v>524.74951171875</v>
      </c>
      <c r="I1096">
        <v>9.4936734796652295E-2</v>
      </c>
      <c r="K1096" s="1" t="str">
        <f>TEXT(stand_validation_1cycle[[#This Row],[stand_age]], ".0")</f>
        <v>30.5</v>
      </c>
      <c r="L1096" s="1" t="str">
        <f t="shared" si="17"/>
        <v>"30.5"</v>
      </c>
      <c r="M1096">
        <v>100</v>
      </c>
      <c r="N1096">
        <f>0.029*stand_validation_1cycle[[#This Row],[stand_level_biomass]]</f>
        <v>32.605716799276586</v>
      </c>
      <c r="O1096">
        <f>0.213*stand_validation_1cycle[[#This Row],[stand_level_biomass]]</f>
        <v>239.48336821537629</v>
      </c>
      <c r="P1096">
        <f>0.571*stand_validation_1cycle[[#This Row],[stand_level_biomass]]</f>
        <v>641.99532042713543</v>
      </c>
      <c r="Q1096">
        <f>stand_validation_1cycle[[#This Row],[stock]]</f>
        <v>100</v>
      </c>
      <c r="R1096">
        <v>0</v>
      </c>
      <c r="S1096">
        <f>stand_validation_1cycle[[#This Row],[aws]]</f>
        <v>524.74951171875</v>
      </c>
      <c r="T1096">
        <f>stand_validation_1cycle[[#This Row],[percent_tree_cover]]*100</f>
        <v>9.4936734796652296</v>
      </c>
    </row>
    <row r="1097" spans="1:20" x14ac:dyDescent="0.2">
      <c r="A1097">
        <v>1</v>
      </c>
      <c r="B1097" t="s">
        <v>1115</v>
      </c>
      <c r="C1097">
        <v>25.782289562289499</v>
      </c>
      <c r="D1097">
        <v>604.42263830119805</v>
      </c>
      <c r="E1097">
        <v>5.7665692448526604</v>
      </c>
      <c r="F1097">
        <v>24.175744329895299</v>
      </c>
      <c r="G1097">
        <v>99</v>
      </c>
      <c r="H1097">
        <v>524.98126220703102</v>
      </c>
      <c r="I1097">
        <v>5.7405379887465198E-2</v>
      </c>
      <c r="K1097" s="1" t="str">
        <f>TEXT(stand_validation_1cycle[[#This Row],[stand_age]], ".0")</f>
        <v>25.8</v>
      </c>
      <c r="L1097" s="1" t="str">
        <f t="shared" si="17"/>
        <v>"25.8"</v>
      </c>
      <c r="M1097">
        <v>100</v>
      </c>
      <c r="N1097">
        <f>0.029*stand_validation_1cycle[[#This Row],[stand_level_biomass]]</f>
        <v>17.528256510734746</v>
      </c>
      <c r="O1097">
        <f>0.213*stand_validation_1cycle[[#This Row],[stand_level_biomass]]</f>
        <v>128.74202195815519</v>
      </c>
      <c r="P1097">
        <f>0.571*stand_validation_1cycle[[#This Row],[stand_level_biomass]]</f>
        <v>345.12532646998403</v>
      </c>
      <c r="Q1097">
        <f>stand_validation_1cycle[[#This Row],[stock]]</f>
        <v>99</v>
      </c>
      <c r="R1097">
        <v>0</v>
      </c>
      <c r="S1097">
        <f>stand_validation_1cycle[[#This Row],[aws]]</f>
        <v>524.98126220703102</v>
      </c>
      <c r="T1097">
        <f>stand_validation_1cycle[[#This Row],[percent_tree_cover]]*100</f>
        <v>5.74053798874652</v>
      </c>
    </row>
    <row r="1098" spans="1:20" x14ac:dyDescent="0.2">
      <c r="A1098">
        <v>1</v>
      </c>
      <c r="B1098" t="s">
        <v>1116</v>
      </c>
      <c r="C1098">
        <v>24.665966666666598</v>
      </c>
      <c r="D1098">
        <v>669.52883179227103</v>
      </c>
      <c r="E1098">
        <v>6.1778076501983801</v>
      </c>
      <c r="F1098">
        <v>24.230379981938501</v>
      </c>
      <c r="G1098">
        <v>100</v>
      </c>
      <c r="H1098">
        <v>574.71734619140602</v>
      </c>
      <c r="I1098">
        <v>6.1577602589150203E-2</v>
      </c>
      <c r="K1098" s="1" t="str">
        <f>TEXT(stand_validation_1cycle[[#This Row],[stand_age]], ".0")</f>
        <v>24.7</v>
      </c>
      <c r="L1098" s="1" t="str">
        <f t="shared" si="17"/>
        <v>"24.7"</v>
      </c>
      <c r="M1098">
        <v>100</v>
      </c>
      <c r="N1098">
        <f>0.029*stand_validation_1cycle[[#This Row],[stand_level_biomass]]</f>
        <v>19.41633612197586</v>
      </c>
      <c r="O1098">
        <f>0.213*stand_validation_1cycle[[#This Row],[stand_level_biomass]]</f>
        <v>142.60964117175374</v>
      </c>
      <c r="P1098">
        <f>0.571*stand_validation_1cycle[[#This Row],[stand_level_biomass]]</f>
        <v>382.30096295338672</v>
      </c>
      <c r="Q1098">
        <f>stand_validation_1cycle[[#This Row],[stock]]</f>
        <v>100</v>
      </c>
      <c r="R1098">
        <v>0</v>
      </c>
      <c r="S1098">
        <f>stand_validation_1cycle[[#This Row],[aws]]</f>
        <v>574.71734619140602</v>
      </c>
      <c r="T1098">
        <f>stand_validation_1cycle[[#This Row],[percent_tree_cover]]*100</f>
        <v>6.1577602589150207</v>
      </c>
    </row>
    <row r="1099" spans="1:20" x14ac:dyDescent="0.2">
      <c r="A1099">
        <v>1</v>
      </c>
      <c r="B1099" t="s">
        <v>1117</v>
      </c>
      <c r="C1099">
        <v>27.371739618406199</v>
      </c>
      <c r="D1099">
        <v>835.96878723723501</v>
      </c>
      <c r="E1099">
        <v>7.53570609684113</v>
      </c>
      <c r="F1099">
        <v>27.179908399392399</v>
      </c>
      <c r="G1099">
        <v>99</v>
      </c>
      <c r="H1099">
        <v>572.979736328125</v>
      </c>
      <c r="I1099">
        <v>7.46005686728623E-2</v>
      </c>
      <c r="K1099" s="1" t="str">
        <f>TEXT(stand_validation_1cycle[[#This Row],[stand_age]], ".0")</f>
        <v>27.4</v>
      </c>
      <c r="L1099" s="1" t="str">
        <f t="shared" si="17"/>
        <v>"27.4"</v>
      </c>
      <c r="M1099">
        <v>100</v>
      </c>
      <c r="N1099">
        <f>0.029*stand_validation_1cycle[[#This Row],[stand_level_biomass]]</f>
        <v>24.243094829879816</v>
      </c>
      <c r="O1099">
        <f>0.213*stand_validation_1cycle[[#This Row],[stand_level_biomass]]</f>
        <v>178.06135168153105</v>
      </c>
      <c r="P1099">
        <f>0.571*stand_validation_1cycle[[#This Row],[stand_level_biomass]]</f>
        <v>477.33817751246113</v>
      </c>
      <c r="Q1099">
        <f>stand_validation_1cycle[[#This Row],[stock]]</f>
        <v>99</v>
      </c>
      <c r="R1099">
        <v>0</v>
      </c>
      <c r="S1099">
        <f>stand_validation_1cycle[[#This Row],[aws]]</f>
        <v>572.979736328125</v>
      </c>
      <c r="T1099">
        <f>stand_validation_1cycle[[#This Row],[percent_tree_cover]]*100</f>
        <v>7.4600568672862302</v>
      </c>
    </row>
    <row r="1100" spans="1:20" x14ac:dyDescent="0.2">
      <c r="A1100">
        <v>1</v>
      </c>
      <c r="B1100" t="s">
        <v>1118</v>
      </c>
      <c r="C1100">
        <v>27.376543209876498</v>
      </c>
      <c r="D1100">
        <v>878.89916920221106</v>
      </c>
      <c r="E1100">
        <v>7.6760104101486197</v>
      </c>
      <c r="F1100">
        <v>27.076634104062698</v>
      </c>
      <c r="G1100">
        <v>99</v>
      </c>
      <c r="H1100">
        <v>574.74444580078102</v>
      </c>
      <c r="I1100">
        <v>7.6481417458818202E-2</v>
      </c>
      <c r="K1100" s="1" t="str">
        <f>TEXT(stand_validation_1cycle[[#This Row],[stand_age]], ".0")</f>
        <v>27.4</v>
      </c>
      <c r="L1100" s="1" t="str">
        <f t="shared" si="17"/>
        <v>"27.4"</v>
      </c>
      <c r="M1100">
        <v>100</v>
      </c>
      <c r="N1100">
        <f>0.029*stand_validation_1cycle[[#This Row],[stand_level_biomass]]</f>
        <v>25.488075906864122</v>
      </c>
      <c r="O1100">
        <f>0.213*stand_validation_1cycle[[#This Row],[stand_level_biomass]]</f>
        <v>187.20552304007094</v>
      </c>
      <c r="P1100">
        <f>0.571*stand_validation_1cycle[[#This Row],[stand_level_biomass]]</f>
        <v>501.85142561446247</v>
      </c>
      <c r="Q1100">
        <f>stand_validation_1cycle[[#This Row],[stock]]</f>
        <v>99</v>
      </c>
      <c r="R1100">
        <v>0</v>
      </c>
      <c r="S1100">
        <f>stand_validation_1cycle[[#This Row],[aws]]</f>
        <v>574.74444580078102</v>
      </c>
      <c r="T1100">
        <f>stand_validation_1cycle[[#This Row],[percent_tree_cover]]*100</f>
        <v>7.6481417458818202</v>
      </c>
    </row>
    <row r="1101" spans="1:20" x14ac:dyDescent="0.2">
      <c r="A1101">
        <v>1</v>
      </c>
      <c r="B1101" t="s">
        <v>1119</v>
      </c>
      <c r="C1101">
        <v>27.197485970819301</v>
      </c>
      <c r="D1101">
        <v>787.06671878101395</v>
      </c>
      <c r="E1101">
        <v>7.1016094633478897</v>
      </c>
      <c r="F1101">
        <v>26.256997721030999</v>
      </c>
      <c r="G1101">
        <v>99</v>
      </c>
      <c r="H1101">
        <v>567.85217285156205</v>
      </c>
      <c r="I1101">
        <v>7.0660850877822007E-2</v>
      </c>
      <c r="K1101" s="1" t="str">
        <f>TEXT(stand_validation_1cycle[[#This Row],[stand_age]], ".0")</f>
        <v>27.2</v>
      </c>
      <c r="L1101" s="1" t="str">
        <f t="shared" si="17"/>
        <v>"27.2"</v>
      </c>
      <c r="M1101">
        <v>100</v>
      </c>
      <c r="N1101">
        <f>0.029*stand_validation_1cycle[[#This Row],[stand_level_biomass]]</f>
        <v>22.824934844649405</v>
      </c>
      <c r="O1101">
        <f>0.213*stand_validation_1cycle[[#This Row],[stand_level_biomass]]</f>
        <v>167.64521110035597</v>
      </c>
      <c r="P1101">
        <f>0.571*stand_validation_1cycle[[#This Row],[stand_level_biomass]]</f>
        <v>449.41509642395891</v>
      </c>
      <c r="Q1101">
        <f>stand_validation_1cycle[[#This Row],[stock]]</f>
        <v>99</v>
      </c>
      <c r="R1101">
        <v>0</v>
      </c>
      <c r="S1101">
        <f>stand_validation_1cycle[[#This Row],[aws]]</f>
        <v>567.85217285156205</v>
      </c>
      <c r="T1101">
        <f>stand_validation_1cycle[[#This Row],[percent_tree_cover]]*100</f>
        <v>7.0660850877822003</v>
      </c>
    </row>
    <row r="1102" spans="1:20" x14ac:dyDescent="0.2">
      <c r="A1102">
        <v>1</v>
      </c>
      <c r="B1102" t="s">
        <v>1120</v>
      </c>
      <c r="C1102">
        <v>25.349377777777701</v>
      </c>
      <c r="D1102">
        <v>746.65674926925897</v>
      </c>
      <c r="E1102">
        <v>6.8727475801265303</v>
      </c>
      <c r="F1102">
        <v>25.9372513059878</v>
      </c>
      <c r="G1102">
        <v>100</v>
      </c>
      <c r="H1102">
        <v>536</v>
      </c>
      <c r="I1102">
        <v>6.8508944212671494E-2</v>
      </c>
      <c r="K1102" s="1" t="str">
        <f>TEXT(stand_validation_1cycle[[#This Row],[stand_age]], ".0")</f>
        <v>25.3</v>
      </c>
      <c r="L1102" s="1" t="str">
        <f t="shared" si="17"/>
        <v>"25.3"</v>
      </c>
      <c r="M1102">
        <v>100</v>
      </c>
      <c r="N1102">
        <f>0.029*stand_validation_1cycle[[#This Row],[stand_level_biomass]]</f>
        <v>21.653045728808511</v>
      </c>
      <c r="O1102">
        <f>0.213*stand_validation_1cycle[[#This Row],[stand_level_biomass]]</f>
        <v>159.03788759435216</v>
      </c>
      <c r="P1102">
        <f>0.571*stand_validation_1cycle[[#This Row],[stand_level_biomass]]</f>
        <v>426.34100383274682</v>
      </c>
      <c r="Q1102">
        <f>stand_validation_1cycle[[#This Row],[stock]]</f>
        <v>100</v>
      </c>
      <c r="R1102">
        <v>0</v>
      </c>
      <c r="S1102">
        <f>stand_validation_1cycle[[#This Row],[aws]]</f>
        <v>536</v>
      </c>
      <c r="T1102">
        <f>stand_validation_1cycle[[#This Row],[percent_tree_cover]]*100</f>
        <v>6.8508944212671494</v>
      </c>
    </row>
    <row r="1103" spans="1:20" x14ac:dyDescent="0.2">
      <c r="A1103">
        <v>1</v>
      </c>
      <c r="B1103" t="s">
        <v>1121</v>
      </c>
      <c r="C1103">
        <v>26.665061728394999</v>
      </c>
      <c r="D1103">
        <v>899.61928169865598</v>
      </c>
      <c r="E1103">
        <v>7.9255023469279404</v>
      </c>
      <c r="F1103">
        <v>27.7039827141176</v>
      </c>
      <c r="G1103">
        <v>99</v>
      </c>
      <c r="H1103">
        <v>569.16363525390602</v>
      </c>
      <c r="I1103">
        <v>7.8693629900049897E-2</v>
      </c>
      <c r="K1103" s="1" t="str">
        <f>TEXT(stand_validation_1cycle[[#This Row],[stand_age]], ".0")</f>
        <v>26.7</v>
      </c>
      <c r="L1103" s="1" t="str">
        <f t="shared" si="17"/>
        <v>"26.7"</v>
      </c>
      <c r="M1103">
        <v>100</v>
      </c>
      <c r="N1103">
        <f>0.029*stand_validation_1cycle[[#This Row],[stand_level_biomass]]</f>
        <v>26.088959169261024</v>
      </c>
      <c r="O1103">
        <f>0.213*stand_validation_1cycle[[#This Row],[stand_level_biomass]]</f>
        <v>191.61890700181371</v>
      </c>
      <c r="P1103">
        <f>0.571*stand_validation_1cycle[[#This Row],[stand_level_biomass]]</f>
        <v>513.68260984993253</v>
      </c>
      <c r="Q1103">
        <f>stand_validation_1cycle[[#This Row],[stock]]</f>
        <v>99</v>
      </c>
      <c r="R1103">
        <v>0</v>
      </c>
      <c r="S1103">
        <f>stand_validation_1cycle[[#This Row],[aws]]</f>
        <v>569.16363525390602</v>
      </c>
      <c r="T1103">
        <f>stand_validation_1cycle[[#This Row],[percent_tree_cover]]*100</f>
        <v>7.8693629900049897</v>
      </c>
    </row>
    <row r="1104" spans="1:20" x14ac:dyDescent="0.2">
      <c r="A1104">
        <v>1</v>
      </c>
      <c r="B1104" t="s">
        <v>1122</v>
      </c>
      <c r="C1104">
        <v>25.150866666666602</v>
      </c>
      <c r="D1104">
        <v>745.14476580199903</v>
      </c>
      <c r="E1104">
        <v>6.7460212302678597</v>
      </c>
      <c r="F1104">
        <v>25.284500810740699</v>
      </c>
      <c r="G1104">
        <v>100</v>
      </c>
      <c r="H1104">
        <v>575.54681396484295</v>
      </c>
      <c r="I1104">
        <v>6.7243697325865298E-2</v>
      </c>
      <c r="K1104" s="1" t="str">
        <f>TEXT(stand_validation_1cycle[[#This Row],[stand_age]], ".0")</f>
        <v>25.2</v>
      </c>
      <c r="L1104" s="1" t="str">
        <f t="shared" si="17"/>
        <v>"25.2"</v>
      </c>
      <c r="M1104">
        <v>100</v>
      </c>
      <c r="N1104">
        <f>0.029*stand_validation_1cycle[[#This Row],[stand_level_biomass]]</f>
        <v>21.609198208257972</v>
      </c>
      <c r="O1104">
        <f>0.213*stand_validation_1cycle[[#This Row],[stand_level_biomass]]</f>
        <v>158.7158351158258</v>
      </c>
      <c r="P1104">
        <f>0.571*stand_validation_1cycle[[#This Row],[stand_level_biomass]]</f>
        <v>425.47766127294142</v>
      </c>
      <c r="Q1104">
        <f>stand_validation_1cycle[[#This Row],[stock]]</f>
        <v>100</v>
      </c>
      <c r="R1104">
        <v>0</v>
      </c>
      <c r="S1104">
        <f>stand_validation_1cycle[[#This Row],[aws]]</f>
        <v>575.54681396484295</v>
      </c>
      <c r="T1104">
        <f>stand_validation_1cycle[[#This Row],[percent_tree_cover]]*100</f>
        <v>6.7243697325865295</v>
      </c>
    </row>
    <row r="1105" spans="1:20" x14ac:dyDescent="0.2">
      <c r="A1105">
        <v>1</v>
      </c>
      <c r="B1105" t="s">
        <v>1123</v>
      </c>
      <c r="C1105">
        <v>28.808622222222201</v>
      </c>
      <c r="D1105">
        <v>1112.78186969031</v>
      </c>
      <c r="E1105">
        <v>9.4043379735669603</v>
      </c>
      <c r="F1105">
        <v>29.523163353611402</v>
      </c>
      <c r="G1105">
        <v>100</v>
      </c>
      <c r="H1105">
        <v>577.09271240234295</v>
      </c>
      <c r="I1105">
        <v>9.37032769532542E-2</v>
      </c>
      <c r="K1105" s="1" t="str">
        <f>TEXT(stand_validation_1cycle[[#This Row],[stand_age]], ".0")</f>
        <v>28.8</v>
      </c>
      <c r="L1105" s="1" t="str">
        <f t="shared" si="17"/>
        <v>"28.8"</v>
      </c>
      <c r="M1105">
        <v>100</v>
      </c>
      <c r="N1105">
        <f>0.029*stand_validation_1cycle[[#This Row],[stand_level_biomass]]</f>
        <v>32.270674221018993</v>
      </c>
      <c r="O1105">
        <f>0.213*stand_validation_1cycle[[#This Row],[stand_level_biomass]]</f>
        <v>237.02253824403604</v>
      </c>
      <c r="P1105">
        <f>0.571*stand_validation_1cycle[[#This Row],[stand_level_biomass]]</f>
        <v>635.39844759316702</v>
      </c>
      <c r="Q1105">
        <f>stand_validation_1cycle[[#This Row],[stock]]</f>
        <v>100</v>
      </c>
      <c r="R1105">
        <v>0</v>
      </c>
      <c r="S1105">
        <f>stand_validation_1cycle[[#This Row],[aws]]</f>
        <v>577.09271240234295</v>
      </c>
      <c r="T1105">
        <f>stand_validation_1cycle[[#This Row],[percent_tree_cover]]*100</f>
        <v>9.37032769532542</v>
      </c>
    </row>
    <row r="1106" spans="1:20" x14ac:dyDescent="0.2">
      <c r="A1106">
        <v>1</v>
      </c>
      <c r="B1106" t="s">
        <v>1124</v>
      </c>
      <c r="C1106">
        <v>32.219285714285697</v>
      </c>
      <c r="D1106">
        <v>1375.2125036277901</v>
      </c>
      <c r="E1106">
        <v>11.1434922506677</v>
      </c>
      <c r="F1106">
        <v>32.229370030262302</v>
      </c>
      <c r="G1106">
        <v>98</v>
      </c>
      <c r="H1106">
        <v>574.61859130859295</v>
      </c>
      <c r="I1106">
        <v>0.110446302701897</v>
      </c>
      <c r="K1106" s="1" t="str">
        <f>TEXT(stand_validation_1cycle[[#This Row],[stand_age]], ".0")</f>
        <v>32.2</v>
      </c>
      <c r="L1106" s="1" t="str">
        <f t="shared" si="17"/>
        <v>"32.2"</v>
      </c>
      <c r="M1106">
        <v>100</v>
      </c>
      <c r="N1106">
        <f>0.029*stand_validation_1cycle[[#This Row],[stand_level_biomass]]</f>
        <v>39.881162605205915</v>
      </c>
      <c r="O1106">
        <f>0.213*stand_validation_1cycle[[#This Row],[stand_level_biomass]]</f>
        <v>292.9202632727193</v>
      </c>
      <c r="P1106">
        <f>0.571*stand_validation_1cycle[[#This Row],[stand_level_biomass]]</f>
        <v>785.24633957146807</v>
      </c>
      <c r="Q1106">
        <f>stand_validation_1cycle[[#This Row],[stock]]</f>
        <v>98</v>
      </c>
      <c r="R1106">
        <v>0</v>
      </c>
      <c r="S1106">
        <f>stand_validation_1cycle[[#This Row],[aws]]</f>
        <v>574.61859130859295</v>
      </c>
      <c r="T1106">
        <f>stand_validation_1cycle[[#This Row],[percent_tree_cover]]*100</f>
        <v>11.0446302701897</v>
      </c>
    </row>
    <row r="1107" spans="1:20" x14ac:dyDescent="0.2">
      <c r="A1107">
        <v>1</v>
      </c>
      <c r="B1107" t="s">
        <v>1125</v>
      </c>
      <c r="C1107">
        <v>25.471143790849599</v>
      </c>
      <c r="D1107">
        <v>575.60313347410897</v>
      </c>
      <c r="E1107">
        <v>1.97545545172583</v>
      </c>
      <c r="F1107">
        <v>25.325075715443202</v>
      </c>
      <c r="G1107">
        <v>34</v>
      </c>
      <c r="H1107">
        <v>574.61859130859295</v>
      </c>
      <c r="I1107">
        <v>5.9434573618330502E-2</v>
      </c>
      <c r="K1107" s="1" t="str">
        <f>TEXT(stand_validation_1cycle[[#This Row],[stand_age]], ".0")</f>
        <v>25.5</v>
      </c>
      <c r="L1107" s="1" t="str">
        <f t="shared" si="17"/>
        <v>"25.5"</v>
      </c>
      <c r="M1107">
        <v>100</v>
      </c>
      <c r="N1107">
        <f>0.029*stand_validation_1cycle[[#This Row],[stand_level_biomass]]</f>
        <v>16.692490870749161</v>
      </c>
      <c r="O1107">
        <f>0.213*stand_validation_1cycle[[#This Row],[stand_level_biomass]]</f>
        <v>122.6034674299852</v>
      </c>
      <c r="P1107">
        <f>0.571*stand_validation_1cycle[[#This Row],[stand_level_biomass]]</f>
        <v>328.66938921371622</v>
      </c>
      <c r="Q1107">
        <f>stand_validation_1cycle[[#This Row],[stock]]</f>
        <v>34</v>
      </c>
      <c r="R1107">
        <v>0</v>
      </c>
      <c r="S1107">
        <f>stand_validation_1cycle[[#This Row],[aws]]</f>
        <v>574.61859130859295</v>
      </c>
      <c r="T1107">
        <f>stand_validation_1cycle[[#This Row],[percent_tree_cover]]*100</f>
        <v>5.9434573618330502</v>
      </c>
    </row>
    <row r="1108" spans="1:20" x14ac:dyDescent="0.2">
      <c r="A1108">
        <v>1</v>
      </c>
      <c r="B1108" t="s">
        <v>1126</v>
      </c>
      <c r="C1108">
        <v>30.464012345678999</v>
      </c>
      <c r="D1108">
        <v>1070.02118728395</v>
      </c>
      <c r="E1108">
        <v>8.3143749687745903</v>
      </c>
      <c r="F1108">
        <v>29.3042035670674</v>
      </c>
      <c r="G1108">
        <v>90</v>
      </c>
      <c r="H1108">
        <v>523.76416015625</v>
      </c>
      <c r="I1108">
        <v>9.0407290989179295E-2</v>
      </c>
      <c r="K1108" s="1" t="str">
        <f>TEXT(stand_validation_1cycle[[#This Row],[stand_age]], ".0")</f>
        <v>30.5</v>
      </c>
      <c r="L1108" s="1" t="str">
        <f t="shared" si="17"/>
        <v>"30.5"</v>
      </c>
      <c r="M1108">
        <v>100</v>
      </c>
      <c r="N1108">
        <f>0.029*stand_validation_1cycle[[#This Row],[stand_level_biomass]]</f>
        <v>31.03061443123455</v>
      </c>
      <c r="O1108">
        <f>0.213*stand_validation_1cycle[[#This Row],[stand_level_biomass]]</f>
        <v>227.91451289148134</v>
      </c>
      <c r="P1108">
        <f>0.571*stand_validation_1cycle[[#This Row],[stand_level_biomass]]</f>
        <v>610.98209793913543</v>
      </c>
      <c r="Q1108">
        <f>stand_validation_1cycle[[#This Row],[stock]]</f>
        <v>90</v>
      </c>
      <c r="R1108">
        <v>0</v>
      </c>
      <c r="S1108">
        <f>stand_validation_1cycle[[#This Row],[aws]]</f>
        <v>523.76416015625</v>
      </c>
      <c r="T1108">
        <f>stand_validation_1cycle[[#This Row],[percent_tree_cover]]*100</f>
        <v>9.0407290989179288</v>
      </c>
    </row>
    <row r="1109" spans="1:20" x14ac:dyDescent="0.2">
      <c r="A1109">
        <v>1</v>
      </c>
      <c r="B1109" t="s">
        <v>1127</v>
      </c>
      <c r="C1109">
        <v>27.057324263038499</v>
      </c>
      <c r="D1109">
        <v>802.05263104907999</v>
      </c>
      <c r="E1109">
        <v>7.2355025714475598</v>
      </c>
      <c r="F1109">
        <v>26.932175802940201</v>
      </c>
      <c r="G1109">
        <v>98</v>
      </c>
      <c r="H1109">
        <v>523.76416015625</v>
      </c>
      <c r="I1109">
        <v>7.1338578477529294E-2</v>
      </c>
      <c r="K1109" s="1" t="str">
        <f>TEXT(stand_validation_1cycle[[#This Row],[stand_age]], ".0")</f>
        <v>27.1</v>
      </c>
      <c r="L1109" s="1" t="str">
        <f t="shared" si="17"/>
        <v>"27.1"</v>
      </c>
      <c r="M1109">
        <v>100</v>
      </c>
      <c r="N1109">
        <f>0.029*stand_validation_1cycle[[#This Row],[stand_level_biomass]]</f>
        <v>23.259526300423321</v>
      </c>
      <c r="O1109">
        <f>0.213*stand_validation_1cycle[[#This Row],[stand_level_biomass]]</f>
        <v>170.83721041345405</v>
      </c>
      <c r="P1109">
        <f>0.571*stand_validation_1cycle[[#This Row],[stand_level_biomass]]</f>
        <v>457.97205232902462</v>
      </c>
      <c r="Q1109">
        <f>stand_validation_1cycle[[#This Row],[stock]]</f>
        <v>98</v>
      </c>
      <c r="R1109">
        <v>0</v>
      </c>
      <c r="S1109">
        <f>stand_validation_1cycle[[#This Row],[aws]]</f>
        <v>523.76416015625</v>
      </c>
      <c r="T1109">
        <f>stand_validation_1cycle[[#This Row],[percent_tree_cover]]*100</f>
        <v>7.1338578477529291</v>
      </c>
    </row>
    <row r="1110" spans="1:20" x14ac:dyDescent="0.2">
      <c r="A1110">
        <v>1</v>
      </c>
      <c r="B1110" t="s">
        <v>1128</v>
      </c>
      <c r="C1110">
        <v>29.543244444444401</v>
      </c>
      <c r="D1110">
        <v>1022.60042751131</v>
      </c>
      <c r="E1110">
        <v>8.8862736370267292</v>
      </c>
      <c r="F1110">
        <v>29.2327937820335</v>
      </c>
      <c r="G1110">
        <v>100</v>
      </c>
      <c r="H1110">
        <v>523.76416015625</v>
      </c>
      <c r="I1110">
        <v>8.8527965835138805E-2</v>
      </c>
      <c r="K1110" s="1" t="str">
        <f>TEXT(stand_validation_1cycle[[#This Row],[stand_age]], ".0")</f>
        <v>29.5</v>
      </c>
      <c r="L1110" s="1" t="str">
        <f t="shared" si="17"/>
        <v>"29.5"</v>
      </c>
      <c r="M1110">
        <v>100</v>
      </c>
      <c r="N1110">
        <f>0.029*stand_validation_1cycle[[#This Row],[stand_level_biomass]]</f>
        <v>29.655412397827991</v>
      </c>
      <c r="O1110">
        <f>0.213*stand_validation_1cycle[[#This Row],[stand_level_biomass]]</f>
        <v>217.81389105990903</v>
      </c>
      <c r="P1110">
        <f>0.571*stand_validation_1cycle[[#This Row],[stand_level_biomass]]</f>
        <v>583.90484410895795</v>
      </c>
      <c r="Q1110">
        <f>stand_validation_1cycle[[#This Row],[stock]]</f>
        <v>100</v>
      </c>
      <c r="R1110">
        <v>0</v>
      </c>
      <c r="S1110">
        <f>stand_validation_1cycle[[#This Row],[aws]]</f>
        <v>523.76416015625</v>
      </c>
      <c r="T1110">
        <f>stand_validation_1cycle[[#This Row],[percent_tree_cover]]*100</f>
        <v>8.8527965835138804</v>
      </c>
    </row>
    <row r="1111" spans="1:20" x14ac:dyDescent="0.2">
      <c r="A1111">
        <v>1</v>
      </c>
      <c r="B1111" t="s">
        <v>1129</v>
      </c>
      <c r="C1111">
        <v>25.752031425364699</v>
      </c>
      <c r="D1111">
        <v>709.49652442201398</v>
      </c>
      <c r="E1111">
        <v>6.5993465524570603</v>
      </c>
      <c r="F1111">
        <v>25.6176008573369</v>
      </c>
      <c r="G1111">
        <v>99</v>
      </c>
      <c r="H1111">
        <v>608</v>
      </c>
      <c r="I1111">
        <v>6.5281295098291905E-2</v>
      </c>
      <c r="K1111" s="1" t="str">
        <f>TEXT(stand_validation_1cycle[[#This Row],[stand_age]], ".0")</f>
        <v>25.8</v>
      </c>
      <c r="L1111" s="1" t="str">
        <f t="shared" si="17"/>
        <v>"25.8"</v>
      </c>
      <c r="M1111">
        <v>100</v>
      </c>
      <c r="N1111">
        <f>0.029*stand_validation_1cycle[[#This Row],[stand_level_biomass]]</f>
        <v>20.575399208238405</v>
      </c>
      <c r="O1111">
        <f>0.213*stand_validation_1cycle[[#This Row],[stand_level_biomass]]</f>
        <v>151.12275970188898</v>
      </c>
      <c r="P1111">
        <f>0.571*stand_validation_1cycle[[#This Row],[stand_level_biomass]]</f>
        <v>405.12251544496996</v>
      </c>
      <c r="Q1111">
        <f>stand_validation_1cycle[[#This Row],[stock]]</f>
        <v>99</v>
      </c>
      <c r="R1111">
        <v>0</v>
      </c>
      <c r="S1111">
        <f>stand_validation_1cycle[[#This Row],[aws]]</f>
        <v>608</v>
      </c>
      <c r="T1111">
        <f>stand_validation_1cycle[[#This Row],[percent_tree_cover]]*100</f>
        <v>6.5281295098291903</v>
      </c>
    </row>
    <row r="1112" spans="1:20" x14ac:dyDescent="0.2">
      <c r="A1112">
        <v>1</v>
      </c>
      <c r="B1112" t="s">
        <v>1130</v>
      </c>
      <c r="C1112">
        <v>28.040033670033601</v>
      </c>
      <c r="D1112">
        <v>855.76045892332797</v>
      </c>
      <c r="E1112">
        <v>7.5967488128967098</v>
      </c>
      <c r="F1112">
        <v>27.116847706628398</v>
      </c>
      <c r="G1112">
        <v>99</v>
      </c>
      <c r="H1112">
        <v>595.43988037109295</v>
      </c>
      <c r="I1112">
        <v>7.5574332904643104E-2</v>
      </c>
      <c r="K1112" s="1" t="str">
        <f>TEXT(stand_validation_1cycle[[#This Row],[stand_age]], ".0")</f>
        <v>28.0</v>
      </c>
      <c r="L1112" s="1" t="str">
        <f t="shared" si="17"/>
        <v>"28.0"</v>
      </c>
      <c r="M1112">
        <v>100</v>
      </c>
      <c r="N1112">
        <f>0.029*stand_validation_1cycle[[#This Row],[stand_level_biomass]]</f>
        <v>24.817053308776511</v>
      </c>
      <c r="O1112">
        <f>0.213*stand_validation_1cycle[[#This Row],[stand_level_biomass]]</f>
        <v>182.27697775066886</v>
      </c>
      <c r="P1112">
        <f>0.571*stand_validation_1cycle[[#This Row],[stand_level_biomass]]</f>
        <v>488.63922204522021</v>
      </c>
      <c r="Q1112">
        <f>stand_validation_1cycle[[#This Row],[stock]]</f>
        <v>99</v>
      </c>
      <c r="R1112">
        <v>0</v>
      </c>
      <c r="S1112">
        <f>stand_validation_1cycle[[#This Row],[aws]]</f>
        <v>595.43988037109295</v>
      </c>
      <c r="T1112">
        <f>stand_validation_1cycle[[#This Row],[percent_tree_cover]]*100</f>
        <v>7.55743329046431</v>
      </c>
    </row>
    <row r="1113" spans="1:20" x14ac:dyDescent="0.2">
      <c r="A1113">
        <v>1</v>
      </c>
      <c r="B1113" t="s">
        <v>1131</v>
      </c>
      <c r="C1113">
        <v>23.7576888888889</v>
      </c>
      <c r="D1113">
        <v>724.37448524097795</v>
      </c>
      <c r="E1113">
        <v>6.5224073775743197</v>
      </c>
      <c r="F1113">
        <v>24.287153801235</v>
      </c>
      <c r="G1113">
        <v>100</v>
      </c>
      <c r="H1113">
        <v>523.76416015625</v>
      </c>
      <c r="I1113">
        <v>6.5012777420097798E-2</v>
      </c>
      <c r="K1113" s="1" t="str">
        <f>TEXT(stand_validation_1cycle[[#This Row],[stand_age]], ".0")</f>
        <v>23.8</v>
      </c>
      <c r="L1113" s="1" t="str">
        <f t="shared" si="17"/>
        <v>"23.8"</v>
      </c>
      <c r="M1113">
        <v>100</v>
      </c>
      <c r="N1113">
        <f>0.029*stand_validation_1cycle[[#This Row],[stand_level_biomass]]</f>
        <v>21.00686007198836</v>
      </c>
      <c r="O1113">
        <f>0.213*stand_validation_1cycle[[#This Row],[stand_level_biomass]]</f>
        <v>154.29176535632831</v>
      </c>
      <c r="P1113">
        <f>0.571*stand_validation_1cycle[[#This Row],[stand_level_biomass]]</f>
        <v>413.61783107259839</v>
      </c>
      <c r="Q1113">
        <f>stand_validation_1cycle[[#This Row],[stock]]</f>
        <v>100</v>
      </c>
      <c r="R1113">
        <v>0</v>
      </c>
      <c r="S1113">
        <f>stand_validation_1cycle[[#This Row],[aws]]</f>
        <v>523.76416015625</v>
      </c>
      <c r="T1113">
        <f>stand_validation_1cycle[[#This Row],[percent_tree_cover]]*100</f>
        <v>6.5012777420097798</v>
      </c>
    </row>
    <row r="1114" spans="1:20" x14ac:dyDescent="0.2">
      <c r="A1114">
        <v>1</v>
      </c>
      <c r="B1114" t="s">
        <v>1132</v>
      </c>
      <c r="C1114">
        <v>29.1334567901234</v>
      </c>
      <c r="D1114">
        <v>1056.48652034972</v>
      </c>
      <c r="E1114">
        <v>8.9716204992486404</v>
      </c>
      <c r="F1114">
        <v>29.187290640818102</v>
      </c>
      <c r="G1114">
        <v>99</v>
      </c>
      <c r="H1114">
        <v>523.76416015625</v>
      </c>
      <c r="I1114">
        <v>8.9201312272252503E-2</v>
      </c>
      <c r="K1114" s="1" t="str">
        <f>TEXT(stand_validation_1cycle[[#This Row],[stand_age]], ".0")</f>
        <v>29.1</v>
      </c>
      <c r="L1114" s="1" t="str">
        <f t="shared" si="17"/>
        <v>"29.1"</v>
      </c>
      <c r="M1114">
        <v>100</v>
      </c>
      <c r="N1114">
        <f>0.029*stand_validation_1cycle[[#This Row],[stand_level_biomass]]</f>
        <v>30.638109090141882</v>
      </c>
      <c r="O1114">
        <f>0.213*stand_validation_1cycle[[#This Row],[stand_level_biomass]]</f>
        <v>225.03162883449033</v>
      </c>
      <c r="P1114">
        <f>0.571*stand_validation_1cycle[[#This Row],[stand_level_biomass]]</f>
        <v>603.25380311969002</v>
      </c>
      <c r="Q1114">
        <f>stand_validation_1cycle[[#This Row],[stock]]</f>
        <v>99</v>
      </c>
      <c r="R1114">
        <v>0</v>
      </c>
      <c r="S1114">
        <f>stand_validation_1cycle[[#This Row],[aws]]</f>
        <v>523.76416015625</v>
      </c>
      <c r="T1114">
        <f>stand_validation_1cycle[[#This Row],[percent_tree_cover]]*100</f>
        <v>8.9201312272252498</v>
      </c>
    </row>
    <row r="1115" spans="1:20" x14ac:dyDescent="0.2">
      <c r="A1115">
        <v>1</v>
      </c>
      <c r="B1115" t="s">
        <v>1133</v>
      </c>
      <c r="C1115">
        <v>25.499133333333301</v>
      </c>
      <c r="D1115">
        <v>673.92128411864405</v>
      </c>
      <c r="E1115">
        <v>6.3670257757241</v>
      </c>
      <c r="F1115">
        <v>25.3653961916343</v>
      </c>
      <c r="G1115">
        <v>100</v>
      </c>
      <c r="H1115">
        <v>523.76416015625</v>
      </c>
      <c r="I1115">
        <v>6.3470550023936298E-2</v>
      </c>
      <c r="K1115" s="1" t="str">
        <f>TEXT(stand_validation_1cycle[[#This Row],[stand_age]], ".0")</f>
        <v>25.5</v>
      </c>
      <c r="L1115" s="1" t="str">
        <f t="shared" si="17"/>
        <v>"25.5"</v>
      </c>
      <c r="M1115">
        <v>100</v>
      </c>
      <c r="N1115">
        <f>0.029*stand_validation_1cycle[[#This Row],[stand_level_biomass]]</f>
        <v>19.543717239440678</v>
      </c>
      <c r="O1115">
        <f>0.213*stand_validation_1cycle[[#This Row],[stand_level_biomass]]</f>
        <v>143.54523351727119</v>
      </c>
      <c r="P1115">
        <f>0.571*stand_validation_1cycle[[#This Row],[stand_level_biomass]]</f>
        <v>384.80905323174574</v>
      </c>
      <c r="Q1115">
        <f>stand_validation_1cycle[[#This Row],[stock]]</f>
        <v>100</v>
      </c>
      <c r="R1115">
        <v>0</v>
      </c>
      <c r="S1115">
        <f>stand_validation_1cycle[[#This Row],[aws]]</f>
        <v>523.76416015625</v>
      </c>
      <c r="T1115">
        <f>stand_validation_1cycle[[#This Row],[percent_tree_cover]]*100</f>
        <v>6.3470550023936294</v>
      </c>
    </row>
    <row r="1116" spans="1:20" x14ac:dyDescent="0.2">
      <c r="A1116">
        <v>1</v>
      </c>
      <c r="B1116" t="s">
        <v>1134</v>
      </c>
      <c r="C1116">
        <v>27.700381593714901</v>
      </c>
      <c r="D1116">
        <v>966.81473043683695</v>
      </c>
      <c r="E1116">
        <v>8.3891205265869697</v>
      </c>
      <c r="F1116">
        <v>28.459626725620399</v>
      </c>
      <c r="G1116">
        <v>99</v>
      </c>
      <c r="H1116">
        <v>567.03802490234295</v>
      </c>
      <c r="I1116">
        <v>8.3510177591132398E-2</v>
      </c>
      <c r="K1116" s="1" t="str">
        <f>TEXT(stand_validation_1cycle[[#This Row],[stand_age]], ".0")</f>
        <v>27.7</v>
      </c>
      <c r="L1116" s="1" t="str">
        <f t="shared" si="17"/>
        <v>"27.7"</v>
      </c>
      <c r="M1116">
        <v>100</v>
      </c>
      <c r="N1116">
        <f>0.029*stand_validation_1cycle[[#This Row],[stand_level_biomass]]</f>
        <v>28.037627182668274</v>
      </c>
      <c r="O1116">
        <f>0.213*stand_validation_1cycle[[#This Row],[stand_level_biomass]]</f>
        <v>205.93153758304626</v>
      </c>
      <c r="P1116">
        <f>0.571*stand_validation_1cycle[[#This Row],[stand_level_biomass]]</f>
        <v>552.05121107943387</v>
      </c>
      <c r="Q1116">
        <f>stand_validation_1cycle[[#This Row],[stock]]</f>
        <v>99</v>
      </c>
      <c r="R1116">
        <v>0</v>
      </c>
      <c r="S1116">
        <f>stand_validation_1cycle[[#This Row],[aws]]</f>
        <v>567.03802490234295</v>
      </c>
      <c r="T1116">
        <f>stand_validation_1cycle[[#This Row],[percent_tree_cover]]*100</f>
        <v>8.3510177591132404</v>
      </c>
    </row>
    <row r="1117" spans="1:20" x14ac:dyDescent="0.2">
      <c r="A1117">
        <v>1</v>
      </c>
      <c r="B1117" t="s">
        <v>1135</v>
      </c>
      <c r="C1117">
        <v>28.055511111111102</v>
      </c>
      <c r="D1117">
        <v>864.93496187171502</v>
      </c>
      <c r="E1117">
        <v>7.66287384046763</v>
      </c>
      <c r="F1117">
        <v>26.808090667679899</v>
      </c>
      <c r="G1117">
        <v>100</v>
      </c>
      <c r="H1117">
        <v>566.78308105468705</v>
      </c>
      <c r="I1117">
        <v>7.6343084620922E-2</v>
      </c>
      <c r="K1117" s="1" t="str">
        <f>TEXT(stand_validation_1cycle[[#This Row],[stand_age]], ".0")</f>
        <v>28.1</v>
      </c>
      <c r="L1117" s="1" t="str">
        <f t="shared" si="17"/>
        <v>"28.1"</v>
      </c>
      <c r="M1117">
        <v>100</v>
      </c>
      <c r="N1117">
        <f>0.029*stand_validation_1cycle[[#This Row],[stand_level_biomass]]</f>
        <v>25.083113894279737</v>
      </c>
      <c r="O1117">
        <f>0.213*stand_validation_1cycle[[#This Row],[stand_level_biomass]]</f>
        <v>184.2311468786753</v>
      </c>
      <c r="P1117">
        <f>0.571*stand_validation_1cycle[[#This Row],[stand_level_biomass]]</f>
        <v>493.87786322874922</v>
      </c>
      <c r="Q1117">
        <f>stand_validation_1cycle[[#This Row],[stock]]</f>
        <v>100</v>
      </c>
      <c r="R1117">
        <v>0</v>
      </c>
      <c r="S1117">
        <f>stand_validation_1cycle[[#This Row],[aws]]</f>
        <v>566.78308105468705</v>
      </c>
      <c r="T1117">
        <f>stand_validation_1cycle[[#This Row],[percent_tree_cover]]*100</f>
        <v>7.6343084620921999</v>
      </c>
    </row>
    <row r="1118" spans="1:20" x14ac:dyDescent="0.2">
      <c r="A1118">
        <v>1</v>
      </c>
      <c r="B1118" t="s">
        <v>1136</v>
      </c>
      <c r="C1118">
        <v>28.231944444444402</v>
      </c>
      <c r="D1118">
        <v>825.02608365677304</v>
      </c>
      <c r="E1118">
        <v>7.3536115326574301</v>
      </c>
      <c r="F1118">
        <v>26.565534800950001</v>
      </c>
      <c r="G1118">
        <v>100</v>
      </c>
      <c r="H1118">
        <v>566.78308105468705</v>
      </c>
      <c r="I1118">
        <v>7.3265432870057601E-2</v>
      </c>
      <c r="K1118" s="1" t="str">
        <f>TEXT(stand_validation_1cycle[[#This Row],[stand_age]], ".0")</f>
        <v>28.2</v>
      </c>
      <c r="L1118" s="1" t="str">
        <f t="shared" si="17"/>
        <v>"28.2"</v>
      </c>
      <c r="M1118">
        <v>100</v>
      </c>
      <c r="N1118">
        <f>0.029*stand_validation_1cycle[[#This Row],[stand_level_biomass]]</f>
        <v>23.925756426046419</v>
      </c>
      <c r="O1118">
        <f>0.213*stand_validation_1cycle[[#This Row],[stand_level_biomass]]</f>
        <v>175.73055581889264</v>
      </c>
      <c r="P1118">
        <f>0.571*stand_validation_1cycle[[#This Row],[stand_level_biomass]]</f>
        <v>471.08989376801736</v>
      </c>
      <c r="Q1118">
        <f>stand_validation_1cycle[[#This Row],[stock]]</f>
        <v>100</v>
      </c>
      <c r="R1118">
        <v>0</v>
      </c>
      <c r="S1118">
        <f>stand_validation_1cycle[[#This Row],[aws]]</f>
        <v>566.78308105468705</v>
      </c>
      <c r="T1118">
        <f>stand_validation_1cycle[[#This Row],[percent_tree_cover]]*100</f>
        <v>7.3265432870057605</v>
      </c>
    </row>
    <row r="1119" spans="1:20" x14ac:dyDescent="0.2">
      <c r="A1119">
        <v>1</v>
      </c>
      <c r="B1119" t="s">
        <v>1137</v>
      </c>
      <c r="C1119">
        <v>26.8329555555555</v>
      </c>
      <c r="D1119">
        <v>884.84777835447096</v>
      </c>
      <c r="E1119">
        <v>7.7841542394612997</v>
      </c>
      <c r="F1119">
        <v>26.7289927058928</v>
      </c>
      <c r="G1119">
        <v>100</v>
      </c>
      <c r="H1119">
        <v>566.78308105468705</v>
      </c>
      <c r="I1119">
        <v>7.7571492148982998E-2</v>
      </c>
      <c r="K1119" s="1" t="str">
        <f>TEXT(stand_validation_1cycle[[#This Row],[stand_age]], ".0")</f>
        <v>26.8</v>
      </c>
      <c r="L1119" s="1" t="str">
        <f t="shared" si="17"/>
        <v>"26.8"</v>
      </c>
      <c r="M1119">
        <v>100</v>
      </c>
      <c r="N1119">
        <f>0.029*stand_validation_1cycle[[#This Row],[stand_level_biomass]]</f>
        <v>25.660585572279658</v>
      </c>
      <c r="O1119">
        <f>0.213*stand_validation_1cycle[[#This Row],[stand_level_biomass]]</f>
        <v>188.47257678950231</v>
      </c>
      <c r="P1119">
        <f>0.571*stand_validation_1cycle[[#This Row],[stand_level_biomass]]</f>
        <v>505.24808144040287</v>
      </c>
      <c r="Q1119">
        <f>stand_validation_1cycle[[#This Row],[stock]]</f>
        <v>100</v>
      </c>
      <c r="R1119">
        <v>0</v>
      </c>
      <c r="S1119">
        <f>stand_validation_1cycle[[#This Row],[aws]]</f>
        <v>566.78308105468705</v>
      </c>
      <c r="T1119">
        <f>stand_validation_1cycle[[#This Row],[percent_tree_cover]]*100</f>
        <v>7.7571492148983001</v>
      </c>
    </row>
    <row r="1120" spans="1:20" x14ac:dyDescent="0.2">
      <c r="A1120">
        <v>1</v>
      </c>
      <c r="B1120" t="s">
        <v>1138</v>
      </c>
      <c r="C1120">
        <v>26.830759637188201</v>
      </c>
      <c r="D1120">
        <v>825.59739860595596</v>
      </c>
      <c r="E1120">
        <v>7.32121228762096</v>
      </c>
      <c r="F1120">
        <v>26.632157163419802</v>
      </c>
      <c r="G1120">
        <v>98</v>
      </c>
      <c r="H1120">
        <v>517</v>
      </c>
      <c r="I1120">
        <v>7.2362804283836193E-2</v>
      </c>
      <c r="K1120" s="1" t="str">
        <f>TEXT(stand_validation_1cycle[[#This Row],[stand_age]], ".0")</f>
        <v>26.8</v>
      </c>
      <c r="L1120" s="1" t="str">
        <f t="shared" si="17"/>
        <v>"26.8"</v>
      </c>
      <c r="M1120">
        <v>100</v>
      </c>
      <c r="N1120">
        <f>0.029*stand_validation_1cycle[[#This Row],[stand_level_biomass]]</f>
        <v>23.942324559572725</v>
      </c>
      <c r="O1120">
        <f>0.213*stand_validation_1cycle[[#This Row],[stand_level_biomass]]</f>
        <v>175.85224590306862</v>
      </c>
      <c r="P1120">
        <f>0.571*stand_validation_1cycle[[#This Row],[stand_level_biomass]]</f>
        <v>471.41611460400082</v>
      </c>
      <c r="Q1120">
        <f>stand_validation_1cycle[[#This Row],[stock]]</f>
        <v>98</v>
      </c>
      <c r="R1120">
        <v>0</v>
      </c>
      <c r="S1120">
        <f>stand_validation_1cycle[[#This Row],[aws]]</f>
        <v>517</v>
      </c>
      <c r="T1120">
        <f>stand_validation_1cycle[[#This Row],[percent_tree_cover]]*100</f>
        <v>7.2362804283836191</v>
      </c>
    </row>
    <row r="1121" spans="1:20" x14ac:dyDescent="0.2">
      <c r="A1121">
        <v>1</v>
      </c>
      <c r="B1121" t="s">
        <v>1139</v>
      </c>
      <c r="C1121">
        <v>25.313928170594799</v>
      </c>
      <c r="D1121">
        <v>600.446566845848</v>
      </c>
      <c r="E1121">
        <v>5.7935044748663804</v>
      </c>
      <c r="F1121">
        <v>24.3221409726536</v>
      </c>
      <c r="G1121">
        <v>99</v>
      </c>
      <c r="H1121">
        <v>566.78308105468705</v>
      </c>
      <c r="I1121">
        <v>5.7242561626280802E-2</v>
      </c>
      <c r="K1121" s="1" t="str">
        <f>TEXT(stand_validation_1cycle[[#This Row],[stand_age]], ".0")</f>
        <v>25.3</v>
      </c>
      <c r="L1121" s="1" t="str">
        <f t="shared" si="17"/>
        <v>"25.3"</v>
      </c>
      <c r="M1121">
        <v>100</v>
      </c>
      <c r="N1121">
        <f>0.029*stand_validation_1cycle[[#This Row],[stand_level_biomass]]</f>
        <v>17.412950438529592</v>
      </c>
      <c r="O1121">
        <f>0.213*stand_validation_1cycle[[#This Row],[stand_level_biomass]]</f>
        <v>127.89511873816562</v>
      </c>
      <c r="P1121">
        <f>0.571*stand_validation_1cycle[[#This Row],[stand_level_biomass]]</f>
        <v>342.85498966897916</v>
      </c>
      <c r="Q1121">
        <f>stand_validation_1cycle[[#This Row],[stock]]</f>
        <v>99</v>
      </c>
      <c r="R1121">
        <v>0</v>
      </c>
      <c r="S1121">
        <f>stand_validation_1cycle[[#This Row],[aws]]</f>
        <v>566.78308105468705</v>
      </c>
      <c r="T1121">
        <f>stand_validation_1cycle[[#This Row],[percent_tree_cover]]*100</f>
        <v>5.7242561626280803</v>
      </c>
    </row>
    <row r="1122" spans="1:20" x14ac:dyDescent="0.2">
      <c r="A1122">
        <v>1</v>
      </c>
      <c r="B1122" t="s">
        <v>1140</v>
      </c>
      <c r="C1122">
        <v>31.172453703703699</v>
      </c>
      <c r="D1122">
        <v>843.16577934407906</v>
      </c>
      <c r="E1122">
        <v>3.6903307154015002</v>
      </c>
      <c r="F1122">
        <v>27.970151171379399</v>
      </c>
      <c r="G1122">
        <v>48</v>
      </c>
      <c r="H1122">
        <v>566.78308105468705</v>
      </c>
      <c r="I1122">
        <v>7.8014748419810306E-2</v>
      </c>
      <c r="K1122" s="1" t="str">
        <f>TEXT(stand_validation_1cycle[[#This Row],[stand_age]], ".0")</f>
        <v>31.2</v>
      </c>
      <c r="L1122" s="1" t="str">
        <f t="shared" si="17"/>
        <v>"31.2"</v>
      </c>
      <c r="M1122">
        <v>100</v>
      </c>
      <c r="N1122">
        <f>0.029*stand_validation_1cycle[[#This Row],[stand_level_biomass]]</f>
        <v>24.451807600978295</v>
      </c>
      <c r="O1122">
        <f>0.213*stand_validation_1cycle[[#This Row],[stand_level_biomass]]</f>
        <v>179.59431100028883</v>
      </c>
      <c r="P1122">
        <f>0.571*stand_validation_1cycle[[#This Row],[stand_level_biomass]]</f>
        <v>481.44766000546912</v>
      </c>
      <c r="Q1122">
        <f>stand_validation_1cycle[[#This Row],[stock]]</f>
        <v>48</v>
      </c>
      <c r="R1122">
        <v>0</v>
      </c>
      <c r="S1122">
        <f>stand_validation_1cycle[[#This Row],[aws]]</f>
        <v>566.78308105468705</v>
      </c>
      <c r="T1122">
        <f>stand_validation_1cycle[[#This Row],[percent_tree_cover]]*100</f>
        <v>7.8014748419810305</v>
      </c>
    </row>
    <row r="1123" spans="1:20" x14ac:dyDescent="0.2">
      <c r="A1123">
        <v>1</v>
      </c>
      <c r="B1123" t="s">
        <v>1141</v>
      </c>
      <c r="C1123">
        <v>23.379583333333301</v>
      </c>
      <c r="D1123">
        <v>728.12181801004999</v>
      </c>
      <c r="E1123">
        <v>1.59080041801663</v>
      </c>
      <c r="F1123">
        <v>24.893280556874998</v>
      </c>
      <c r="G1123">
        <v>24</v>
      </c>
      <c r="H1123">
        <v>577.09271240234295</v>
      </c>
      <c r="I1123">
        <v>6.2983659568006903E-2</v>
      </c>
      <c r="K1123" s="1" t="str">
        <f>TEXT(stand_validation_1cycle[[#This Row],[stand_age]], ".0")</f>
        <v>23.4</v>
      </c>
      <c r="L1123" s="1" t="str">
        <f t="shared" si="17"/>
        <v>"23.4"</v>
      </c>
      <c r="M1123">
        <v>100</v>
      </c>
      <c r="N1123">
        <f>0.029*stand_validation_1cycle[[#This Row],[stand_level_biomass]]</f>
        <v>21.115532722291452</v>
      </c>
      <c r="O1123">
        <f>0.213*stand_validation_1cycle[[#This Row],[stand_level_biomass]]</f>
        <v>155.08994723614063</v>
      </c>
      <c r="P1123">
        <f>0.571*stand_validation_1cycle[[#This Row],[stand_level_biomass]]</f>
        <v>415.7575580837385</v>
      </c>
      <c r="Q1123">
        <f>stand_validation_1cycle[[#This Row],[stock]]</f>
        <v>24</v>
      </c>
      <c r="R1123">
        <v>0</v>
      </c>
      <c r="S1123">
        <f>stand_validation_1cycle[[#This Row],[aws]]</f>
        <v>577.09271240234295</v>
      </c>
      <c r="T1123">
        <f>stand_validation_1cycle[[#This Row],[percent_tree_cover]]*100</f>
        <v>6.2983659568006907</v>
      </c>
    </row>
    <row r="1124" spans="1:20" x14ac:dyDescent="0.2">
      <c r="A1124">
        <v>1</v>
      </c>
      <c r="B1124" t="s">
        <v>1142</v>
      </c>
      <c r="C1124">
        <v>28.048174603174601</v>
      </c>
      <c r="D1124">
        <v>896.85985076570398</v>
      </c>
      <c r="E1124">
        <v>2.1741305565370102</v>
      </c>
      <c r="F1124">
        <v>26.519033062193799</v>
      </c>
      <c r="G1124">
        <v>28</v>
      </c>
      <c r="H1124">
        <v>574.61859130859295</v>
      </c>
      <c r="I1124">
        <v>8.5997510141877606E-2</v>
      </c>
      <c r="K1124" s="1" t="str">
        <f>TEXT(stand_validation_1cycle[[#This Row],[stand_age]], ".0")</f>
        <v>28.0</v>
      </c>
      <c r="L1124" s="1" t="str">
        <f t="shared" si="17"/>
        <v>"28.0"</v>
      </c>
      <c r="M1124">
        <v>100</v>
      </c>
      <c r="N1124">
        <f>0.029*stand_validation_1cycle[[#This Row],[stand_level_biomass]]</f>
        <v>26.008935672205418</v>
      </c>
      <c r="O1124">
        <f>0.213*stand_validation_1cycle[[#This Row],[stand_level_biomass]]</f>
        <v>191.03114821309495</v>
      </c>
      <c r="P1124">
        <f>0.571*stand_validation_1cycle[[#This Row],[stand_level_biomass]]</f>
        <v>512.10697478721693</v>
      </c>
      <c r="Q1124">
        <f>stand_validation_1cycle[[#This Row],[stock]]</f>
        <v>28</v>
      </c>
      <c r="R1124">
        <v>0</v>
      </c>
      <c r="S1124">
        <f>stand_validation_1cycle[[#This Row],[aws]]</f>
        <v>574.61859130859295</v>
      </c>
      <c r="T1124">
        <f>stand_validation_1cycle[[#This Row],[percent_tree_cover]]*100</f>
        <v>8.5997510141877598</v>
      </c>
    </row>
    <row r="1125" spans="1:20" x14ac:dyDescent="0.2">
      <c r="A1125">
        <v>1</v>
      </c>
      <c r="B1125" t="s">
        <v>1143</v>
      </c>
      <c r="C1125">
        <v>27.761111111111099</v>
      </c>
      <c r="D1125">
        <v>618.76010978812599</v>
      </c>
      <c r="E1125">
        <v>0.52170387162940801</v>
      </c>
      <c r="F1125">
        <v>23.595241905365</v>
      </c>
      <c r="G1125">
        <v>9</v>
      </c>
      <c r="H1125">
        <v>574.61859130859295</v>
      </c>
      <c r="I1125">
        <v>6.2261360299733302E-2</v>
      </c>
      <c r="K1125" s="1" t="str">
        <f>TEXT(stand_validation_1cycle[[#This Row],[stand_age]], ".0")</f>
        <v>27.8</v>
      </c>
      <c r="L1125" s="1" t="str">
        <f t="shared" si="17"/>
        <v>"27.8"</v>
      </c>
      <c r="M1125">
        <v>100</v>
      </c>
      <c r="N1125">
        <f>0.029*stand_validation_1cycle[[#This Row],[stand_level_biomass]]</f>
        <v>17.944043183855655</v>
      </c>
      <c r="O1125">
        <f>0.213*stand_validation_1cycle[[#This Row],[stand_level_biomass]]</f>
        <v>131.79590338487083</v>
      </c>
      <c r="P1125">
        <f>0.571*stand_validation_1cycle[[#This Row],[stand_level_biomass]]</f>
        <v>353.3120226890199</v>
      </c>
      <c r="Q1125">
        <f>stand_validation_1cycle[[#This Row],[stock]]</f>
        <v>9</v>
      </c>
      <c r="R1125">
        <v>0</v>
      </c>
      <c r="S1125">
        <f>stand_validation_1cycle[[#This Row],[aws]]</f>
        <v>574.61859130859295</v>
      </c>
      <c r="T1125">
        <f>stand_validation_1cycle[[#This Row],[percent_tree_cover]]*100</f>
        <v>6.2261360299733299</v>
      </c>
    </row>
    <row r="1126" spans="1:20" x14ac:dyDescent="0.2">
      <c r="A1126">
        <v>1</v>
      </c>
      <c r="B1126" t="s">
        <v>1144</v>
      </c>
      <c r="C1126">
        <v>27.574151404151401</v>
      </c>
      <c r="D1126">
        <v>808.46246647762905</v>
      </c>
      <c r="E1126">
        <v>6.6485855195149401</v>
      </c>
      <c r="F1126">
        <v>26.682072655178899</v>
      </c>
      <c r="G1126">
        <v>91</v>
      </c>
      <c r="H1126">
        <v>572.87921142578102</v>
      </c>
      <c r="I1126">
        <v>7.2735399125355593E-2</v>
      </c>
      <c r="K1126" s="1" t="str">
        <f>TEXT(stand_validation_1cycle[[#This Row],[stand_age]], ".0")</f>
        <v>27.6</v>
      </c>
      <c r="L1126" s="1" t="str">
        <f t="shared" si="17"/>
        <v>"27.6"</v>
      </c>
      <c r="M1126">
        <v>100</v>
      </c>
      <c r="N1126">
        <f>0.029*stand_validation_1cycle[[#This Row],[stand_level_biomass]]</f>
        <v>23.445411527851245</v>
      </c>
      <c r="O1126">
        <f>0.213*stand_validation_1cycle[[#This Row],[stand_level_biomass]]</f>
        <v>172.20250535973497</v>
      </c>
      <c r="P1126">
        <f>0.571*stand_validation_1cycle[[#This Row],[stand_level_biomass]]</f>
        <v>461.63206835872614</v>
      </c>
      <c r="Q1126">
        <f>stand_validation_1cycle[[#This Row],[stock]]</f>
        <v>91</v>
      </c>
      <c r="R1126">
        <v>0</v>
      </c>
      <c r="S1126">
        <f>stand_validation_1cycle[[#This Row],[aws]]</f>
        <v>572.87921142578102</v>
      </c>
      <c r="T1126">
        <f>stand_validation_1cycle[[#This Row],[percent_tree_cover]]*100</f>
        <v>7.2735399125355595</v>
      </c>
    </row>
    <row r="1127" spans="1:20" x14ac:dyDescent="0.2">
      <c r="A1127">
        <v>1</v>
      </c>
      <c r="B1127" t="s">
        <v>1145</v>
      </c>
      <c r="C1127">
        <v>27.253266666666601</v>
      </c>
      <c r="D1127">
        <v>919.96987763483401</v>
      </c>
      <c r="E1127">
        <v>7.97596889131521</v>
      </c>
      <c r="F1127">
        <v>26.958313811758501</v>
      </c>
      <c r="G1127">
        <v>100</v>
      </c>
      <c r="H1127">
        <v>566.6083984375</v>
      </c>
      <c r="I1127">
        <v>7.9483410289520898E-2</v>
      </c>
      <c r="K1127" s="1" t="str">
        <f>TEXT(stand_validation_1cycle[[#This Row],[stand_age]], ".0")</f>
        <v>27.3</v>
      </c>
      <c r="L1127" s="1" t="str">
        <f t="shared" si="17"/>
        <v>"27.3"</v>
      </c>
      <c r="M1127">
        <v>100</v>
      </c>
      <c r="N1127">
        <f>0.029*stand_validation_1cycle[[#This Row],[stand_level_biomass]]</f>
        <v>26.679126451410188</v>
      </c>
      <c r="O1127">
        <f>0.213*stand_validation_1cycle[[#This Row],[stand_level_biomass]]</f>
        <v>195.95358393621964</v>
      </c>
      <c r="P1127">
        <f>0.571*stand_validation_1cycle[[#This Row],[stand_level_biomass]]</f>
        <v>525.30280012949015</v>
      </c>
      <c r="Q1127">
        <f>stand_validation_1cycle[[#This Row],[stock]]</f>
        <v>100</v>
      </c>
      <c r="R1127">
        <v>0</v>
      </c>
      <c r="S1127">
        <f>stand_validation_1cycle[[#This Row],[aws]]</f>
        <v>566.6083984375</v>
      </c>
      <c r="T1127">
        <f>stand_validation_1cycle[[#This Row],[percent_tree_cover]]*100</f>
        <v>7.9483410289520897</v>
      </c>
    </row>
    <row r="1128" spans="1:20" x14ac:dyDescent="0.2">
      <c r="A1128">
        <v>1</v>
      </c>
      <c r="B1128" t="s">
        <v>1146</v>
      </c>
      <c r="C1128">
        <v>28.325111111111099</v>
      </c>
      <c r="D1128">
        <v>911.10938174036903</v>
      </c>
      <c r="E1128">
        <v>7.9717426637979703</v>
      </c>
      <c r="F1128">
        <v>27.303494268629901</v>
      </c>
      <c r="G1128">
        <v>100</v>
      </c>
      <c r="H1128">
        <v>566.43859863281205</v>
      </c>
      <c r="I1128">
        <v>7.94214109106465E-2</v>
      </c>
      <c r="K1128" s="1" t="str">
        <f>TEXT(stand_validation_1cycle[[#This Row],[stand_age]], ".0")</f>
        <v>28.3</v>
      </c>
      <c r="L1128" s="1" t="str">
        <f t="shared" si="17"/>
        <v>"28.3"</v>
      </c>
      <c r="M1128">
        <v>100</v>
      </c>
      <c r="N1128">
        <f>0.029*stand_validation_1cycle[[#This Row],[stand_level_biomass]]</f>
        <v>26.422172070470705</v>
      </c>
      <c r="O1128">
        <f>0.213*stand_validation_1cycle[[#This Row],[stand_level_biomass]]</f>
        <v>194.06629831069858</v>
      </c>
      <c r="P1128">
        <f>0.571*stand_validation_1cycle[[#This Row],[stand_level_biomass]]</f>
        <v>520.24345697375065</v>
      </c>
      <c r="Q1128">
        <f>stand_validation_1cycle[[#This Row],[stock]]</f>
        <v>100</v>
      </c>
      <c r="R1128">
        <v>0</v>
      </c>
      <c r="S1128">
        <f>stand_validation_1cycle[[#This Row],[aws]]</f>
        <v>566.43859863281205</v>
      </c>
      <c r="T1128">
        <f>stand_validation_1cycle[[#This Row],[percent_tree_cover]]*100</f>
        <v>7.9421410910646504</v>
      </c>
    </row>
    <row r="1129" spans="1:20" x14ac:dyDescent="0.2">
      <c r="A1129">
        <v>1</v>
      </c>
      <c r="B1129" t="s">
        <v>1147</v>
      </c>
      <c r="C1129">
        <v>29.3951888888888</v>
      </c>
      <c r="D1129">
        <v>1026.07992751949</v>
      </c>
      <c r="E1129">
        <v>8.8529758964913299</v>
      </c>
      <c r="F1129">
        <v>29.032418897445702</v>
      </c>
      <c r="G1129">
        <v>100</v>
      </c>
      <c r="H1129">
        <v>617</v>
      </c>
      <c r="I1129">
        <v>8.8209736162319197E-2</v>
      </c>
      <c r="K1129" s="1" t="str">
        <f>TEXT(stand_validation_1cycle[[#This Row],[stand_age]], ".0")</f>
        <v>29.4</v>
      </c>
      <c r="L1129" s="1" t="str">
        <f t="shared" si="17"/>
        <v>"29.4"</v>
      </c>
      <c r="M1129">
        <v>100</v>
      </c>
      <c r="N1129">
        <f>0.029*stand_validation_1cycle[[#This Row],[stand_level_biomass]]</f>
        <v>29.756317898065209</v>
      </c>
      <c r="O1129">
        <f>0.213*stand_validation_1cycle[[#This Row],[stand_level_biomass]]</f>
        <v>218.55502456165135</v>
      </c>
      <c r="P1129">
        <f>0.571*stand_validation_1cycle[[#This Row],[stand_level_biomass]]</f>
        <v>585.89163861362874</v>
      </c>
      <c r="Q1129">
        <f>stand_validation_1cycle[[#This Row],[stock]]</f>
        <v>100</v>
      </c>
      <c r="R1129">
        <v>0</v>
      </c>
      <c r="S1129">
        <f>stand_validation_1cycle[[#This Row],[aws]]</f>
        <v>617</v>
      </c>
      <c r="T1129">
        <f>stand_validation_1cycle[[#This Row],[percent_tree_cover]]*100</f>
        <v>8.8209736162319192</v>
      </c>
    </row>
    <row r="1130" spans="1:20" x14ac:dyDescent="0.2">
      <c r="A1130">
        <v>1</v>
      </c>
      <c r="B1130" t="s">
        <v>1148</v>
      </c>
      <c r="C1130">
        <v>28.504533333333299</v>
      </c>
      <c r="D1130">
        <v>761.71977618266703</v>
      </c>
      <c r="E1130">
        <v>7.0694646873163602</v>
      </c>
      <c r="F1130">
        <v>26.959459278108501</v>
      </c>
      <c r="G1130">
        <v>100</v>
      </c>
      <c r="H1130">
        <v>609.05859375</v>
      </c>
      <c r="I1130">
        <v>7.0443680899570996E-2</v>
      </c>
      <c r="K1130" s="1" t="str">
        <f>TEXT(stand_validation_1cycle[[#This Row],[stand_age]], ".0")</f>
        <v>28.5</v>
      </c>
      <c r="L1130" s="1" t="str">
        <f t="shared" si="17"/>
        <v>"28.5"</v>
      </c>
      <c r="M1130">
        <v>100</v>
      </c>
      <c r="N1130">
        <f>0.029*stand_validation_1cycle[[#This Row],[stand_level_biomass]]</f>
        <v>22.089873509297345</v>
      </c>
      <c r="O1130">
        <f>0.213*stand_validation_1cycle[[#This Row],[stand_level_biomass]]</f>
        <v>162.24631232690808</v>
      </c>
      <c r="P1130">
        <f>0.571*stand_validation_1cycle[[#This Row],[stand_level_biomass]]</f>
        <v>434.94199220030282</v>
      </c>
      <c r="Q1130">
        <f>stand_validation_1cycle[[#This Row],[stock]]</f>
        <v>100</v>
      </c>
      <c r="R1130">
        <v>0</v>
      </c>
      <c r="S1130">
        <f>stand_validation_1cycle[[#This Row],[aws]]</f>
        <v>609.05859375</v>
      </c>
      <c r="T1130">
        <f>stand_validation_1cycle[[#This Row],[percent_tree_cover]]*100</f>
        <v>7.0443680899571</v>
      </c>
    </row>
    <row r="1131" spans="1:20" x14ac:dyDescent="0.2">
      <c r="A1131">
        <v>1</v>
      </c>
      <c r="B1131" t="s">
        <v>1149</v>
      </c>
      <c r="C1131">
        <v>27.838077777777698</v>
      </c>
      <c r="D1131">
        <v>960.97271345057004</v>
      </c>
      <c r="E1131">
        <v>8.3571461819568906</v>
      </c>
      <c r="F1131">
        <v>27.9681032214271</v>
      </c>
      <c r="G1131">
        <v>100</v>
      </c>
      <c r="H1131">
        <v>566.43859863281205</v>
      </c>
      <c r="I1131">
        <v>8.3268268791176298E-2</v>
      </c>
      <c r="K1131" s="1" t="str">
        <f>TEXT(stand_validation_1cycle[[#This Row],[stand_age]], ".0")</f>
        <v>27.8</v>
      </c>
      <c r="L1131" s="1" t="str">
        <f t="shared" si="17"/>
        <v>"27.8"</v>
      </c>
      <c r="M1131">
        <v>100</v>
      </c>
      <c r="N1131">
        <f>0.029*stand_validation_1cycle[[#This Row],[stand_level_biomass]]</f>
        <v>27.868208690066531</v>
      </c>
      <c r="O1131">
        <f>0.213*stand_validation_1cycle[[#This Row],[stand_level_biomass]]</f>
        <v>204.6871879649714</v>
      </c>
      <c r="P1131">
        <f>0.571*stand_validation_1cycle[[#This Row],[stand_level_biomass]]</f>
        <v>548.71541938027542</v>
      </c>
      <c r="Q1131">
        <f>stand_validation_1cycle[[#This Row],[stock]]</f>
        <v>100</v>
      </c>
      <c r="R1131">
        <v>0</v>
      </c>
      <c r="S1131">
        <f>stand_validation_1cycle[[#This Row],[aws]]</f>
        <v>566.43859863281205</v>
      </c>
      <c r="T1131">
        <f>stand_validation_1cycle[[#This Row],[percent_tree_cover]]*100</f>
        <v>8.326826879117629</v>
      </c>
    </row>
    <row r="1132" spans="1:20" x14ac:dyDescent="0.2">
      <c r="A1132">
        <v>1</v>
      </c>
      <c r="B1132" t="s">
        <v>1150</v>
      </c>
      <c r="C1132">
        <v>25.8226711560044</v>
      </c>
      <c r="D1132">
        <v>827.28975261257801</v>
      </c>
      <c r="E1132">
        <v>7.3311098752761001</v>
      </c>
      <c r="F1132">
        <v>26.399594903926399</v>
      </c>
      <c r="G1132">
        <v>99</v>
      </c>
      <c r="H1132">
        <v>566.43859863281205</v>
      </c>
      <c r="I1132">
        <v>7.2821401586147E-2</v>
      </c>
      <c r="K1132" s="1" t="str">
        <f>TEXT(stand_validation_1cycle[[#This Row],[stand_age]], ".0")</f>
        <v>25.8</v>
      </c>
      <c r="L1132" s="1" t="str">
        <f t="shared" si="17"/>
        <v>"25.8"</v>
      </c>
      <c r="M1132">
        <v>100</v>
      </c>
      <c r="N1132">
        <f>0.029*stand_validation_1cycle[[#This Row],[stand_level_biomass]]</f>
        <v>23.991402825764762</v>
      </c>
      <c r="O1132">
        <f>0.213*stand_validation_1cycle[[#This Row],[stand_level_biomass]]</f>
        <v>176.21271730647911</v>
      </c>
      <c r="P1132">
        <f>0.571*stand_validation_1cycle[[#This Row],[stand_level_biomass]]</f>
        <v>472.38244874178201</v>
      </c>
      <c r="Q1132">
        <f>stand_validation_1cycle[[#This Row],[stock]]</f>
        <v>99</v>
      </c>
      <c r="R1132">
        <v>0</v>
      </c>
      <c r="S1132">
        <f>stand_validation_1cycle[[#This Row],[aws]]</f>
        <v>566.43859863281205</v>
      </c>
      <c r="T1132">
        <f>stand_validation_1cycle[[#This Row],[percent_tree_cover]]*100</f>
        <v>7.2821401586147001</v>
      </c>
    </row>
    <row r="1133" spans="1:20" x14ac:dyDescent="0.2">
      <c r="A1133">
        <v>1</v>
      </c>
      <c r="B1133" t="s">
        <v>1151</v>
      </c>
      <c r="C1133">
        <v>29.768832199546399</v>
      </c>
      <c r="D1133">
        <v>1140.91701031461</v>
      </c>
      <c r="E1133">
        <v>9.48630762368626</v>
      </c>
      <c r="F1133">
        <v>29.744243753365801</v>
      </c>
      <c r="G1133">
        <v>98</v>
      </c>
      <c r="H1133">
        <v>566.43859863281205</v>
      </c>
      <c r="I1133">
        <v>9.4090238108166399E-2</v>
      </c>
      <c r="K1133" s="1" t="str">
        <f>TEXT(stand_validation_1cycle[[#This Row],[stand_age]], ".0")</f>
        <v>29.8</v>
      </c>
      <c r="L1133" s="1" t="str">
        <f t="shared" si="17"/>
        <v>"29.8"</v>
      </c>
      <c r="M1133">
        <v>100</v>
      </c>
      <c r="N1133">
        <f>0.029*stand_validation_1cycle[[#This Row],[stand_level_biomass]]</f>
        <v>33.086593299123692</v>
      </c>
      <c r="O1133">
        <f>0.213*stand_validation_1cycle[[#This Row],[stand_level_biomass]]</f>
        <v>243.01532319701192</v>
      </c>
      <c r="P1133">
        <f>0.571*stand_validation_1cycle[[#This Row],[stand_level_biomass]]</f>
        <v>651.46361288964226</v>
      </c>
      <c r="Q1133">
        <f>stand_validation_1cycle[[#This Row],[stock]]</f>
        <v>98</v>
      </c>
      <c r="R1133">
        <v>0</v>
      </c>
      <c r="S1133">
        <f>stand_validation_1cycle[[#This Row],[aws]]</f>
        <v>566.43859863281205</v>
      </c>
      <c r="T1133">
        <f>stand_validation_1cycle[[#This Row],[percent_tree_cover]]*100</f>
        <v>9.40902381081664</v>
      </c>
    </row>
    <row r="1134" spans="1:20" x14ac:dyDescent="0.2">
      <c r="A1134">
        <v>1</v>
      </c>
      <c r="B1134" t="s">
        <v>1152</v>
      </c>
      <c r="C1134">
        <v>28.0909555555555</v>
      </c>
      <c r="D1134">
        <v>823.28458319553999</v>
      </c>
      <c r="E1134">
        <v>7.3853769613760498</v>
      </c>
      <c r="F1134">
        <v>26.5215795446485</v>
      </c>
      <c r="G1134">
        <v>100</v>
      </c>
      <c r="H1134">
        <v>570.34112548828102</v>
      </c>
      <c r="I1134">
        <v>7.3578176953508503E-2</v>
      </c>
      <c r="K1134" s="1" t="str">
        <f>TEXT(stand_validation_1cycle[[#This Row],[stand_age]], ".0")</f>
        <v>28.1</v>
      </c>
      <c r="L1134" s="1" t="str">
        <f t="shared" si="17"/>
        <v>"28.1"</v>
      </c>
      <c r="M1134">
        <v>100</v>
      </c>
      <c r="N1134">
        <f>0.029*stand_validation_1cycle[[#This Row],[stand_level_biomass]]</f>
        <v>23.875252912670661</v>
      </c>
      <c r="O1134">
        <f>0.213*stand_validation_1cycle[[#This Row],[stand_level_biomass]]</f>
        <v>175.35961622065003</v>
      </c>
      <c r="P1134">
        <f>0.571*stand_validation_1cycle[[#This Row],[stand_level_biomass]]</f>
        <v>470.09549700465328</v>
      </c>
      <c r="Q1134">
        <f>stand_validation_1cycle[[#This Row],[stock]]</f>
        <v>100</v>
      </c>
      <c r="R1134">
        <v>0</v>
      </c>
      <c r="S1134">
        <f>stand_validation_1cycle[[#This Row],[aws]]</f>
        <v>570.34112548828102</v>
      </c>
      <c r="T1134">
        <f>stand_validation_1cycle[[#This Row],[percent_tree_cover]]*100</f>
        <v>7.3578176953508505</v>
      </c>
    </row>
    <row r="1135" spans="1:20" x14ac:dyDescent="0.2">
      <c r="A1135">
        <v>1</v>
      </c>
      <c r="B1135" t="s">
        <v>1153</v>
      </c>
      <c r="C1135">
        <v>27.1230444444444</v>
      </c>
      <c r="D1135">
        <v>761.94525463113098</v>
      </c>
      <c r="E1135">
        <v>6.9584431591329903</v>
      </c>
      <c r="F1135">
        <v>25.796808287587101</v>
      </c>
      <c r="G1135">
        <v>100</v>
      </c>
      <c r="H1135">
        <v>572.02679443359295</v>
      </c>
      <c r="I1135">
        <v>6.9335944506038499E-2</v>
      </c>
      <c r="K1135" s="1" t="str">
        <f>TEXT(stand_validation_1cycle[[#This Row],[stand_age]], ".0")</f>
        <v>27.1</v>
      </c>
      <c r="L1135" s="1" t="str">
        <f t="shared" si="17"/>
        <v>"27.1"</v>
      </c>
      <c r="M1135">
        <v>100</v>
      </c>
      <c r="N1135">
        <f>0.029*stand_validation_1cycle[[#This Row],[stand_level_biomass]]</f>
        <v>22.096412384302798</v>
      </c>
      <c r="O1135">
        <f>0.213*stand_validation_1cycle[[#This Row],[stand_level_biomass]]</f>
        <v>162.29433923643089</v>
      </c>
      <c r="P1135">
        <f>0.571*stand_validation_1cycle[[#This Row],[stand_level_biomass]]</f>
        <v>435.07074039437578</v>
      </c>
      <c r="Q1135">
        <f>stand_validation_1cycle[[#This Row],[stock]]</f>
        <v>100</v>
      </c>
      <c r="R1135">
        <v>0</v>
      </c>
      <c r="S1135">
        <f>stand_validation_1cycle[[#This Row],[aws]]</f>
        <v>572.02679443359295</v>
      </c>
      <c r="T1135">
        <f>stand_validation_1cycle[[#This Row],[percent_tree_cover]]*100</f>
        <v>6.9335944506038496</v>
      </c>
    </row>
    <row r="1136" spans="1:20" x14ac:dyDescent="0.2">
      <c r="A1136">
        <v>1</v>
      </c>
      <c r="B1136" t="s">
        <v>1154</v>
      </c>
      <c r="C1136">
        <v>26.290460157126802</v>
      </c>
      <c r="D1136">
        <v>964.12762212804603</v>
      </c>
      <c r="E1136">
        <v>8.1702708991525892</v>
      </c>
      <c r="F1136">
        <v>26.6544423880562</v>
      </c>
      <c r="G1136">
        <v>99</v>
      </c>
      <c r="H1136">
        <v>570.62091064453102</v>
      </c>
      <c r="I1136">
        <v>8.12071951968657E-2</v>
      </c>
      <c r="K1136" s="1" t="str">
        <f>TEXT(stand_validation_1cycle[[#This Row],[stand_age]], ".0")</f>
        <v>26.3</v>
      </c>
      <c r="L1136" s="1" t="str">
        <f t="shared" si="17"/>
        <v>"26.3"</v>
      </c>
      <c r="M1136">
        <v>100</v>
      </c>
      <c r="N1136">
        <f>0.029*stand_validation_1cycle[[#This Row],[stand_level_biomass]]</f>
        <v>27.959701041713338</v>
      </c>
      <c r="O1136">
        <f>0.213*stand_validation_1cycle[[#This Row],[stand_level_biomass]]</f>
        <v>205.35918351327379</v>
      </c>
      <c r="P1136">
        <f>0.571*stand_validation_1cycle[[#This Row],[stand_level_biomass]]</f>
        <v>550.51687223511419</v>
      </c>
      <c r="Q1136">
        <f>stand_validation_1cycle[[#This Row],[stock]]</f>
        <v>99</v>
      </c>
      <c r="R1136">
        <v>0</v>
      </c>
      <c r="S1136">
        <f>stand_validation_1cycle[[#This Row],[aws]]</f>
        <v>570.62091064453102</v>
      </c>
      <c r="T1136">
        <f>stand_validation_1cycle[[#This Row],[percent_tree_cover]]*100</f>
        <v>8.1207195196865705</v>
      </c>
    </row>
    <row r="1137" spans="1:20" x14ac:dyDescent="0.2">
      <c r="A1137">
        <v>1</v>
      </c>
      <c r="B1137" t="s">
        <v>1155</v>
      </c>
      <c r="C1137">
        <v>29.527766666666601</v>
      </c>
      <c r="D1137">
        <v>1135.7544481039999</v>
      </c>
      <c r="E1137">
        <v>9.5266692353032507</v>
      </c>
      <c r="F1137">
        <v>29.182400687777101</v>
      </c>
      <c r="G1137">
        <v>100</v>
      </c>
      <c r="H1137">
        <v>574.40557861328102</v>
      </c>
      <c r="I1137">
        <v>9.4902216259890093E-2</v>
      </c>
      <c r="K1137" s="1" t="str">
        <f>TEXT(stand_validation_1cycle[[#This Row],[stand_age]], ".0")</f>
        <v>29.5</v>
      </c>
      <c r="L1137" s="1" t="str">
        <f t="shared" si="17"/>
        <v>"29.5"</v>
      </c>
      <c r="M1137">
        <v>100</v>
      </c>
      <c r="N1137">
        <f>0.029*stand_validation_1cycle[[#This Row],[stand_level_biomass]]</f>
        <v>32.936878995016002</v>
      </c>
      <c r="O1137">
        <f>0.213*stand_validation_1cycle[[#This Row],[stand_level_biomass]]</f>
        <v>241.915697446152</v>
      </c>
      <c r="P1137">
        <f>0.571*stand_validation_1cycle[[#This Row],[stand_level_biomass]]</f>
        <v>648.51578986738389</v>
      </c>
      <c r="Q1137">
        <f>stand_validation_1cycle[[#This Row],[stock]]</f>
        <v>100</v>
      </c>
      <c r="R1137">
        <v>0</v>
      </c>
      <c r="S1137">
        <f>stand_validation_1cycle[[#This Row],[aws]]</f>
        <v>574.40557861328102</v>
      </c>
      <c r="T1137">
        <f>stand_validation_1cycle[[#This Row],[percent_tree_cover]]*100</f>
        <v>9.49022162598901</v>
      </c>
    </row>
    <row r="1138" spans="1:20" x14ac:dyDescent="0.2">
      <c r="A1138">
        <v>1</v>
      </c>
      <c r="B1138" t="s">
        <v>1156</v>
      </c>
      <c r="C1138">
        <v>26.572144444444401</v>
      </c>
      <c r="D1138">
        <v>1047.46860540547</v>
      </c>
      <c r="E1138">
        <v>8.9266273946620895</v>
      </c>
      <c r="F1138">
        <v>28.302009469389901</v>
      </c>
      <c r="G1138">
        <v>100</v>
      </c>
      <c r="H1138">
        <v>567.83044433593705</v>
      </c>
      <c r="I1138">
        <v>8.8959931061404596E-2</v>
      </c>
      <c r="K1138" s="1" t="str">
        <f>TEXT(stand_validation_1cycle[[#This Row],[stand_age]], ".0")</f>
        <v>26.6</v>
      </c>
      <c r="L1138" s="1" t="str">
        <f t="shared" si="17"/>
        <v>"26.6"</v>
      </c>
      <c r="M1138">
        <v>100</v>
      </c>
      <c r="N1138">
        <f>0.029*stand_validation_1cycle[[#This Row],[stand_level_biomass]]</f>
        <v>30.376589556758631</v>
      </c>
      <c r="O1138">
        <f>0.213*stand_validation_1cycle[[#This Row],[stand_level_biomass]]</f>
        <v>223.11081295136512</v>
      </c>
      <c r="P1138">
        <f>0.571*stand_validation_1cycle[[#This Row],[stand_level_biomass]]</f>
        <v>598.10457368652339</v>
      </c>
      <c r="Q1138">
        <f>stand_validation_1cycle[[#This Row],[stock]]</f>
        <v>100</v>
      </c>
      <c r="R1138">
        <v>0</v>
      </c>
      <c r="S1138">
        <f>stand_validation_1cycle[[#This Row],[aws]]</f>
        <v>567.83044433593705</v>
      </c>
      <c r="T1138">
        <f>stand_validation_1cycle[[#This Row],[percent_tree_cover]]*100</f>
        <v>8.8959931061404589</v>
      </c>
    </row>
    <row r="1139" spans="1:20" x14ac:dyDescent="0.2">
      <c r="A1139">
        <v>1</v>
      </c>
      <c r="B1139" t="s">
        <v>1157</v>
      </c>
      <c r="C1139">
        <v>27.345288888888799</v>
      </c>
      <c r="D1139">
        <v>928.71217166357803</v>
      </c>
      <c r="E1139">
        <v>8.0815311168648005</v>
      </c>
      <c r="F1139">
        <v>27.470727640384201</v>
      </c>
      <c r="G1139">
        <v>100</v>
      </c>
      <c r="H1139">
        <v>519</v>
      </c>
      <c r="I1139">
        <v>8.0528017347627601E-2</v>
      </c>
      <c r="K1139" s="1" t="str">
        <f>TEXT(stand_validation_1cycle[[#This Row],[stand_age]], ".0")</f>
        <v>27.3</v>
      </c>
      <c r="L1139" s="1" t="str">
        <f t="shared" si="17"/>
        <v>"27.3"</v>
      </c>
      <c r="M1139">
        <v>100</v>
      </c>
      <c r="N1139">
        <f>0.029*stand_validation_1cycle[[#This Row],[stand_level_biomass]]</f>
        <v>26.932652978243766</v>
      </c>
      <c r="O1139">
        <f>0.213*stand_validation_1cycle[[#This Row],[stand_level_biomass]]</f>
        <v>197.81569256434213</v>
      </c>
      <c r="P1139">
        <f>0.571*stand_validation_1cycle[[#This Row],[stand_level_biomass]]</f>
        <v>530.29465001990297</v>
      </c>
      <c r="Q1139">
        <f>stand_validation_1cycle[[#This Row],[stock]]</f>
        <v>100</v>
      </c>
      <c r="R1139">
        <v>0</v>
      </c>
      <c r="S1139">
        <f>stand_validation_1cycle[[#This Row],[aws]]</f>
        <v>519</v>
      </c>
      <c r="T1139">
        <f>stand_validation_1cycle[[#This Row],[percent_tree_cover]]*100</f>
        <v>8.0528017347627596</v>
      </c>
    </row>
    <row r="1140" spans="1:20" x14ac:dyDescent="0.2">
      <c r="A1140">
        <v>1</v>
      </c>
      <c r="B1140" t="s">
        <v>1158</v>
      </c>
      <c r="C1140">
        <v>26.725299999999901</v>
      </c>
      <c r="D1140">
        <v>726.66804584464205</v>
      </c>
      <c r="E1140">
        <v>6.7261443735485997</v>
      </c>
      <c r="F1140">
        <v>25.914954954507099</v>
      </c>
      <c r="G1140">
        <v>100</v>
      </c>
      <c r="H1140">
        <v>569.817626953125</v>
      </c>
      <c r="I1140">
        <v>6.7046093098146506E-2</v>
      </c>
      <c r="K1140" s="1" t="str">
        <f>TEXT(stand_validation_1cycle[[#This Row],[stand_age]], ".0")</f>
        <v>26.7</v>
      </c>
      <c r="L1140" s="1" t="str">
        <f t="shared" si="17"/>
        <v>"26.7"</v>
      </c>
      <c r="M1140">
        <v>100</v>
      </c>
      <c r="N1140">
        <f>0.029*stand_validation_1cycle[[#This Row],[stand_level_biomass]]</f>
        <v>21.073373329494622</v>
      </c>
      <c r="O1140">
        <f>0.213*stand_validation_1cycle[[#This Row],[stand_level_biomass]]</f>
        <v>154.78029376490875</v>
      </c>
      <c r="P1140">
        <f>0.571*stand_validation_1cycle[[#This Row],[stand_level_biomass]]</f>
        <v>414.9274541772906</v>
      </c>
      <c r="Q1140">
        <f>stand_validation_1cycle[[#This Row],[stock]]</f>
        <v>100</v>
      </c>
      <c r="R1140">
        <v>0</v>
      </c>
      <c r="S1140">
        <f>stand_validation_1cycle[[#This Row],[aws]]</f>
        <v>569.817626953125</v>
      </c>
      <c r="T1140">
        <f>stand_validation_1cycle[[#This Row],[percent_tree_cover]]*100</f>
        <v>6.7046093098146509</v>
      </c>
    </row>
    <row r="1141" spans="1:20" x14ac:dyDescent="0.2">
      <c r="A1141">
        <v>1</v>
      </c>
      <c r="B1141" t="s">
        <v>1159</v>
      </c>
      <c r="C1141">
        <v>28.670319444444399</v>
      </c>
      <c r="D1141">
        <v>956.92922589526904</v>
      </c>
      <c r="E1141">
        <v>6.6782217338125802</v>
      </c>
      <c r="F1141">
        <v>28.0115254068767</v>
      </c>
      <c r="G1141">
        <v>80</v>
      </c>
      <c r="H1141">
        <v>575.32574462890602</v>
      </c>
      <c r="I1141">
        <v>8.1353230836901103E-2</v>
      </c>
      <c r="K1141" s="1" t="str">
        <f>TEXT(stand_validation_1cycle[[#This Row],[stand_age]], ".0")</f>
        <v>28.7</v>
      </c>
      <c r="L1141" s="1" t="str">
        <f t="shared" si="17"/>
        <v>"28.7"</v>
      </c>
      <c r="M1141">
        <v>100</v>
      </c>
      <c r="N1141">
        <f>0.029*stand_validation_1cycle[[#This Row],[stand_level_biomass]]</f>
        <v>27.750947550962803</v>
      </c>
      <c r="O1141">
        <f>0.213*stand_validation_1cycle[[#This Row],[stand_level_biomass]]</f>
        <v>203.82592511569231</v>
      </c>
      <c r="P1141">
        <f>0.571*stand_validation_1cycle[[#This Row],[stand_level_biomass]]</f>
        <v>546.40658798619859</v>
      </c>
      <c r="Q1141">
        <f>stand_validation_1cycle[[#This Row],[stock]]</f>
        <v>80</v>
      </c>
      <c r="R1141">
        <v>0</v>
      </c>
      <c r="S1141">
        <f>stand_validation_1cycle[[#This Row],[aws]]</f>
        <v>575.32574462890602</v>
      </c>
      <c r="T1141">
        <f>stand_validation_1cycle[[#This Row],[percent_tree_cover]]*100</f>
        <v>8.1353230836901105</v>
      </c>
    </row>
    <row r="1142" spans="1:20" x14ac:dyDescent="0.2">
      <c r="A1142">
        <v>1</v>
      </c>
      <c r="B1142" t="s">
        <v>1160</v>
      </c>
      <c r="C1142">
        <v>26.154800000000002</v>
      </c>
      <c r="D1142">
        <v>816.74114887378403</v>
      </c>
      <c r="E1142">
        <v>5.4932043454987101</v>
      </c>
      <c r="F1142">
        <v>26.4899942372247</v>
      </c>
      <c r="G1142">
        <v>75</v>
      </c>
      <c r="H1142">
        <v>571.610107421875</v>
      </c>
      <c r="I1142">
        <v>7.3759273321402197E-2</v>
      </c>
      <c r="K1142" s="1" t="str">
        <f>TEXT(stand_validation_1cycle[[#This Row],[stand_age]], ".0")</f>
        <v>26.2</v>
      </c>
      <c r="L1142" s="1" t="str">
        <f t="shared" si="17"/>
        <v>"26.2"</v>
      </c>
      <c r="M1142">
        <v>100</v>
      </c>
      <c r="N1142">
        <f>0.029*stand_validation_1cycle[[#This Row],[stand_level_biomass]]</f>
        <v>23.685493317339738</v>
      </c>
      <c r="O1142">
        <f>0.213*stand_validation_1cycle[[#This Row],[stand_level_biomass]]</f>
        <v>173.96586471011599</v>
      </c>
      <c r="P1142">
        <f>0.571*stand_validation_1cycle[[#This Row],[stand_level_biomass]]</f>
        <v>466.35919600693063</v>
      </c>
      <c r="Q1142">
        <f>stand_validation_1cycle[[#This Row],[stock]]</f>
        <v>75</v>
      </c>
      <c r="R1142">
        <v>0</v>
      </c>
      <c r="S1142">
        <f>stand_validation_1cycle[[#This Row],[aws]]</f>
        <v>571.610107421875</v>
      </c>
      <c r="T1142">
        <f>stand_validation_1cycle[[#This Row],[percent_tree_cover]]*100</f>
        <v>7.3759273321402201</v>
      </c>
    </row>
    <row r="1143" spans="1:20" x14ac:dyDescent="0.2">
      <c r="A1143">
        <v>1</v>
      </c>
      <c r="B1143" t="s">
        <v>1161</v>
      </c>
      <c r="C1143">
        <v>22.725606060606001</v>
      </c>
      <c r="D1143">
        <v>405.85083160032599</v>
      </c>
      <c r="E1143">
        <v>0.93411173484042798</v>
      </c>
      <c r="F1143">
        <v>21.089125975876598</v>
      </c>
      <c r="G1143">
        <v>22</v>
      </c>
      <c r="H1143">
        <v>571.610107421875</v>
      </c>
      <c r="I1143">
        <v>3.9367393441864802E-2</v>
      </c>
      <c r="K1143" s="1" t="str">
        <f>TEXT(stand_validation_1cycle[[#This Row],[stand_age]], ".0")</f>
        <v>22.7</v>
      </c>
      <c r="L1143" s="1" t="str">
        <f t="shared" si="17"/>
        <v>"22.7"</v>
      </c>
      <c r="M1143">
        <v>100</v>
      </c>
      <c r="N1143">
        <f>0.029*stand_validation_1cycle[[#This Row],[stand_level_biomass]]</f>
        <v>11.769674116409455</v>
      </c>
      <c r="O1143">
        <f>0.213*stand_validation_1cycle[[#This Row],[stand_level_biomass]]</f>
        <v>86.446227130869431</v>
      </c>
      <c r="P1143">
        <f>0.571*stand_validation_1cycle[[#This Row],[stand_level_biomass]]</f>
        <v>231.74082484378613</v>
      </c>
      <c r="Q1143">
        <f>stand_validation_1cycle[[#This Row],[stock]]</f>
        <v>22</v>
      </c>
      <c r="R1143">
        <v>0</v>
      </c>
      <c r="S1143">
        <f>stand_validation_1cycle[[#This Row],[aws]]</f>
        <v>571.610107421875</v>
      </c>
      <c r="T1143">
        <f>stand_validation_1cycle[[#This Row],[percent_tree_cover]]*100</f>
        <v>3.9367393441864804</v>
      </c>
    </row>
    <row r="1144" spans="1:20" x14ac:dyDescent="0.2">
      <c r="A1144">
        <v>1</v>
      </c>
      <c r="B1144" t="s">
        <v>1162</v>
      </c>
      <c r="C1144">
        <v>27.7825241545893</v>
      </c>
      <c r="D1144">
        <v>942.27069409028297</v>
      </c>
      <c r="E1144">
        <v>7.5640943134571303</v>
      </c>
      <c r="F1144">
        <v>27.7198662134813</v>
      </c>
      <c r="G1144">
        <v>92</v>
      </c>
      <c r="H1144">
        <v>570.03088378906205</v>
      </c>
      <c r="I1144">
        <v>8.2752346088178302E-2</v>
      </c>
      <c r="K1144" s="1" t="str">
        <f>TEXT(stand_validation_1cycle[[#This Row],[stand_age]], ".0")</f>
        <v>27.8</v>
      </c>
      <c r="L1144" s="1" t="str">
        <f t="shared" si="17"/>
        <v>"27.8"</v>
      </c>
      <c r="M1144">
        <v>100</v>
      </c>
      <c r="N1144">
        <f>0.029*stand_validation_1cycle[[#This Row],[stand_level_biomass]]</f>
        <v>27.325850128618207</v>
      </c>
      <c r="O1144">
        <f>0.213*stand_validation_1cycle[[#This Row],[stand_level_biomass]]</f>
        <v>200.70365784123027</v>
      </c>
      <c r="P1144">
        <f>0.571*stand_validation_1cycle[[#This Row],[stand_level_biomass]]</f>
        <v>538.03656632555158</v>
      </c>
      <c r="Q1144">
        <f>stand_validation_1cycle[[#This Row],[stock]]</f>
        <v>92</v>
      </c>
      <c r="R1144">
        <v>0</v>
      </c>
      <c r="S1144">
        <f>stand_validation_1cycle[[#This Row],[aws]]</f>
        <v>570.03088378906205</v>
      </c>
      <c r="T1144">
        <f>stand_validation_1cycle[[#This Row],[percent_tree_cover]]*100</f>
        <v>8.275234608817831</v>
      </c>
    </row>
    <row r="1145" spans="1:20" x14ac:dyDescent="0.2">
      <c r="A1145">
        <v>1</v>
      </c>
      <c r="B1145" t="s">
        <v>1163</v>
      </c>
      <c r="C1145">
        <v>26.508855555555499</v>
      </c>
      <c r="D1145">
        <v>724.42699635271299</v>
      </c>
      <c r="E1145">
        <v>6.6798977734932699</v>
      </c>
      <c r="F1145">
        <v>25.5590418305257</v>
      </c>
      <c r="G1145">
        <v>100</v>
      </c>
      <c r="H1145">
        <v>568.06555175781205</v>
      </c>
      <c r="I1145">
        <v>6.6574350791951897E-2</v>
      </c>
      <c r="K1145" s="1" t="str">
        <f>TEXT(stand_validation_1cycle[[#This Row],[stand_age]], ".0")</f>
        <v>26.5</v>
      </c>
      <c r="L1145" s="1" t="str">
        <f t="shared" si="17"/>
        <v>"26.5"</v>
      </c>
      <c r="M1145">
        <v>100</v>
      </c>
      <c r="N1145">
        <f>0.029*stand_validation_1cycle[[#This Row],[stand_level_biomass]]</f>
        <v>21.008382894228678</v>
      </c>
      <c r="O1145">
        <f>0.213*stand_validation_1cycle[[#This Row],[stand_level_biomass]]</f>
        <v>154.30295022312785</v>
      </c>
      <c r="P1145">
        <f>0.571*stand_validation_1cycle[[#This Row],[stand_level_biomass]]</f>
        <v>413.6478149173991</v>
      </c>
      <c r="Q1145">
        <f>stand_validation_1cycle[[#This Row],[stock]]</f>
        <v>100</v>
      </c>
      <c r="R1145">
        <v>0</v>
      </c>
      <c r="S1145">
        <f>stand_validation_1cycle[[#This Row],[aws]]</f>
        <v>568.06555175781205</v>
      </c>
      <c r="T1145">
        <f>stand_validation_1cycle[[#This Row],[percent_tree_cover]]*100</f>
        <v>6.6574350791951895</v>
      </c>
    </row>
    <row r="1146" spans="1:20" x14ac:dyDescent="0.2">
      <c r="A1146">
        <v>1</v>
      </c>
      <c r="B1146" t="s">
        <v>1164</v>
      </c>
      <c r="C1146">
        <v>28.162211111111102</v>
      </c>
      <c r="D1146">
        <v>1007.43485804316</v>
      </c>
      <c r="E1146">
        <v>8.6997949802949499</v>
      </c>
      <c r="F1146">
        <v>28.273846306924199</v>
      </c>
      <c r="G1146">
        <v>100</v>
      </c>
      <c r="H1146">
        <v>566.43859863281205</v>
      </c>
      <c r="I1146">
        <v>8.6672652110752896E-2</v>
      </c>
      <c r="K1146" s="1" t="str">
        <f>TEXT(stand_validation_1cycle[[#This Row],[stand_age]], ".0")</f>
        <v>28.2</v>
      </c>
      <c r="L1146" s="1" t="str">
        <f t="shared" si="17"/>
        <v>"28.2"</v>
      </c>
      <c r="M1146">
        <v>100</v>
      </c>
      <c r="N1146">
        <f>0.029*stand_validation_1cycle[[#This Row],[stand_level_biomass]]</f>
        <v>29.215610883251642</v>
      </c>
      <c r="O1146">
        <f>0.213*stand_validation_1cycle[[#This Row],[stand_level_biomass]]</f>
        <v>214.58362476319309</v>
      </c>
      <c r="P1146">
        <f>0.571*stand_validation_1cycle[[#This Row],[stand_level_biomass]]</f>
        <v>575.24530394264434</v>
      </c>
      <c r="Q1146">
        <f>stand_validation_1cycle[[#This Row],[stock]]</f>
        <v>100</v>
      </c>
      <c r="R1146">
        <v>0</v>
      </c>
      <c r="S1146">
        <f>stand_validation_1cycle[[#This Row],[aws]]</f>
        <v>566.43859863281205</v>
      </c>
      <c r="T1146">
        <f>stand_validation_1cycle[[#This Row],[percent_tree_cover]]*100</f>
        <v>8.6672652110752892</v>
      </c>
    </row>
    <row r="1147" spans="1:20" x14ac:dyDescent="0.2">
      <c r="A1147">
        <v>1</v>
      </c>
      <c r="B1147" t="s">
        <v>1165</v>
      </c>
      <c r="C1147">
        <v>28.177789001122299</v>
      </c>
      <c r="D1147">
        <v>818.848632870953</v>
      </c>
      <c r="E1147">
        <v>7.3619909456627202</v>
      </c>
      <c r="F1147">
        <v>26.966138991818099</v>
      </c>
      <c r="G1147">
        <v>99</v>
      </c>
      <c r="H1147">
        <v>627</v>
      </c>
      <c r="I1147">
        <v>7.3263354409517797E-2</v>
      </c>
      <c r="K1147" s="1" t="str">
        <f>TEXT(stand_validation_1cycle[[#This Row],[stand_age]], ".0")</f>
        <v>28.2</v>
      </c>
      <c r="L1147" s="1" t="str">
        <f t="shared" si="17"/>
        <v>"28.2"</v>
      </c>
      <c r="M1147">
        <v>100</v>
      </c>
      <c r="N1147">
        <f>0.029*stand_validation_1cycle[[#This Row],[stand_level_biomass]]</f>
        <v>23.746610353257637</v>
      </c>
      <c r="O1147">
        <f>0.213*stand_validation_1cycle[[#This Row],[stand_level_biomass]]</f>
        <v>174.41475880151299</v>
      </c>
      <c r="P1147">
        <f>0.571*stand_validation_1cycle[[#This Row],[stand_level_biomass]]</f>
        <v>467.56256936931413</v>
      </c>
      <c r="Q1147">
        <f>stand_validation_1cycle[[#This Row],[stock]]</f>
        <v>99</v>
      </c>
      <c r="R1147">
        <v>0</v>
      </c>
      <c r="S1147">
        <f>stand_validation_1cycle[[#This Row],[aws]]</f>
        <v>627</v>
      </c>
      <c r="T1147">
        <f>stand_validation_1cycle[[#This Row],[percent_tree_cover]]*100</f>
        <v>7.3263354409517794</v>
      </c>
    </row>
    <row r="1148" spans="1:20" x14ac:dyDescent="0.2">
      <c r="A1148">
        <v>1</v>
      </c>
      <c r="B1148" t="s">
        <v>1166</v>
      </c>
      <c r="C1148">
        <v>26.5342555555555</v>
      </c>
      <c r="D1148">
        <v>726.42043256074498</v>
      </c>
      <c r="E1148">
        <v>6.7113922398454999</v>
      </c>
      <c r="F1148">
        <v>25.4459033543171</v>
      </c>
      <c r="G1148">
        <v>100</v>
      </c>
      <c r="H1148">
        <v>609.53875732421795</v>
      </c>
      <c r="I1148">
        <v>6.6884600374296999E-2</v>
      </c>
      <c r="K1148" s="1" t="str">
        <f>TEXT(stand_validation_1cycle[[#This Row],[stand_age]], ".0")</f>
        <v>26.5</v>
      </c>
      <c r="L1148" s="1" t="str">
        <f t="shared" si="17"/>
        <v>"26.5"</v>
      </c>
      <c r="M1148">
        <v>100</v>
      </c>
      <c r="N1148">
        <f>0.029*stand_validation_1cycle[[#This Row],[stand_level_biomass]]</f>
        <v>21.066192544261607</v>
      </c>
      <c r="O1148">
        <f>0.213*stand_validation_1cycle[[#This Row],[stand_level_biomass]]</f>
        <v>154.72755213543869</v>
      </c>
      <c r="P1148">
        <f>0.571*stand_validation_1cycle[[#This Row],[stand_level_biomass]]</f>
        <v>414.78606699218534</v>
      </c>
      <c r="Q1148">
        <f>stand_validation_1cycle[[#This Row],[stock]]</f>
        <v>100</v>
      </c>
      <c r="R1148">
        <v>0</v>
      </c>
      <c r="S1148">
        <f>stand_validation_1cycle[[#This Row],[aws]]</f>
        <v>609.53875732421795</v>
      </c>
      <c r="T1148">
        <f>stand_validation_1cycle[[#This Row],[percent_tree_cover]]*100</f>
        <v>6.6884600374296994</v>
      </c>
    </row>
    <row r="1149" spans="1:20" x14ac:dyDescent="0.2">
      <c r="A1149">
        <v>1</v>
      </c>
      <c r="B1149" t="s">
        <v>1167</v>
      </c>
      <c r="C1149">
        <v>25.1584222222222</v>
      </c>
      <c r="D1149">
        <v>721.95270847336496</v>
      </c>
      <c r="E1149">
        <v>6.6565887267999502</v>
      </c>
      <c r="F1149">
        <v>25.423402059531401</v>
      </c>
      <c r="G1149">
        <v>100</v>
      </c>
      <c r="H1149">
        <v>566.43859863281205</v>
      </c>
      <c r="I1149">
        <v>6.6356819612341605E-2</v>
      </c>
      <c r="K1149" s="1" t="str">
        <f>TEXT(stand_validation_1cycle[[#This Row],[stand_age]], ".0")</f>
        <v>25.2</v>
      </c>
      <c r="L1149" s="1" t="str">
        <f t="shared" si="17"/>
        <v>"25.2"</v>
      </c>
      <c r="M1149">
        <v>100</v>
      </c>
      <c r="N1149">
        <f>0.029*stand_validation_1cycle[[#This Row],[stand_level_biomass]]</f>
        <v>20.936628545727586</v>
      </c>
      <c r="O1149">
        <f>0.213*stand_validation_1cycle[[#This Row],[stand_level_biomass]]</f>
        <v>153.77592690482675</v>
      </c>
      <c r="P1149">
        <f>0.571*stand_validation_1cycle[[#This Row],[stand_level_biomass]]</f>
        <v>412.23499653829134</v>
      </c>
      <c r="Q1149">
        <f>stand_validation_1cycle[[#This Row],[stock]]</f>
        <v>100</v>
      </c>
      <c r="R1149">
        <v>0</v>
      </c>
      <c r="S1149">
        <f>stand_validation_1cycle[[#This Row],[aws]]</f>
        <v>566.43859863281205</v>
      </c>
      <c r="T1149">
        <f>stand_validation_1cycle[[#This Row],[percent_tree_cover]]*100</f>
        <v>6.6356819612341607</v>
      </c>
    </row>
    <row r="1150" spans="1:20" x14ac:dyDescent="0.2">
      <c r="A1150">
        <v>1</v>
      </c>
      <c r="B1150" t="s">
        <v>1168</v>
      </c>
      <c r="C1150">
        <v>28.796882086167798</v>
      </c>
      <c r="D1150">
        <v>1023.69282053541</v>
      </c>
      <c r="E1150">
        <v>8.7345260724785394</v>
      </c>
      <c r="F1150">
        <v>29.2806221986705</v>
      </c>
      <c r="G1150">
        <v>98</v>
      </c>
      <c r="H1150">
        <v>566.43859863281205</v>
      </c>
      <c r="I1150">
        <v>8.6742145491067402E-2</v>
      </c>
      <c r="K1150" s="1" t="str">
        <f>TEXT(stand_validation_1cycle[[#This Row],[stand_age]], ".0")</f>
        <v>28.8</v>
      </c>
      <c r="L1150" s="1" t="str">
        <f t="shared" si="17"/>
        <v>"28.8"</v>
      </c>
      <c r="M1150">
        <v>100</v>
      </c>
      <c r="N1150">
        <f>0.029*stand_validation_1cycle[[#This Row],[stand_level_biomass]]</f>
        <v>29.687091795526889</v>
      </c>
      <c r="O1150">
        <f>0.213*stand_validation_1cycle[[#This Row],[stand_level_biomass]]</f>
        <v>218.04657077404232</v>
      </c>
      <c r="P1150">
        <f>0.571*stand_validation_1cycle[[#This Row],[stand_level_biomass]]</f>
        <v>584.52860052571907</v>
      </c>
      <c r="Q1150">
        <f>stand_validation_1cycle[[#This Row],[stock]]</f>
        <v>98</v>
      </c>
      <c r="R1150">
        <v>0</v>
      </c>
      <c r="S1150">
        <f>stand_validation_1cycle[[#This Row],[aws]]</f>
        <v>566.43859863281205</v>
      </c>
      <c r="T1150">
        <f>stand_validation_1cycle[[#This Row],[percent_tree_cover]]*100</f>
        <v>8.6742145491067397</v>
      </c>
    </row>
    <row r="1151" spans="1:20" x14ac:dyDescent="0.2">
      <c r="A1151">
        <v>1</v>
      </c>
      <c r="B1151" t="s">
        <v>1169</v>
      </c>
      <c r="C1151">
        <v>28.171899999999901</v>
      </c>
      <c r="D1151">
        <v>1025.11609112461</v>
      </c>
      <c r="E1151">
        <v>8.8241871268119993</v>
      </c>
      <c r="F1151">
        <v>28.665659088157099</v>
      </c>
      <c r="G1151">
        <v>100</v>
      </c>
      <c r="H1151">
        <v>566.43859863281205</v>
      </c>
      <c r="I1151">
        <v>8.7928851049610901E-2</v>
      </c>
      <c r="K1151" s="1" t="str">
        <f>TEXT(stand_validation_1cycle[[#This Row],[stand_age]], ".0")</f>
        <v>28.2</v>
      </c>
      <c r="L1151" s="1" t="str">
        <f t="shared" si="17"/>
        <v>"28.2"</v>
      </c>
      <c r="M1151">
        <v>100</v>
      </c>
      <c r="N1151">
        <f>0.029*stand_validation_1cycle[[#This Row],[stand_level_biomass]]</f>
        <v>29.72836664261369</v>
      </c>
      <c r="O1151">
        <f>0.213*stand_validation_1cycle[[#This Row],[stand_level_biomass]]</f>
        <v>218.34972740954191</v>
      </c>
      <c r="P1151">
        <f>0.571*stand_validation_1cycle[[#This Row],[stand_level_biomass]]</f>
        <v>585.34128803215219</v>
      </c>
      <c r="Q1151">
        <f>stand_validation_1cycle[[#This Row],[stock]]</f>
        <v>100</v>
      </c>
      <c r="R1151">
        <v>0</v>
      </c>
      <c r="S1151">
        <f>stand_validation_1cycle[[#This Row],[aws]]</f>
        <v>566.43859863281205</v>
      </c>
      <c r="T1151">
        <f>stand_validation_1cycle[[#This Row],[percent_tree_cover]]*100</f>
        <v>8.7928851049610905</v>
      </c>
    </row>
    <row r="1152" spans="1:20" x14ac:dyDescent="0.2">
      <c r="A1152">
        <v>1</v>
      </c>
      <c r="B1152" t="s">
        <v>1170</v>
      </c>
      <c r="C1152">
        <v>28.5317620650953</v>
      </c>
      <c r="D1152">
        <v>805.07009510621799</v>
      </c>
      <c r="E1152">
        <v>7.3318724968927604</v>
      </c>
      <c r="F1152">
        <v>26.592936317300101</v>
      </c>
      <c r="G1152">
        <v>99</v>
      </c>
      <c r="H1152">
        <v>566.43859863281205</v>
      </c>
      <c r="I1152">
        <v>7.2126810236963296E-2</v>
      </c>
      <c r="K1152" s="1" t="str">
        <f>TEXT(stand_validation_1cycle[[#This Row],[stand_age]], ".0")</f>
        <v>28.5</v>
      </c>
      <c r="L1152" s="1" t="str">
        <f t="shared" si="17"/>
        <v>"28.5"</v>
      </c>
      <c r="M1152">
        <v>100</v>
      </c>
      <c r="N1152">
        <f>0.029*stand_validation_1cycle[[#This Row],[stand_level_biomass]]</f>
        <v>23.347032758080324</v>
      </c>
      <c r="O1152">
        <f>0.213*stand_validation_1cycle[[#This Row],[stand_level_biomass]]</f>
        <v>171.47993025762443</v>
      </c>
      <c r="P1152">
        <f>0.571*stand_validation_1cycle[[#This Row],[stand_level_biomass]]</f>
        <v>459.69502430565041</v>
      </c>
      <c r="Q1152">
        <f>stand_validation_1cycle[[#This Row],[stock]]</f>
        <v>99</v>
      </c>
      <c r="R1152">
        <v>0</v>
      </c>
      <c r="S1152">
        <f>stand_validation_1cycle[[#This Row],[aws]]</f>
        <v>566.43859863281205</v>
      </c>
      <c r="T1152">
        <f>stand_validation_1cycle[[#This Row],[percent_tree_cover]]*100</f>
        <v>7.2126810236963292</v>
      </c>
    </row>
    <row r="1153" spans="1:20" x14ac:dyDescent="0.2">
      <c r="A1153">
        <v>1</v>
      </c>
      <c r="B1153" t="s">
        <v>1171</v>
      </c>
      <c r="C1153">
        <v>27.446911111111099</v>
      </c>
      <c r="D1153">
        <v>832.53413513927705</v>
      </c>
      <c r="E1153">
        <v>7.3171415689400696</v>
      </c>
      <c r="F1153">
        <v>25.709743277728499</v>
      </c>
      <c r="G1153">
        <v>100</v>
      </c>
      <c r="H1153">
        <v>567.92437744140602</v>
      </c>
      <c r="I1153">
        <v>7.2882271702060797E-2</v>
      </c>
      <c r="K1153" s="1" t="str">
        <f>TEXT(stand_validation_1cycle[[#This Row],[stand_age]], ".0")</f>
        <v>27.4</v>
      </c>
      <c r="L1153" s="1" t="str">
        <f t="shared" si="17"/>
        <v>"27.4"</v>
      </c>
      <c r="M1153">
        <v>100</v>
      </c>
      <c r="N1153">
        <f>0.029*stand_validation_1cycle[[#This Row],[stand_level_biomass]]</f>
        <v>24.143489919039038</v>
      </c>
      <c r="O1153">
        <f>0.213*stand_validation_1cycle[[#This Row],[stand_level_biomass]]</f>
        <v>177.32977078466601</v>
      </c>
      <c r="P1153">
        <f>0.571*stand_validation_1cycle[[#This Row],[stand_level_biomass]]</f>
        <v>475.37699116452717</v>
      </c>
      <c r="Q1153">
        <f>stand_validation_1cycle[[#This Row],[stock]]</f>
        <v>100</v>
      </c>
      <c r="R1153">
        <v>0</v>
      </c>
      <c r="S1153">
        <f>stand_validation_1cycle[[#This Row],[aws]]</f>
        <v>567.92437744140602</v>
      </c>
      <c r="T1153">
        <f>stand_validation_1cycle[[#This Row],[percent_tree_cover]]*100</f>
        <v>7.2882271702060795</v>
      </c>
    </row>
    <row r="1154" spans="1:20" x14ac:dyDescent="0.2">
      <c r="A1154">
        <v>1</v>
      </c>
      <c r="B1154" t="s">
        <v>1172</v>
      </c>
      <c r="C1154">
        <v>28.3219865319865</v>
      </c>
      <c r="D1154">
        <v>822.56399394520099</v>
      </c>
      <c r="E1154">
        <v>7.3730305022474401</v>
      </c>
      <c r="F1154">
        <v>27.064644869744502</v>
      </c>
      <c r="G1154">
        <v>99</v>
      </c>
      <c r="H1154">
        <v>566.75335693359295</v>
      </c>
      <c r="I1154">
        <v>7.33557422355164E-2</v>
      </c>
      <c r="K1154" s="1" t="str">
        <f>TEXT(stand_validation_1cycle[[#This Row],[stand_age]], ".0")</f>
        <v>28.3</v>
      </c>
      <c r="L1154" s="1" t="str">
        <f t="shared" si="17"/>
        <v>"28.3"</v>
      </c>
      <c r="M1154">
        <v>100</v>
      </c>
      <c r="N1154">
        <f>0.029*stand_validation_1cycle[[#This Row],[stand_level_biomass]]</f>
        <v>23.854355824410831</v>
      </c>
      <c r="O1154">
        <f>0.213*stand_validation_1cycle[[#This Row],[stand_level_biomass]]</f>
        <v>175.20613071032781</v>
      </c>
      <c r="P1154">
        <f>0.571*stand_validation_1cycle[[#This Row],[stand_level_biomass]]</f>
        <v>469.68404054270974</v>
      </c>
      <c r="Q1154">
        <f>stand_validation_1cycle[[#This Row],[stock]]</f>
        <v>99</v>
      </c>
      <c r="R1154">
        <v>0</v>
      </c>
      <c r="S1154">
        <f>stand_validation_1cycle[[#This Row],[aws]]</f>
        <v>566.75335693359295</v>
      </c>
      <c r="T1154">
        <f>stand_validation_1cycle[[#This Row],[percent_tree_cover]]*100</f>
        <v>7.3355742235516397</v>
      </c>
    </row>
    <row r="1155" spans="1:20" x14ac:dyDescent="0.2">
      <c r="A1155">
        <v>1</v>
      </c>
      <c r="B1155" t="s">
        <v>1173</v>
      </c>
      <c r="C1155">
        <v>27.8081</v>
      </c>
      <c r="D1155">
        <v>836.94504799240599</v>
      </c>
      <c r="E1155">
        <v>7.4512915022391804</v>
      </c>
      <c r="F1155">
        <v>26.655180306734199</v>
      </c>
      <c r="G1155">
        <v>100</v>
      </c>
      <c r="H1155">
        <v>572.43603515625</v>
      </c>
      <c r="I1155">
        <v>7.4230968256110294E-2</v>
      </c>
      <c r="K1155" s="1" t="str">
        <f>TEXT(stand_validation_1cycle[[#This Row],[stand_age]], ".0")</f>
        <v>27.8</v>
      </c>
      <c r="L1155" s="1" t="str">
        <f t="shared" ref="L1155:L1218" si="18">""""&amp;K1155&amp;""""</f>
        <v>"27.8"</v>
      </c>
      <c r="M1155">
        <v>100</v>
      </c>
      <c r="N1155">
        <f>0.029*stand_validation_1cycle[[#This Row],[stand_level_biomass]]</f>
        <v>24.271406391779774</v>
      </c>
      <c r="O1155">
        <f>0.213*stand_validation_1cycle[[#This Row],[stand_level_biomass]]</f>
        <v>178.26929522238248</v>
      </c>
      <c r="P1155">
        <f>0.571*stand_validation_1cycle[[#This Row],[stand_level_biomass]]</f>
        <v>477.89562240366376</v>
      </c>
      <c r="Q1155">
        <f>stand_validation_1cycle[[#This Row],[stock]]</f>
        <v>100</v>
      </c>
      <c r="R1155">
        <v>0</v>
      </c>
      <c r="S1155">
        <f>stand_validation_1cycle[[#This Row],[aws]]</f>
        <v>572.43603515625</v>
      </c>
      <c r="T1155">
        <f>stand_validation_1cycle[[#This Row],[percent_tree_cover]]*100</f>
        <v>7.4230968256110295</v>
      </c>
    </row>
    <row r="1156" spans="1:20" x14ac:dyDescent="0.2">
      <c r="A1156">
        <v>1</v>
      </c>
      <c r="B1156" t="s">
        <v>1174</v>
      </c>
      <c r="C1156">
        <v>29.323692480359099</v>
      </c>
      <c r="D1156">
        <v>1180.9889809474801</v>
      </c>
      <c r="E1156">
        <v>9.8270895305899195</v>
      </c>
      <c r="F1156">
        <v>29.6896323255353</v>
      </c>
      <c r="G1156">
        <v>99</v>
      </c>
      <c r="H1156">
        <v>566.51373291015602</v>
      </c>
      <c r="I1156">
        <v>9.7388149038900099E-2</v>
      </c>
      <c r="K1156" s="1" t="str">
        <f>TEXT(stand_validation_1cycle[[#This Row],[stand_age]], ".0")</f>
        <v>29.3</v>
      </c>
      <c r="L1156" s="1" t="str">
        <f t="shared" si="18"/>
        <v>"29.3"</v>
      </c>
      <c r="M1156">
        <v>100</v>
      </c>
      <c r="N1156">
        <f>0.029*stand_validation_1cycle[[#This Row],[stand_level_biomass]]</f>
        <v>34.248680447476922</v>
      </c>
      <c r="O1156">
        <f>0.213*stand_validation_1cycle[[#This Row],[stand_level_biomass]]</f>
        <v>251.55065294181324</v>
      </c>
      <c r="P1156">
        <f>0.571*stand_validation_1cycle[[#This Row],[stand_level_biomass]]</f>
        <v>674.34470812101108</v>
      </c>
      <c r="Q1156">
        <f>stand_validation_1cycle[[#This Row],[stock]]</f>
        <v>99</v>
      </c>
      <c r="R1156">
        <v>0</v>
      </c>
      <c r="S1156">
        <f>stand_validation_1cycle[[#This Row],[aws]]</f>
        <v>566.51373291015602</v>
      </c>
      <c r="T1156">
        <f>stand_validation_1cycle[[#This Row],[percent_tree_cover]]*100</f>
        <v>9.7388149038900096</v>
      </c>
    </row>
    <row r="1157" spans="1:20" x14ac:dyDescent="0.2">
      <c r="A1157">
        <v>1</v>
      </c>
      <c r="B1157" t="s">
        <v>1175</v>
      </c>
      <c r="C1157">
        <v>26.2947888888888</v>
      </c>
      <c r="D1157">
        <v>750.053727487895</v>
      </c>
      <c r="E1157">
        <v>6.8426652596720796</v>
      </c>
      <c r="F1157">
        <v>25.606998363985699</v>
      </c>
      <c r="G1157">
        <v>100</v>
      </c>
      <c r="H1157">
        <v>523</v>
      </c>
      <c r="I1157">
        <v>6.81992831692355E-2</v>
      </c>
      <c r="K1157" s="1" t="str">
        <f>TEXT(stand_validation_1cycle[[#This Row],[stand_age]], ".0")</f>
        <v>26.3</v>
      </c>
      <c r="L1157" s="1" t="str">
        <f t="shared" si="18"/>
        <v>"26.3"</v>
      </c>
      <c r="M1157">
        <v>100</v>
      </c>
      <c r="N1157">
        <f>0.029*stand_validation_1cycle[[#This Row],[stand_level_biomass]]</f>
        <v>21.751558097148955</v>
      </c>
      <c r="O1157">
        <f>0.213*stand_validation_1cycle[[#This Row],[stand_level_biomass]]</f>
        <v>159.76144395492165</v>
      </c>
      <c r="P1157">
        <f>0.571*stand_validation_1cycle[[#This Row],[stand_level_biomass]]</f>
        <v>428.28067839558798</v>
      </c>
      <c r="Q1157">
        <f>stand_validation_1cycle[[#This Row],[stock]]</f>
        <v>100</v>
      </c>
      <c r="R1157">
        <v>0</v>
      </c>
      <c r="S1157">
        <f>stand_validation_1cycle[[#This Row],[aws]]</f>
        <v>523</v>
      </c>
      <c r="T1157">
        <f>stand_validation_1cycle[[#This Row],[percent_tree_cover]]*100</f>
        <v>6.8199283169235496</v>
      </c>
    </row>
    <row r="1158" spans="1:20" x14ac:dyDescent="0.2">
      <c r="A1158">
        <v>1</v>
      </c>
      <c r="B1158" t="s">
        <v>1176</v>
      </c>
      <c r="C1158">
        <v>29.543820861678</v>
      </c>
      <c r="D1158">
        <v>998.73939979762702</v>
      </c>
      <c r="E1158">
        <v>8.5710485863600301</v>
      </c>
      <c r="F1158">
        <v>28.5897617514314</v>
      </c>
      <c r="G1158">
        <v>98</v>
      </c>
      <c r="H1158">
        <v>566.51373291015602</v>
      </c>
      <c r="I1158">
        <v>8.4599943452977597E-2</v>
      </c>
      <c r="K1158" s="1" t="str">
        <f>TEXT(stand_validation_1cycle[[#This Row],[stand_age]], ".0")</f>
        <v>29.5</v>
      </c>
      <c r="L1158" s="1" t="str">
        <f t="shared" si="18"/>
        <v>"29.5"</v>
      </c>
      <c r="M1158">
        <v>100</v>
      </c>
      <c r="N1158">
        <f>0.029*stand_validation_1cycle[[#This Row],[stand_level_biomass]]</f>
        <v>28.963442594131184</v>
      </c>
      <c r="O1158">
        <f>0.213*stand_validation_1cycle[[#This Row],[stand_level_biomass]]</f>
        <v>212.73149215689455</v>
      </c>
      <c r="P1158">
        <f>0.571*stand_validation_1cycle[[#This Row],[stand_level_biomass]]</f>
        <v>570.28019728444497</v>
      </c>
      <c r="Q1158">
        <f>stand_validation_1cycle[[#This Row],[stock]]</f>
        <v>98</v>
      </c>
      <c r="R1158">
        <v>0</v>
      </c>
      <c r="S1158">
        <f>stand_validation_1cycle[[#This Row],[aws]]</f>
        <v>566.51373291015602</v>
      </c>
      <c r="T1158">
        <f>stand_validation_1cycle[[#This Row],[percent_tree_cover]]*100</f>
        <v>8.4599943452977602</v>
      </c>
    </row>
    <row r="1159" spans="1:20" x14ac:dyDescent="0.2">
      <c r="A1159">
        <v>1</v>
      </c>
      <c r="B1159" t="s">
        <v>1177</v>
      </c>
      <c r="C1159">
        <v>29.245744444444401</v>
      </c>
      <c r="D1159">
        <v>1155.9128533257399</v>
      </c>
      <c r="E1159">
        <v>9.6739769440337504</v>
      </c>
      <c r="F1159">
        <v>29.040273716402801</v>
      </c>
      <c r="G1159">
        <v>100</v>
      </c>
      <c r="H1159">
        <v>569.31976318359295</v>
      </c>
      <c r="I1159">
        <v>9.6362804684207104E-2</v>
      </c>
      <c r="K1159" s="1" t="str">
        <f>TEXT(stand_validation_1cycle[[#This Row],[stand_age]], ".0")</f>
        <v>29.2</v>
      </c>
      <c r="L1159" s="1" t="str">
        <f t="shared" si="18"/>
        <v>"29.2"</v>
      </c>
      <c r="M1159">
        <v>100</v>
      </c>
      <c r="N1159">
        <f>0.029*stand_validation_1cycle[[#This Row],[stand_level_biomass]]</f>
        <v>33.521472746446456</v>
      </c>
      <c r="O1159">
        <f>0.213*stand_validation_1cycle[[#This Row],[stand_level_biomass]]</f>
        <v>246.20943775838259</v>
      </c>
      <c r="P1159">
        <f>0.571*stand_validation_1cycle[[#This Row],[stand_level_biomass]]</f>
        <v>660.0262392489974</v>
      </c>
      <c r="Q1159">
        <f>stand_validation_1cycle[[#This Row],[stock]]</f>
        <v>100</v>
      </c>
      <c r="R1159">
        <v>0</v>
      </c>
      <c r="S1159">
        <f>stand_validation_1cycle[[#This Row],[aws]]</f>
        <v>569.31976318359295</v>
      </c>
      <c r="T1159">
        <f>stand_validation_1cycle[[#This Row],[percent_tree_cover]]*100</f>
        <v>9.6362804684207113</v>
      </c>
    </row>
    <row r="1160" spans="1:20" x14ac:dyDescent="0.2">
      <c r="A1160">
        <v>1</v>
      </c>
      <c r="B1160" t="s">
        <v>1178</v>
      </c>
      <c r="C1160">
        <v>25.491829405162701</v>
      </c>
      <c r="D1160">
        <v>721.54204488932498</v>
      </c>
      <c r="E1160">
        <v>6.6162004116454103</v>
      </c>
      <c r="F1160">
        <v>25.2389889585959</v>
      </c>
      <c r="G1160">
        <v>99</v>
      </c>
      <c r="H1160">
        <v>572.56799316406205</v>
      </c>
      <c r="I1160">
        <v>6.5441619006238502E-2</v>
      </c>
      <c r="K1160" s="1" t="str">
        <f>TEXT(stand_validation_1cycle[[#This Row],[stand_age]], ".0")</f>
        <v>25.5</v>
      </c>
      <c r="L1160" s="1" t="str">
        <f t="shared" si="18"/>
        <v>"25.5"</v>
      </c>
      <c r="M1160">
        <v>100</v>
      </c>
      <c r="N1160">
        <f>0.029*stand_validation_1cycle[[#This Row],[stand_level_biomass]]</f>
        <v>20.924719301790425</v>
      </c>
      <c r="O1160">
        <f>0.213*stand_validation_1cycle[[#This Row],[stand_level_biomass]]</f>
        <v>153.68845556142622</v>
      </c>
      <c r="P1160">
        <f>0.571*stand_validation_1cycle[[#This Row],[stand_level_biomass]]</f>
        <v>412.00050763180451</v>
      </c>
      <c r="Q1160">
        <f>stand_validation_1cycle[[#This Row],[stock]]</f>
        <v>99</v>
      </c>
      <c r="R1160">
        <v>0</v>
      </c>
      <c r="S1160">
        <f>stand_validation_1cycle[[#This Row],[aws]]</f>
        <v>572.56799316406205</v>
      </c>
      <c r="T1160">
        <f>stand_validation_1cycle[[#This Row],[percent_tree_cover]]*100</f>
        <v>6.5441619006238501</v>
      </c>
    </row>
    <row r="1161" spans="1:20" x14ac:dyDescent="0.2">
      <c r="A1161">
        <v>1</v>
      </c>
      <c r="B1161" t="s">
        <v>1179</v>
      </c>
      <c r="C1161">
        <v>27.4498653198653</v>
      </c>
      <c r="D1161">
        <v>824.26476305483004</v>
      </c>
      <c r="E1161">
        <v>2.4418806444208401</v>
      </c>
      <c r="F1161">
        <v>26.578985110445799</v>
      </c>
      <c r="G1161">
        <v>33</v>
      </c>
      <c r="H1161">
        <v>572.56799316406205</v>
      </c>
      <c r="I1161">
        <v>7.6347610431296703E-2</v>
      </c>
      <c r="K1161" s="1" t="str">
        <f>TEXT(stand_validation_1cycle[[#This Row],[stand_age]], ".0")</f>
        <v>27.4</v>
      </c>
      <c r="L1161" s="1" t="str">
        <f t="shared" si="18"/>
        <v>"27.4"</v>
      </c>
      <c r="M1161">
        <v>100</v>
      </c>
      <c r="N1161">
        <f>0.029*stand_validation_1cycle[[#This Row],[stand_level_biomass]]</f>
        <v>23.903678128590073</v>
      </c>
      <c r="O1161">
        <f>0.213*stand_validation_1cycle[[#This Row],[stand_level_biomass]]</f>
        <v>175.5683945306788</v>
      </c>
      <c r="P1161">
        <f>0.571*stand_validation_1cycle[[#This Row],[stand_level_biomass]]</f>
        <v>470.6551797043079</v>
      </c>
      <c r="Q1161">
        <f>stand_validation_1cycle[[#This Row],[stock]]</f>
        <v>33</v>
      </c>
      <c r="R1161">
        <v>0</v>
      </c>
      <c r="S1161">
        <f>stand_validation_1cycle[[#This Row],[aws]]</f>
        <v>572.56799316406205</v>
      </c>
      <c r="T1161">
        <f>stand_validation_1cycle[[#This Row],[percent_tree_cover]]*100</f>
        <v>7.6347610431296706</v>
      </c>
    </row>
    <row r="1162" spans="1:20" x14ac:dyDescent="0.2">
      <c r="A1162">
        <v>1</v>
      </c>
      <c r="B1162" t="s">
        <v>1180</v>
      </c>
      <c r="C1162">
        <v>26.521062271062199</v>
      </c>
      <c r="D1162">
        <v>598.04101939152395</v>
      </c>
      <c r="E1162">
        <v>5.2493916228389104</v>
      </c>
      <c r="F1162">
        <v>24.143872110414399</v>
      </c>
      <c r="G1162">
        <v>91</v>
      </c>
      <c r="H1162">
        <v>570.56585693359295</v>
      </c>
      <c r="I1162">
        <v>5.7434320262442898E-2</v>
      </c>
      <c r="K1162" s="1" t="str">
        <f>TEXT(stand_validation_1cycle[[#This Row],[stand_age]], ".0")</f>
        <v>26.5</v>
      </c>
      <c r="L1162" s="1" t="str">
        <f t="shared" si="18"/>
        <v>"26.5"</v>
      </c>
      <c r="M1162">
        <v>100</v>
      </c>
      <c r="N1162">
        <f>0.029*stand_validation_1cycle[[#This Row],[stand_level_biomass]]</f>
        <v>17.343189562354194</v>
      </c>
      <c r="O1162">
        <f>0.213*stand_validation_1cycle[[#This Row],[stand_level_biomass]]</f>
        <v>127.3827371303946</v>
      </c>
      <c r="P1162">
        <f>0.571*stand_validation_1cycle[[#This Row],[stand_level_biomass]]</f>
        <v>341.48142207256012</v>
      </c>
      <c r="Q1162">
        <f>stand_validation_1cycle[[#This Row],[stock]]</f>
        <v>91</v>
      </c>
      <c r="R1162">
        <v>0</v>
      </c>
      <c r="S1162">
        <f>stand_validation_1cycle[[#This Row],[aws]]</f>
        <v>570.56585693359295</v>
      </c>
      <c r="T1162">
        <f>stand_validation_1cycle[[#This Row],[percent_tree_cover]]*100</f>
        <v>5.7434320262442897</v>
      </c>
    </row>
    <row r="1163" spans="1:20" x14ac:dyDescent="0.2">
      <c r="A1163">
        <v>1</v>
      </c>
      <c r="B1163" t="s">
        <v>1181</v>
      </c>
      <c r="C1163">
        <v>27.6977444444444</v>
      </c>
      <c r="D1163">
        <v>932.64124765318797</v>
      </c>
      <c r="E1163">
        <v>8.0963672881713808</v>
      </c>
      <c r="F1163">
        <v>27.4244272593414</v>
      </c>
      <c r="G1163">
        <v>100</v>
      </c>
      <c r="H1163">
        <v>566.43859863281205</v>
      </c>
      <c r="I1163">
        <v>8.0680178520718696E-2</v>
      </c>
      <c r="K1163" s="1" t="str">
        <f>TEXT(stand_validation_1cycle[[#This Row],[stand_age]], ".0")</f>
        <v>27.7</v>
      </c>
      <c r="L1163" s="1" t="str">
        <f t="shared" si="18"/>
        <v>"27.7"</v>
      </c>
      <c r="M1163">
        <v>100</v>
      </c>
      <c r="N1163">
        <f>0.029*stand_validation_1cycle[[#This Row],[stand_level_biomass]]</f>
        <v>27.046596181942451</v>
      </c>
      <c r="O1163">
        <f>0.213*stand_validation_1cycle[[#This Row],[stand_level_biomass]]</f>
        <v>198.65258575012902</v>
      </c>
      <c r="P1163">
        <f>0.571*stand_validation_1cycle[[#This Row],[stand_level_biomass]]</f>
        <v>532.53815240997028</v>
      </c>
      <c r="Q1163">
        <f>stand_validation_1cycle[[#This Row],[stock]]</f>
        <v>100</v>
      </c>
      <c r="R1163">
        <v>0</v>
      </c>
      <c r="S1163">
        <f>stand_validation_1cycle[[#This Row],[aws]]</f>
        <v>566.43859863281205</v>
      </c>
      <c r="T1163">
        <f>stand_validation_1cycle[[#This Row],[percent_tree_cover]]*100</f>
        <v>8.0680178520718702</v>
      </c>
    </row>
    <row r="1164" spans="1:20" x14ac:dyDescent="0.2">
      <c r="A1164">
        <v>1</v>
      </c>
      <c r="B1164" t="s">
        <v>1182</v>
      </c>
      <c r="C1164">
        <v>29.7350113378684</v>
      </c>
      <c r="D1164">
        <v>988.34132308533901</v>
      </c>
      <c r="E1164">
        <v>8.4471826566124495</v>
      </c>
      <c r="F1164">
        <v>28.337475842542201</v>
      </c>
      <c r="G1164">
        <v>98</v>
      </c>
      <c r="H1164">
        <v>566.43859863281205</v>
      </c>
      <c r="I1164">
        <v>8.36390342024564E-2</v>
      </c>
      <c r="K1164" s="1" t="str">
        <f>TEXT(stand_validation_1cycle[[#This Row],[stand_age]], ".0")</f>
        <v>29.7</v>
      </c>
      <c r="L1164" s="1" t="str">
        <f t="shared" si="18"/>
        <v>"29.7"</v>
      </c>
      <c r="M1164">
        <v>100</v>
      </c>
      <c r="N1164">
        <f>0.029*stand_validation_1cycle[[#This Row],[stand_level_biomass]]</f>
        <v>28.661898369474834</v>
      </c>
      <c r="O1164">
        <f>0.213*stand_validation_1cycle[[#This Row],[stand_level_biomass]]</f>
        <v>210.51670181717719</v>
      </c>
      <c r="P1164">
        <f>0.571*stand_validation_1cycle[[#This Row],[stand_level_biomass]]</f>
        <v>564.34289548172853</v>
      </c>
      <c r="Q1164">
        <f>stand_validation_1cycle[[#This Row],[stock]]</f>
        <v>98</v>
      </c>
      <c r="R1164">
        <v>0</v>
      </c>
      <c r="S1164">
        <f>stand_validation_1cycle[[#This Row],[aws]]</f>
        <v>566.43859863281205</v>
      </c>
      <c r="T1164">
        <f>stand_validation_1cycle[[#This Row],[percent_tree_cover]]*100</f>
        <v>8.3639034202456397</v>
      </c>
    </row>
    <row r="1165" spans="1:20" x14ac:dyDescent="0.2">
      <c r="A1165">
        <v>1</v>
      </c>
      <c r="B1165" t="s">
        <v>1183</v>
      </c>
      <c r="C1165">
        <v>28.219225589225498</v>
      </c>
      <c r="D1165">
        <v>831.47668959334499</v>
      </c>
      <c r="E1165">
        <v>7.4159972795724203</v>
      </c>
      <c r="F1165">
        <v>26.817119617027402</v>
      </c>
      <c r="G1165">
        <v>99</v>
      </c>
      <c r="H1165">
        <v>630</v>
      </c>
      <c r="I1165">
        <v>7.3658470919864605E-2</v>
      </c>
      <c r="K1165" s="1" t="str">
        <f>TEXT(stand_validation_1cycle[[#This Row],[stand_age]], ".0")</f>
        <v>28.2</v>
      </c>
      <c r="L1165" s="1" t="str">
        <f t="shared" si="18"/>
        <v>"28.2"</v>
      </c>
      <c r="M1165">
        <v>100</v>
      </c>
      <c r="N1165">
        <f>0.029*stand_validation_1cycle[[#This Row],[stand_level_biomass]]</f>
        <v>24.112823998207006</v>
      </c>
      <c r="O1165">
        <f>0.213*stand_validation_1cycle[[#This Row],[stand_level_biomass]]</f>
        <v>177.10453488338248</v>
      </c>
      <c r="P1165">
        <f>0.571*stand_validation_1cycle[[#This Row],[stand_level_biomass]]</f>
        <v>474.77318975779997</v>
      </c>
      <c r="Q1165">
        <f>stand_validation_1cycle[[#This Row],[stock]]</f>
        <v>99</v>
      </c>
      <c r="R1165">
        <v>0</v>
      </c>
      <c r="S1165">
        <f>stand_validation_1cycle[[#This Row],[aws]]</f>
        <v>630</v>
      </c>
      <c r="T1165">
        <f>stand_validation_1cycle[[#This Row],[percent_tree_cover]]*100</f>
        <v>7.3658470919864607</v>
      </c>
    </row>
    <row r="1166" spans="1:20" x14ac:dyDescent="0.2">
      <c r="A1166">
        <v>1</v>
      </c>
      <c r="B1166" t="s">
        <v>1184</v>
      </c>
      <c r="C1166">
        <v>26.6569111111111</v>
      </c>
      <c r="D1166">
        <v>904.05088333711399</v>
      </c>
      <c r="E1166">
        <v>7.9199684314686403</v>
      </c>
      <c r="F1166">
        <v>26.878503945218501</v>
      </c>
      <c r="G1166">
        <v>100</v>
      </c>
      <c r="H1166">
        <v>609.05859375</v>
      </c>
      <c r="I1166">
        <v>7.8914572706302893E-2</v>
      </c>
      <c r="K1166" s="1" t="str">
        <f>TEXT(stand_validation_1cycle[[#This Row],[stand_age]], ".0")</f>
        <v>26.7</v>
      </c>
      <c r="L1166" s="1" t="str">
        <f t="shared" si="18"/>
        <v>"26.7"</v>
      </c>
      <c r="M1166">
        <v>100</v>
      </c>
      <c r="N1166">
        <f>0.029*stand_validation_1cycle[[#This Row],[stand_level_biomass]]</f>
        <v>26.217475616776309</v>
      </c>
      <c r="O1166">
        <f>0.213*stand_validation_1cycle[[#This Row],[stand_level_biomass]]</f>
        <v>192.56283815080528</v>
      </c>
      <c r="P1166">
        <f>0.571*stand_validation_1cycle[[#This Row],[stand_level_biomass]]</f>
        <v>516.213054385492</v>
      </c>
      <c r="Q1166">
        <f>stand_validation_1cycle[[#This Row],[stock]]</f>
        <v>100</v>
      </c>
      <c r="R1166">
        <v>0</v>
      </c>
      <c r="S1166">
        <f>stand_validation_1cycle[[#This Row],[aws]]</f>
        <v>609.05859375</v>
      </c>
      <c r="T1166">
        <f>stand_validation_1cycle[[#This Row],[percent_tree_cover]]*100</f>
        <v>7.8914572706302897</v>
      </c>
    </row>
    <row r="1167" spans="1:20" x14ac:dyDescent="0.2">
      <c r="A1167">
        <v>1</v>
      </c>
      <c r="B1167" t="s">
        <v>1185</v>
      </c>
      <c r="C1167">
        <v>26.940744444444402</v>
      </c>
      <c r="D1167">
        <v>717.68521147086005</v>
      </c>
      <c r="E1167">
        <v>6.6971404047724903</v>
      </c>
      <c r="F1167">
        <v>25.855255392611401</v>
      </c>
      <c r="G1167">
        <v>100</v>
      </c>
      <c r="H1167">
        <v>566.43859863281205</v>
      </c>
      <c r="I1167">
        <v>6.6744292275582595E-2</v>
      </c>
      <c r="K1167" s="1" t="str">
        <f>TEXT(stand_validation_1cycle[[#This Row],[stand_age]], ".0")</f>
        <v>26.9</v>
      </c>
      <c r="L1167" s="1" t="str">
        <f t="shared" si="18"/>
        <v>"26.9"</v>
      </c>
      <c r="M1167">
        <v>100</v>
      </c>
      <c r="N1167">
        <f>0.029*stand_validation_1cycle[[#This Row],[stand_level_biomass]]</f>
        <v>20.812871132654944</v>
      </c>
      <c r="O1167">
        <f>0.213*stand_validation_1cycle[[#This Row],[stand_level_biomass]]</f>
        <v>152.8669500432932</v>
      </c>
      <c r="P1167">
        <f>0.571*stand_validation_1cycle[[#This Row],[stand_level_biomass]]</f>
        <v>409.79825574986108</v>
      </c>
      <c r="Q1167">
        <f>stand_validation_1cycle[[#This Row],[stock]]</f>
        <v>100</v>
      </c>
      <c r="R1167">
        <v>0</v>
      </c>
      <c r="S1167">
        <f>stand_validation_1cycle[[#This Row],[aws]]</f>
        <v>566.43859863281205</v>
      </c>
      <c r="T1167">
        <f>stand_validation_1cycle[[#This Row],[percent_tree_cover]]*100</f>
        <v>6.6744292275582593</v>
      </c>
    </row>
    <row r="1168" spans="1:20" x14ac:dyDescent="0.2">
      <c r="A1168">
        <v>1</v>
      </c>
      <c r="B1168" t="s">
        <v>1186</v>
      </c>
      <c r="C1168">
        <v>28.027452300785601</v>
      </c>
      <c r="D1168">
        <v>877.37180304417996</v>
      </c>
      <c r="E1168">
        <v>7.6824121905784697</v>
      </c>
      <c r="F1168">
        <v>26.6283942683751</v>
      </c>
      <c r="G1168">
        <v>99</v>
      </c>
      <c r="H1168">
        <v>568.70263671875</v>
      </c>
      <c r="I1168">
        <v>7.6060789387483105E-2</v>
      </c>
      <c r="K1168" s="1" t="str">
        <f>TEXT(stand_validation_1cycle[[#This Row],[stand_age]], ".0")</f>
        <v>28.0</v>
      </c>
      <c r="L1168" s="1" t="str">
        <f t="shared" si="18"/>
        <v>"28.0"</v>
      </c>
      <c r="M1168">
        <v>100</v>
      </c>
      <c r="N1168">
        <f>0.029*stand_validation_1cycle[[#This Row],[stand_level_biomass]]</f>
        <v>25.44378228828122</v>
      </c>
      <c r="O1168">
        <f>0.213*stand_validation_1cycle[[#This Row],[stand_level_biomass]]</f>
        <v>186.88019404841032</v>
      </c>
      <c r="P1168">
        <f>0.571*stand_validation_1cycle[[#This Row],[stand_level_biomass]]</f>
        <v>500.97929953822671</v>
      </c>
      <c r="Q1168">
        <f>stand_validation_1cycle[[#This Row],[stock]]</f>
        <v>99</v>
      </c>
      <c r="R1168">
        <v>0</v>
      </c>
      <c r="S1168">
        <f>stand_validation_1cycle[[#This Row],[aws]]</f>
        <v>568.70263671875</v>
      </c>
      <c r="T1168">
        <f>stand_validation_1cycle[[#This Row],[percent_tree_cover]]*100</f>
        <v>7.6060789387483103</v>
      </c>
    </row>
    <row r="1169" spans="1:20" x14ac:dyDescent="0.2">
      <c r="A1169">
        <v>1</v>
      </c>
      <c r="B1169" t="s">
        <v>1187</v>
      </c>
      <c r="C1169">
        <v>25.432855555555498</v>
      </c>
      <c r="D1169">
        <v>779.98727510124502</v>
      </c>
      <c r="E1169">
        <v>6.9469574963914704</v>
      </c>
      <c r="F1169">
        <v>25.277342040384202</v>
      </c>
      <c r="G1169">
        <v>100</v>
      </c>
      <c r="H1169">
        <v>569.574951171875</v>
      </c>
      <c r="I1169">
        <v>6.9237856145545604E-2</v>
      </c>
      <c r="K1169" s="1" t="str">
        <f>TEXT(stand_validation_1cycle[[#This Row],[stand_age]], ".0")</f>
        <v>25.4</v>
      </c>
      <c r="L1169" s="1" t="str">
        <f t="shared" si="18"/>
        <v>"25.4"</v>
      </c>
      <c r="M1169">
        <v>100</v>
      </c>
      <c r="N1169">
        <f>0.029*stand_validation_1cycle[[#This Row],[stand_level_biomass]]</f>
        <v>22.619630977936108</v>
      </c>
      <c r="O1169">
        <f>0.213*stand_validation_1cycle[[#This Row],[stand_level_biomass]]</f>
        <v>166.13728959656518</v>
      </c>
      <c r="P1169">
        <f>0.571*stand_validation_1cycle[[#This Row],[stand_level_biomass]]</f>
        <v>445.37273408281089</v>
      </c>
      <c r="Q1169">
        <f>stand_validation_1cycle[[#This Row],[stock]]</f>
        <v>100</v>
      </c>
      <c r="R1169">
        <v>0</v>
      </c>
      <c r="S1169">
        <f>stand_validation_1cycle[[#This Row],[aws]]</f>
        <v>569.574951171875</v>
      </c>
      <c r="T1169">
        <f>stand_validation_1cycle[[#This Row],[percent_tree_cover]]*100</f>
        <v>6.9237856145545607</v>
      </c>
    </row>
    <row r="1170" spans="1:20" x14ac:dyDescent="0.2">
      <c r="A1170">
        <v>1</v>
      </c>
      <c r="B1170" t="s">
        <v>1188</v>
      </c>
      <c r="C1170">
        <v>27.1901683501683</v>
      </c>
      <c r="D1170">
        <v>877.76676456160601</v>
      </c>
      <c r="E1170">
        <v>7.6054596639269496</v>
      </c>
      <c r="F1170">
        <v>26.243407524730099</v>
      </c>
      <c r="G1170">
        <v>99</v>
      </c>
      <c r="H1170">
        <v>569.574951171875</v>
      </c>
      <c r="I1170">
        <v>7.5598717198124901E-2</v>
      </c>
      <c r="K1170" s="1" t="str">
        <f>TEXT(stand_validation_1cycle[[#This Row],[stand_age]], ".0")</f>
        <v>27.2</v>
      </c>
      <c r="L1170" s="1" t="str">
        <f t="shared" si="18"/>
        <v>"27.2"</v>
      </c>
      <c r="M1170">
        <v>100</v>
      </c>
      <c r="N1170">
        <f>0.029*stand_validation_1cycle[[#This Row],[stand_level_biomass]]</f>
        <v>25.455236172286575</v>
      </c>
      <c r="O1170">
        <f>0.213*stand_validation_1cycle[[#This Row],[stand_level_biomass]]</f>
        <v>186.96432085162206</v>
      </c>
      <c r="P1170">
        <f>0.571*stand_validation_1cycle[[#This Row],[stand_level_biomass]]</f>
        <v>501.20482256467699</v>
      </c>
      <c r="Q1170">
        <f>stand_validation_1cycle[[#This Row],[stock]]</f>
        <v>99</v>
      </c>
      <c r="R1170">
        <v>0</v>
      </c>
      <c r="S1170">
        <f>stand_validation_1cycle[[#This Row],[aws]]</f>
        <v>569.574951171875</v>
      </c>
      <c r="T1170">
        <f>stand_validation_1cycle[[#This Row],[percent_tree_cover]]*100</f>
        <v>7.5598717198124898</v>
      </c>
    </row>
    <row r="1171" spans="1:20" x14ac:dyDescent="0.2">
      <c r="A1171">
        <v>1</v>
      </c>
      <c r="B1171" t="s">
        <v>1189</v>
      </c>
      <c r="C1171">
        <v>29.334622222222201</v>
      </c>
      <c r="D1171">
        <v>1023.2032911836</v>
      </c>
      <c r="E1171">
        <v>8.8379096035228795</v>
      </c>
      <c r="F1171">
        <v>28.984470668819899</v>
      </c>
      <c r="G1171">
        <v>100</v>
      </c>
      <c r="H1171">
        <v>573.646728515625</v>
      </c>
      <c r="I1171">
        <v>8.8049581542806302E-2</v>
      </c>
      <c r="K1171" s="1" t="str">
        <f>TEXT(stand_validation_1cycle[[#This Row],[stand_age]], ".0")</f>
        <v>29.3</v>
      </c>
      <c r="L1171" s="1" t="str">
        <f t="shared" si="18"/>
        <v>"29.3"</v>
      </c>
      <c r="M1171">
        <v>100</v>
      </c>
      <c r="N1171">
        <f>0.029*stand_validation_1cycle[[#This Row],[stand_level_biomass]]</f>
        <v>29.6728954443244</v>
      </c>
      <c r="O1171">
        <f>0.213*stand_validation_1cycle[[#This Row],[stand_level_biomass]]</f>
        <v>217.94230102210679</v>
      </c>
      <c r="P1171">
        <f>0.571*stand_validation_1cycle[[#This Row],[stand_level_biomass]]</f>
        <v>584.24907926583558</v>
      </c>
      <c r="Q1171">
        <f>stand_validation_1cycle[[#This Row],[stock]]</f>
        <v>100</v>
      </c>
      <c r="R1171">
        <v>0</v>
      </c>
      <c r="S1171">
        <f>stand_validation_1cycle[[#This Row],[aws]]</f>
        <v>573.646728515625</v>
      </c>
      <c r="T1171">
        <f>stand_validation_1cycle[[#This Row],[percent_tree_cover]]*100</f>
        <v>8.8049581542806301</v>
      </c>
    </row>
    <row r="1172" spans="1:20" x14ac:dyDescent="0.2">
      <c r="A1172">
        <v>1</v>
      </c>
      <c r="B1172" t="s">
        <v>1190</v>
      </c>
      <c r="C1172">
        <v>28.889507445589899</v>
      </c>
      <c r="D1172">
        <v>919.29459355793495</v>
      </c>
      <c r="E1172">
        <v>7.9596553860632797</v>
      </c>
      <c r="F1172">
        <v>27.9807808169293</v>
      </c>
      <c r="G1172">
        <v>97</v>
      </c>
      <c r="H1172">
        <v>569.08734130859295</v>
      </c>
      <c r="I1172">
        <v>7.8356443463679301E-2</v>
      </c>
      <c r="K1172" s="1" t="str">
        <f>TEXT(stand_validation_1cycle[[#This Row],[stand_age]], ".0")</f>
        <v>28.9</v>
      </c>
      <c r="L1172" s="1" t="str">
        <f t="shared" si="18"/>
        <v>"28.9"</v>
      </c>
      <c r="M1172">
        <v>100</v>
      </c>
      <c r="N1172">
        <f>0.029*stand_validation_1cycle[[#This Row],[stand_level_biomass]]</f>
        <v>26.659543213180115</v>
      </c>
      <c r="O1172">
        <f>0.213*stand_validation_1cycle[[#This Row],[stand_level_biomass]]</f>
        <v>195.80974842784013</v>
      </c>
      <c r="P1172">
        <f>0.571*stand_validation_1cycle[[#This Row],[stand_level_biomass]]</f>
        <v>524.91721292158081</v>
      </c>
      <c r="Q1172">
        <f>stand_validation_1cycle[[#This Row],[stock]]</f>
        <v>97</v>
      </c>
      <c r="R1172">
        <v>0</v>
      </c>
      <c r="S1172">
        <f>stand_validation_1cycle[[#This Row],[aws]]</f>
        <v>569.08734130859295</v>
      </c>
      <c r="T1172">
        <f>stand_validation_1cycle[[#This Row],[percent_tree_cover]]*100</f>
        <v>7.8356443463679302</v>
      </c>
    </row>
    <row r="1173" spans="1:20" x14ac:dyDescent="0.2">
      <c r="A1173">
        <v>1</v>
      </c>
      <c r="B1173" t="s">
        <v>1191</v>
      </c>
      <c r="C1173">
        <v>27.4374111111111</v>
      </c>
      <c r="D1173">
        <v>809.44085100648203</v>
      </c>
      <c r="E1173">
        <v>7.3103337376597404</v>
      </c>
      <c r="F1173">
        <v>26.679579316402801</v>
      </c>
      <c r="G1173">
        <v>100</v>
      </c>
      <c r="H1173">
        <v>572.17340087890602</v>
      </c>
      <c r="I1173">
        <v>7.2851668475412898E-2</v>
      </c>
      <c r="K1173" s="1" t="str">
        <f>TEXT(stand_validation_1cycle[[#This Row],[stand_age]], ".0")</f>
        <v>27.4</v>
      </c>
      <c r="L1173" s="1" t="str">
        <f t="shared" si="18"/>
        <v>"27.4"</v>
      </c>
      <c r="M1173">
        <v>100</v>
      </c>
      <c r="N1173">
        <f>0.029*stand_validation_1cycle[[#This Row],[stand_level_biomass]]</f>
        <v>23.473784679187979</v>
      </c>
      <c r="O1173">
        <f>0.213*stand_validation_1cycle[[#This Row],[stand_level_biomass]]</f>
        <v>172.41090126438067</v>
      </c>
      <c r="P1173">
        <f>0.571*stand_validation_1cycle[[#This Row],[stand_level_biomass]]</f>
        <v>462.19072592470121</v>
      </c>
      <c r="Q1173">
        <f>stand_validation_1cycle[[#This Row],[stock]]</f>
        <v>100</v>
      </c>
      <c r="R1173">
        <v>0</v>
      </c>
      <c r="S1173">
        <f>stand_validation_1cycle[[#This Row],[aws]]</f>
        <v>572.17340087890602</v>
      </c>
      <c r="T1173">
        <f>stand_validation_1cycle[[#This Row],[percent_tree_cover]]*100</f>
        <v>7.2851668475412898</v>
      </c>
    </row>
    <row r="1174" spans="1:20" x14ac:dyDescent="0.2">
      <c r="A1174">
        <v>1</v>
      </c>
      <c r="B1174" t="s">
        <v>1192</v>
      </c>
      <c r="C1174">
        <v>27.213188888888801</v>
      </c>
      <c r="D1174">
        <v>836.89926662777702</v>
      </c>
      <c r="E1174">
        <v>7.4254715376174802</v>
      </c>
      <c r="F1174">
        <v>26.1162905543171</v>
      </c>
      <c r="G1174">
        <v>100</v>
      </c>
      <c r="H1174">
        <v>566.51373291015602</v>
      </c>
      <c r="I1174">
        <v>7.39786238488509E-2</v>
      </c>
      <c r="K1174" s="1" t="str">
        <f>TEXT(stand_validation_1cycle[[#This Row],[stand_age]], ".0")</f>
        <v>27.2</v>
      </c>
      <c r="L1174" s="1" t="str">
        <f t="shared" si="18"/>
        <v>"27.2"</v>
      </c>
      <c r="M1174">
        <v>100</v>
      </c>
      <c r="N1174">
        <f>0.029*stand_validation_1cycle[[#This Row],[stand_level_biomass]]</f>
        <v>24.270078732205533</v>
      </c>
      <c r="O1174">
        <f>0.213*stand_validation_1cycle[[#This Row],[stand_level_biomass]]</f>
        <v>178.25954379171651</v>
      </c>
      <c r="P1174">
        <f>0.571*stand_validation_1cycle[[#This Row],[stand_level_biomass]]</f>
        <v>477.86948124446064</v>
      </c>
      <c r="Q1174">
        <f>stand_validation_1cycle[[#This Row],[stock]]</f>
        <v>100</v>
      </c>
      <c r="R1174">
        <v>0</v>
      </c>
      <c r="S1174">
        <f>stand_validation_1cycle[[#This Row],[aws]]</f>
        <v>566.51373291015602</v>
      </c>
      <c r="T1174">
        <f>stand_validation_1cycle[[#This Row],[percent_tree_cover]]*100</f>
        <v>7.39786238488509</v>
      </c>
    </row>
    <row r="1175" spans="1:20" x14ac:dyDescent="0.2">
      <c r="A1175">
        <v>1</v>
      </c>
      <c r="B1175" t="s">
        <v>1193</v>
      </c>
      <c r="C1175">
        <v>29.565744444444402</v>
      </c>
      <c r="D1175">
        <v>1191.80492599432</v>
      </c>
      <c r="E1175">
        <v>10.0498606510541</v>
      </c>
      <c r="F1175">
        <v>30.503086497635699</v>
      </c>
      <c r="G1175">
        <v>100</v>
      </c>
      <c r="H1175">
        <v>519</v>
      </c>
      <c r="I1175">
        <v>0.10012018833905301</v>
      </c>
      <c r="K1175" s="1" t="str">
        <f>TEXT(stand_validation_1cycle[[#This Row],[stand_age]], ".0")</f>
        <v>29.6</v>
      </c>
      <c r="L1175" s="1" t="str">
        <f t="shared" si="18"/>
        <v>"29.6"</v>
      </c>
      <c r="M1175">
        <v>100</v>
      </c>
      <c r="N1175">
        <f>0.029*stand_validation_1cycle[[#This Row],[stand_level_biomass]]</f>
        <v>34.562342853835283</v>
      </c>
      <c r="O1175">
        <f>0.213*stand_validation_1cycle[[#This Row],[stand_level_biomass]]</f>
        <v>253.85444923679015</v>
      </c>
      <c r="P1175">
        <f>0.571*stand_validation_1cycle[[#This Row],[stand_level_biomass]]</f>
        <v>680.52061274275661</v>
      </c>
      <c r="Q1175">
        <f>stand_validation_1cycle[[#This Row],[stock]]</f>
        <v>100</v>
      </c>
      <c r="R1175">
        <v>0</v>
      </c>
      <c r="S1175">
        <f>stand_validation_1cycle[[#This Row],[aws]]</f>
        <v>519</v>
      </c>
      <c r="T1175">
        <f>stand_validation_1cycle[[#This Row],[percent_tree_cover]]*100</f>
        <v>10.012018833905302</v>
      </c>
    </row>
    <row r="1176" spans="1:20" x14ac:dyDescent="0.2">
      <c r="A1176">
        <v>1</v>
      </c>
      <c r="B1176" t="s">
        <v>1194</v>
      </c>
      <c r="C1176">
        <v>29.365488888888802</v>
      </c>
      <c r="D1176">
        <v>1114.43104546565</v>
      </c>
      <c r="E1176">
        <v>9.4602316192633005</v>
      </c>
      <c r="F1176">
        <v>29.6644706117585</v>
      </c>
      <c r="G1176">
        <v>100</v>
      </c>
      <c r="H1176">
        <v>566.51373291015602</v>
      </c>
      <c r="I1176">
        <v>9.4251421152570902E-2</v>
      </c>
      <c r="K1176" s="1" t="str">
        <f>TEXT(stand_validation_1cycle[[#This Row],[stand_age]], ".0")</f>
        <v>29.4</v>
      </c>
      <c r="L1176" s="1" t="str">
        <f t="shared" si="18"/>
        <v>"29.4"</v>
      </c>
      <c r="M1176">
        <v>100</v>
      </c>
      <c r="N1176">
        <f>0.029*stand_validation_1cycle[[#This Row],[stand_level_biomass]]</f>
        <v>32.318500318503851</v>
      </c>
      <c r="O1176">
        <f>0.213*stand_validation_1cycle[[#This Row],[stand_level_biomass]]</f>
        <v>237.37381268418343</v>
      </c>
      <c r="P1176">
        <f>0.571*stand_validation_1cycle[[#This Row],[stand_level_biomass]]</f>
        <v>636.3401269608861</v>
      </c>
      <c r="Q1176">
        <f>stand_validation_1cycle[[#This Row],[stock]]</f>
        <v>100</v>
      </c>
      <c r="R1176">
        <v>0</v>
      </c>
      <c r="S1176">
        <f>stand_validation_1cycle[[#This Row],[aws]]</f>
        <v>566.51373291015602</v>
      </c>
      <c r="T1176">
        <f>stand_validation_1cycle[[#This Row],[percent_tree_cover]]*100</f>
        <v>9.4251421152570902</v>
      </c>
    </row>
    <row r="1177" spans="1:20" x14ac:dyDescent="0.2">
      <c r="A1177">
        <v>1</v>
      </c>
      <c r="B1177" t="s">
        <v>1195</v>
      </c>
      <c r="C1177">
        <v>26.1132777777777</v>
      </c>
      <c r="D1177">
        <v>667.29884886753905</v>
      </c>
      <c r="E1177">
        <v>6.2756996772842397</v>
      </c>
      <c r="F1177">
        <v>24.8536562875871</v>
      </c>
      <c r="G1177">
        <v>100</v>
      </c>
      <c r="H1177">
        <v>569.39825439453102</v>
      </c>
      <c r="I1177">
        <v>6.2547134605098004E-2</v>
      </c>
      <c r="K1177" s="1" t="str">
        <f>TEXT(stand_validation_1cycle[[#This Row],[stand_age]], ".0")</f>
        <v>26.1</v>
      </c>
      <c r="L1177" s="1" t="str">
        <f t="shared" si="18"/>
        <v>"26.1"</v>
      </c>
      <c r="M1177">
        <v>100</v>
      </c>
      <c r="N1177">
        <f>0.029*stand_validation_1cycle[[#This Row],[stand_level_biomass]]</f>
        <v>19.351666617158635</v>
      </c>
      <c r="O1177">
        <f>0.213*stand_validation_1cycle[[#This Row],[stand_level_biomass]]</f>
        <v>142.13465480878583</v>
      </c>
      <c r="P1177">
        <f>0.571*stand_validation_1cycle[[#This Row],[stand_level_biomass]]</f>
        <v>381.02764270336479</v>
      </c>
      <c r="Q1177">
        <f>stand_validation_1cycle[[#This Row],[stock]]</f>
        <v>100</v>
      </c>
      <c r="R1177">
        <v>0</v>
      </c>
      <c r="S1177">
        <f>stand_validation_1cycle[[#This Row],[aws]]</f>
        <v>569.39825439453102</v>
      </c>
      <c r="T1177">
        <f>stand_validation_1cycle[[#This Row],[percent_tree_cover]]*100</f>
        <v>6.2547134605098007</v>
      </c>
    </row>
    <row r="1178" spans="1:20" x14ac:dyDescent="0.2">
      <c r="A1178">
        <v>1</v>
      </c>
      <c r="B1178" t="s">
        <v>1196</v>
      </c>
      <c r="C1178">
        <v>25.4363888888888</v>
      </c>
      <c r="D1178">
        <v>686.89104093831895</v>
      </c>
      <c r="E1178">
        <v>3.0252162807283698</v>
      </c>
      <c r="F1178">
        <v>24.429914605059501</v>
      </c>
      <c r="G1178">
        <v>48</v>
      </c>
      <c r="H1178">
        <v>570.56530761718705</v>
      </c>
      <c r="I1178">
        <v>6.1162068479763902E-2</v>
      </c>
      <c r="K1178" s="1" t="str">
        <f>TEXT(stand_validation_1cycle[[#This Row],[stand_age]], ".0")</f>
        <v>25.4</v>
      </c>
      <c r="L1178" s="1" t="str">
        <f t="shared" si="18"/>
        <v>"25.4"</v>
      </c>
      <c r="M1178">
        <v>100</v>
      </c>
      <c r="N1178">
        <f>0.029*stand_validation_1cycle[[#This Row],[stand_level_biomass]]</f>
        <v>19.91984018721125</v>
      </c>
      <c r="O1178">
        <f>0.213*stand_validation_1cycle[[#This Row],[stand_level_biomass]]</f>
        <v>146.30779171986194</v>
      </c>
      <c r="P1178">
        <f>0.571*stand_validation_1cycle[[#This Row],[stand_level_biomass]]</f>
        <v>392.21478437578008</v>
      </c>
      <c r="Q1178">
        <f>stand_validation_1cycle[[#This Row],[stock]]</f>
        <v>48</v>
      </c>
      <c r="R1178">
        <v>0</v>
      </c>
      <c r="S1178">
        <f>stand_validation_1cycle[[#This Row],[aws]]</f>
        <v>570.56530761718705</v>
      </c>
      <c r="T1178">
        <f>stand_validation_1cycle[[#This Row],[percent_tree_cover]]*100</f>
        <v>6.1162068479763905</v>
      </c>
    </row>
    <row r="1179" spans="1:20" x14ac:dyDescent="0.2">
      <c r="A1179">
        <v>1</v>
      </c>
      <c r="B1179" t="s">
        <v>1197</v>
      </c>
      <c r="C1179">
        <v>24.659191919191901</v>
      </c>
      <c r="D1179">
        <v>499.07136089355402</v>
      </c>
      <c r="E1179">
        <v>0.56437533924495498</v>
      </c>
      <c r="F1179">
        <v>23.746820261960998</v>
      </c>
      <c r="G1179">
        <v>11</v>
      </c>
      <c r="H1179">
        <v>572.56799316406205</v>
      </c>
      <c r="I1179">
        <v>6.55403441322428E-2</v>
      </c>
      <c r="K1179" s="1" t="str">
        <f>TEXT(stand_validation_1cycle[[#This Row],[stand_age]], ".0")</f>
        <v>24.7</v>
      </c>
      <c r="L1179" s="1" t="str">
        <f t="shared" si="18"/>
        <v>"24.7"</v>
      </c>
      <c r="M1179">
        <v>100</v>
      </c>
      <c r="N1179">
        <f>0.029*stand_validation_1cycle[[#This Row],[stand_level_biomass]]</f>
        <v>14.473069465913067</v>
      </c>
      <c r="O1179">
        <f>0.213*stand_validation_1cycle[[#This Row],[stand_level_biomass]]</f>
        <v>106.302199870327</v>
      </c>
      <c r="P1179">
        <f>0.571*stand_validation_1cycle[[#This Row],[stand_level_biomass]]</f>
        <v>284.96974707021934</v>
      </c>
      <c r="Q1179">
        <f>stand_validation_1cycle[[#This Row],[stock]]</f>
        <v>11</v>
      </c>
      <c r="R1179">
        <v>0</v>
      </c>
      <c r="S1179">
        <f>stand_validation_1cycle[[#This Row],[aws]]</f>
        <v>572.56799316406205</v>
      </c>
      <c r="T1179">
        <f>stand_validation_1cycle[[#This Row],[percent_tree_cover]]*100</f>
        <v>6.5540344132242803</v>
      </c>
    </row>
    <row r="1180" spans="1:20" x14ac:dyDescent="0.2">
      <c r="A1180">
        <v>1</v>
      </c>
      <c r="B1180" t="s">
        <v>1198</v>
      </c>
      <c r="C1180">
        <v>32.079382716049302</v>
      </c>
      <c r="D1180">
        <v>1320.4013617841699</v>
      </c>
      <c r="E1180">
        <v>9.8421322616134699</v>
      </c>
      <c r="F1180">
        <v>31.2409998327587</v>
      </c>
      <c r="G1180">
        <v>90</v>
      </c>
      <c r="H1180">
        <v>644.63970947265602</v>
      </c>
      <c r="I1180">
        <v>0.107064529005114</v>
      </c>
      <c r="K1180" s="1" t="str">
        <f>TEXT(stand_validation_1cycle[[#This Row],[stand_age]], ".0")</f>
        <v>32.1</v>
      </c>
      <c r="L1180" s="1" t="str">
        <f t="shared" si="18"/>
        <v>"32.1"</v>
      </c>
      <c r="M1180">
        <v>100</v>
      </c>
      <c r="N1180">
        <f>0.029*stand_validation_1cycle[[#This Row],[stand_level_biomass]]</f>
        <v>38.291639491740931</v>
      </c>
      <c r="O1180">
        <f>0.213*stand_validation_1cycle[[#This Row],[stand_level_biomass]]</f>
        <v>281.2454900600282</v>
      </c>
      <c r="P1180">
        <f>0.571*stand_validation_1cycle[[#This Row],[stand_level_biomass]]</f>
        <v>753.94917757876101</v>
      </c>
      <c r="Q1180">
        <f>stand_validation_1cycle[[#This Row],[stock]]</f>
        <v>90</v>
      </c>
      <c r="R1180">
        <v>0</v>
      </c>
      <c r="S1180">
        <f>stand_validation_1cycle[[#This Row],[aws]]</f>
        <v>644.63970947265602</v>
      </c>
      <c r="T1180">
        <f>stand_validation_1cycle[[#This Row],[percent_tree_cover]]*100</f>
        <v>10.706452900511399</v>
      </c>
    </row>
    <row r="1181" spans="1:20" x14ac:dyDescent="0.2">
      <c r="A1181">
        <v>1</v>
      </c>
      <c r="B1181" t="s">
        <v>1199</v>
      </c>
      <c r="C1181">
        <v>26.7979555555555</v>
      </c>
      <c r="D1181">
        <v>683.31340691788603</v>
      </c>
      <c r="E1181">
        <v>6.42766165553103</v>
      </c>
      <c r="F1181">
        <v>25.3434692400042</v>
      </c>
      <c r="G1181">
        <v>100</v>
      </c>
      <c r="H1181">
        <v>621.42626953125</v>
      </c>
      <c r="I1181">
        <v>6.4064711692931806E-2</v>
      </c>
      <c r="K1181" s="1" t="str">
        <f>TEXT(stand_validation_1cycle[[#This Row],[stand_age]], ".0")</f>
        <v>26.8</v>
      </c>
      <c r="L1181" s="1" t="str">
        <f t="shared" si="18"/>
        <v>"26.8"</v>
      </c>
      <c r="M1181">
        <v>100</v>
      </c>
      <c r="N1181">
        <f>0.029*stand_validation_1cycle[[#This Row],[stand_level_biomass]]</f>
        <v>19.816088800618697</v>
      </c>
      <c r="O1181">
        <f>0.213*stand_validation_1cycle[[#This Row],[stand_level_biomass]]</f>
        <v>145.54575567350972</v>
      </c>
      <c r="P1181">
        <f>0.571*stand_validation_1cycle[[#This Row],[stand_level_biomass]]</f>
        <v>390.17195535011291</v>
      </c>
      <c r="Q1181">
        <f>stand_validation_1cycle[[#This Row],[stock]]</f>
        <v>100</v>
      </c>
      <c r="R1181">
        <v>0</v>
      </c>
      <c r="S1181">
        <f>stand_validation_1cycle[[#This Row],[aws]]</f>
        <v>621.42626953125</v>
      </c>
      <c r="T1181">
        <f>stand_validation_1cycle[[#This Row],[percent_tree_cover]]*100</f>
        <v>6.4064711692931802</v>
      </c>
    </row>
    <row r="1182" spans="1:20" x14ac:dyDescent="0.2">
      <c r="A1182">
        <v>1</v>
      </c>
      <c r="B1182" t="s">
        <v>1200</v>
      </c>
      <c r="C1182">
        <v>26.102588888888899</v>
      </c>
      <c r="D1182">
        <v>733.67966507901599</v>
      </c>
      <c r="E1182">
        <v>6.78604512067459</v>
      </c>
      <c r="F1182">
        <v>25.911221887967098</v>
      </c>
      <c r="G1182">
        <v>100</v>
      </c>
      <c r="H1182">
        <v>619.67565917968705</v>
      </c>
      <c r="I1182">
        <v>6.7634815781158306E-2</v>
      </c>
      <c r="K1182" s="1" t="str">
        <f>TEXT(stand_validation_1cycle[[#This Row],[stand_age]], ".0")</f>
        <v>26.1</v>
      </c>
      <c r="L1182" s="1" t="str">
        <f t="shared" si="18"/>
        <v>"26.1"</v>
      </c>
      <c r="M1182">
        <v>100</v>
      </c>
      <c r="N1182">
        <f>0.029*stand_validation_1cycle[[#This Row],[stand_level_biomass]]</f>
        <v>21.276710287291465</v>
      </c>
      <c r="O1182">
        <f>0.213*stand_validation_1cycle[[#This Row],[stand_level_biomass]]</f>
        <v>156.27376866183039</v>
      </c>
      <c r="P1182">
        <f>0.571*stand_validation_1cycle[[#This Row],[stand_level_biomass]]</f>
        <v>418.93108876011809</v>
      </c>
      <c r="Q1182">
        <f>stand_validation_1cycle[[#This Row],[stock]]</f>
        <v>100</v>
      </c>
      <c r="R1182">
        <v>0</v>
      </c>
      <c r="S1182">
        <f>stand_validation_1cycle[[#This Row],[aws]]</f>
        <v>619.67565917968705</v>
      </c>
      <c r="T1182">
        <f>stand_validation_1cycle[[#This Row],[percent_tree_cover]]*100</f>
        <v>6.7634815781158304</v>
      </c>
    </row>
    <row r="1183" spans="1:20" x14ac:dyDescent="0.2">
      <c r="A1183">
        <v>1</v>
      </c>
      <c r="B1183" t="s">
        <v>1201</v>
      </c>
      <c r="C1183">
        <v>27.429977777777701</v>
      </c>
      <c r="D1183">
        <v>841.549305270839</v>
      </c>
      <c r="E1183">
        <v>7.5675869790897599</v>
      </c>
      <c r="F1183">
        <v>27.1183405545071</v>
      </c>
      <c r="G1183">
        <v>100</v>
      </c>
      <c r="H1183">
        <v>633</v>
      </c>
      <c r="I1183">
        <v>7.5411918914369894E-2</v>
      </c>
      <c r="K1183" s="1" t="str">
        <f>TEXT(stand_validation_1cycle[[#This Row],[stand_age]], ".0")</f>
        <v>27.4</v>
      </c>
      <c r="L1183" s="1" t="str">
        <f t="shared" si="18"/>
        <v>"27.4"</v>
      </c>
      <c r="M1183">
        <v>100</v>
      </c>
      <c r="N1183">
        <f>0.029*stand_validation_1cycle[[#This Row],[stand_level_biomass]]</f>
        <v>24.404929852854334</v>
      </c>
      <c r="O1183">
        <f>0.213*stand_validation_1cycle[[#This Row],[stand_level_biomass]]</f>
        <v>179.2500020226887</v>
      </c>
      <c r="P1183">
        <f>0.571*stand_validation_1cycle[[#This Row],[stand_level_biomass]]</f>
        <v>480.52465330964901</v>
      </c>
      <c r="Q1183">
        <f>stand_validation_1cycle[[#This Row],[stock]]</f>
        <v>100</v>
      </c>
      <c r="R1183">
        <v>0</v>
      </c>
      <c r="S1183">
        <f>stand_validation_1cycle[[#This Row],[aws]]</f>
        <v>633</v>
      </c>
      <c r="T1183">
        <f>stand_validation_1cycle[[#This Row],[percent_tree_cover]]*100</f>
        <v>7.5411918914369895</v>
      </c>
    </row>
    <row r="1184" spans="1:20" x14ac:dyDescent="0.2">
      <c r="A1184">
        <v>1</v>
      </c>
      <c r="B1184" t="s">
        <v>1202</v>
      </c>
      <c r="C1184">
        <v>30.763771043771001</v>
      </c>
      <c r="D1184">
        <v>1146.2318957535299</v>
      </c>
      <c r="E1184">
        <v>9.6177133758024507</v>
      </c>
      <c r="F1184">
        <v>29.9253570775093</v>
      </c>
      <c r="G1184">
        <v>99</v>
      </c>
      <c r="H1184">
        <v>622.07775878906205</v>
      </c>
      <c r="I1184">
        <v>9.5685306609508997E-2</v>
      </c>
      <c r="K1184" s="1" t="str">
        <f>TEXT(stand_validation_1cycle[[#This Row],[stand_age]], ".0")</f>
        <v>30.8</v>
      </c>
      <c r="L1184" s="1" t="str">
        <f t="shared" si="18"/>
        <v>"30.8"</v>
      </c>
      <c r="M1184">
        <v>100</v>
      </c>
      <c r="N1184">
        <f>0.029*stand_validation_1cycle[[#This Row],[stand_level_biomass]]</f>
        <v>33.24072497685237</v>
      </c>
      <c r="O1184">
        <f>0.213*stand_validation_1cycle[[#This Row],[stand_level_biomass]]</f>
        <v>244.14739379550187</v>
      </c>
      <c r="P1184">
        <f>0.571*stand_validation_1cycle[[#This Row],[stand_level_biomass]]</f>
        <v>654.49841247526547</v>
      </c>
      <c r="Q1184">
        <f>stand_validation_1cycle[[#This Row],[stock]]</f>
        <v>99</v>
      </c>
      <c r="R1184">
        <v>0</v>
      </c>
      <c r="S1184">
        <f>stand_validation_1cycle[[#This Row],[aws]]</f>
        <v>622.07775878906205</v>
      </c>
      <c r="T1184">
        <f>stand_validation_1cycle[[#This Row],[percent_tree_cover]]*100</f>
        <v>9.5685306609509002</v>
      </c>
    </row>
    <row r="1185" spans="1:20" x14ac:dyDescent="0.2">
      <c r="A1185">
        <v>1</v>
      </c>
      <c r="B1185" t="s">
        <v>1203</v>
      </c>
      <c r="C1185">
        <v>27.400777777777702</v>
      </c>
      <c r="D1185">
        <v>790.01172032119996</v>
      </c>
      <c r="E1185">
        <v>7.09599072488695</v>
      </c>
      <c r="F1185">
        <v>25.778365925501401</v>
      </c>
      <c r="G1185">
        <v>100</v>
      </c>
      <c r="H1185">
        <v>611.86444091796795</v>
      </c>
      <c r="I1185">
        <v>7.0697284527740295E-2</v>
      </c>
      <c r="K1185" s="1" t="str">
        <f>TEXT(stand_validation_1cycle[[#This Row],[stand_age]], ".0")</f>
        <v>27.4</v>
      </c>
      <c r="L1185" s="1" t="str">
        <f t="shared" si="18"/>
        <v>"27.4"</v>
      </c>
      <c r="M1185">
        <v>100</v>
      </c>
      <c r="N1185">
        <f>0.029*stand_validation_1cycle[[#This Row],[stand_level_biomass]]</f>
        <v>22.910339889314798</v>
      </c>
      <c r="O1185">
        <f>0.213*stand_validation_1cycle[[#This Row],[stand_level_biomass]]</f>
        <v>168.27249642841559</v>
      </c>
      <c r="P1185">
        <f>0.571*stand_validation_1cycle[[#This Row],[stand_level_biomass]]</f>
        <v>451.09669230340512</v>
      </c>
      <c r="Q1185">
        <f>stand_validation_1cycle[[#This Row],[stock]]</f>
        <v>100</v>
      </c>
      <c r="R1185">
        <v>0</v>
      </c>
      <c r="S1185">
        <f>stand_validation_1cycle[[#This Row],[aws]]</f>
        <v>611.86444091796795</v>
      </c>
      <c r="T1185">
        <f>stand_validation_1cycle[[#This Row],[percent_tree_cover]]*100</f>
        <v>7.0697284527740294</v>
      </c>
    </row>
    <row r="1186" spans="1:20" x14ac:dyDescent="0.2">
      <c r="A1186">
        <v>1</v>
      </c>
      <c r="B1186" t="s">
        <v>1204</v>
      </c>
      <c r="C1186">
        <v>29.761611111111002</v>
      </c>
      <c r="D1186">
        <v>948.875770735468</v>
      </c>
      <c r="E1186">
        <v>8.3616724315725506</v>
      </c>
      <c r="F1186">
        <v>28.400854897065699</v>
      </c>
      <c r="G1186">
        <v>100</v>
      </c>
      <c r="H1186">
        <v>674.15173339843705</v>
      </c>
      <c r="I1186">
        <v>8.3295813260994001E-2</v>
      </c>
      <c r="K1186" s="1" t="str">
        <f>TEXT(stand_validation_1cycle[[#This Row],[stand_age]], ".0")</f>
        <v>29.8</v>
      </c>
      <c r="L1186" s="1" t="str">
        <f t="shared" si="18"/>
        <v>"29.8"</v>
      </c>
      <c r="M1186">
        <v>100</v>
      </c>
      <c r="N1186">
        <f>0.029*stand_validation_1cycle[[#This Row],[stand_level_biomass]]</f>
        <v>27.517397351328572</v>
      </c>
      <c r="O1186">
        <f>0.213*stand_validation_1cycle[[#This Row],[stand_level_biomass]]</f>
        <v>202.11053916665469</v>
      </c>
      <c r="P1186">
        <f>0.571*stand_validation_1cycle[[#This Row],[stand_level_biomass]]</f>
        <v>541.80806508995215</v>
      </c>
      <c r="Q1186">
        <f>stand_validation_1cycle[[#This Row],[stock]]</f>
        <v>100</v>
      </c>
      <c r="R1186">
        <v>0</v>
      </c>
      <c r="S1186">
        <f>stand_validation_1cycle[[#This Row],[aws]]</f>
        <v>674.15173339843705</v>
      </c>
      <c r="T1186">
        <f>stand_validation_1cycle[[#This Row],[percent_tree_cover]]*100</f>
        <v>8.3295813260994009</v>
      </c>
    </row>
    <row r="1187" spans="1:20" x14ac:dyDescent="0.2">
      <c r="A1187">
        <v>1</v>
      </c>
      <c r="B1187" t="s">
        <v>1205</v>
      </c>
      <c r="C1187">
        <v>27.083977777777701</v>
      </c>
      <c r="D1187">
        <v>769.954740960153</v>
      </c>
      <c r="E1187">
        <v>7.0126654775376203</v>
      </c>
      <c r="F1187">
        <v>26.287205278298501</v>
      </c>
      <c r="G1187">
        <v>100</v>
      </c>
      <c r="H1187">
        <v>665.11022949218705</v>
      </c>
      <c r="I1187">
        <v>6.9879767271011098E-2</v>
      </c>
      <c r="K1187" s="1" t="str">
        <f>TEXT(stand_validation_1cycle[[#This Row],[stand_age]], ".0")</f>
        <v>27.1</v>
      </c>
      <c r="L1187" s="1" t="str">
        <f t="shared" si="18"/>
        <v>"27.1"</v>
      </c>
      <c r="M1187">
        <v>100</v>
      </c>
      <c r="N1187">
        <f>0.029*stand_validation_1cycle[[#This Row],[stand_level_biomass]]</f>
        <v>22.328687487844437</v>
      </c>
      <c r="O1187">
        <f>0.213*stand_validation_1cycle[[#This Row],[stand_level_biomass]]</f>
        <v>164.0003598245126</v>
      </c>
      <c r="P1187">
        <f>0.571*stand_validation_1cycle[[#This Row],[stand_level_biomass]]</f>
        <v>439.64415708824731</v>
      </c>
      <c r="Q1187">
        <f>stand_validation_1cycle[[#This Row],[stock]]</f>
        <v>100</v>
      </c>
      <c r="R1187">
        <v>0</v>
      </c>
      <c r="S1187">
        <f>stand_validation_1cycle[[#This Row],[aws]]</f>
        <v>665.11022949218705</v>
      </c>
      <c r="T1187">
        <f>stand_validation_1cycle[[#This Row],[percent_tree_cover]]*100</f>
        <v>6.9879767271011097</v>
      </c>
    </row>
    <row r="1188" spans="1:20" x14ac:dyDescent="0.2">
      <c r="A1188">
        <v>1</v>
      </c>
      <c r="B1188" t="s">
        <v>1206</v>
      </c>
      <c r="C1188">
        <v>27.283966666666601</v>
      </c>
      <c r="D1188">
        <v>742.77728573340198</v>
      </c>
      <c r="E1188">
        <v>6.74115490324745</v>
      </c>
      <c r="F1188">
        <v>25.353604687397102</v>
      </c>
      <c r="G1188">
        <v>100</v>
      </c>
      <c r="H1188">
        <v>651.91748046875</v>
      </c>
      <c r="I1188">
        <v>6.7167418061670703E-2</v>
      </c>
      <c r="K1188" s="1" t="str">
        <f>TEXT(stand_validation_1cycle[[#This Row],[stand_age]], ".0")</f>
        <v>27.3</v>
      </c>
      <c r="L1188" s="1" t="str">
        <f t="shared" si="18"/>
        <v>"27.3"</v>
      </c>
      <c r="M1188">
        <v>100</v>
      </c>
      <c r="N1188">
        <f>0.029*stand_validation_1cycle[[#This Row],[stand_level_biomass]]</f>
        <v>21.54054128626866</v>
      </c>
      <c r="O1188">
        <f>0.213*stand_validation_1cycle[[#This Row],[stand_level_biomass]]</f>
        <v>158.21156186121462</v>
      </c>
      <c r="P1188">
        <f>0.571*stand_validation_1cycle[[#This Row],[stand_level_biomass]]</f>
        <v>424.12583015377248</v>
      </c>
      <c r="Q1188">
        <f>stand_validation_1cycle[[#This Row],[stock]]</f>
        <v>100</v>
      </c>
      <c r="R1188">
        <v>0</v>
      </c>
      <c r="S1188">
        <f>stand_validation_1cycle[[#This Row],[aws]]</f>
        <v>651.91748046875</v>
      </c>
      <c r="T1188">
        <f>stand_validation_1cycle[[#This Row],[percent_tree_cover]]*100</f>
        <v>6.7167418061670698</v>
      </c>
    </row>
    <row r="1189" spans="1:20" x14ac:dyDescent="0.2">
      <c r="A1189">
        <v>1</v>
      </c>
      <c r="B1189" t="s">
        <v>1207</v>
      </c>
      <c r="C1189">
        <v>28.457744444444401</v>
      </c>
      <c r="D1189">
        <v>961.08675938857095</v>
      </c>
      <c r="E1189">
        <v>8.2687315545087507</v>
      </c>
      <c r="F1189">
        <v>27.258646382752801</v>
      </c>
      <c r="G1189">
        <v>100</v>
      </c>
      <c r="H1189">
        <v>702.37878417968705</v>
      </c>
      <c r="I1189">
        <v>8.2364802337344403E-2</v>
      </c>
      <c r="K1189" s="1" t="str">
        <f>TEXT(stand_validation_1cycle[[#This Row],[stand_age]], ".0")</f>
        <v>28.5</v>
      </c>
      <c r="L1189" s="1" t="str">
        <f t="shared" si="18"/>
        <v>"28.5"</v>
      </c>
      <c r="M1189">
        <v>100</v>
      </c>
      <c r="N1189">
        <f>0.029*stand_validation_1cycle[[#This Row],[stand_level_biomass]]</f>
        <v>27.871516022268558</v>
      </c>
      <c r="O1189">
        <f>0.213*stand_validation_1cycle[[#This Row],[stand_level_biomass]]</f>
        <v>204.7114797497656</v>
      </c>
      <c r="P1189">
        <f>0.571*stand_validation_1cycle[[#This Row],[stand_level_biomass]]</f>
        <v>548.78053961087392</v>
      </c>
      <c r="Q1189">
        <f>stand_validation_1cycle[[#This Row],[stock]]</f>
        <v>100</v>
      </c>
      <c r="R1189">
        <v>0</v>
      </c>
      <c r="S1189">
        <f>stand_validation_1cycle[[#This Row],[aws]]</f>
        <v>702.37878417968705</v>
      </c>
      <c r="T1189">
        <f>stand_validation_1cycle[[#This Row],[percent_tree_cover]]*100</f>
        <v>8.23648023373444</v>
      </c>
    </row>
    <row r="1190" spans="1:20" x14ac:dyDescent="0.2">
      <c r="A1190">
        <v>1</v>
      </c>
      <c r="B1190" t="s">
        <v>1208</v>
      </c>
      <c r="C1190">
        <v>28.178555555555501</v>
      </c>
      <c r="D1190">
        <v>994.014504305836</v>
      </c>
      <c r="E1190">
        <v>8.5937136065593407</v>
      </c>
      <c r="F1190">
        <v>28.571273545218499</v>
      </c>
      <c r="G1190">
        <v>100</v>
      </c>
      <c r="H1190">
        <v>664.77722167968705</v>
      </c>
      <c r="I1190">
        <v>8.5634565733424706E-2</v>
      </c>
      <c r="K1190" s="1" t="str">
        <f>TEXT(stand_validation_1cycle[[#This Row],[stand_age]], ".0")</f>
        <v>28.2</v>
      </c>
      <c r="L1190" s="1" t="str">
        <f t="shared" si="18"/>
        <v>"28.2"</v>
      </c>
      <c r="M1190">
        <v>100</v>
      </c>
      <c r="N1190">
        <f>0.029*stand_validation_1cycle[[#This Row],[stand_level_biomass]]</f>
        <v>28.826420624869247</v>
      </c>
      <c r="O1190">
        <f>0.213*stand_validation_1cycle[[#This Row],[stand_level_biomass]]</f>
        <v>211.72508941714307</v>
      </c>
      <c r="P1190">
        <f>0.571*stand_validation_1cycle[[#This Row],[stand_level_biomass]]</f>
        <v>567.58228195863228</v>
      </c>
      <c r="Q1190">
        <f>stand_validation_1cycle[[#This Row],[stock]]</f>
        <v>100</v>
      </c>
      <c r="R1190">
        <v>0</v>
      </c>
      <c r="S1190">
        <f>stand_validation_1cycle[[#This Row],[aws]]</f>
        <v>664.77722167968705</v>
      </c>
      <c r="T1190">
        <f>stand_validation_1cycle[[#This Row],[percent_tree_cover]]*100</f>
        <v>8.5634565733424708</v>
      </c>
    </row>
    <row r="1191" spans="1:20" x14ac:dyDescent="0.2">
      <c r="A1191">
        <v>1</v>
      </c>
      <c r="B1191" t="s">
        <v>1209</v>
      </c>
      <c r="C1191">
        <v>26.7565777777777</v>
      </c>
      <c r="D1191">
        <v>756.86515467716595</v>
      </c>
      <c r="E1191">
        <v>7.0513667574371901</v>
      </c>
      <c r="F1191">
        <v>27.062717507304299</v>
      </c>
      <c r="G1191">
        <v>100</v>
      </c>
      <c r="H1191">
        <v>696.07708740234295</v>
      </c>
      <c r="I1191">
        <v>7.0301581291220896E-2</v>
      </c>
      <c r="K1191" s="1" t="str">
        <f>TEXT(stand_validation_1cycle[[#This Row],[stand_age]], ".0")</f>
        <v>26.8</v>
      </c>
      <c r="L1191" s="1" t="str">
        <f t="shared" si="18"/>
        <v>"26.8"</v>
      </c>
      <c r="M1191">
        <v>100</v>
      </c>
      <c r="N1191">
        <f>0.029*stand_validation_1cycle[[#This Row],[stand_level_biomass]]</f>
        <v>21.949089485637813</v>
      </c>
      <c r="O1191">
        <f>0.213*stand_validation_1cycle[[#This Row],[stand_level_biomass]]</f>
        <v>161.21227794623636</v>
      </c>
      <c r="P1191">
        <f>0.571*stand_validation_1cycle[[#This Row],[stand_level_biomass]]</f>
        <v>432.17000332066169</v>
      </c>
      <c r="Q1191">
        <f>stand_validation_1cycle[[#This Row],[stock]]</f>
        <v>100</v>
      </c>
      <c r="R1191">
        <v>0</v>
      </c>
      <c r="S1191">
        <f>stand_validation_1cycle[[#This Row],[aws]]</f>
        <v>696.07708740234295</v>
      </c>
      <c r="T1191">
        <f>stand_validation_1cycle[[#This Row],[percent_tree_cover]]*100</f>
        <v>7.03015812912209</v>
      </c>
    </row>
    <row r="1192" spans="1:20" x14ac:dyDescent="0.2">
      <c r="A1192">
        <v>1</v>
      </c>
      <c r="B1192" t="s">
        <v>1210</v>
      </c>
      <c r="C1192">
        <v>31.248811111111099</v>
      </c>
      <c r="D1192">
        <v>1174.3554235907</v>
      </c>
      <c r="E1192">
        <v>9.9284027520755398</v>
      </c>
      <c r="F1192">
        <v>30.581290440194199</v>
      </c>
      <c r="G1192">
        <v>100</v>
      </c>
      <c r="H1192">
        <v>609.61834716796795</v>
      </c>
      <c r="I1192">
        <v>9.8894057740158595E-2</v>
      </c>
      <c r="K1192" s="1" t="str">
        <f>TEXT(stand_validation_1cycle[[#This Row],[stand_age]], ".0")</f>
        <v>31.2</v>
      </c>
      <c r="L1192" s="1" t="str">
        <f t="shared" si="18"/>
        <v>"31.2"</v>
      </c>
      <c r="M1192">
        <v>100</v>
      </c>
      <c r="N1192">
        <f>0.029*stand_validation_1cycle[[#This Row],[stand_level_biomass]]</f>
        <v>34.056307284130298</v>
      </c>
      <c r="O1192">
        <f>0.213*stand_validation_1cycle[[#This Row],[stand_level_biomass]]</f>
        <v>250.13770522481909</v>
      </c>
      <c r="P1192">
        <f>0.571*stand_validation_1cycle[[#This Row],[stand_level_biomass]]</f>
        <v>670.55694687028961</v>
      </c>
      <c r="Q1192">
        <f>stand_validation_1cycle[[#This Row],[stock]]</f>
        <v>100</v>
      </c>
      <c r="R1192">
        <v>0</v>
      </c>
      <c r="S1192">
        <f>stand_validation_1cycle[[#This Row],[aws]]</f>
        <v>609.61834716796795</v>
      </c>
      <c r="T1192">
        <f>stand_validation_1cycle[[#This Row],[percent_tree_cover]]*100</f>
        <v>9.8894057740158594</v>
      </c>
    </row>
    <row r="1193" spans="1:20" x14ac:dyDescent="0.2">
      <c r="A1193">
        <v>1</v>
      </c>
      <c r="B1193" t="s">
        <v>1211</v>
      </c>
      <c r="C1193">
        <v>25.802433333333301</v>
      </c>
      <c r="D1193">
        <v>719.33717252229997</v>
      </c>
      <c r="E1193">
        <v>6.6370660846523899</v>
      </c>
      <c r="F1193">
        <v>25.286452345028501</v>
      </c>
      <c r="G1193">
        <v>100</v>
      </c>
      <c r="H1193">
        <v>517</v>
      </c>
      <c r="I1193">
        <v>6.6152353828596799E-2</v>
      </c>
      <c r="K1193" s="1" t="str">
        <f>TEXT(stand_validation_1cycle[[#This Row],[stand_age]], ".0")</f>
        <v>25.8</v>
      </c>
      <c r="L1193" s="1" t="str">
        <f t="shared" si="18"/>
        <v>"25.8"</v>
      </c>
      <c r="M1193">
        <v>100</v>
      </c>
      <c r="N1193">
        <f>0.029*stand_validation_1cycle[[#This Row],[stand_level_biomass]]</f>
        <v>20.860778003146699</v>
      </c>
      <c r="O1193">
        <f>0.213*stand_validation_1cycle[[#This Row],[stand_level_biomass]]</f>
        <v>153.21881774724989</v>
      </c>
      <c r="P1193">
        <f>0.571*stand_validation_1cycle[[#This Row],[stand_level_biomass]]</f>
        <v>410.74152551023326</v>
      </c>
      <c r="Q1193">
        <f>stand_validation_1cycle[[#This Row],[stock]]</f>
        <v>100</v>
      </c>
      <c r="R1193">
        <v>0</v>
      </c>
      <c r="S1193">
        <f>stand_validation_1cycle[[#This Row],[aws]]</f>
        <v>517</v>
      </c>
      <c r="T1193">
        <f>stand_validation_1cycle[[#This Row],[percent_tree_cover]]*100</f>
        <v>6.6152353828596802</v>
      </c>
    </row>
    <row r="1194" spans="1:20" x14ac:dyDescent="0.2">
      <c r="A1194">
        <v>1</v>
      </c>
      <c r="B1194" t="s">
        <v>1212</v>
      </c>
      <c r="C1194">
        <v>28.436756453423101</v>
      </c>
      <c r="D1194">
        <v>1187.6550082824499</v>
      </c>
      <c r="E1194">
        <v>9.8305971187876509</v>
      </c>
      <c r="F1194">
        <v>29.5959524411948</v>
      </c>
      <c r="G1194">
        <v>99</v>
      </c>
      <c r="H1194">
        <v>621.066650390625</v>
      </c>
      <c r="I1194">
        <v>9.7467155172279593E-2</v>
      </c>
      <c r="K1194" s="1" t="str">
        <f>TEXT(stand_validation_1cycle[[#This Row],[stand_age]], ".0")</f>
        <v>28.4</v>
      </c>
      <c r="L1194" s="1" t="str">
        <f t="shared" si="18"/>
        <v>"28.4"</v>
      </c>
      <c r="M1194">
        <v>100</v>
      </c>
      <c r="N1194">
        <f>0.029*stand_validation_1cycle[[#This Row],[stand_level_biomass]]</f>
        <v>34.441995240191048</v>
      </c>
      <c r="O1194">
        <f>0.213*stand_validation_1cycle[[#This Row],[stand_level_biomass]]</f>
        <v>252.97051676416183</v>
      </c>
      <c r="P1194">
        <f>0.571*stand_validation_1cycle[[#This Row],[stand_level_biomass]]</f>
        <v>678.15100972927883</v>
      </c>
      <c r="Q1194">
        <f>stand_validation_1cycle[[#This Row],[stock]]</f>
        <v>99</v>
      </c>
      <c r="R1194">
        <v>0</v>
      </c>
      <c r="S1194">
        <f>stand_validation_1cycle[[#This Row],[aws]]</f>
        <v>621.066650390625</v>
      </c>
      <c r="T1194">
        <f>stand_validation_1cycle[[#This Row],[percent_tree_cover]]*100</f>
        <v>9.74671551722796</v>
      </c>
    </row>
    <row r="1195" spans="1:20" x14ac:dyDescent="0.2">
      <c r="A1195">
        <v>1</v>
      </c>
      <c r="B1195" t="s">
        <v>1213</v>
      </c>
      <c r="C1195">
        <v>26.513514739228999</v>
      </c>
      <c r="D1195">
        <v>922.95754441734096</v>
      </c>
      <c r="E1195">
        <v>3.9655695747733199</v>
      </c>
      <c r="F1195">
        <v>26.945405405556802</v>
      </c>
      <c r="G1195">
        <v>49</v>
      </c>
      <c r="H1195">
        <v>400</v>
      </c>
      <c r="I1195">
        <v>8.0372960742256305E-2</v>
      </c>
      <c r="K1195" s="1" t="str">
        <f>TEXT(stand_validation_1cycle[[#This Row],[stand_age]], ".0")</f>
        <v>26.5</v>
      </c>
      <c r="L1195" s="1" t="str">
        <f t="shared" si="18"/>
        <v>"26.5"</v>
      </c>
      <c r="M1195">
        <v>100</v>
      </c>
      <c r="N1195">
        <f>0.029*stand_validation_1cycle[[#This Row],[stand_level_biomass]]</f>
        <v>26.765768788102889</v>
      </c>
      <c r="O1195">
        <f>0.213*stand_validation_1cycle[[#This Row],[stand_level_biomass]]</f>
        <v>196.58995696089363</v>
      </c>
      <c r="P1195">
        <f>0.571*stand_validation_1cycle[[#This Row],[stand_level_biomass]]</f>
        <v>527.00875786230165</v>
      </c>
      <c r="Q1195">
        <f>stand_validation_1cycle[[#This Row],[stock]]</f>
        <v>49</v>
      </c>
      <c r="R1195">
        <v>0</v>
      </c>
      <c r="S1195">
        <f>stand_validation_1cycle[[#This Row],[aws]]</f>
        <v>400</v>
      </c>
      <c r="T1195">
        <f>stand_validation_1cycle[[#This Row],[percent_tree_cover]]*100</f>
        <v>8.0372960742256296</v>
      </c>
    </row>
    <row r="1196" spans="1:20" x14ac:dyDescent="0.2">
      <c r="A1196">
        <v>1</v>
      </c>
      <c r="B1196" t="s">
        <v>1214</v>
      </c>
      <c r="C1196">
        <v>34.335925925925899</v>
      </c>
      <c r="D1196">
        <v>650.66949272992304</v>
      </c>
      <c r="E1196">
        <v>0.59844826776762605</v>
      </c>
      <c r="F1196">
        <v>28.074606984730099</v>
      </c>
      <c r="G1196">
        <v>9</v>
      </c>
      <c r="H1196">
        <v>569.39825439453102</v>
      </c>
      <c r="I1196">
        <v>7.0751897960561097E-2</v>
      </c>
      <c r="K1196" s="1" t="str">
        <f>TEXT(stand_validation_1cycle[[#This Row],[stand_age]], ".0")</f>
        <v>34.3</v>
      </c>
      <c r="L1196" s="1" t="str">
        <f t="shared" si="18"/>
        <v>"34.3"</v>
      </c>
      <c r="M1196">
        <v>100</v>
      </c>
      <c r="N1196">
        <f>0.029*stand_validation_1cycle[[#This Row],[stand_level_biomass]]</f>
        <v>18.869415289167769</v>
      </c>
      <c r="O1196">
        <f>0.213*stand_validation_1cycle[[#This Row],[stand_level_biomass]]</f>
        <v>138.5926019514736</v>
      </c>
      <c r="P1196">
        <f>0.571*stand_validation_1cycle[[#This Row],[stand_level_biomass]]</f>
        <v>371.532280348786</v>
      </c>
      <c r="Q1196">
        <f>stand_validation_1cycle[[#This Row],[stock]]</f>
        <v>9</v>
      </c>
      <c r="R1196">
        <v>0</v>
      </c>
      <c r="S1196">
        <f>stand_validation_1cycle[[#This Row],[aws]]</f>
        <v>569.39825439453102</v>
      </c>
      <c r="T1196">
        <f>stand_validation_1cycle[[#This Row],[percent_tree_cover]]*100</f>
        <v>7.0751897960561099</v>
      </c>
    </row>
    <row r="1197" spans="1:20" x14ac:dyDescent="0.2">
      <c r="A1197">
        <v>1</v>
      </c>
      <c r="B1197" t="s">
        <v>1215</v>
      </c>
      <c r="C1197">
        <v>25.760787037037002</v>
      </c>
      <c r="D1197">
        <v>961.60988763600699</v>
      </c>
      <c r="E1197">
        <v>2.0163660566590398</v>
      </c>
      <c r="F1197">
        <v>28.285329050559501</v>
      </c>
      <c r="G1197">
        <v>24</v>
      </c>
      <c r="H1197">
        <v>644.63970947265602</v>
      </c>
      <c r="I1197">
        <v>7.8516534169098207E-2</v>
      </c>
      <c r="K1197" s="1" t="str">
        <f>TEXT(stand_validation_1cycle[[#This Row],[stand_age]], ".0")</f>
        <v>25.8</v>
      </c>
      <c r="L1197" s="1" t="str">
        <f t="shared" si="18"/>
        <v>"25.8"</v>
      </c>
      <c r="M1197">
        <v>100</v>
      </c>
      <c r="N1197">
        <f>0.029*stand_validation_1cycle[[#This Row],[stand_level_biomass]]</f>
        <v>27.886686741444205</v>
      </c>
      <c r="O1197">
        <f>0.213*stand_validation_1cycle[[#This Row],[stand_level_biomass]]</f>
        <v>204.82290606646947</v>
      </c>
      <c r="P1197">
        <f>0.571*stand_validation_1cycle[[#This Row],[stand_level_biomass]]</f>
        <v>549.07924584015996</v>
      </c>
      <c r="Q1197">
        <f>stand_validation_1cycle[[#This Row],[stock]]</f>
        <v>24</v>
      </c>
      <c r="R1197">
        <v>0</v>
      </c>
      <c r="S1197">
        <f>stand_validation_1cycle[[#This Row],[aws]]</f>
        <v>644.63970947265602</v>
      </c>
      <c r="T1197">
        <f>stand_validation_1cycle[[#This Row],[percent_tree_cover]]*100</f>
        <v>7.8516534169098211</v>
      </c>
    </row>
    <row r="1198" spans="1:20" x14ac:dyDescent="0.2">
      <c r="A1198">
        <v>1</v>
      </c>
      <c r="B1198" t="s">
        <v>1216</v>
      </c>
      <c r="C1198">
        <v>27.055758661887602</v>
      </c>
      <c r="D1198">
        <v>677.88217377924002</v>
      </c>
      <c r="E1198">
        <v>5.9036895540057301</v>
      </c>
      <c r="F1198">
        <v>25.235135895228801</v>
      </c>
      <c r="G1198">
        <v>93</v>
      </c>
      <c r="H1198">
        <v>566.52734375</v>
      </c>
      <c r="I1198">
        <v>6.3484042974742402E-2</v>
      </c>
      <c r="K1198" s="1" t="str">
        <f>TEXT(stand_validation_1cycle[[#This Row],[stand_age]], ".0")</f>
        <v>27.1</v>
      </c>
      <c r="L1198" s="1" t="str">
        <f t="shared" si="18"/>
        <v>"27.1"</v>
      </c>
      <c r="M1198">
        <v>100</v>
      </c>
      <c r="N1198">
        <f>0.029*stand_validation_1cycle[[#This Row],[stand_level_biomass]]</f>
        <v>19.658583039597961</v>
      </c>
      <c r="O1198">
        <f>0.213*stand_validation_1cycle[[#This Row],[stand_level_biomass]]</f>
        <v>144.38890301497813</v>
      </c>
      <c r="P1198">
        <f>0.571*stand_validation_1cycle[[#This Row],[stand_level_biomass]]</f>
        <v>387.07072122794602</v>
      </c>
      <c r="Q1198">
        <f>stand_validation_1cycle[[#This Row],[stock]]</f>
        <v>93</v>
      </c>
      <c r="R1198">
        <v>0</v>
      </c>
      <c r="S1198">
        <f>stand_validation_1cycle[[#This Row],[aws]]</f>
        <v>566.52734375</v>
      </c>
      <c r="T1198">
        <f>stand_validation_1cycle[[#This Row],[percent_tree_cover]]*100</f>
        <v>6.3484042974742403</v>
      </c>
    </row>
    <row r="1199" spans="1:20" x14ac:dyDescent="0.2">
      <c r="A1199">
        <v>1</v>
      </c>
      <c r="B1199" t="s">
        <v>1217</v>
      </c>
      <c r="C1199">
        <v>28.379955555555501</v>
      </c>
      <c r="D1199">
        <v>893.68802941083595</v>
      </c>
      <c r="E1199">
        <v>8.0049571521280392</v>
      </c>
      <c r="F1199">
        <v>28.252564078488501</v>
      </c>
      <c r="G1199">
        <v>100</v>
      </c>
      <c r="H1199">
        <v>566.43859863281205</v>
      </c>
      <c r="I1199">
        <v>7.9774031644323604E-2</v>
      </c>
      <c r="K1199" s="1" t="str">
        <f>TEXT(stand_validation_1cycle[[#This Row],[stand_age]], ".0")</f>
        <v>28.4</v>
      </c>
      <c r="L1199" s="1" t="str">
        <f t="shared" si="18"/>
        <v>"28.4"</v>
      </c>
      <c r="M1199">
        <v>100</v>
      </c>
      <c r="N1199">
        <f>0.029*stand_validation_1cycle[[#This Row],[stand_level_biomass]]</f>
        <v>25.916952852914243</v>
      </c>
      <c r="O1199">
        <f>0.213*stand_validation_1cycle[[#This Row],[stand_level_biomass]]</f>
        <v>190.35555026450805</v>
      </c>
      <c r="P1199">
        <f>0.571*stand_validation_1cycle[[#This Row],[stand_level_biomass]]</f>
        <v>510.29586479358727</v>
      </c>
      <c r="Q1199">
        <f>stand_validation_1cycle[[#This Row],[stock]]</f>
        <v>100</v>
      </c>
      <c r="R1199">
        <v>0</v>
      </c>
      <c r="S1199">
        <f>stand_validation_1cycle[[#This Row],[aws]]</f>
        <v>566.43859863281205</v>
      </c>
      <c r="T1199">
        <f>stand_validation_1cycle[[#This Row],[percent_tree_cover]]*100</f>
        <v>7.97740316443236</v>
      </c>
    </row>
    <row r="1200" spans="1:20" x14ac:dyDescent="0.2">
      <c r="A1200">
        <v>1</v>
      </c>
      <c r="B1200" t="s">
        <v>1218</v>
      </c>
      <c r="C1200">
        <v>28.995811111111099</v>
      </c>
      <c r="D1200">
        <v>1056.1587150457599</v>
      </c>
      <c r="E1200">
        <v>8.9882222456265399</v>
      </c>
      <c r="F1200">
        <v>28.414203735360001</v>
      </c>
      <c r="G1200">
        <v>100</v>
      </c>
      <c r="H1200">
        <v>606</v>
      </c>
      <c r="I1200">
        <v>8.9543019746237296E-2</v>
      </c>
      <c r="K1200" s="1" t="str">
        <f>TEXT(stand_validation_1cycle[[#This Row],[stand_age]], ".0")</f>
        <v>29.0</v>
      </c>
      <c r="L1200" s="1" t="str">
        <f t="shared" si="18"/>
        <v>"29.0"</v>
      </c>
      <c r="M1200">
        <v>100</v>
      </c>
      <c r="N1200">
        <f>0.029*stand_validation_1cycle[[#This Row],[stand_level_biomass]]</f>
        <v>30.628602736327039</v>
      </c>
      <c r="O1200">
        <f>0.213*stand_validation_1cycle[[#This Row],[stand_level_biomass]]</f>
        <v>224.96180630474686</v>
      </c>
      <c r="P1200">
        <f>0.571*stand_validation_1cycle[[#This Row],[stand_level_biomass]]</f>
        <v>603.06662629112884</v>
      </c>
      <c r="Q1200">
        <f>stand_validation_1cycle[[#This Row],[stock]]</f>
        <v>100</v>
      </c>
      <c r="R1200">
        <v>0</v>
      </c>
      <c r="S1200">
        <f>stand_validation_1cycle[[#This Row],[aws]]</f>
        <v>606</v>
      </c>
      <c r="T1200">
        <f>stand_validation_1cycle[[#This Row],[percent_tree_cover]]*100</f>
        <v>8.9543019746237302</v>
      </c>
    </row>
    <row r="1201" spans="1:20" x14ac:dyDescent="0.2">
      <c r="A1201">
        <v>1</v>
      </c>
      <c r="B1201" t="s">
        <v>1219</v>
      </c>
      <c r="C1201">
        <v>27.181666666666601</v>
      </c>
      <c r="D1201">
        <v>807.43491725897297</v>
      </c>
      <c r="E1201">
        <v>7.3389709254935402</v>
      </c>
      <c r="F1201">
        <v>27.000964802279999</v>
      </c>
      <c r="G1201">
        <v>100</v>
      </c>
      <c r="H1201">
        <v>609.05859375</v>
      </c>
      <c r="I1201">
        <v>7.3148055249520297E-2</v>
      </c>
      <c r="K1201" s="1" t="str">
        <f>TEXT(stand_validation_1cycle[[#This Row],[stand_age]], ".0")</f>
        <v>27.2</v>
      </c>
      <c r="L1201" s="1" t="str">
        <f t="shared" si="18"/>
        <v>"27.2"</v>
      </c>
      <c r="M1201">
        <v>100</v>
      </c>
      <c r="N1201">
        <f>0.029*stand_validation_1cycle[[#This Row],[stand_level_biomass]]</f>
        <v>23.415612600510219</v>
      </c>
      <c r="O1201">
        <f>0.213*stand_validation_1cycle[[#This Row],[stand_level_biomass]]</f>
        <v>171.98363737616123</v>
      </c>
      <c r="P1201">
        <f>0.571*stand_validation_1cycle[[#This Row],[stand_level_biomass]]</f>
        <v>461.04533775487351</v>
      </c>
      <c r="Q1201">
        <f>stand_validation_1cycle[[#This Row],[stock]]</f>
        <v>100</v>
      </c>
      <c r="R1201">
        <v>0</v>
      </c>
      <c r="S1201">
        <f>stand_validation_1cycle[[#This Row],[aws]]</f>
        <v>609.05859375</v>
      </c>
      <c r="T1201">
        <f>stand_validation_1cycle[[#This Row],[percent_tree_cover]]*100</f>
        <v>7.3148055249520301</v>
      </c>
    </row>
    <row r="1202" spans="1:20" x14ac:dyDescent="0.2">
      <c r="A1202">
        <v>1</v>
      </c>
      <c r="B1202" t="s">
        <v>1220</v>
      </c>
      <c r="C1202">
        <v>26.8995464852607</v>
      </c>
      <c r="D1202">
        <v>924.09839186071099</v>
      </c>
      <c r="E1202">
        <v>7.8296130851587398</v>
      </c>
      <c r="F1202">
        <v>26.3394723052565</v>
      </c>
      <c r="G1202">
        <v>98</v>
      </c>
      <c r="H1202">
        <v>566.43859863281205</v>
      </c>
      <c r="I1202">
        <v>7.7501760141340401E-2</v>
      </c>
      <c r="K1202" s="1" t="str">
        <f>TEXT(stand_validation_1cycle[[#This Row],[stand_age]], ".0")</f>
        <v>26.9</v>
      </c>
      <c r="L1202" s="1" t="str">
        <f t="shared" si="18"/>
        <v>"26.9"</v>
      </c>
      <c r="M1202">
        <v>100</v>
      </c>
      <c r="N1202">
        <f>0.029*stand_validation_1cycle[[#This Row],[stand_level_biomass]]</f>
        <v>26.798853363960621</v>
      </c>
      <c r="O1202">
        <f>0.213*stand_validation_1cycle[[#This Row],[stand_level_biomass]]</f>
        <v>196.83295746633144</v>
      </c>
      <c r="P1202">
        <f>0.571*stand_validation_1cycle[[#This Row],[stand_level_biomass]]</f>
        <v>527.66018175246597</v>
      </c>
      <c r="Q1202">
        <f>stand_validation_1cycle[[#This Row],[stock]]</f>
        <v>98</v>
      </c>
      <c r="R1202">
        <v>0</v>
      </c>
      <c r="S1202">
        <f>stand_validation_1cycle[[#This Row],[aws]]</f>
        <v>566.43859863281205</v>
      </c>
      <c r="T1202">
        <f>stand_validation_1cycle[[#This Row],[percent_tree_cover]]*100</f>
        <v>7.7501760141340403</v>
      </c>
    </row>
    <row r="1203" spans="1:20" x14ac:dyDescent="0.2">
      <c r="A1203">
        <v>1</v>
      </c>
      <c r="B1203" t="s">
        <v>1221</v>
      </c>
      <c r="C1203">
        <v>26.6676879910213</v>
      </c>
      <c r="D1203">
        <v>774.87652451990505</v>
      </c>
      <c r="E1203">
        <v>7.0235039721925103</v>
      </c>
      <c r="F1203">
        <v>24.956054989711401</v>
      </c>
      <c r="G1203">
        <v>99</v>
      </c>
      <c r="H1203">
        <v>566.43859863281205</v>
      </c>
      <c r="I1203">
        <v>6.7995613113676703E-2</v>
      </c>
      <c r="K1203" s="1" t="str">
        <f>TEXT(stand_validation_1cycle[[#This Row],[stand_age]], ".0")</f>
        <v>26.7</v>
      </c>
      <c r="L1203" s="1" t="str">
        <f t="shared" si="18"/>
        <v>"26.7"</v>
      </c>
      <c r="M1203">
        <v>100</v>
      </c>
      <c r="N1203">
        <f>0.029*stand_validation_1cycle[[#This Row],[stand_level_biomass]]</f>
        <v>22.471419211077247</v>
      </c>
      <c r="O1203">
        <f>0.213*stand_validation_1cycle[[#This Row],[stand_level_biomass]]</f>
        <v>165.04869972273977</v>
      </c>
      <c r="P1203">
        <f>0.571*stand_validation_1cycle[[#This Row],[stand_level_biomass]]</f>
        <v>442.45449550086573</v>
      </c>
      <c r="Q1203">
        <f>stand_validation_1cycle[[#This Row],[stock]]</f>
        <v>99</v>
      </c>
      <c r="R1203">
        <v>0</v>
      </c>
      <c r="S1203">
        <f>stand_validation_1cycle[[#This Row],[aws]]</f>
        <v>566.43859863281205</v>
      </c>
      <c r="T1203">
        <f>stand_validation_1cycle[[#This Row],[percent_tree_cover]]*100</f>
        <v>6.7995613113676701</v>
      </c>
    </row>
    <row r="1204" spans="1:20" x14ac:dyDescent="0.2">
      <c r="A1204">
        <v>1</v>
      </c>
      <c r="B1204" t="s">
        <v>1222</v>
      </c>
      <c r="C1204">
        <v>27.555433333333301</v>
      </c>
      <c r="D1204">
        <v>930.16931332551997</v>
      </c>
      <c r="E1204">
        <v>8.1225249740033298</v>
      </c>
      <c r="F1204">
        <v>27.5167611450285</v>
      </c>
      <c r="G1204">
        <v>100</v>
      </c>
      <c r="H1204">
        <v>566.43859863281205</v>
      </c>
      <c r="I1204">
        <v>8.0933342683185999E-2</v>
      </c>
      <c r="K1204" s="1" t="str">
        <f>TEXT(stand_validation_1cycle[[#This Row],[stand_age]], ".0")</f>
        <v>27.6</v>
      </c>
      <c r="L1204" s="1" t="str">
        <f t="shared" si="18"/>
        <v>"27.6"</v>
      </c>
      <c r="M1204">
        <v>100</v>
      </c>
      <c r="N1204">
        <f>0.029*stand_validation_1cycle[[#This Row],[stand_level_biomass]]</f>
        <v>26.974910086440079</v>
      </c>
      <c r="O1204">
        <f>0.213*stand_validation_1cycle[[#This Row],[stand_level_biomass]]</f>
        <v>198.12606373833574</v>
      </c>
      <c r="P1204">
        <f>0.571*stand_validation_1cycle[[#This Row],[stand_level_biomass]]</f>
        <v>531.1266779088719</v>
      </c>
      <c r="Q1204">
        <f>stand_validation_1cycle[[#This Row],[stock]]</f>
        <v>100</v>
      </c>
      <c r="R1204">
        <v>0</v>
      </c>
      <c r="S1204">
        <f>stand_validation_1cycle[[#This Row],[aws]]</f>
        <v>566.43859863281205</v>
      </c>
      <c r="T1204">
        <f>stand_validation_1cycle[[#This Row],[percent_tree_cover]]*100</f>
        <v>8.0933342683185998</v>
      </c>
    </row>
    <row r="1205" spans="1:20" x14ac:dyDescent="0.2">
      <c r="A1205">
        <v>1</v>
      </c>
      <c r="B1205" t="s">
        <v>1223</v>
      </c>
      <c r="C1205">
        <v>25.516177777777699</v>
      </c>
      <c r="D1205">
        <v>645.78185771955395</v>
      </c>
      <c r="E1205">
        <v>6.1076016937704498</v>
      </c>
      <c r="F1205">
        <v>24.526126935360001</v>
      </c>
      <c r="G1205">
        <v>100</v>
      </c>
      <c r="H1205">
        <v>566.86993408203102</v>
      </c>
      <c r="I1205">
        <v>6.0875812947032197E-2</v>
      </c>
      <c r="K1205" s="1" t="str">
        <f>TEXT(stand_validation_1cycle[[#This Row],[stand_age]], ".0")</f>
        <v>25.5</v>
      </c>
      <c r="L1205" s="1" t="str">
        <f t="shared" si="18"/>
        <v>"25.5"</v>
      </c>
      <c r="M1205">
        <v>100</v>
      </c>
      <c r="N1205">
        <f>0.029*stand_validation_1cycle[[#This Row],[stand_level_biomass]]</f>
        <v>18.727673873867065</v>
      </c>
      <c r="O1205">
        <f>0.213*stand_validation_1cycle[[#This Row],[stand_level_biomass]]</f>
        <v>137.551535694265</v>
      </c>
      <c r="P1205">
        <f>0.571*stand_validation_1cycle[[#This Row],[stand_level_biomass]]</f>
        <v>368.74144075786529</v>
      </c>
      <c r="Q1205">
        <f>stand_validation_1cycle[[#This Row],[stock]]</f>
        <v>100</v>
      </c>
      <c r="R1205">
        <v>0</v>
      </c>
      <c r="S1205">
        <f>stand_validation_1cycle[[#This Row],[aws]]</f>
        <v>566.86993408203102</v>
      </c>
      <c r="T1205">
        <f>stand_validation_1cycle[[#This Row],[percent_tree_cover]]*100</f>
        <v>6.0875812947032193</v>
      </c>
    </row>
    <row r="1206" spans="1:20" x14ac:dyDescent="0.2">
      <c r="A1206">
        <v>1</v>
      </c>
      <c r="B1206" t="s">
        <v>1224</v>
      </c>
      <c r="C1206">
        <v>26.588855555555501</v>
      </c>
      <c r="D1206">
        <v>729.45884802728403</v>
      </c>
      <c r="E1206">
        <v>6.7859021782088602</v>
      </c>
      <c r="F1206">
        <v>26.139504002279899</v>
      </c>
      <c r="G1206">
        <v>100</v>
      </c>
      <c r="H1206">
        <v>574.38543701171795</v>
      </c>
      <c r="I1206">
        <v>6.7633856673511197E-2</v>
      </c>
      <c r="K1206" s="1" t="str">
        <f>TEXT(stand_validation_1cycle[[#This Row],[stand_age]], ".0")</f>
        <v>26.6</v>
      </c>
      <c r="L1206" s="1" t="str">
        <f t="shared" si="18"/>
        <v>"26.6"</v>
      </c>
      <c r="M1206">
        <v>100</v>
      </c>
      <c r="N1206">
        <f>0.029*stand_validation_1cycle[[#This Row],[stand_level_biomass]]</f>
        <v>21.154306592791237</v>
      </c>
      <c r="O1206">
        <f>0.213*stand_validation_1cycle[[#This Row],[stand_level_biomass]]</f>
        <v>155.37473462981148</v>
      </c>
      <c r="P1206">
        <f>0.571*stand_validation_1cycle[[#This Row],[stand_level_biomass]]</f>
        <v>416.52100222357916</v>
      </c>
      <c r="Q1206">
        <f>stand_validation_1cycle[[#This Row],[stock]]</f>
        <v>100</v>
      </c>
      <c r="R1206">
        <v>0</v>
      </c>
      <c r="S1206">
        <f>stand_validation_1cycle[[#This Row],[aws]]</f>
        <v>574.38543701171795</v>
      </c>
      <c r="T1206">
        <f>stand_validation_1cycle[[#This Row],[percent_tree_cover]]*100</f>
        <v>6.7633856673511197</v>
      </c>
    </row>
    <row r="1207" spans="1:20" x14ac:dyDescent="0.2">
      <c r="A1207">
        <v>1</v>
      </c>
      <c r="B1207" t="s">
        <v>1225</v>
      </c>
      <c r="C1207">
        <v>29.2202356902357</v>
      </c>
      <c r="D1207">
        <v>979.72014788262504</v>
      </c>
      <c r="E1207">
        <v>8.5706833762140402</v>
      </c>
      <c r="F1207">
        <v>29.318899858112498</v>
      </c>
      <c r="G1207">
        <v>99</v>
      </c>
      <c r="H1207">
        <v>566.659423828125</v>
      </c>
      <c r="I1207">
        <v>8.5189192031523198E-2</v>
      </c>
      <c r="K1207" s="1" t="str">
        <f>TEXT(stand_validation_1cycle[[#This Row],[stand_age]], ".0")</f>
        <v>29.2</v>
      </c>
      <c r="L1207" s="1" t="str">
        <f t="shared" si="18"/>
        <v>"29.2"</v>
      </c>
      <c r="M1207">
        <v>100</v>
      </c>
      <c r="N1207">
        <f>0.029*stand_validation_1cycle[[#This Row],[stand_level_biomass]]</f>
        <v>28.411884288596127</v>
      </c>
      <c r="O1207">
        <f>0.213*stand_validation_1cycle[[#This Row],[stand_level_biomass]]</f>
        <v>208.68039149899914</v>
      </c>
      <c r="P1207">
        <f>0.571*stand_validation_1cycle[[#This Row],[stand_level_biomass]]</f>
        <v>559.42020444097886</v>
      </c>
      <c r="Q1207">
        <f>stand_validation_1cycle[[#This Row],[stock]]</f>
        <v>99</v>
      </c>
      <c r="R1207">
        <v>0</v>
      </c>
      <c r="S1207">
        <f>stand_validation_1cycle[[#This Row],[aws]]</f>
        <v>566.659423828125</v>
      </c>
      <c r="T1207">
        <f>stand_validation_1cycle[[#This Row],[percent_tree_cover]]*100</f>
        <v>8.5189192031523202</v>
      </c>
    </row>
    <row r="1208" spans="1:20" x14ac:dyDescent="0.2">
      <c r="A1208">
        <v>1</v>
      </c>
      <c r="B1208" t="s">
        <v>1226</v>
      </c>
      <c r="C1208">
        <v>26.493367346938701</v>
      </c>
      <c r="D1208">
        <v>722.64022347925902</v>
      </c>
      <c r="E1208">
        <v>6.6382371133140099</v>
      </c>
      <c r="F1208">
        <v>25.625423267438698</v>
      </c>
      <c r="G1208">
        <v>98</v>
      </c>
      <c r="H1208">
        <v>566.51373291015602</v>
      </c>
      <c r="I1208">
        <v>6.5295001889267498E-2</v>
      </c>
      <c r="K1208" s="1" t="str">
        <f>TEXT(stand_validation_1cycle[[#This Row],[stand_age]], ".0")</f>
        <v>26.5</v>
      </c>
      <c r="L1208" s="1" t="str">
        <f t="shared" si="18"/>
        <v>"26.5"</v>
      </c>
      <c r="M1208">
        <v>100</v>
      </c>
      <c r="N1208">
        <f>0.029*stand_validation_1cycle[[#This Row],[stand_level_biomass]]</f>
        <v>20.956566480898513</v>
      </c>
      <c r="O1208">
        <f>0.213*stand_validation_1cycle[[#This Row],[stand_level_biomass]]</f>
        <v>153.92236760108216</v>
      </c>
      <c r="P1208">
        <f>0.571*stand_validation_1cycle[[#This Row],[stand_level_biomass]]</f>
        <v>412.62756760665684</v>
      </c>
      <c r="Q1208">
        <f>stand_validation_1cycle[[#This Row],[stock]]</f>
        <v>98</v>
      </c>
      <c r="R1208">
        <v>0</v>
      </c>
      <c r="S1208">
        <f>stand_validation_1cycle[[#This Row],[aws]]</f>
        <v>566.51373291015602</v>
      </c>
      <c r="T1208">
        <f>stand_validation_1cycle[[#This Row],[percent_tree_cover]]*100</f>
        <v>6.5295001889267494</v>
      </c>
    </row>
    <row r="1209" spans="1:20" x14ac:dyDescent="0.2">
      <c r="A1209">
        <v>1</v>
      </c>
      <c r="B1209" t="s">
        <v>1227</v>
      </c>
      <c r="C1209">
        <v>25.1080222222222</v>
      </c>
      <c r="D1209">
        <v>628.39906384830499</v>
      </c>
      <c r="E1209">
        <v>6.0143034605423003</v>
      </c>
      <c r="F1209">
        <v>24.6168796974457</v>
      </c>
      <c r="G1209">
        <v>100</v>
      </c>
      <c r="H1209">
        <v>524</v>
      </c>
      <c r="I1209">
        <v>5.9956876880516201E-2</v>
      </c>
      <c r="K1209" s="1" t="str">
        <f>TEXT(stand_validation_1cycle[[#This Row],[stand_age]], ".0")</f>
        <v>25.1</v>
      </c>
      <c r="L1209" s="1" t="str">
        <f t="shared" si="18"/>
        <v>"25.1"</v>
      </c>
      <c r="M1209">
        <v>100</v>
      </c>
      <c r="N1209">
        <f>0.029*stand_validation_1cycle[[#This Row],[stand_level_biomass]]</f>
        <v>18.223572851600846</v>
      </c>
      <c r="O1209">
        <f>0.213*stand_validation_1cycle[[#This Row],[stand_level_biomass]]</f>
        <v>133.84900059968896</v>
      </c>
      <c r="P1209">
        <f>0.571*stand_validation_1cycle[[#This Row],[stand_level_biomass]]</f>
        <v>358.81586545738213</v>
      </c>
      <c r="Q1209">
        <f>stand_validation_1cycle[[#This Row],[stock]]</f>
        <v>100</v>
      </c>
      <c r="R1209">
        <v>0</v>
      </c>
      <c r="S1209">
        <f>stand_validation_1cycle[[#This Row],[aws]]</f>
        <v>524</v>
      </c>
      <c r="T1209">
        <f>stand_validation_1cycle[[#This Row],[percent_tree_cover]]*100</f>
        <v>5.9956876880516203</v>
      </c>
    </row>
    <row r="1210" spans="1:20" x14ac:dyDescent="0.2">
      <c r="A1210">
        <v>1</v>
      </c>
      <c r="B1210" t="s">
        <v>1228</v>
      </c>
      <c r="C1210">
        <v>25.323451536642999</v>
      </c>
      <c r="D1210">
        <v>717.16558744805502</v>
      </c>
      <c r="E1210">
        <v>3.1002485088703802</v>
      </c>
      <c r="F1210">
        <v>24.585816739744601</v>
      </c>
      <c r="G1210">
        <v>47</v>
      </c>
      <c r="H1210">
        <v>400</v>
      </c>
      <c r="I1210">
        <v>6.2959496705945694E-2</v>
      </c>
      <c r="K1210" s="1" t="str">
        <f>TEXT(stand_validation_1cycle[[#This Row],[stand_age]], ".0")</f>
        <v>25.3</v>
      </c>
      <c r="L1210" s="1" t="str">
        <f t="shared" si="18"/>
        <v>"25.3"</v>
      </c>
      <c r="M1210">
        <v>100</v>
      </c>
      <c r="N1210">
        <f>0.029*stand_validation_1cycle[[#This Row],[stand_level_biomass]]</f>
        <v>20.797802035993598</v>
      </c>
      <c r="O1210">
        <f>0.213*stand_validation_1cycle[[#This Row],[stand_level_biomass]]</f>
        <v>152.75627012643571</v>
      </c>
      <c r="P1210">
        <f>0.571*stand_validation_1cycle[[#This Row],[stand_level_biomass]]</f>
        <v>409.50155043283939</v>
      </c>
      <c r="Q1210">
        <f>stand_validation_1cycle[[#This Row],[stock]]</f>
        <v>47</v>
      </c>
      <c r="R1210">
        <v>0</v>
      </c>
      <c r="S1210">
        <f>stand_validation_1cycle[[#This Row],[aws]]</f>
        <v>400</v>
      </c>
      <c r="T1210">
        <f>stand_validation_1cycle[[#This Row],[percent_tree_cover]]*100</f>
        <v>6.2959496705945694</v>
      </c>
    </row>
    <row r="1211" spans="1:20" x14ac:dyDescent="0.2">
      <c r="A1211">
        <v>1</v>
      </c>
      <c r="B1211" t="s">
        <v>1229</v>
      </c>
      <c r="C1211">
        <v>31.585555555555501</v>
      </c>
      <c r="D1211">
        <v>1026.2481310952901</v>
      </c>
      <c r="E1211">
        <v>0.81206164564662797</v>
      </c>
      <c r="F1211">
        <v>30.589519578730101</v>
      </c>
      <c r="G1211">
        <v>9</v>
      </c>
      <c r="H1211">
        <v>621.066650390625</v>
      </c>
      <c r="I1211">
        <v>9.8170404278997703E-2</v>
      </c>
      <c r="K1211" s="1" t="str">
        <f>TEXT(stand_validation_1cycle[[#This Row],[stand_age]], ".0")</f>
        <v>31.6</v>
      </c>
      <c r="L1211" s="1" t="str">
        <f t="shared" si="18"/>
        <v>"31.6"</v>
      </c>
      <c r="M1211">
        <v>100</v>
      </c>
      <c r="N1211">
        <f>0.029*stand_validation_1cycle[[#This Row],[stand_level_biomass]]</f>
        <v>29.761195801763414</v>
      </c>
      <c r="O1211">
        <f>0.213*stand_validation_1cycle[[#This Row],[stand_level_biomass]]</f>
        <v>218.59085192329678</v>
      </c>
      <c r="P1211">
        <f>0.571*stand_validation_1cycle[[#This Row],[stand_level_biomass]]</f>
        <v>585.98768285541064</v>
      </c>
      <c r="Q1211">
        <f>stand_validation_1cycle[[#This Row],[stock]]</f>
        <v>9</v>
      </c>
      <c r="R1211">
        <v>0</v>
      </c>
      <c r="S1211">
        <f>stand_validation_1cycle[[#This Row],[aws]]</f>
        <v>621.066650390625</v>
      </c>
      <c r="T1211">
        <f>stand_validation_1cycle[[#This Row],[percent_tree_cover]]*100</f>
        <v>9.8170404278997694</v>
      </c>
    </row>
    <row r="1212" spans="1:20" x14ac:dyDescent="0.2">
      <c r="A1212">
        <v>1</v>
      </c>
      <c r="B1212" t="s">
        <v>1230</v>
      </c>
      <c r="C1212">
        <v>26.624333333333301</v>
      </c>
      <c r="D1212">
        <v>714.86152518101301</v>
      </c>
      <c r="E1212">
        <v>5.9606890403161401</v>
      </c>
      <c r="F1212">
        <v>25.6175440655126</v>
      </c>
      <c r="G1212">
        <v>90</v>
      </c>
      <c r="H1212">
        <v>576.69854736328102</v>
      </c>
      <c r="I1212">
        <v>6.6148336903249005E-2</v>
      </c>
      <c r="K1212" s="1" t="str">
        <f>TEXT(stand_validation_1cycle[[#This Row],[stand_age]], ".0")</f>
        <v>26.6</v>
      </c>
      <c r="L1212" s="1" t="str">
        <f t="shared" si="18"/>
        <v>"26.6"</v>
      </c>
      <c r="M1212">
        <v>100</v>
      </c>
      <c r="N1212">
        <f>0.029*stand_validation_1cycle[[#This Row],[stand_level_biomass]]</f>
        <v>20.73098423024938</v>
      </c>
      <c r="O1212">
        <f>0.213*stand_validation_1cycle[[#This Row],[stand_level_biomass]]</f>
        <v>152.26550486355578</v>
      </c>
      <c r="P1212">
        <f>0.571*stand_validation_1cycle[[#This Row],[stand_level_biomass]]</f>
        <v>408.18593087835842</v>
      </c>
      <c r="Q1212">
        <f>stand_validation_1cycle[[#This Row],[stock]]</f>
        <v>90</v>
      </c>
      <c r="R1212">
        <v>0</v>
      </c>
      <c r="S1212">
        <f>stand_validation_1cycle[[#This Row],[aws]]</f>
        <v>576.69854736328102</v>
      </c>
      <c r="T1212">
        <f>stand_validation_1cycle[[#This Row],[percent_tree_cover]]*100</f>
        <v>6.6148336903249003</v>
      </c>
    </row>
    <row r="1213" spans="1:20" x14ac:dyDescent="0.2">
      <c r="A1213">
        <v>1</v>
      </c>
      <c r="B1213" t="s">
        <v>1231</v>
      </c>
      <c r="C1213">
        <v>28.179877777777701</v>
      </c>
      <c r="D1213">
        <v>892.63980756115598</v>
      </c>
      <c r="E1213">
        <v>7.9162605667392398</v>
      </c>
      <c r="F1213">
        <v>27.5840349545071</v>
      </c>
      <c r="G1213">
        <v>100</v>
      </c>
      <c r="H1213">
        <v>566.43859863281205</v>
      </c>
      <c r="I1213">
        <v>7.8869864249289198E-2</v>
      </c>
      <c r="K1213" s="1" t="str">
        <f>TEXT(stand_validation_1cycle[[#This Row],[stand_age]], ".0")</f>
        <v>28.2</v>
      </c>
      <c r="L1213" s="1" t="str">
        <f t="shared" si="18"/>
        <v>"28.2"</v>
      </c>
      <c r="M1213">
        <v>100</v>
      </c>
      <c r="N1213">
        <f>0.029*stand_validation_1cycle[[#This Row],[stand_level_biomass]]</f>
        <v>25.886554419273523</v>
      </c>
      <c r="O1213">
        <f>0.213*stand_validation_1cycle[[#This Row],[stand_level_biomass]]</f>
        <v>190.13227901052622</v>
      </c>
      <c r="P1213">
        <f>0.571*stand_validation_1cycle[[#This Row],[stand_level_biomass]]</f>
        <v>509.69733011741999</v>
      </c>
      <c r="Q1213">
        <f>stand_validation_1cycle[[#This Row],[stock]]</f>
        <v>100</v>
      </c>
      <c r="R1213">
        <v>0</v>
      </c>
      <c r="S1213">
        <f>stand_validation_1cycle[[#This Row],[aws]]</f>
        <v>566.43859863281205</v>
      </c>
      <c r="T1213">
        <f>stand_validation_1cycle[[#This Row],[percent_tree_cover]]*100</f>
        <v>7.8869864249289199</v>
      </c>
    </row>
    <row r="1214" spans="1:20" x14ac:dyDescent="0.2">
      <c r="A1214">
        <v>1</v>
      </c>
      <c r="B1214" t="s">
        <v>1232</v>
      </c>
      <c r="C1214">
        <v>27.205555555555499</v>
      </c>
      <c r="D1214">
        <v>667.25556743129403</v>
      </c>
      <c r="E1214">
        <v>6.2730929407799199</v>
      </c>
      <c r="F1214">
        <v>24.976604687397099</v>
      </c>
      <c r="G1214">
        <v>100</v>
      </c>
      <c r="H1214">
        <v>561</v>
      </c>
      <c r="I1214">
        <v>6.2504851437699502E-2</v>
      </c>
      <c r="K1214" s="1" t="str">
        <f>TEXT(stand_validation_1cycle[[#This Row],[stand_age]], ".0")</f>
        <v>27.2</v>
      </c>
      <c r="L1214" s="1" t="str">
        <f t="shared" si="18"/>
        <v>"27.2"</v>
      </c>
      <c r="M1214">
        <v>100</v>
      </c>
      <c r="N1214">
        <f>0.029*stand_validation_1cycle[[#This Row],[stand_level_biomass]]</f>
        <v>19.350411455507526</v>
      </c>
      <c r="O1214">
        <f>0.213*stand_validation_1cycle[[#This Row],[stand_level_biomass]]</f>
        <v>142.12543586286563</v>
      </c>
      <c r="P1214">
        <f>0.571*stand_validation_1cycle[[#This Row],[stand_level_biomass]]</f>
        <v>381.00292900326883</v>
      </c>
      <c r="Q1214">
        <f>stand_validation_1cycle[[#This Row],[stock]]</f>
        <v>100</v>
      </c>
      <c r="R1214">
        <v>0</v>
      </c>
      <c r="S1214">
        <f>stand_validation_1cycle[[#This Row],[aws]]</f>
        <v>561</v>
      </c>
      <c r="T1214">
        <f>stand_validation_1cycle[[#This Row],[percent_tree_cover]]*100</f>
        <v>6.25048514376995</v>
      </c>
    </row>
    <row r="1215" spans="1:20" x14ac:dyDescent="0.2">
      <c r="A1215">
        <v>1</v>
      </c>
      <c r="B1215" t="s">
        <v>1233</v>
      </c>
      <c r="C1215">
        <v>28.811380471380399</v>
      </c>
      <c r="D1215">
        <v>1026.28415435134</v>
      </c>
      <c r="E1215">
        <v>8.7779444537474802</v>
      </c>
      <c r="F1215">
        <v>28.742467881090899</v>
      </c>
      <c r="G1215">
        <v>99</v>
      </c>
      <c r="H1215">
        <v>609.05859375</v>
      </c>
      <c r="I1215">
        <v>8.7141500495794E-2</v>
      </c>
      <c r="K1215" s="1" t="str">
        <f>TEXT(stand_validation_1cycle[[#This Row],[stand_age]], ".0")</f>
        <v>28.8</v>
      </c>
      <c r="L1215" s="1" t="str">
        <f t="shared" si="18"/>
        <v>"28.8"</v>
      </c>
      <c r="M1215">
        <v>100</v>
      </c>
      <c r="N1215">
        <f>0.029*stand_validation_1cycle[[#This Row],[stand_level_biomass]]</f>
        <v>29.762240476188861</v>
      </c>
      <c r="O1215">
        <f>0.213*stand_validation_1cycle[[#This Row],[stand_level_biomass]]</f>
        <v>218.59852487683543</v>
      </c>
      <c r="P1215">
        <f>0.571*stand_validation_1cycle[[#This Row],[stand_level_biomass]]</f>
        <v>586.00825213461508</v>
      </c>
      <c r="Q1215">
        <f>stand_validation_1cycle[[#This Row],[stock]]</f>
        <v>99</v>
      </c>
      <c r="R1215">
        <v>0</v>
      </c>
      <c r="S1215">
        <f>stand_validation_1cycle[[#This Row],[aws]]</f>
        <v>609.05859375</v>
      </c>
      <c r="T1215">
        <f>stand_validation_1cycle[[#This Row],[percent_tree_cover]]*100</f>
        <v>8.7141500495794002</v>
      </c>
    </row>
    <row r="1216" spans="1:20" x14ac:dyDescent="0.2">
      <c r="A1216">
        <v>1</v>
      </c>
      <c r="B1216" t="s">
        <v>1234</v>
      </c>
      <c r="C1216">
        <v>27.537283950617201</v>
      </c>
      <c r="D1216">
        <v>787.62528810615095</v>
      </c>
      <c r="E1216">
        <v>7.1023453814269901</v>
      </c>
      <c r="F1216">
        <v>26.440299588304399</v>
      </c>
      <c r="G1216">
        <v>99</v>
      </c>
      <c r="H1216">
        <v>566.43859863281205</v>
      </c>
      <c r="I1216">
        <v>7.04699572786259E-2</v>
      </c>
      <c r="K1216" s="1" t="str">
        <f>TEXT(stand_validation_1cycle[[#This Row],[stand_age]], ".0")</f>
        <v>27.5</v>
      </c>
      <c r="L1216" s="1" t="str">
        <f t="shared" si="18"/>
        <v>"27.5"</v>
      </c>
      <c r="M1216">
        <v>100</v>
      </c>
      <c r="N1216">
        <f>0.029*stand_validation_1cycle[[#This Row],[stand_level_biomass]]</f>
        <v>22.84113335507838</v>
      </c>
      <c r="O1216">
        <f>0.213*stand_validation_1cycle[[#This Row],[stand_level_biomass]]</f>
        <v>167.76418636661015</v>
      </c>
      <c r="P1216">
        <f>0.571*stand_validation_1cycle[[#This Row],[stand_level_biomass]]</f>
        <v>449.73403950861217</v>
      </c>
      <c r="Q1216">
        <f>stand_validation_1cycle[[#This Row],[stock]]</f>
        <v>99</v>
      </c>
      <c r="R1216">
        <v>0</v>
      </c>
      <c r="S1216">
        <f>stand_validation_1cycle[[#This Row],[aws]]</f>
        <v>566.43859863281205</v>
      </c>
      <c r="T1216">
        <f>stand_validation_1cycle[[#This Row],[percent_tree_cover]]*100</f>
        <v>7.0469957278625897</v>
      </c>
    </row>
    <row r="1217" spans="1:20" x14ac:dyDescent="0.2">
      <c r="A1217">
        <v>1</v>
      </c>
      <c r="B1217" t="s">
        <v>1235</v>
      </c>
      <c r="C1217">
        <v>26.883966666666598</v>
      </c>
      <c r="D1217">
        <v>774.06867592208096</v>
      </c>
      <c r="E1217">
        <v>7.06370065019519</v>
      </c>
      <c r="F1217">
        <v>26.342973221237099</v>
      </c>
      <c r="G1217">
        <v>100</v>
      </c>
      <c r="H1217">
        <v>566.43859863281205</v>
      </c>
      <c r="I1217">
        <v>7.0404229899285395E-2</v>
      </c>
      <c r="K1217" s="1" t="str">
        <f>TEXT(stand_validation_1cycle[[#This Row],[stand_age]], ".0")</f>
        <v>26.9</v>
      </c>
      <c r="L1217" s="1" t="str">
        <f t="shared" si="18"/>
        <v>"26.9"</v>
      </c>
      <c r="M1217">
        <v>100</v>
      </c>
      <c r="N1217">
        <f>0.029*stand_validation_1cycle[[#This Row],[stand_level_biomass]]</f>
        <v>22.447991601740348</v>
      </c>
      <c r="O1217">
        <f>0.213*stand_validation_1cycle[[#This Row],[stand_level_biomass]]</f>
        <v>164.87662797140325</v>
      </c>
      <c r="P1217">
        <f>0.571*stand_validation_1cycle[[#This Row],[stand_level_biomass]]</f>
        <v>441.99321395150821</v>
      </c>
      <c r="Q1217">
        <f>stand_validation_1cycle[[#This Row],[stock]]</f>
        <v>100</v>
      </c>
      <c r="R1217">
        <v>0</v>
      </c>
      <c r="S1217">
        <f>stand_validation_1cycle[[#This Row],[aws]]</f>
        <v>566.43859863281205</v>
      </c>
      <c r="T1217">
        <f>stand_validation_1cycle[[#This Row],[percent_tree_cover]]*100</f>
        <v>7.0404229899285395</v>
      </c>
    </row>
    <row r="1218" spans="1:20" x14ac:dyDescent="0.2">
      <c r="A1218">
        <v>1</v>
      </c>
      <c r="B1218" t="s">
        <v>1236</v>
      </c>
      <c r="C1218">
        <v>25.980744444444401</v>
      </c>
      <c r="D1218">
        <v>681.72348391327296</v>
      </c>
      <c r="E1218">
        <v>6.4271362241597201</v>
      </c>
      <c r="F1218">
        <v>25.503734459341398</v>
      </c>
      <c r="G1218">
        <v>100</v>
      </c>
      <c r="H1218">
        <v>575.6318359375</v>
      </c>
      <c r="I1218">
        <v>6.4070140771978104E-2</v>
      </c>
      <c r="K1218" s="1" t="str">
        <f>TEXT(stand_validation_1cycle[[#This Row],[stand_age]], ".0")</f>
        <v>26.0</v>
      </c>
      <c r="L1218" s="1" t="str">
        <f t="shared" si="18"/>
        <v>"26.0"</v>
      </c>
      <c r="M1218">
        <v>100</v>
      </c>
      <c r="N1218">
        <f>0.029*stand_validation_1cycle[[#This Row],[stand_level_biomass]]</f>
        <v>19.769981033484918</v>
      </c>
      <c r="O1218">
        <f>0.213*stand_validation_1cycle[[#This Row],[stand_level_biomass]]</f>
        <v>145.20710207352712</v>
      </c>
      <c r="P1218">
        <f>0.571*stand_validation_1cycle[[#This Row],[stand_level_biomass]]</f>
        <v>389.26410931447884</v>
      </c>
      <c r="Q1218">
        <f>stand_validation_1cycle[[#This Row],[stock]]</f>
        <v>100</v>
      </c>
      <c r="R1218">
        <v>0</v>
      </c>
      <c r="S1218">
        <f>stand_validation_1cycle[[#This Row],[aws]]</f>
        <v>575.6318359375</v>
      </c>
      <c r="T1218">
        <f>stand_validation_1cycle[[#This Row],[percent_tree_cover]]*100</f>
        <v>6.4070140771978101</v>
      </c>
    </row>
    <row r="1219" spans="1:20" x14ac:dyDescent="0.2">
      <c r="A1219">
        <v>1</v>
      </c>
      <c r="B1219" t="s">
        <v>1237</v>
      </c>
      <c r="C1219">
        <v>25.527620650953899</v>
      </c>
      <c r="D1219">
        <v>712.139330939758</v>
      </c>
      <c r="E1219">
        <v>6.5390766681942702</v>
      </c>
      <c r="F1219">
        <v>25.2563682368759</v>
      </c>
      <c r="G1219">
        <v>99</v>
      </c>
      <c r="H1219">
        <v>570.02990722656205</v>
      </c>
      <c r="I1219">
        <v>6.4975296699921803E-2</v>
      </c>
      <c r="K1219" s="1" t="str">
        <f>TEXT(stand_validation_1cycle[[#This Row],[stand_age]], ".0")</f>
        <v>25.5</v>
      </c>
      <c r="L1219" s="1" t="str">
        <f t="shared" ref="L1219:L1282" si="19">""""&amp;K1219&amp;""""</f>
        <v>"25.5"</v>
      </c>
      <c r="M1219">
        <v>100</v>
      </c>
      <c r="N1219">
        <f>0.029*stand_validation_1cycle[[#This Row],[stand_level_biomass]]</f>
        <v>20.652040597252984</v>
      </c>
      <c r="O1219">
        <f>0.213*stand_validation_1cycle[[#This Row],[stand_level_biomass]]</f>
        <v>151.68567749016844</v>
      </c>
      <c r="P1219">
        <f>0.571*stand_validation_1cycle[[#This Row],[stand_level_biomass]]</f>
        <v>406.6315579666018</v>
      </c>
      <c r="Q1219">
        <f>stand_validation_1cycle[[#This Row],[stock]]</f>
        <v>99</v>
      </c>
      <c r="R1219">
        <v>0</v>
      </c>
      <c r="S1219">
        <f>stand_validation_1cycle[[#This Row],[aws]]</f>
        <v>570.02990722656205</v>
      </c>
      <c r="T1219">
        <f>stand_validation_1cycle[[#This Row],[percent_tree_cover]]*100</f>
        <v>6.4975296699921801</v>
      </c>
    </row>
    <row r="1220" spans="1:20" x14ac:dyDescent="0.2">
      <c r="A1220">
        <v>1</v>
      </c>
      <c r="B1220" t="s">
        <v>1238</v>
      </c>
      <c r="C1220">
        <v>27.083544444444399</v>
      </c>
      <c r="D1220">
        <v>846.91501253081003</v>
      </c>
      <c r="E1220">
        <v>7.6030948300569596</v>
      </c>
      <c r="F1220">
        <v>27.333009754697098</v>
      </c>
      <c r="G1220">
        <v>100</v>
      </c>
      <c r="H1220">
        <v>574.71716308593705</v>
      </c>
      <c r="I1220">
        <v>7.57765605469128E-2</v>
      </c>
      <c r="K1220" s="1" t="str">
        <f>TEXT(stand_validation_1cycle[[#This Row],[stand_age]], ".0")</f>
        <v>27.1</v>
      </c>
      <c r="L1220" s="1" t="str">
        <f t="shared" si="19"/>
        <v>"27.1"</v>
      </c>
      <c r="M1220">
        <v>100</v>
      </c>
      <c r="N1220">
        <f>0.029*stand_validation_1cycle[[#This Row],[stand_level_biomass]]</f>
        <v>24.560535363393491</v>
      </c>
      <c r="O1220">
        <f>0.213*stand_validation_1cycle[[#This Row],[stand_level_biomass]]</f>
        <v>180.39289766906253</v>
      </c>
      <c r="P1220">
        <f>0.571*stand_validation_1cycle[[#This Row],[stand_level_biomass]]</f>
        <v>483.58847215509246</v>
      </c>
      <c r="Q1220">
        <f>stand_validation_1cycle[[#This Row],[stock]]</f>
        <v>100</v>
      </c>
      <c r="R1220">
        <v>0</v>
      </c>
      <c r="S1220">
        <f>stand_validation_1cycle[[#This Row],[aws]]</f>
        <v>574.71716308593705</v>
      </c>
      <c r="T1220">
        <f>stand_validation_1cycle[[#This Row],[percent_tree_cover]]*100</f>
        <v>7.5776560546912801</v>
      </c>
    </row>
    <row r="1221" spans="1:20" x14ac:dyDescent="0.2">
      <c r="A1221">
        <v>1</v>
      </c>
      <c r="B1221" t="s">
        <v>1239</v>
      </c>
      <c r="C1221">
        <v>27.007029478458001</v>
      </c>
      <c r="D1221">
        <v>760.72611083033996</v>
      </c>
      <c r="E1221">
        <v>6.8619122270643</v>
      </c>
      <c r="F1221">
        <v>26.0210197493032</v>
      </c>
      <c r="G1221">
        <v>98</v>
      </c>
      <c r="H1221">
        <v>568.58856201171795</v>
      </c>
      <c r="I1221">
        <v>6.7791082453030893E-2</v>
      </c>
      <c r="K1221" s="1" t="str">
        <f>TEXT(stand_validation_1cycle[[#This Row],[stand_age]], ".0")</f>
        <v>27.0</v>
      </c>
      <c r="L1221" s="1" t="str">
        <f t="shared" si="19"/>
        <v>"27.0"</v>
      </c>
      <c r="M1221">
        <v>100</v>
      </c>
      <c r="N1221">
        <f>0.029*stand_validation_1cycle[[#This Row],[stand_level_biomass]]</f>
        <v>22.06105721407986</v>
      </c>
      <c r="O1221">
        <f>0.213*stand_validation_1cycle[[#This Row],[stand_level_biomass]]</f>
        <v>162.03466160686241</v>
      </c>
      <c r="P1221">
        <f>0.571*stand_validation_1cycle[[#This Row],[stand_level_biomass]]</f>
        <v>434.37460928412406</v>
      </c>
      <c r="Q1221">
        <f>stand_validation_1cycle[[#This Row],[stock]]</f>
        <v>98</v>
      </c>
      <c r="R1221">
        <v>0</v>
      </c>
      <c r="S1221">
        <f>stand_validation_1cycle[[#This Row],[aws]]</f>
        <v>568.58856201171795</v>
      </c>
      <c r="T1221">
        <f>stand_validation_1cycle[[#This Row],[percent_tree_cover]]*100</f>
        <v>6.7791082453030889</v>
      </c>
    </row>
    <row r="1222" spans="1:20" x14ac:dyDescent="0.2">
      <c r="A1222">
        <v>1</v>
      </c>
      <c r="B1222" t="s">
        <v>1240</v>
      </c>
      <c r="C1222">
        <v>25.6229444444444</v>
      </c>
      <c r="D1222">
        <v>699.68009397279798</v>
      </c>
      <c r="E1222">
        <v>6.4687175591244701</v>
      </c>
      <c r="F1222">
        <v>25.016076706924199</v>
      </c>
      <c r="G1222">
        <v>100</v>
      </c>
      <c r="H1222">
        <v>566.51373291015602</v>
      </c>
      <c r="I1222">
        <v>6.4477500239364702E-2</v>
      </c>
      <c r="K1222" s="1" t="str">
        <f>TEXT(stand_validation_1cycle[[#This Row],[stand_age]], ".0")</f>
        <v>25.6</v>
      </c>
      <c r="L1222" s="1" t="str">
        <f t="shared" si="19"/>
        <v>"25.6"</v>
      </c>
      <c r="M1222">
        <v>100</v>
      </c>
      <c r="N1222">
        <f>0.029*stand_validation_1cycle[[#This Row],[stand_level_biomass]]</f>
        <v>20.290722725211143</v>
      </c>
      <c r="O1222">
        <f>0.213*stand_validation_1cycle[[#This Row],[stand_level_biomass]]</f>
        <v>149.03186001620597</v>
      </c>
      <c r="P1222">
        <f>0.571*stand_validation_1cycle[[#This Row],[stand_level_biomass]]</f>
        <v>399.51733365846763</v>
      </c>
      <c r="Q1222">
        <f>stand_validation_1cycle[[#This Row],[stock]]</f>
        <v>100</v>
      </c>
      <c r="R1222">
        <v>0</v>
      </c>
      <c r="S1222">
        <f>stand_validation_1cycle[[#This Row],[aws]]</f>
        <v>566.51373291015602</v>
      </c>
      <c r="T1222">
        <f>stand_validation_1cycle[[#This Row],[percent_tree_cover]]*100</f>
        <v>6.4477500239364698</v>
      </c>
    </row>
    <row r="1223" spans="1:20" x14ac:dyDescent="0.2">
      <c r="A1223">
        <v>1</v>
      </c>
      <c r="B1223" t="s">
        <v>1241</v>
      </c>
      <c r="C1223">
        <v>26.094711111111099</v>
      </c>
      <c r="D1223">
        <v>694.48739642486601</v>
      </c>
      <c r="E1223">
        <v>6.3458153129233796</v>
      </c>
      <c r="F1223">
        <v>24.458768249292799</v>
      </c>
      <c r="G1223">
        <v>100</v>
      </c>
      <c r="H1223">
        <v>566.51373291015602</v>
      </c>
      <c r="I1223">
        <v>6.3227959367762196E-2</v>
      </c>
      <c r="K1223" s="1" t="str">
        <f>TEXT(stand_validation_1cycle[[#This Row],[stand_age]], ".0")</f>
        <v>26.1</v>
      </c>
      <c r="L1223" s="1" t="str">
        <f t="shared" si="19"/>
        <v>"26.1"</v>
      </c>
      <c r="M1223">
        <v>100</v>
      </c>
      <c r="N1223">
        <f>0.029*stand_validation_1cycle[[#This Row],[stand_level_biomass]]</f>
        <v>20.140134496321114</v>
      </c>
      <c r="O1223">
        <f>0.213*stand_validation_1cycle[[#This Row],[stand_level_biomass]]</f>
        <v>147.92581543849644</v>
      </c>
      <c r="P1223">
        <f>0.571*stand_validation_1cycle[[#This Row],[stand_level_biomass]]</f>
        <v>396.55230335859846</v>
      </c>
      <c r="Q1223">
        <f>stand_validation_1cycle[[#This Row],[stock]]</f>
        <v>100</v>
      </c>
      <c r="R1223">
        <v>0</v>
      </c>
      <c r="S1223">
        <f>stand_validation_1cycle[[#This Row],[aws]]</f>
        <v>566.51373291015602</v>
      </c>
      <c r="T1223">
        <f>stand_validation_1cycle[[#This Row],[percent_tree_cover]]*100</f>
        <v>6.3227959367762194</v>
      </c>
    </row>
    <row r="1224" spans="1:20" x14ac:dyDescent="0.2">
      <c r="A1224">
        <v>1</v>
      </c>
      <c r="B1224" t="s">
        <v>1242</v>
      </c>
      <c r="C1224">
        <v>27.7547888888888</v>
      </c>
      <c r="D1224">
        <v>825.86703942778297</v>
      </c>
      <c r="E1224">
        <v>7.4853801387251098</v>
      </c>
      <c r="F1224">
        <v>27.1672402117585</v>
      </c>
      <c r="G1224">
        <v>100</v>
      </c>
      <c r="H1224">
        <v>505</v>
      </c>
      <c r="I1224">
        <v>7.4593536398576896E-2</v>
      </c>
      <c r="K1224" s="1" t="str">
        <f>TEXT(stand_validation_1cycle[[#This Row],[stand_age]], ".0")</f>
        <v>27.8</v>
      </c>
      <c r="L1224" s="1" t="str">
        <f t="shared" si="19"/>
        <v>"27.8"</v>
      </c>
      <c r="M1224">
        <v>100</v>
      </c>
      <c r="N1224">
        <f>0.029*stand_validation_1cycle[[#This Row],[stand_level_biomass]]</f>
        <v>23.950144143405709</v>
      </c>
      <c r="O1224">
        <f>0.213*stand_validation_1cycle[[#This Row],[stand_level_biomass]]</f>
        <v>175.90967939811776</v>
      </c>
      <c r="P1224">
        <f>0.571*stand_validation_1cycle[[#This Row],[stand_level_biomass]]</f>
        <v>471.57007951326403</v>
      </c>
      <c r="Q1224">
        <f>stand_validation_1cycle[[#This Row],[stock]]</f>
        <v>100</v>
      </c>
      <c r="R1224">
        <v>0</v>
      </c>
      <c r="S1224">
        <f>stand_validation_1cycle[[#This Row],[aws]]</f>
        <v>505</v>
      </c>
      <c r="T1224">
        <f>stand_validation_1cycle[[#This Row],[percent_tree_cover]]*100</f>
        <v>7.4593536398576896</v>
      </c>
    </row>
    <row r="1225" spans="1:20" x14ac:dyDescent="0.2">
      <c r="A1225">
        <v>1</v>
      </c>
      <c r="B1225" t="s">
        <v>1243</v>
      </c>
      <c r="C1225">
        <v>28.2729365079365</v>
      </c>
      <c r="D1225">
        <v>894.93708309542001</v>
      </c>
      <c r="E1225">
        <v>2.1790188747060002</v>
      </c>
      <c r="F1225">
        <v>26.545629933653</v>
      </c>
      <c r="G1225">
        <v>28</v>
      </c>
      <c r="H1225">
        <v>505</v>
      </c>
      <c r="I1225">
        <v>7.7371717084825695E-2</v>
      </c>
      <c r="K1225" s="1" t="str">
        <f>TEXT(stand_validation_1cycle[[#This Row],[stand_age]], ".0")</f>
        <v>28.3</v>
      </c>
      <c r="L1225" s="1" t="str">
        <f t="shared" si="19"/>
        <v>"28.3"</v>
      </c>
      <c r="M1225">
        <v>100</v>
      </c>
      <c r="N1225">
        <f>0.029*stand_validation_1cycle[[#This Row],[stand_level_biomass]]</f>
        <v>25.95317540976718</v>
      </c>
      <c r="O1225">
        <f>0.213*stand_validation_1cycle[[#This Row],[stand_level_biomass]]</f>
        <v>190.62159869932447</v>
      </c>
      <c r="P1225">
        <f>0.571*stand_validation_1cycle[[#This Row],[stand_level_biomass]]</f>
        <v>511.00907444748481</v>
      </c>
      <c r="Q1225">
        <f>stand_validation_1cycle[[#This Row],[stock]]</f>
        <v>28</v>
      </c>
      <c r="R1225">
        <v>0</v>
      </c>
      <c r="S1225">
        <f>stand_validation_1cycle[[#This Row],[aws]]</f>
        <v>505</v>
      </c>
      <c r="T1225">
        <f>stand_validation_1cycle[[#This Row],[percent_tree_cover]]*100</f>
        <v>7.7371717084825695</v>
      </c>
    </row>
    <row r="1226" spans="1:20" x14ac:dyDescent="0.2">
      <c r="A1226">
        <v>1</v>
      </c>
      <c r="B1226" t="s">
        <v>1244</v>
      </c>
      <c r="C1226">
        <v>26.545049382716002</v>
      </c>
      <c r="D1226">
        <v>874.05379272439097</v>
      </c>
      <c r="E1226">
        <v>6.9641153046690496</v>
      </c>
      <c r="F1226">
        <v>27.0128340764666</v>
      </c>
      <c r="G1226">
        <v>90</v>
      </c>
      <c r="H1226">
        <v>566.43859863281205</v>
      </c>
      <c r="I1226">
        <v>7.7285600284910994E-2</v>
      </c>
      <c r="K1226" s="1" t="str">
        <f>TEXT(stand_validation_1cycle[[#This Row],[stand_age]], ".0")</f>
        <v>26.5</v>
      </c>
      <c r="L1226" s="1" t="str">
        <f t="shared" si="19"/>
        <v>"26.5"</v>
      </c>
      <c r="M1226">
        <v>100</v>
      </c>
      <c r="N1226">
        <f>0.029*stand_validation_1cycle[[#This Row],[stand_level_biomass]]</f>
        <v>25.34755998900734</v>
      </c>
      <c r="O1226">
        <f>0.213*stand_validation_1cycle[[#This Row],[stand_level_biomass]]</f>
        <v>186.17345785029528</v>
      </c>
      <c r="P1226">
        <f>0.571*stand_validation_1cycle[[#This Row],[stand_level_biomass]]</f>
        <v>499.08471564562723</v>
      </c>
      <c r="Q1226">
        <f>stand_validation_1cycle[[#This Row],[stock]]</f>
        <v>90</v>
      </c>
      <c r="R1226">
        <v>0</v>
      </c>
      <c r="S1226">
        <f>stand_validation_1cycle[[#This Row],[aws]]</f>
        <v>566.43859863281205</v>
      </c>
      <c r="T1226">
        <f>stand_validation_1cycle[[#This Row],[percent_tree_cover]]*100</f>
        <v>7.7285600284910991</v>
      </c>
    </row>
    <row r="1227" spans="1:20" x14ac:dyDescent="0.2">
      <c r="A1227">
        <v>1</v>
      </c>
      <c r="B1227" t="s">
        <v>1245</v>
      </c>
      <c r="C1227">
        <v>28.021055555555499</v>
      </c>
      <c r="D1227">
        <v>988.33561179803098</v>
      </c>
      <c r="E1227">
        <v>8.5298819416255398</v>
      </c>
      <c r="F1227">
        <v>27.9679231069242</v>
      </c>
      <c r="G1227">
        <v>100</v>
      </c>
      <c r="H1227">
        <v>566.43859863281205</v>
      </c>
      <c r="I1227">
        <v>8.4983664006540602E-2</v>
      </c>
      <c r="K1227" s="1" t="str">
        <f>TEXT(stand_validation_1cycle[[#This Row],[stand_age]], ".0")</f>
        <v>28.0</v>
      </c>
      <c r="L1227" s="1" t="str">
        <f t="shared" si="19"/>
        <v>"28.0"</v>
      </c>
      <c r="M1227">
        <v>100</v>
      </c>
      <c r="N1227">
        <f>0.029*stand_validation_1cycle[[#This Row],[stand_level_biomass]]</f>
        <v>28.661732742142899</v>
      </c>
      <c r="O1227">
        <f>0.213*stand_validation_1cycle[[#This Row],[stand_level_biomass]]</f>
        <v>210.51548531298059</v>
      </c>
      <c r="P1227">
        <f>0.571*stand_validation_1cycle[[#This Row],[stand_level_biomass]]</f>
        <v>564.33963433667566</v>
      </c>
      <c r="Q1227">
        <f>stand_validation_1cycle[[#This Row],[stock]]</f>
        <v>100</v>
      </c>
      <c r="R1227">
        <v>0</v>
      </c>
      <c r="S1227">
        <f>stand_validation_1cycle[[#This Row],[aws]]</f>
        <v>566.43859863281205</v>
      </c>
      <c r="T1227">
        <f>stand_validation_1cycle[[#This Row],[percent_tree_cover]]*100</f>
        <v>8.49836640065406</v>
      </c>
    </row>
    <row r="1228" spans="1:20" x14ac:dyDescent="0.2">
      <c r="A1228">
        <v>1</v>
      </c>
      <c r="B1228" t="s">
        <v>1246</v>
      </c>
      <c r="C1228">
        <v>26.716004489337799</v>
      </c>
      <c r="D1228">
        <v>677.31245904641798</v>
      </c>
      <c r="E1228">
        <v>6.3668765500730498</v>
      </c>
      <c r="F1228">
        <v>25.3433282751731</v>
      </c>
      <c r="G1228">
        <v>99</v>
      </c>
      <c r="H1228">
        <v>505</v>
      </c>
      <c r="I1228">
        <v>6.2950275148458107E-2</v>
      </c>
      <c r="K1228" s="1" t="str">
        <f>TEXT(stand_validation_1cycle[[#This Row],[stand_age]], ".0")</f>
        <v>26.7</v>
      </c>
      <c r="L1228" s="1" t="str">
        <f t="shared" si="19"/>
        <v>"26.7"</v>
      </c>
      <c r="M1228">
        <v>100</v>
      </c>
      <c r="N1228">
        <f>0.029*stand_validation_1cycle[[#This Row],[stand_level_biomass]]</f>
        <v>19.642061312346122</v>
      </c>
      <c r="O1228">
        <f>0.213*stand_validation_1cycle[[#This Row],[stand_level_biomass]]</f>
        <v>144.26755377688704</v>
      </c>
      <c r="P1228">
        <f>0.571*stand_validation_1cycle[[#This Row],[stand_level_biomass]]</f>
        <v>386.74541411550462</v>
      </c>
      <c r="Q1228">
        <f>stand_validation_1cycle[[#This Row],[stock]]</f>
        <v>99</v>
      </c>
      <c r="R1228">
        <v>0</v>
      </c>
      <c r="S1228">
        <f>stand_validation_1cycle[[#This Row],[aws]]</f>
        <v>505</v>
      </c>
      <c r="T1228">
        <f>stand_validation_1cycle[[#This Row],[percent_tree_cover]]*100</f>
        <v>6.2950275148458106</v>
      </c>
    </row>
    <row r="1229" spans="1:20" x14ac:dyDescent="0.2">
      <c r="A1229">
        <v>1</v>
      </c>
      <c r="B1229" t="s">
        <v>1247</v>
      </c>
      <c r="C1229">
        <v>27.102466666666601</v>
      </c>
      <c r="D1229">
        <v>813.74366403249905</v>
      </c>
      <c r="E1229">
        <v>7.3226071547591598</v>
      </c>
      <c r="F1229">
        <v>26.5804106496728</v>
      </c>
      <c r="G1229">
        <v>100</v>
      </c>
      <c r="H1229">
        <v>609.05859375</v>
      </c>
      <c r="I1229">
        <v>7.2962667210411503E-2</v>
      </c>
      <c r="K1229" s="1" t="str">
        <f>TEXT(stand_validation_1cycle[[#This Row],[stand_age]], ".0")</f>
        <v>27.1</v>
      </c>
      <c r="L1229" s="1" t="str">
        <f t="shared" si="19"/>
        <v>"27.1"</v>
      </c>
      <c r="M1229">
        <v>100</v>
      </c>
      <c r="N1229">
        <f>0.029*stand_validation_1cycle[[#This Row],[stand_level_biomass]]</f>
        <v>23.598566256942473</v>
      </c>
      <c r="O1229">
        <f>0.213*stand_validation_1cycle[[#This Row],[stand_level_biomass]]</f>
        <v>173.3274004389223</v>
      </c>
      <c r="P1229">
        <f>0.571*stand_validation_1cycle[[#This Row],[stand_level_biomass]]</f>
        <v>464.64763216255693</v>
      </c>
      <c r="Q1229">
        <f>stand_validation_1cycle[[#This Row],[stock]]</f>
        <v>100</v>
      </c>
      <c r="R1229">
        <v>0</v>
      </c>
      <c r="S1229">
        <f>stand_validation_1cycle[[#This Row],[aws]]</f>
        <v>609.05859375</v>
      </c>
      <c r="T1229">
        <f>stand_validation_1cycle[[#This Row],[percent_tree_cover]]*100</f>
        <v>7.2962667210411505</v>
      </c>
    </row>
    <row r="1230" spans="1:20" x14ac:dyDescent="0.2">
      <c r="A1230">
        <v>1</v>
      </c>
      <c r="B1230" t="s">
        <v>1248</v>
      </c>
      <c r="C1230">
        <v>24.6426444444444</v>
      </c>
      <c r="D1230">
        <v>667.55145075524297</v>
      </c>
      <c r="E1230">
        <v>6.2550303538181096</v>
      </c>
      <c r="F1230">
        <v>24.7918295260714</v>
      </c>
      <c r="G1230">
        <v>100</v>
      </c>
      <c r="H1230">
        <v>566.43859863281205</v>
      </c>
      <c r="I1230">
        <v>6.2362807377486E-2</v>
      </c>
      <c r="K1230" s="1" t="str">
        <f>TEXT(stand_validation_1cycle[[#This Row],[stand_age]], ".0")</f>
        <v>24.6</v>
      </c>
      <c r="L1230" s="1" t="str">
        <f t="shared" si="19"/>
        <v>"24.6"</v>
      </c>
      <c r="M1230">
        <v>100</v>
      </c>
      <c r="N1230">
        <f>0.029*stand_validation_1cycle[[#This Row],[stand_level_biomass]]</f>
        <v>19.358992071902048</v>
      </c>
      <c r="O1230">
        <f>0.213*stand_validation_1cycle[[#This Row],[stand_level_biomass]]</f>
        <v>142.18845901086675</v>
      </c>
      <c r="P1230">
        <f>0.571*stand_validation_1cycle[[#This Row],[stand_level_biomass]]</f>
        <v>381.17187838124369</v>
      </c>
      <c r="Q1230">
        <f>stand_validation_1cycle[[#This Row],[stock]]</f>
        <v>100</v>
      </c>
      <c r="R1230">
        <v>0</v>
      </c>
      <c r="S1230">
        <f>stand_validation_1cycle[[#This Row],[aws]]</f>
        <v>566.43859863281205</v>
      </c>
      <c r="T1230">
        <f>stand_validation_1cycle[[#This Row],[percent_tree_cover]]*100</f>
        <v>6.2362807377485998</v>
      </c>
    </row>
    <row r="1231" spans="1:20" x14ac:dyDescent="0.2">
      <c r="A1231">
        <v>1</v>
      </c>
      <c r="B1231" t="s">
        <v>1249</v>
      </c>
      <c r="C1231">
        <v>28.9211335578002</v>
      </c>
      <c r="D1231">
        <v>870.87140679488198</v>
      </c>
      <c r="E1231">
        <v>7.6919689154306896</v>
      </c>
      <c r="F1231">
        <v>27.4069225222885</v>
      </c>
      <c r="G1231">
        <v>99</v>
      </c>
      <c r="H1231">
        <v>566.43859863281205</v>
      </c>
      <c r="I1231">
        <v>7.6448784138986994E-2</v>
      </c>
      <c r="K1231" s="1" t="str">
        <f>TEXT(stand_validation_1cycle[[#This Row],[stand_age]], ".0")</f>
        <v>28.9</v>
      </c>
      <c r="L1231" s="1" t="str">
        <f t="shared" si="19"/>
        <v>"28.9"</v>
      </c>
      <c r="M1231">
        <v>100</v>
      </c>
      <c r="N1231">
        <f>0.029*stand_validation_1cycle[[#This Row],[stand_level_biomass]]</f>
        <v>25.25527079705158</v>
      </c>
      <c r="O1231">
        <f>0.213*stand_validation_1cycle[[#This Row],[stand_level_biomass]]</f>
        <v>185.49560964730986</v>
      </c>
      <c r="P1231">
        <f>0.571*stand_validation_1cycle[[#This Row],[stand_level_biomass]]</f>
        <v>497.26757327987758</v>
      </c>
      <c r="Q1231">
        <f>stand_validation_1cycle[[#This Row],[stock]]</f>
        <v>99</v>
      </c>
      <c r="R1231">
        <v>0</v>
      </c>
      <c r="S1231">
        <f>stand_validation_1cycle[[#This Row],[aws]]</f>
        <v>566.43859863281205</v>
      </c>
      <c r="T1231">
        <f>stand_validation_1cycle[[#This Row],[percent_tree_cover]]*100</f>
        <v>7.6448784138986996</v>
      </c>
    </row>
    <row r="1232" spans="1:20" x14ac:dyDescent="0.2">
      <c r="A1232">
        <v>1</v>
      </c>
      <c r="B1232" t="s">
        <v>1250</v>
      </c>
      <c r="C1232">
        <v>25.9933221099887</v>
      </c>
      <c r="D1232">
        <v>886.95543427852499</v>
      </c>
      <c r="E1232">
        <v>7.7748763309570901</v>
      </c>
      <c r="F1232">
        <v>27.172409699656502</v>
      </c>
      <c r="G1232">
        <v>99</v>
      </c>
      <c r="H1232">
        <v>568.53497314453102</v>
      </c>
      <c r="I1232">
        <v>7.7184183800745904E-2</v>
      </c>
      <c r="K1232" s="1" t="str">
        <f>TEXT(stand_validation_1cycle[[#This Row],[stand_age]], ".0")</f>
        <v>26.0</v>
      </c>
      <c r="L1232" s="1" t="str">
        <f t="shared" si="19"/>
        <v>"26.0"</v>
      </c>
      <c r="M1232">
        <v>100</v>
      </c>
      <c r="N1232">
        <f>0.029*stand_validation_1cycle[[#This Row],[stand_level_biomass]]</f>
        <v>25.721707594077227</v>
      </c>
      <c r="O1232">
        <f>0.213*stand_validation_1cycle[[#This Row],[stand_level_biomass]]</f>
        <v>188.92150750132581</v>
      </c>
      <c r="P1232">
        <f>0.571*stand_validation_1cycle[[#This Row],[stand_level_biomass]]</f>
        <v>506.45155297303774</v>
      </c>
      <c r="Q1232">
        <f>stand_validation_1cycle[[#This Row],[stock]]</f>
        <v>99</v>
      </c>
      <c r="R1232">
        <v>0</v>
      </c>
      <c r="S1232">
        <f>stand_validation_1cycle[[#This Row],[aws]]</f>
        <v>568.53497314453102</v>
      </c>
      <c r="T1232">
        <f>stand_validation_1cycle[[#This Row],[percent_tree_cover]]*100</f>
        <v>7.7184183800745902</v>
      </c>
    </row>
    <row r="1233" spans="1:20" x14ac:dyDescent="0.2">
      <c r="A1233">
        <v>1</v>
      </c>
      <c r="B1233" t="s">
        <v>1251</v>
      </c>
      <c r="C1233">
        <v>27.840688888888799</v>
      </c>
      <c r="D1233">
        <v>912.731544419746</v>
      </c>
      <c r="E1233">
        <v>8.0268862542482609</v>
      </c>
      <c r="F1233">
        <v>27.547554173654198</v>
      </c>
      <c r="G1233">
        <v>100</v>
      </c>
      <c r="H1233">
        <v>572.525146484375</v>
      </c>
      <c r="I1233">
        <v>7.9988000840453904E-2</v>
      </c>
      <c r="K1233" s="1" t="str">
        <f>TEXT(stand_validation_1cycle[[#This Row],[stand_age]], ".0")</f>
        <v>27.8</v>
      </c>
      <c r="L1233" s="1" t="str">
        <f t="shared" si="19"/>
        <v>"27.8"</v>
      </c>
      <c r="M1233">
        <v>100</v>
      </c>
      <c r="N1233">
        <f>0.029*stand_validation_1cycle[[#This Row],[stand_level_biomass]]</f>
        <v>26.469214788172636</v>
      </c>
      <c r="O1233">
        <f>0.213*stand_validation_1cycle[[#This Row],[stand_level_biomass]]</f>
        <v>194.41181896140588</v>
      </c>
      <c r="P1233">
        <f>0.571*stand_validation_1cycle[[#This Row],[stand_level_biomass]]</f>
        <v>521.16971186367493</v>
      </c>
      <c r="Q1233">
        <f>stand_validation_1cycle[[#This Row],[stock]]</f>
        <v>100</v>
      </c>
      <c r="R1233">
        <v>0</v>
      </c>
      <c r="S1233">
        <f>stand_validation_1cycle[[#This Row],[aws]]</f>
        <v>572.525146484375</v>
      </c>
      <c r="T1233">
        <f>stand_validation_1cycle[[#This Row],[percent_tree_cover]]*100</f>
        <v>7.9988000840453903</v>
      </c>
    </row>
    <row r="1234" spans="1:20" x14ac:dyDescent="0.2">
      <c r="A1234">
        <v>1</v>
      </c>
      <c r="B1234" t="s">
        <v>1252</v>
      </c>
      <c r="C1234">
        <v>31.318428731762001</v>
      </c>
      <c r="D1234">
        <v>1144.1477671574901</v>
      </c>
      <c r="E1234">
        <v>9.7207772497942795</v>
      </c>
      <c r="F1234">
        <v>30.7488811372539</v>
      </c>
      <c r="G1234">
        <v>99</v>
      </c>
      <c r="H1234">
        <v>566.51373291015602</v>
      </c>
      <c r="I1234">
        <v>9.6371960430206002E-2</v>
      </c>
      <c r="K1234" s="1" t="str">
        <f>TEXT(stand_validation_1cycle[[#This Row],[stand_age]], ".0")</f>
        <v>31.3</v>
      </c>
      <c r="L1234" s="1" t="str">
        <f t="shared" si="19"/>
        <v>"31.3"</v>
      </c>
      <c r="M1234">
        <v>100</v>
      </c>
      <c r="N1234">
        <f>0.029*stand_validation_1cycle[[#This Row],[stand_level_biomass]]</f>
        <v>33.180285247567213</v>
      </c>
      <c r="O1234">
        <f>0.213*stand_validation_1cycle[[#This Row],[stand_level_biomass]]</f>
        <v>243.70347440454537</v>
      </c>
      <c r="P1234">
        <f>0.571*stand_validation_1cycle[[#This Row],[stand_level_biomass]]</f>
        <v>653.30837504692681</v>
      </c>
      <c r="Q1234">
        <f>stand_validation_1cycle[[#This Row],[stock]]</f>
        <v>99</v>
      </c>
      <c r="R1234">
        <v>0</v>
      </c>
      <c r="S1234">
        <f>stand_validation_1cycle[[#This Row],[aws]]</f>
        <v>566.51373291015602</v>
      </c>
      <c r="T1234">
        <f>stand_validation_1cycle[[#This Row],[percent_tree_cover]]*100</f>
        <v>9.6371960430205998</v>
      </c>
    </row>
    <row r="1235" spans="1:20" x14ac:dyDescent="0.2">
      <c r="A1235">
        <v>1</v>
      </c>
      <c r="B1235" t="s">
        <v>1253</v>
      </c>
      <c r="C1235">
        <v>25.832255555555498</v>
      </c>
      <c r="D1235">
        <v>744.35785146577905</v>
      </c>
      <c r="E1235">
        <v>6.6668240356653499</v>
      </c>
      <c r="F1235">
        <v>24.539324058961402</v>
      </c>
      <c r="G1235">
        <v>100</v>
      </c>
      <c r="H1235">
        <v>566.51373291015602</v>
      </c>
      <c r="I1235">
        <v>6.6433074468781203E-2</v>
      </c>
      <c r="K1235" s="1" t="str">
        <f>TEXT(stand_validation_1cycle[[#This Row],[stand_age]], ".0")</f>
        <v>25.8</v>
      </c>
      <c r="L1235" s="1" t="str">
        <f t="shared" si="19"/>
        <v>"25.8"</v>
      </c>
      <c r="M1235">
        <v>100</v>
      </c>
      <c r="N1235">
        <f>0.029*stand_validation_1cycle[[#This Row],[stand_level_biomass]]</f>
        <v>21.586377692507593</v>
      </c>
      <c r="O1235">
        <f>0.213*stand_validation_1cycle[[#This Row],[stand_level_biomass]]</f>
        <v>158.54822236221094</v>
      </c>
      <c r="P1235">
        <f>0.571*stand_validation_1cycle[[#This Row],[stand_level_biomass]]</f>
        <v>425.0283331869598</v>
      </c>
      <c r="Q1235">
        <f>stand_validation_1cycle[[#This Row],[stock]]</f>
        <v>100</v>
      </c>
      <c r="R1235">
        <v>0</v>
      </c>
      <c r="S1235">
        <f>stand_validation_1cycle[[#This Row],[aws]]</f>
        <v>566.51373291015602</v>
      </c>
      <c r="T1235">
        <f>stand_validation_1cycle[[#This Row],[percent_tree_cover]]*100</f>
        <v>6.6433074468781204</v>
      </c>
    </row>
    <row r="1236" spans="1:20" x14ac:dyDescent="0.2">
      <c r="A1236">
        <v>1</v>
      </c>
      <c r="B1236" t="s">
        <v>1254</v>
      </c>
      <c r="C1236">
        <v>25.366499999999998</v>
      </c>
      <c r="D1236">
        <v>659.78100074290603</v>
      </c>
      <c r="E1236">
        <v>6.1356608285559897</v>
      </c>
      <c r="F1236">
        <v>24.187280592421398</v>
      </c>
      <c r="G1236">
        <v>100</v>
      </c>
      <c r="H1236">
        <v>566.51373291015602</v>
      </c>
      <c r="I1236">
        <v>6.1147104142324903E-2</v>
      </c>
      <c r="K1236" s="1" t="str">
        <f>TEXT(stand_validation_1cycle[[#This Row],[stand_age]], ".0")</f>
        <v>25.4</v>
      </c>
      <c r="L1236" s="1" t="str">
        <f t="shared" si="19"/>
        <v>"25.4"</v>
      </c>
      <c r="M1236">
        <v>100</v>
      </c>
      <c r="N1236">
        <f>0.029*stand_validation_1cycle[[#This Row],[stand_level_biomass]]</f>
        <v>19.133649021544276</v>
      </c>
      <c r="O1236">
        <f>0.213*stand_validation_1cycle[[#This Row],[stand_level_biomass]]</f>
        <v>140.53335315823898</v>
      </c>
      <c r="P1236">
        <f>0.571*stand_validation_1cycle[[#This Row],[stand_level_biomass]]</f>
        <v>376.73495142419932</v>
      </c>
      <c r="Q1236">
        <f>stand_validation_1cycle[[#This Row],[stock]]</f>
        <v>100</v>
      </c>
      <c r="R1236">
        <v>0</v>
      </c>
      <c r="S1236">
        <f>stand_validation_1cycle[[#This Row],[aws]]</f>
        <v>566.51373291015602</v>
      </c>
      <c r="T1236">
        <f>stand_validation_1cycle[[#This Row],[percent_tree_cover]]*100</f>
        <v>6.1147104142324906</v>
      </c>
    </row>
    <row r="1237" spans="1:20" x14ac:dyDescent="0.2">
      <c r="A1237">
        <v>1</v>
      </c>
      <c r="B1237" t="s">
        <v>1255</v>
      </c>
      <c r="C1237">
        <v>23.868630751964101</v>
      </c>
      <c r="D1237">
        <v>571.04254996014902</v>
      </c>
      <c r="E1237">
        <v>5.5777815175204903</v>
      </c>
      <c r="F1237">
        <v>24.149487852367901</v>
      </c>
      <c r="G1237">
        <v>99</v>
      </c>
      <c r="H1237">
        <v>488</v>
      </c>
      <c r="I1237">
        <v>5.5440053764095901E-2</v>
      </c>
      <c r="K1237" s="1" t="str">
        <f>TEXT(stand_validation_1cycle[[#This Row],[stand_age]], ".0")</f>
        <v>23.9</v>
      </c>
      <c r="L1237" s="1" t="str">
        <f t="shared" si="19"/>
        <v>"23.9"</v>
      </c>
      <c r="M1237">
        <v>100</v>
      </c>
      <c r="N1237">
        <f>0.029*stand_validation_1cycle[[#This Row],[stand_level_biomass]]</f>
        <v>16.560233948844321</v>
      </c>
      <c r="O1237">
        <f>0.213*stand_validation_1cycle[[#This Row],[stand_level_biomass]]</f>
        <v>121.63206314151174</v>
      </c>
      <c r="P1237">
        <f>0.571*stand_validation_1cycle[[#This Row],[stand_level_biomass]]</f>
        <v>326.06529602724504</v>
      </c>
      <c r="Q1237">
        <f>stand_validation_1cycle[[#This Row],[stock]]</f>
        <v>99</v>
      </c>
      <c r="R1237">
        <v>0</v>
      </c>
      <c r="S1237">
        <f>stand_validation_1cycle[[#This Row],[aws]]</f>
        <v>488</v>
      </c>
      <c r="T1237">
        <f>stand_validation_1cycle[[#This Row],[percent_tree_cover]]*100</f>
        <v>5.54400537640959</v>
      </c>
    </row>
    <row r="1238" spans="1:20" x14ac:dyDescent="0.2">
      <c r="A1238">
        <v>1</v>
      </c>
      <c r="B1238" t="s">
        <v>1256</v>
      </c>
      <c r="C1238">
        <v>32.283968253968197</v>
      </c>
      <c r="D1238">
        <v>1384.5110460916501</v>
      </c>
      <c r="E1238">
        <v>3.1535943229246599</v>
      </c>
      <c r="F1238">
        <v>31.059945511852</v>
      </c>
      <c r="G1238">
        <v>28</v>
      </c>
      <c r="H1238">
        <v>488</v>
      </c>
      <c r="I1238">
        <v>0.11196236381034801</v>
      </c>
      <c r="K1238" s="1" t="str">
        <f>TEXT(stand_validation_1cycle[[#This Row],[stand_age]], ".0")</f>
        <v>32.3</v>
      </c>
      <c r="L1238" s="1" t="str">
        <f t="shared" si="19"/>
        <v>"32.3"</v>
      </c>
      <c r="M1238">
        <v>100</v>
      </c>
      <c r="N1238">
        <f>0.029*stand_validation_1cycle[[#This Row],[stand_level_biomass]]</f>
        <v>40.150820336657851</v>
      </c>
      <c r="O1238">
        <f>0.213*stand_validation_1cycle[[#This Row],[stand_level_biomass]]</f>
        <v>294.90085281752147</v>
      </c>
      <c r="P1238">
        <f>0.571*stand_validation_1cycle[[#This Row],[stand_level_biomass]]</f>
        <v>790.55580731833209</v>
      </c>
      <c r="Q1238">
        <f>stand_validation_1cycle[[#This Row],[stock]]</f>
        <v>28</v>
      </c>
      <c r="R1238">
        <v>0</v>
      </c>
      <c r="S1238">
        <f>stand_validation_1cycle[[#This Row],[aws]]</f>
        <v>488</v>
      </c>
      <c r="T1238">
        <f>stand_validation_1cycle[[#This Row],[percent_tree_cover]]*100</f>
        <v>11.196236381034801</v>
      </c>
    </row>
    <row r="1239" spans="1:20" x14ac:dyDescent="0.2">
      <c r="A1239">
        <v>1</v>
      </c>
      <c r="B1239" t="s">
        <v>1257</v>
      </c>
      <c r="C1239">
        <v>30.368963795255901</v>
      </c>
      <c r="D1239">
        <v>1146.2692026976199</v>
      </c>
      <c r="E1239">
        <v>8.6400371756346903</v>
      </c>
      <c r="F1239">
        <v>30.014015775285699</v>
      </c>
      <c r="G1239">
        <v>89</v>
      </c>
      <c r="H1239">
        <v>566.43859863281205</v>
      </c>
      <c r="I1239">
        <v>9.5833082305864001E-2</v>
      </c>
      <c r="K1239" s="1" t="str">
        <f>TEXT(stand_validation_1cycle[[#This Row],[stand_age]], ".0")</f>
        <v>30.4</v>
      </c>
      <c r="L1239" s="1" t="str">
        <f t="shared" si="19"/>
        <v>"30.4"</v>
      </c>
      <c r="M1239">
        <v>100</v>
      </c>
      <c r="N1239">
        <f>0.029*stand_validation_1cycle[[#This Row],[stand_level_biomass]]</f>
        <v>33.241806878230982</v>
      </c>
      <c r="O1239">
        <f>0.213*stand_validation_1cycle[[#This Row],[stand_level_biomass]]</f>
        <v>244.15534017459302</v>
      </c>
      <c r="P1239">
        <f>0.571*stand_validation_1cycle[[#This Row],[stand_level_biomass]]</f>
        <v>654.51971474034087</v>
      </c>
      <c r="Q1239">
        <f>stand_validation_1cycle[[#This Row],[stock]]</f>
        <v>89</v>
      </c>
      <c r="R1239">
        <v>0</v>
      </c>
      <c r="S1239">
        <f>stand_validation_1cycle[[#This Row],[aws]]</f>
        <v>566.43859863281205</v>
      </c>
      <c r="T1239">
        <f>stand_validation_1cycle[[#This Row],[percent_tree_cover]]*100</f>
        <v>9.5833082305864004</v>
      </c>
    </row>
    <row r="1240" spans="1:20" x14ac:dyDescent="0.2">
      <c r="A1240">
        <v>1</v>
      </c>
      <c r="B1240" t="s">
        <v>1258</v>
      </c>
      <c r="C1240">
        <v>27.264722222222201</v>
      </c>
      <c r="D1240">
        <v>883.32116583580898</v>
      </c>
      <c r="E1240">
        <v>7.8487045437146099</v>
      </c>
      <c r="F1240">
        <v>27.39967586901</v>
      </c>
      <c r="G1240">
        <v>100</v>
      </c>
      <c r="H1240">
        <v>569.95562744140602</v>
      </c>
      <c r="I1240">
        <v>7.8214849638234399E-2</v>
      </c>
      <c r="K1240" s="1" t="str">
        <f>TEXT(stand_validation_1cycle[[#This Row],[stand_age]], ".0")</f>
        <v>27.3</v>
      </c>
      <c r="L1240" s="1" t="str">
        <f t="shared" si="19"/>
        <v>"27.3"</v>
      </c>
      <c r="M1240">
        <v>100</v>
      </c>
      <c r="N1240">
        <f>0.029*stand_validation_1cycle[[#This Row],[stand_level_biomass]]</f>
        <v>25.616313809238463</v>
      </c>
      <c r="O1240">
        <f>0.213*stand_validation_1cycle[[#This Row],[stand_level_biomass]]</f>
        <v>188.14740832302732</v>
      </c>
      <c r="P1240">
        <f>0.571*stand_validation_1cycle[[#This Row],[stand_level_biomass]]</f>
        <v>504.37638569224691</v>
      </c>
      <c r="Q1240">
        <f>stand_validation_1cycle[[#This Row],[stock]]</f>
        <v>100</v>
      </c>
      <c r="R1240">
        <v>0</v>
      </c>
      <c r="S1240">
        <f>stand_validation_1cycle[[#This Row],[aws]]</f>
        <v>569.95562744140602</v>
      </c>
      <c r="T1240">
        <f>stand_validation_1cycle[[#This Row],[percent_tree_cover]]*100</f>
        <v>7.8214849638234396</v>
      </c>
    </row>
    <row r="1241" spans="1:20" x14ac:dyDescent="0.2">
      <c r="A1241">
        <v>1</v>
      </c>
      <c r="B1241" t="s">
        <v>1259</v>
      </c>
      <c r="C1241">
        <v>26.878945005611602</v>
      </c>
      <c r="D1241">
        <v>852.80379532846598</v>
      </c>
      <c r="E1241">
        <v>7.53092066583155</v>
      </c>
      <c r="F1241">
        <v>27.108513941696899</v>
      </c>
      <c r="G1241">
        <v>99</v>
      </c>
      <c r="H1241">
        <v>494</v>
      </c>
      <c r="I1241">
        <v>7.4937826620116305E-2</v>
      </c>
      <c r="K1241" s="1" t="str">
        <f>TEXT(stand_validation_1cycle[[#This Row],[stand_age]], ".0")</f>
        <v>26.9</v>
      </c>
      <c r="L1241" s="1" t="str">
        <f t="shared" si="19"/>
        <v>"26.9"</v>
      </c>
      <c r="M1241">
        <v>100</v>
      </c>
      <c r="N1241">
        <f>0.029*stand_validation_1cycle[[#This Row],[stand_level_biomass]]</f>
        <v>24.731310064525516</v>
      </c>
      <c r="O1241">
        <f>0.213*stand_validation_1cycle[[#This Row],[stand_level_biomass]]</f>
        <v>181.64720840496324</v>
      </c>
      <c r="P1241">
        <f>0.571*stand_validation_1cycle[[#This Row],[stand_level_biomass]]</f>
        <v>486.95096713255401</v>
      </c>
      <c r="Q1241">
        <f>stand_validation_1cycle[[#This Row],[stock]]</f>
        <v>99</v>
      </c>
      <c r="R1241">
        <v>0</v>
      </c>
      <c r="S1241">
        <f>stand_validation_1cycle[[#This Row],[aws]]</f>
        <v>494</v>
      </c>
      <c r="T1241">
        <f>stand_validation_1cycle[[#This Row],[percent_tree_cover]]*100</f>
        <v>7.4937826620116308</v>
      </c>
    </row>
    <row r="1242" spans="1:20" x14ac:dyDescent="0.2">
      <c r="A1242">
        <v>1</v>
      </c>
      <c r="B1242" t="s">
        <v>1260</v>
      </c>
      <c r="C1242">
        <v>28.8401888888888</v>
      </c>
      <c r="D1242">
        <v>1066.61560659989</v>
      </c>
      <c r="E1242">
        <v>9.1505499088338507</v>
      </c>
      <c r="F1242">
        <v>29.2808378309057</v>
      </c>
      <c r="G1242">
        <v>100</v>
      </c>
      <c r="H1242">
        <v>612.538818359375</v>
      </c>
      <c r="I1242">
        <v>9.1171550747887201E-2</v>
      </c>
      <c r="K1242" s="1" t="str">
        <f>TEXT(stand_validation_1cycle[[#This Row],[stand_age]], ".0")</f>
        <v>28.8</v>
      </c>
      <c r="L1242" s="1" t="str">
        <f t="shared" si="19"/>
        <v>"28.8"</v>
      </c>
      <c r="M1242">
        <v>100</v>
      </c>
      <c r="N1242">
        <f>0.029*stand_validation_1cycle[[#This Row],[stand_level_biomass]]</f>
        <v>30.931852591396812</v>
      </c>
      <c r="O1242">
        <f>0.213*stand_validation_1cycle[[#This Row],[stand_level_biomass]]</f>
        <v>227.18912420577658</v>
      </c>
      <c r="P1242">
        <f>0.571*stand_validation_1cycle[[#This Row],[stand_level_biomass]]</f>
        <v>609.03751136853714</v>
      </c>
      <c r="Q1242">
        <f>stand_validation_1cycle[[#This Row],[stock]]</f>
        <v>100</v>
      </c>
      <c r="R1242">
        <v>0</v>
      </c>
      <c r="S1242">
        <f>stand_validation_1cycle[[#This Row],[aws]]</f>
        <v>612.538818359375</v>
      </c>
      <c r="T1242">
        <f>stand_validation_1cycle[[#This Row],[percent_tree_cover]]*100</f>
        <v>9.1171550747887196</v>
      </c>
    </row>
    <row r="1243" spans="1:20" x14ac:dyDescent="0.2">
      <c r="A1243">
        <v>1</v>
      </c>
      <c r="B1243" t="s">
        <v>1261</v>
      </c>
      <c r="C1243">
        <v>25.572177328843999</v>
      </c>
      <c r="D1243">
        <v>672.63126263281094</v>
      </c>
      <c r="E1243">
        <v>6.3466085650684096</v>
      </c>
      <c r="F1243">
        <v>25.346776471640599</v>
      </c>
      <c r="G1243">
        <v>99</v>
      </c>
      <c r="H1243">
        <v>570.41784667968705</v>
      </c>
      <c r="I1243">
        <v>6.2765431077026604E-2</v>
      </c>
      <c r="K1243" s="1" t="str">
        <f>TEXT(stand_validation_1cycle[[#This Row],[stand_age]], ".0")</f>
        <v>25.6</v>
      </c>
      <c r="L1243" s="1" t="str">
        <f t="shared" si="19"/>
        <v>"25.6"</v>
      </c>
      <c r="M1243">
        <v>100</v>
      </c>
      <c r="N1243">
        <f>0.029*stand_validation_1cycle[[#This Row],[stand_level_biomass]]</f>
        <v>19.50630661635152</v>
      </c>
      <c r="O1243">
        <f>0.213*stand_validation_1cycle[[#This Row],[stand_level_biomass]]</f>
        <v>143.27045894078873</v>
      </c>
      <c r="P1243">
        <f>0.571*stand_validation_1cycle[[#This Row],[stand_level_biomass]]</f>
        <v>384.07245096333503</v>
      </c>
      <c r="Q1243">
        <f>stand_validation_1cycle[[#This Row],[stock]]</f>
        <v>99</v>
      </c>
      <c r="R1243">
        <v>0</v>
      </c>
      <c r="S1243">
        <f>stand_validation_1cycle[[#This Row],[aws]]</f>
        <v>570.41784667968705</v>
      </c>
      <c r="T1243">
        <f>stand_validation_1cycle[[#This Row],[percent_tree_cover]]*100</f>
        <v>6.2765431077026603</v>
      </c>
    </row>
    <row r="1244" spans="1:20" x14ac:dyDescent="0.2">
      <c r="A1244">
        <v>1</v>
      </c>
      <c r="B1244" t="s">
        <v>1262</v>
      </c>
      <c r="C1244">
        <v>28.602699999999899</v>
      </c>
      <c r="D1244">
        <v>997.22069065502501</v>
      </c>
      <c r="E1244">
        <v>8.6108352865214108</v>
      </c>
      <c r="F1244">
        <v>28.327059983132798</v>
      </c>
      <c r="G1244">
        <v>100</v>
      </c>
      <c r="H1244">
        <v>574.265625</v>
      </c>
      <c r="I1244">
        <v>8.5792559112152195E-2</v>
      </c>
      <c r="K1244" s="1" t="str">
        <f>TEXT(stand_validation_1cycle[[#This Row],[stand_age]], ".0")</f>
        <v>28.6</v>
      </c>
      <c r="L1244" s="1" t="str">
        <f t="shared" si="19"/>
        <v>"28.6"</v>
      </c>
      <c r="M1244">
        <v>100</v>
      </c>
      <c r="N1244">
        <f>0.029*stand_validation_1cycle[[#This Row],[stand_level_biomass]]</f>
        <v>28.919400028995728</v>
      </c>
      <c r="O1244">
        <f>0.213*stand_validation_1cycle[[#This Row],[stand_level_biomass]]</f>
        <v>212.40800710952033</v>
      </c>
      <c r="P1244">
        <f>0.571*stand_validation_1cycle[[#This Row],[stand_level_biomass]]</f>
        <v>569.4130143640192</v>
      </c>
      <c r="Q1244">
        <f>stand_validation_1cycle[[#This Row],[stock]]</f>
        <v>100</v>
      </c>
      <c r="R1244">
        <v>0</v>
      </c>
      <c r="S1244">
        <f>stand_validation_1cycle[[#This Row],[aws]]</f>
        <v>574.265625</v>
      </c>
      <c r="T1244">
        <f>stand_validation_1cycle[[#This Row],[percent_tree_cover]]*100</f>
        <v>8.5792559112152187</v>
      </c>
    </row>
    <row r="1245" spans="1:20" x14ac:dyDescent="0.2">
      <c r="A1245">
        <v>1</v>
      </c>
      <c r="B1245" t="s">
        <v>1263</v>
      </c>
      <c r="C1245">
        <v>26.720566666666599</v>
      </c>
      <c r="D1245">
        <v>887.75342045102002</v>
      </c>
      <c r="E1245">
        <v>7.7592579030797699</v>
      </c>
      <c r="F1245">
        <v>26.5740851258814</v>
      </c>
      <c r="G1245">
        <v>100</v>
      </c>
      <c r="H1245">
        <v>575.487060546875</v>
      </c>
      <c r="I1245">
        <v>7.7318836885327993E-2</v>
      </c>
      <c r="K1245" s="1" t="str">
        <f>TEXT(stand_validation_1cycle[[#This Row],[stand_age]], ".0")</f>
        <v>26.7</v>
      </c>
      <c r="L1245" s="1" t="str">
        <f t="shared" si="19"/>
        <v>"26.7"</v>
      </c>
      <c r="M1245">
        <v>100</v>
      </c>
      <c r="N1245">
        <f>0.029*stand_validation_1cycle[[#This Row],[stand_level_biomass]]</f>
        <v>25.744849193079581</v>
      </c>
      <c r="O1245">
        <f>0.213*stand_validation_1cycle[[#This Row],[stand_level_biomass]]</f>
        <v>189.09147855606727</v>
      </c>
      <c r="P1245">
        <f>0.571*stand_validation_1cycle[[#This Row],[stand_level_biomass]]</f>
        <v>506.90720307753242</v>
      </c>
      <c r="Q1245">
        <f>stand_validation_1cycle[[#This Row],[stock]]</f>
        <v>100</v>
      </c>
      <c r="R1245">
        <v>0</v>
      </c>
      <c r="S1245">
        <f>stand_validation_1cycle[[#This Row],[aws]]</f>
        <v>575.487060546875</v>
      </c>
      <c r="T1245">
        <f>stand_validation_1cycle[[#This Row],[percent_tree_cover]]*100</f>
        <v>7.7318836885327995</v>
      </c>
    </row>
    <row r="1246" spans="1:20" x14ac:dyDescent="0.2">
      <c r="A1246">
        <v>1</v>
      </c>
      <c r="B1246" t="s">
        <v>1264</v>
      </c>
      <c r="C1246">
        <v>25.9631222222222</v>
      </c>
      <c r="D1246">
        <v>830.92709577341998</v>
      </c>
      <c r="E1246">
        <v>7.2925209073138904</v>
      </c>
      <c r="F1246">
        <v>25.5583923258814</v>
      </c>
      <c r="G1246">
        <v>100</v>
      </c>
      <c r="H1246">
        <v>566.43859863281205</v>
      </c>
      <c r="I1246">
        <v>7.2673864414843997E-2</v>
      </c>
      <c r="K1246" s="1" t="str">
        <f>TEXT(stand_validation_1cycle[[#This Row],[stand_age]], ".0")</f>
        <v>26.0</v>
      </c>
      <c r="L1246" s="1" t="str">
        <f t="shared" si="19"/>
        <v>"26.0"</v>
      </c>
      <c r="M1246">
        <v>100</v>
      </c>
      <c r="N1246">
        <f>0.029*stand_validation_1cycle[[#This Row],[stand_level_biomass]]</f>
        <v>24.096885777429179</v>
      </c>
      <c r="O1246">
        <f>0.213*stand_validation_1cycle[[#This Row],[stand_level_biomass]]</f>
        <v>176.98747139973844</v>
      </c>
      <c r="P1246">
        <f>0.571*stand_validation_1cycle[[#This Row],[stand_level_biomass]]</f>
        <v>474.45937168662277</v>
      </c>
      <c r="Q1246">
        <f>stand_validation_1cycle[[#This Row],[stock]]</f>
        <v>100</v>
      </c>
      <c r="R1246">
        <v>0</v>
      </c>
      <c r="S1246">
        <f>stand_validation_1cycle[[#This Row],[aws]]</f>
        <v>566.43859863281205</v>
      </c>
      <c r="T1246">
        <f>stand_validation_1cycle[[#This Row],[percent_tree_cover]]*100</f>
        <v>7.2673864414843994</v>
      </c>
    </row>
    <row r="1247" spans="1:20" x14ac:dyDescent="0.2">
      <c r="A1247">
        <v>1</v>
      </c>
      <c r="B1247" t="s">
        <v>1265</v>
      </c>
      <c r="C1247">
        <v>26.887743764172299</v>
      </c>
      <c r="D1247">
        <v>771.16869288470502</v>
      </c>
      <c r="E1247">
        <v>6.8497636882728603</v>
      </c>
      <c r="F1247">
        <v>25.473956736632601</v>
      </c>
      <c r="G1247">
        <v>98</v>
      </c>
      <c r="H1247">
        <v>566.51373291015602</v>
      </c>
      <c r="I1247">
        <v>6.7828113973136706E-2</v>
      </c>
      <c r="K1247" s="1" t="str">
        <f>TEXT(stand_validation_1cycle[[#This Row],[stand_age]], ".0")</f>
        <v>26.9</v>
      </c>
      <c r="L1247" s="1" t="str">
        <f t="shared" si="19"/>
        <v>"26.9"</v>
      </c>
      <c r="M1247">
        <v>100</v>
      </c>
      <c r="N1247">
        <f>0.029*stand_validation_1cycle[[#This Row],[stand_level_biomass]]</f>
        <v>22.363892093656446</v>
      </c>
      <c r="O1247">
        <f>0.213*stand_validation_1cycle[[#This Row],[stand_level_biomass]]</f>
        <v>164.25893158444217</v>
      </c>
      <c r="P1247">
        <f>0.571*stand_validation_1cycle[[#This Row],[stand_level_biomass]]</f>
        <v>440.33732363716655</v>
      </c>
      <c r="Q1247">
        <f>stand_validation_1cycle[[#This Row],[stock]]</f>
        <v>98</v>
      </c>
      <c r="R1247">
        <v>0</v>
      </c>
      <c r="S1247">
        <f>stand_validation_1cycle[[#This Row],[aws]]</f>
        <v>566.51373291015602</v>
      </c>
      <c r="T1247">
        <f>stand_validation_1cycle[[#This Row],[percent_tree_cover]]*100</f>
        <v>6.7828113973136706</v>
      </c>
    </row>
    <row r="1248" spans="1:20" x14ac:dyDescent="0.2">
      <c r="A1248">
        <v>1</v>
      </c>
      <c r="B1248" t="s">
        <v>1266</v>
      </c>
      <c r="C1248">
        <v>29.216188888888802</v>
      </c>
      <c r="D1248">
        <v>890.27933540361698</v>
      </c>
      <c r="E1248">
        <v>7.8342021666274704</v>
      </c>
      <c r="F1248">
        <v>27.094432820667102</v>
      </c>
      <c r="G1248">
        <v>100</v>
      </c>
      <c r="H1248">
        <v>569.645263671875</v>
      </c>
      <c r="I1248">
        <v>7.8040174937837603E-2</v>
      </c>
      <c r="K1248" s="1" t="str">
        <f>TEXT(stand_validation_1cycle[[#This Row],[stand_age]], ".0")</f>
        <v>29.2</v>
      </c>
      <c r="L1248" s="1" t="str">
        <f t="shared" si="19"/>
        <v>"29.2"</v>
      </c>
      <c r="M1248">
        <v>100</v>
      </c>
      <c r="N1248">
        <f>0.029*stand_validation_1cycle[[#This Row],[stand_level_biomass]]</f>
        <v>25.818100726704895</v>
      </c>
      <c r="O1248">
        <f>0.213*stand_validation_1cycle[[#This Row],[stand_level_biomass]]</f>
        <v>189.62949844097042</v>
      </c>
      <c r="P1248">
        <f>0.571*stand_validation_1cycle[[#This Row],[stand_level_biomass]]</f>
        <v>508.34950051546525</v>
      </c>
      <c r="Q1248">
        <f>stand_validation_1cycle[[#This Row],[stock]]</f>
        <v>100</v>
      </c>
      <c r="R1248">
        <v>0</v>
      </c>
      <c r="S1248">
        <f>stand_validation_1cycle[[#This Row],[aws]]</f>
        <v>569.645263671875</v>
      </c>
      <c r="T1248">
        <f>stand_validation_1cycle[[#This Row],[percent_tree_cover]]*100</f>
        <v>7.8040174937837605</v>
      </c>
    </row>
    <row r="1249" spans="1:20" x14ac:dyDescent="0.2">
      <c r="A1249">
        <v>1</v>
      </c>
      <c r="B1249" t="s">
        <v>1267</v>
      </c>
      <c r="C1249">
        <v>27.110235690235601</v>
      </c>
      <c r="D1249">
        <v>872.54994669820701</v>
      </c>
      <c r="E1249">
        <v>7.6028199406997699</v>
      </c>
      <c r="F1249">
        <v>26.550574201162998</v>
      </c>
      <c r="G1249">
        <v>99</v>
      </c>
      <c r="H1249">
        <v>566.51373291015602</v>
      </c>
      <c r="I1249">
        <v>7.5644468170282697E-2</v>
      </c>
      <c r="K1249" s="1" t="str">
        <f>TEXT(stand_validation_1cycle[[#This Row],[stand_age]], ".0")</f>
        <v>27.1</v>
      </c>
      <c r="L1249" s="1" t="str">
        <f t="shared" si="19"/>
        <v>"27.1"</v>
      </c>
      <c r="M1249">
        <v>100</v>
      </c>
      <c r="N1249">
        <f>0.029*stand_validation_1cycle[[#This Row],[stand_level_biomass]]</f>
        <v>25.303948454248005</v>
      </c>
      <c r="O1249">
        <f>0.213*stand_validation_1cycle[[#This Row],[stand_level_biomass]]</f>
        <v>185.85313864671809</v>
      </c>
      <c r="P1249">
        <f>0.571*stand_validation_1cycle[[#This Row],[stand_level_biomass]]</f>
        <v>498.22601956467616</v>
      </c>
      <c r="Q1249">
        <f>stand_validation_1cycle[[#This Row],[stock]]</f>
        <v>99</v>
      </c>
      <c r="R1249">
        <v>0</v>
      </c>
      <c r="S1249">
        <f>stand_validation_1cycle[[#This Row],[aws]]</f>
        <v>566.51373291015602</v>
      </c>
      <c r="T1249">
        <f>stand_validation_1cycle[[#This Row],[percent_tree_cover]]*100</f>
        <v>7.5644468170282693</v>
      </c>
    </row>
    <row r="1250" spans="1:20" x14ac:dyDescent="0.2">
      <c r="A1250">
        <v>1</v>
      </c>
      <c r="B1250" t="s">
        <v>1268</v>
      </c>
      <c r="C1250">
        <v>28.6477111111111</v>
      </c>
      <c r="D1250">
        <v>1029.3713236532201</v>
      </c>
      <c r="E1250">
        <v>8.9056282039673302</v>
      </c>
      <c r="F1250">
        <v>29.1821198881571</v>
      </c>
      <c r="G1250">
        <v>100</v>
      </c>
      <c r="H1250">
        <v>485</v>
      </c>
      <c r="I1250">
        <v>8.8743105983177001E-2</v>
      </c>
      <c r="K1250" s="1" t="str">
        <f>TEXT(stand_validation_1cycle[[#This Row],[stand_age]], ".0")</f>
        <v>28.6</v>
      </c>
      <c r="L1250" s="1" t="str">
        <f t="shared" si="19"/>
        <v>"28.6"</v>
      </c>
      <c r="M1250">
        <v>100</v>
      </c>
      <c r="N1250">
        <f>0.029*stand_validation_1cycle[[#This Row],[stand_level_biomass]]</f>
        <v>29.851768385943384</v>
      </c>
      <c r="O1250">
        <f>0.213*stand_validation_1cycle[[#This Row],[stand_level_biomass]]</f>
        <v>219.25609193813588</v>
      </c>
      <c r="P1250">
        <f>0.571*stand_validation_1cycle[[#This Row],[stand_level_biomass]]</f>
        <v>587.77102580598864</v>
      </c>
      <c r="Q1250">
        <f>stand_validation_1cycle[[#This Row],[stock]]</f>
        <v>100</v>
      </c>
      <c r="R1250">
        <v>0</v>
      </c>
      <c r="S1250">
        <f>stand_validation_1cycle[[#This Row],[aws]]</f>
        <v>485</v>
      </c>
      <c r="T1250">
        <f>stand_validation_1cycle[[#This Row],[percent_tree_cover]]*100</f>
        <v>8.8743105983177006</v>
      </c>
    </row>
    <row r="1251" spans="1:20" x14ac:dyDescent="0.2">
      <c r="A1251">
        <v>1</v>
      </c>
      <c r="B1251" t="s">
        <v>1269</v>
      </c>
      <c r="C1251">
        <v>26.728119658119599</v>
      </c>
      <c r="D1251">
        <v>594.93854690752403</v>
      </c>
      <c r="E1251">
        <v>1.4961780034849901</v>
      </c>
      <c r="F1251">
        <v>24.288751063802099</v>
      </c>
      <c r="G1251">
        <v>26</v>
      </c>
      <c r="H1251">
        <v>485</v>
      </c>
      <c r="I1251">
        <v>5.3166329597485303E-2</v>
      </c>
      <c r="K1251" s="1" t="str">
        <f>TEXT(stand_validation_1cycle[[#This Row],[stand_age]], ".0")</f>
        <v>26.7</v>
      </c>
      <c r="L1251" s="1" t="str">
        <f t="shared" si="19"/>
        <v>"26.7"</v>
      </c>
      <c r="M1251">
        <v>100</v>
      </c>
      <c r="N1251">
        <f>0.029*stand_validation_1cycle[[#This Row],[stand_level_biomass]]</f>
        <v>17.253217860318198</v>
      </c>
      <c r="O1251">
        <f>0.213*stand_validation_1cycle[[#This Row],[stand_level_biomass]]</f>
        <v>126.72191049130261</v>
      </c>
      <c r="P1251">
        <f>0.571*stand_validation_1cycle[[#This Row],[stand_level_biomass]]</f>
        <v>339.70991028419621</v>
      </c>
      <c r="Q1251">
        <f>stand_validation_1cycle[[#This Row],[stock]]</f>
        <v>26</v>
      </c>
      <c r="R1251">
        <v>0</v>
      </c>
      <c r="S1251">
        <f>stand_validation_1cycle[[#This Row],[aws]]</f>
        <v>485</v>
      </c>
      <c r="T1251">
        <f>stand_validation_1cycle[[#This Row],[percent_tree_cover]]*100</f>
        <v>5.3166329597485307</v>
      </c>
    </row>
    <row r="1252" spans="1:20" x14ac:dyDescent="0.2">
      <c r="A1252">
        <v>1</v>
      </c>
      <c r="B1252" t="s">
        <v>1270</v>
      </c>
      <c r="C1252">
        <v>28.149049382716001</v>
      </c>
      <c r="D1252">
        <v>978.072532628256</v>
      </c>
      <c r="E1252">
        <v>7.6901884177942703</v>
      </c>
      <c r="F1252">
        <v>28.576462288157099</v>
      </c>
      <c r="G1252">
        <v>90</v>
      </c>
      <c r="H1252">
        <v>525.26690673828102</v>
      </c>
      <c r="I1252">
        <v>8.5325372218010898E-2</v>
      </c>
      <c r="K1252" s="1" t="str">
        <f>TEXT(stand_validation_1cycle[[#This Row],[stand_age]], ".0")</f>
        <v>28.1</v>
      </c>
      <c r="L1252" s="1" t="str">
        <f t="shared" si="19"/>
        <v>"28.1"</v>
      </c>
      <c r="M1252">
        <v>100</v>
      </c>
      <c r="N1252">
        <f>0.029*stand_validation_1cycle[[#This Row],[stand_level_biomass]]</f>
        <v>28.364103446219424</v>
      </c>
      <c r="O1252">
        <f>0.213*stand_validation_1cycle[[#This Row],[stand_level_biomass]]</f>
        <v>208.32944944981853</v>
      </c>
      <c r="P1252">
        <f>0.571*stand_validation_1cycle[[#This Row],[stand_level_biomass]]</f>
        <v>558.47941613073408</v>
      </c>
      <c r="Q1252">
        <f>stand_validation_1cycle[[#This Row],[stock]]</f>
        <v>90</v>
      </c>
      <c r="R1252">
        <v>0</v>
      </c>
      <c r="S1252">
        <f>stand_validation_1cycle[[#This Row],[aws]]</f>
        <v>525.26690673828102</v>
      </c>
      <c r="T1252">
        <f>stand_validation_1cycle[[#This Row],[percent_tree_cover]]*100</f>
        <v>8.5325372218010891</v>
      </c>
    </row>
    <row r="1253" spans="1:20" x14ac:dyDescent="0.2">
      <c r="A1253">
        <v>1</v>
      </c>
      <c r="B1253" t="s">
        <v>1271</v>
      </c>
      <c r="C1253">
        <v>27.789270482603801</v>
      </c>
      <c r="D1253">
        <v>878.43727344215404</v>
      </c>
      <c r="E1253">
        <v>7.7491513995131696</v>
      </c>
      <c r="F1253">
        <v>27.605965985930698</v>
      </c>
      <c r="G1253">
        <v>99</v>
      </c>
      <c r="H1253">
        <v>523.002685546875</v>
      </c>
      <c r="I1253">
        <v>7.6933512470356097E-2</v>
      </c>
      <c r="K1253" s="1" t="str">
        <f>TEXT(stand_validation_1cycle[[#This Row],[stand_age]], ".0")</f>
        <v>27.8</v>
      </c>
      <c r="L1253" s="1" t="str">
        <f t="shared" si="19"/>
        <v>"27.8"</v>
      </c>
      <c r="M1253">
        <v>100</v>
      </c>
      <c r="N1253">
        <f>0.029*stand_validation_1cycle[[#This Row],[stand_level_biomass]]</f>
        <v>25.474680929822469</v>
      </c>
      <c r="O1253">
        <f>0.213*stand_validation_1cycle[[#This Row],[stand_level_biomass]]</f>
        <v>187.10713924317881</v>
      </c>
      <c r="P1253">
        <f>0.571*stand_validation_1cycle[[#This Row],[stand_level_biomass]]</f>
        <v>501.58768313546989</v>
      </c>
      <c r="Q1253">
        <f>stand_validation_1cycle[[#This Row],[stock]]</f>
        <v>99</v>
      </c>
      <c r="R1253">
        <v>0</v>
      </c>
      <c r="S1253">
        <f>stand_validation_1cycle[[#This Row],[aws]]</f>
        <v>523.002685546875</v>
      </c>
      <c r="T1253">
        <f>stand_validation_1cycle[[#This Row],[percent_tree_cover]]*100</f>
        <v>7.6933512470356096</v>
      </c>
    </row>
    <row r="1254" spans="1:20" x14ac:dyDescent="0.2">
      <c r="A1254">
        <v>1</v>
      </c>
      <c r="B1254" t="s">
        <v>1272</v>
      </c>
      <c r="C1254">
        <v>26.1630222222222</v>
      </c>
      <c r="D1254">
        <v>710.61126617815898</v>
      </c>
      <c r="E1254">
        <v>6.4859491948294101</v>
      </c>
      <c r="F1254">
        <v>24.779374173274199</v>
      </c>
      <c r="G1254">
        <v>100</v>
      </c>
      <c r="H1254">
        <v>544</v>
      </c>
      <c r="I1254">
        <v>6.4631953789822005E-2</v>
      </c>
      <c r="K1254" s="1" t="str">
        <f>TEXT(stand_validation_1cycle[[#This Row],[stand_age]], ".0")</f>
        <v>26.2</v>
      </c>
      <c r="L1254" s="1" t="str">
        <f t="shared" si="19"/>
        <v>"26.2"</v>
      </c>
      <c r="M1254">
        <v>100</v>
      </c>
      <c r="N1254">
        <f>0.029*stand_validation_1cycle[[#This Row],[stand_level_biomass]]</f>
        <v>20.60772671916661</v>
      </c>
      <c r="O1254">
        <f>0.213*stand_validation_1cycle[[#This Row],[stand_level_biomass]]</f>
        <v>151.36019969594787</v>
      </c>
      <c r="P1254">
        <f>0.571*stand_validation_1cycle[[#This Row],[stand_level_biomass]]</f>
        <v>405.75903298772874</v>
      </c>
      <c r="Q1254">
        <f>stand_validation_1cycle[[#This Row],[stock]]</f>
        <v>100</v>
      </c>
      <c r="R1254">
        <v>0</v>
      </c>
      <c r="S1254">
        <f>stand_validation_1cycle[[#This Row],[aws]]</f>
        <v>544</v>
      </c>
      <c r="T1254">
        <f>stand_validation_1cycle[[#This Row],[percent_tree_cover]]*100</f>
        <v>6.463195378982201</v>
      </c>
    </row>
    <row r="1255" spans="1:20" x14ac:dyDescent="0.2">
      <c r="A1255">
        <v>1</v>
      </c>
      <c r="B1255" t="s">
        <v>1273</v>
      </c>
      <c r="C1255">
        <v>28.6307789232531</v>
      </c>
      <c r="D1255">
        <v>1063.9148332828599</v>
      </c>
      <c r="E1255">
        <v>8.8672976320008896</v>
      </c>
      <c r="F1255">
        <v>29.000345647926299</v>
      </c>
      <c r="G1255">
        <v>97</v>
      </c>
      <c r="H1255">
        <v>592.59411621093705</v>
      </c>
      <c r="I1255">
        <v>8.7795257380227101E-2</v>
      </c>
      <c r="K1255" s="1" t="str">
        <f>TEXT(stand_validation_1cycle[[#This Row],[stand_age]], ".0")</f>
        <v>28.6</v>
      </c>
      <c r="L1255" s="1" t="str">
        <f t="shared" si="19"/>
        <v>"28.6"</v>
      </c>
      <c r="M1255">
        <v>100</v>
      </c>
      <c r="N1255">
        <f>0.029*stand_validation_1cycle[[#This Row],[stand_level_biomass]]</f>
        <v>30.85353016520294</v>
      </c>
      <c r="O1255">
        <f>0.213*stand_validation_1cycle[[#This Row],[stand_level_biomass]]</f>
        <v>226.61385948924917</v>
      </c>
      <c r="P1255">
        <f>0.571*stand_validation_1cycle[[#This Row],[stand_level_biomass]]</f>
        <v>607.49536980451296</v>
      </c>
      <c r="Q1255">
        <f>stand_validation_1cycle[[#This Row],[stock]]</f>
        <v>97</v>
      </c>
      <c r="R1255">
        <v>0</v>
      </c>
      <c r="S1255">
        <f>stand_validation_1cycle[[#This Row],[aws]]</f>
        <v>592.59411621093705</v>
      </c>
      <c r="T1255">
        <f>stand_validation_1cycle[[#This Row],[percent_tree_cover]]*100</f>
        <v>8.779525738022711</v>
      </c>
    </row>
    <row r="1256" spans="1:20" x14ac:dyDescent="0.2">
      <c r="A1256">
        <v>1</v>
      </c>
      <c r="B1256" t="s">
        <v>1274</v>
      </c>
      <c r="C1256">
        <v>26.609222222222201</v>
      </c>
      <c r="D1256">
        <v>779.90167351292905</v>
      </c>
      <c r="E1256">
        <v>7.0426559064069503</v>
      </c>
      <c r="F1256">
        <v>25.988400687777101</v>
      </c>
      <c r="G1256">
        <v>100</v>
      </c>
      <c r="H1256">
        <v>523.149169921875</v>
      </c>
      <c r="I1256">
        <v>7.0186353313347799E-2</v>
      </c>
      <c r="K1256" s="1" t="str">
        <f>TEXT(stand_validation_1cycle[[#This Row],[stand_age]], ".0")</f>
        <v>26.6</v>
      </c>
      <c r="L1256" s="1" t="str">
        <f t="shared" si="19"/>
        <v>"26.6"</v>
      </c>
      <c r="M1256">
        <v>100</v>
      </c>
      <c r="N1256">
        <f>0.029*stand_validation_1cycle[[#This Row],[stand_level_biomass]]</f>
        <v>22.617148531874943</v>
      </c>
      <c r="O1256">
        <f>0.213*stand_validation_1cycle[[#This Row],[stand_level_biomass]]</f>
        <v>166.11905645825388</v>
      </c>
      <c r="P1256">
        <f>0.571*stand_validation_1cycle[[#This Row],[stand_level_biomass]]</f>
        <v>445.32385557588248</v>
      </c>
      <c r="Q1256">
        <f>stand_validation_1cycle[[#This Row],[stock]]</f>
        <v>100</v>
      </c>
      <c r="R1256">
        <v>0</v>
      </c>
      <c r="S1256">
        <f>stand_validation_1cycle[[#This Row],[aws]]</f>
        <v>523.149169921875</v>
      </c>
      <c r="T1256">
        <f>stand_validation_1cycle[[#This Row],[percent_tree_cover]]*100</f>
        <v>7.0186353313347798</v>
      </c>
    </row>
    <row r="1257" spans="1:20" x14ac:dyDescent="0.2">
      <c r="A1257">
        <v>1</v>
      </c>
      <c r="B1257" t="s">
        <v>1275</v>
      </c>
      <c r="C1257">
        <v>25.391492704826</v>
      </c>
      <c r="D1257">
        <v>661.87579993320503</v>
      </c>
      <c r="E1257">
        <v>6.2468763500857198</v>
      </c>
      <c r="F1257">
        <v>25.048096933318899</v>
      </c>
      <c r="G1257">
        <v>99</v>
      </c>
      <c r="H1257">
        <v>570.94989013671795</v>
      </c>
      <c r="I1257">
        <v>6.1704230687622201E-2</v>
      </c>
      <c r="K1257" s="1" t="str">
        <f>TEXT(stand_validation_1cycle[[#This Row],[stand_age]], ".0")</f>
        <v>25.4</v>
      </c>
      <c r="L1257" s="1" t="str">
        <f t="shared" si="19"/>
        <v>"25.4"</v>
      </c>
      <c r="M1257">
        <v>100</v>
      </c>
      <c r="N1257">
        <f>0.029*stand_validation_1cycle[[#This Row],[stand_level_biomass]]</f>
        <v>19.194398198062945</v>
      </c>
      <c r="O1257">
        <f>0.213*stand_validation_1cycle[[#This Row],[stand_level_biomass]]</f>
        <v>140.97954538577267</v>
      </c>
      <c r="P1257">
        <f>0.571*stand_validation_1cycle[[#This Row],[stand_level_biomass]]</f>
        <v>377.93108176186001</v>
      </c>
      <c r="Q1257">
        <f>stand_validation_1cycle[[#This Row],[stock]]</f>
        <v>99</v>
      </c>
      <c r="R1257">
        <v>0</v>
      </c>
      <c r="S1257">
        <f>stand_validation_1cycle[[#This Row],[aws]]</f>
        <v>570.94989013671795</v>
      </c>
      <c r="T1257">
        <f>stand_validation_1cycle[[#This Row],[percent_tree_cover]]*100</f>
        <v>6.1704230687622204</v>
      </c>
    </row>
    <row r="1258" spans="1:20" x14ac:dyDescent="0.2">
      <c r="A1258">
        <v>1</v>
      </c>
      <c r="B1258" t="s">
        <v>1276</v>
      </c>
      <c r="C1258">
        <v>27.459588888888899</v>
      </c>
      <c r="D1258">
        <v>852.77042639217098</v>
      </c>
      <c r="E1258">
        <v>7.6021287903159802</v>
      </c>
      <c r="F1258">
        <v>26.903128478298498</v>
      </c>
      <c r="G1258">
        <v>100</v>
      </c>
      <c r="H1258">
        <v>564.93444824218705</v>
      </c>
      <c r="I1258">
        <v>7.5749004934414305E-2</v>
      </c>
      <c r="K1258" s="1" t="str">
        <f>TEXT(stand_validation_1cycle[[#This Row],[stand_age]], ".0")</f>
        <v>27.5</v>
      </c>
      <c r="L1258" s="1" t="str">
        <f t="shared" si="19"/>
        <v>"27.5"</v>
      </c>
      <c r="M1258">
        <v>100</v>
      </c>
      <c r="N1258">
        <f>0.029*stand_validation_1cycle[[#This Row],[stand_level_biomass]]</f>
        <v>24.730342365372959</v>
      </c>
      <c r="O1258">
        <f>0.213*stand_validation_1cycle[[#This Row],[stand_level_biomass]]</f>
        <v>181.6401008215324</v>
      </c>
      <c r="P1258">
        <f>0.571*stand_validation_1cycle[[#This Row],[stand_level_biomass]]</f>
        <v>486.93191346992961</v>
      </c>
      <c r="Q1258">
        <f>stand_validation_1cycle[[#This Row],[stock]]</f>
        <v>100</v>
      </c>
      <c r="R1258">
        <v>0</v>
      </c>
      <c r="S1258">
        <f>stand_validation_1cycle[[#This Row],[aws]]</f>
        <v>564.93444824218705</v>
      </c>
      <c r="T1258">
        <f>stand_validation_1cycle[[#This Row],[percent_tree_cover]]*100</f>
        <v>7.5749004934414303</v>
      </c>
    </row>
    <row r="1259" spans="1:20" x14ac:dyDescent="0.2">
      <c r="A1259">
        <v>1</v>
      </c>
      <c r="B1259" t="s">
        <v>1277</v>
      </c>
      <c r="C1259">
        <v>28.3456444444444</v>
      </c>
      <c r="D1259">
        <v>851.23650216686406</v>
      </c>
      <c r="E1259">
        <v>7.6658057318115898</v>
      </c>
      <c r="F1259">
        <v>27.4705376210471</v>
      </c>
      <c r="G1259">
        <v>100</v>
      </c>
      <c r="H1259">
        <v>566.51373291015602</v>
      </c>
      <c r="I1259">
        <v>7.6389686831129899E-2</v>
      </c>
      <c r="K1259" s="1" t="str">
        <f>TEXT(stand_validation_1cycle[[#This Row],[stand_age]], ".0")</f>
        <v>28.3</v>
      </c>
      <c r="L1259" s="1" t="str">
        <f t="shared" si="19"/>
        <v>"28.3"</v>
      </c>
      <c r="M1259">
        <v>100</v>
      </c>
      <c r="N1259">
        <f>0.029*stand_validation_1cycle[[#This Row],[stand_level_biomass]]</f>
        <v>24.685858562839059</v>
      </c>
      <c r="O1259">
        <f>0.213*stand_validation_1cycle[[#This Row],[stand_level_biomass]]</f>
        <v>181.31337496154205</v>
      </c>
      <c r="P1259">
        <f>0.571*stand_validation_1cycle[[#This Row],[stand_level_biomass]]</f>
        <v>486.05604273727931</v>
      </c>
      <c r="Q1259">
        <f>stand_validation_1cycle[[#This Row],[stock]]</f>
        <v>100</v>
      </c>
      <c r="R1259">
        <v>0</v>
      </c>
      <c r="S1259">
        <f>stand_validation_1cycle[[#This Row],[aws]]</f>
        <v>566.51373291015602</v>
      </c>
      <c r="T1259">
        <f>stand_validation_1cycle[[#This Row],[percent_tree_cover]]*100</f>
        <v>7.6389686831129904</v>
      </c>
    </row>
    <row r="1260" spans="1:20" x14ac:dyDescent="0.2">
      <c r="A1260">
        <v>1</v>
      </c>
      <c r="B1260" t="s">
        <v>1278</v>
      </c>
      <c r="C1260">
        <v>26.545215419501101</v>
      </c>
      <c r="D1260">
        <v>691.84277133277601</v>
      </c>
      <c r="E1260">
        <v>3.1761768763168301</v>
      </c>
      <c r="F1260">
        <v>25.350533218690899</v>
      </c>
      <c r="G1260">
        <v>49</v>
      </c>
      <c r="H1260">
        <v>400</v>
      </c>
      <c r="I1260">
        <v>6.6927778929013207E-2</v>
      </c>
      <c r="K1260" s="1" t="str">
        <f>TEXT(stand_validation_1cycle[[#This Row],[stand_age]], ".0")</f>
        <v>26.5</v>
      </c>
      <c r="L1260" s="1" t="str">
        <f t="shared" si="19"/>
        <v>"26.5"</v>
      </c>
      <c r="M1260">
        <v>100</v>
      </c>
      <c r="N1260">
        <f>0.029*stand_validation_1cycle[[#This Row],[stand_level_biomass]]</f>
        <v>20.063440368650504</v>
      </c>
      <c r="O1260">
        <f>0.213*stand_validation_1cycle[[#This Row],[stand_level_biomass]]</f>
        <v>147.36251029388129</v>
      </c>
      <c r="P1260">
        <f>0.571*stand_validation_1cycle[[#This Row],[stand_level_biomass]]</f>
        <v>395.04222243101509</v>
      </c>
      <c r="Q1260">
        <f>stand_validation_1cycle[[#This Row],[stock]]</f>
        <v>49</v>
      </c>
      <c r="R1260">
        <v>0</v>
      </c>
      <c r="S1260">
        <f>stand_validation_1cycle[[#This Row],[aws]]</f>
        <v>400</v>
      </c>
      <c r="T1260">
        <f>stand_validation_1cycle[[#This Row],[percent_tree_cover]]*100</f>
        <v>6.6927778929013204</v>
      </c>
    </row>
    <row r="1261" spans="1:20" x14ac:dyDescent="0.2">
      <c r="A1261">
        <v>1</v>
      </c>
      <c r="B1261" t="s">
        <v>1279</v>
      </c>
      <c r="C1261">
        <v>25.093804713804701</v>
      </c>
      <c r="D1261">
        <v>426.41968410341201</v>
      </c>
      <c r="E1261">
        <v>1.4935021519423</v>
      </c>
      <c r="F1261">
        <v>22.2376491788051</v>
      </c>
      <c r="G1261">
        <v>33</v>
      </c>
      <c r="H1261">
        <v>566.51373291015602</v>
      </c>
      <c r="I1261">
        <v>4.8877680450368999E-2</v>
      </c>
      <c r="K1261" s="1" t="str">
        <f>TEXT(stand_validation_1cycle[[#This Row],[stand_age]], ".0")</f>
        <v>25.1</v>
      </c>
      <c r="L1261" s="1" t="str">
        <f t="shared" si="19"/>
        <v>"25.1"</v>
      </c>
      <c r="M1261">
        <v>100</v>
      </c>
      <c r="N1261">
        <f>0.029*stand_validation_1cycle[[#This Row],[stand_level_biomass]]</f>
        <v>12.366170838998949</v>
      </c>
      <c r="O1261">
        <f>0.213*stand_validation_1cycle[[#This Row],[stand_level_biomass]]</f>
        <v>90.827392714026757</v>
      </c>
      <c r="P1261">
        <f>0.571*stand_validation_1cycle[[#This Row],[stand_level_biomass]]</f>
        <v>243.48563962304823</v>
      </c>
      <c r="Q1261">
        <f>stand_validation_1cycle[[#This Row],[stock]]</f>
        <v>33</v>
      </c>
      <c r="R1261">
        <v>0</v>
      </c>
      <c r="S1261">
        <f>stand_validation_1cycle[[#This Row],[aws]]</f>
        <v>566.51373291015602</v>
      </c>
      <c r="T1261">
        <f>stand_validation_1cycle[[#This Row],[percent_tree_cover]]*100</f>
        <v>4.8877680450368999</v>
      </c>
    </row>
    <row r="1262" spans="1:20" x14ac:dyDescent="0.2">
      <c r="A1262">
        <v>1</v>
      </c>
      <c r="B1262" t="s">
        <v>1280</v>
      </c>
      <c r="C1262">
        <v>28.786518518518498</v>
      </c>
      <c r="D1262">
        <v>921.15121684412998</v>
      </c>
      <c r="E1262">
        <v>2.4281887982383301</v>
      </c>
      <c r="F1262">
        <v>27.4808738432904</v>
      </c>
      <c r="G1262">
        <v>30</v>
      </c>
      <c r="H1262">
        <v>485</v>
      </c>
      <c r="I1262">
        <v>7.9454979799880796E-2</v>
      </c>
      <c r="K1262" s="1" t="str">
        <f>TEXT(stand_validation_1cycle[[#This Row],[stand_age]], ".0")</f>
        <v>28.8</v>
      </c>
      <c r="L1262" s="1" t="str">
        <f t="shared" si="19"/>
        <v>"28.8"</v>
      </c>
      <c r="M1262">
        <v>100</v>
      </c>
      <c r="N1262">
        <f>0.029*stand_validation_1cycle[[#This Row],[stand_level_biomass]]</f>
        <v>26.71338528847977</v>
      </c>
      <c r="O1262">
        <f>0.213*stand_validation_1cycle[[#This Row],[stand_level_biomass]]</f>
        <v>196.20520918779968</v>
      </c>
      <c r="P1262">
        <f>0.571*stand_validation_1cycle[[#This Row],[stand_level_biomass]]</f>
        <v>525.97734481799819</v>
      </c>
      <c r="Q1262">
        <f>stand_validation_1cycle[[#This Row],[stock]]</f>
        <v>30</v>
      </c>
      <c r="R1262">
        <v>0</v>
      </c>
      <c r="S1262">
        <f>stand_validation_1cycle[[#This Row],[aws]]</f>
        <v>485</v>
      </c>
      <c r="T1262">
        <f>stand_validation_1cycle[[#This Row],[percent_tree_cover]]*100</f>
        <v>7.9454979799880796</v>
      </c>
    </row>
    <row r="1263" spans="1:20" x14ac:dyDescent="0.2">
      <c r="A1263">
        <v>1</v>
      </c>
      <c r="B1263" t="s">
        <v>1281</v>
      </c>
      <c r="C1263">
        <v>38.379506172839498</v>
      </c>
      <c r="D1263">
        <v>1594.6170227570001</v>
      </c>
      <c r="E1263">
        <v>1.1833594127909299</v>
      </c>
      <c r="F1263">
        <v>36.175180954190402</v>
      </c>
      <c r="G1263">
        <v>9</v>
      </c>
      <c r="H1263">
        <v>485</v>
      </c>
      <c r="I1263">
        <v>0.137923870324726</v>
      </c>
      <c r="K1263" s="1" t="str">
        <f>TEXT(stand_validation_1cycle[[#This Row],[stand_age]], ".0")</f>
        <v>38.4</v>
      </c>
      <c r="L1263" s="1" t="str">
        <f t="shared" si="19"/>
        <v>"38.4"</v>
      </c>
      <c r="M1263">
        <v>100</v>
      </c>
      <c r="N1263">
        <f>0.029*stand_validation_1cycle[[#This Row],[stand_level_biomass]]</f>
        <v>46.243893659953002</v>
      </c>
      <c r="O1263">
        <f>0.213*stand_validation_1cycle[[#This Row],[stand_level_biomass]]</f>
        <v>339.65342584724101</v>
      </c>
      <c r="P1263">
        <f>0.571*stand_validation_1cycle[[#This Row],[stand_level_biomass]]</f>
        <v>910.52631999424693</v>
      </c>
      <c r="Q1263">
        <f>stand_validation_1cycle[[#This Row],[stock]]</f>
        <v>9</v>
      </c>
      <c r="R1263">
        <v>0</v>
      </c>
      <c r="S1263">
        <f>stand_validation_1cycle[[#This Row],[aws]]</f>
        <v>485</v>
      </c>
      <c r="T1263">
        <f>stand_validation_1cycle[[#This Row],[percent_tree_cover]]*100</f>
        <v>13.7923870324726</v>
      </c>
    </row>
    <row r="1264" spans="1:20" x14ac:dyDescent="0.2">
      <c r="A1264">
        <v>1</v>
      </c>
      <c r="B1264" t="s">
        <v>1282</v>
      </c>
      <c r="C1264">
        <v>25.987049382715998</v>
      </c>
      <c r="D1264">
        <v>787.05555669667694</v>
      </c>
      <c r="E1264">
        <v>6.5459119884103103</v>
      </c>
      <c r="F1264">
        <v>27.2460057433677</v>
      </c>
      <c r="G1264">
        <v>90</v>
      </c>
      <c r="H1264">
        <v>525.21630859375</v>
      </c>
      <c r="I1264">
        <v>7.2674058130957495E-2</v>
      </c>
      <c r="K1264" s="1" t="str">
        <f>TEXT(stand_validation_1cycle[[#This Row],[stand_age]], ".0")</f>
        <v>26.0</v>
      </c>
      <c r="L1264" s="1" t="str">
        <f t="shared" si="19"/>
        <v>"26.0"</v>
      </c>
      <c r="M1264">
        <v>100</v>
      </c>
      <c r="N1264">
        <f>0.029*stand_validation_1cycle[[#This Row],[stand_level_biomass]]</f>
        <v>22.824611144203633</v>
      </c>
      <c r="O1264">
        <f>0.213*stand_validation_1cycle[[#This Row],[stand_level_biomass]]</f>
        <v>167.64283357639218</v>
      </c>
      <c r="P1264">
        <f>0.571*stand_validation_1cycle[[#This Row],[stand_level_biomass]]</f>
        <v>449.4087228738025</v>
      </c>
      <c r="Q1264">
        <f>stand_validation_1cycle[[#This Row],[stock]]</f>
        <v>90</v>
      </c>
      <c r="R1264">
        <v>0</v>
      </c>
      <c r="S1264">
        <f>stand_validation_1cycle[[#This Row],[aws]]</f>
        <v>525.21630859375</v>
      </c>
      <c r="T1264">
        <f>stand_validation_1cycle[[#This Row],[percent_tree_cover]]*100</f>
        <v>7.2674058130957491</v>
      </c>
    </row>
    <row r="1265" spans="1:20" x14ac:dyDescent="0.2">
      <c r="A1265">
        <v>1</v>
      </c>
      <c r="B1265" t="s">
        <v>1283</v>
      </c>
      <c r="C1265">
        <v>27.710522222222199</v>
      </c>
      <c r="D1265">
        <v>883.14294435144404</v>
      </c>
      <c r="E1265">
        <v>7.7586390093270099</v>
      </c>
      <c r="F1265">
        <v>26.721927712349501</v>
      </c>
      <c r="G1265">
        <v>100</v>
      </c>
      <c r="H1265">
        <v>523.002685546875</v>
      </c>
      <c r="I1265">
        <v>7.7309163376871798E-2</v>
      </c>
      <c r="K1265" s="1" t="str">
        <f>TEXT(stand_validation_1cycle[[#This Row],[stand_age]], ".0")</f>
        <v>27.7</v>
      </c>
      <c r="L1265" s="1" t="str">
        <f t="shared" si="19"/>
        <v>"27.7"</v>
      </c>
      <c r="M1265">
        <v>100</v>
      </c>
      <c r="N1265">
        <f>0.029*stand_validation_1cycle[[#This Row],[stand_level_biomass]]</f>
        <v>25.611145386191879</v>
      </c>
      <c r="O1265">
        <f>0.213*stand_validation_1cycle[[#This Row],[stand_level_biomass]]</f>
        <v>188.10944714685758</v>
      </c>
      <c r="P1265">
        <f>0.571*stand_validation_1cycle[[#This Row],[stand_level_biomass]]</f>
        <v>504.27462122467449</v>
      </c>
      <c r="Q1265">
        <f>stand_validation_1cycle[[#This Row],[stock]]</f>
        <v>100</v>
      </c>
      <c r="R1265">
        <v>0</v>
      </c>
      <c r="S1265">
        <f>stand_validation_1cycle[[#This Row],[aws]]</f>
        <v>523.002685546875</v>
      </c>
      <c r="T1265">
        <f>stand_validation_1cycle[[#This Row],[percent_tree_cover]]*100</f>
        <v>7.7309163376871801</v>
      </c>
    </row>
    <row r="1266" spans="1:20" x14ac:dyDescent="0.2">
      <c r="A1266">
        <v>1</v>
      </c>
      <c r="B1266" t="s">
        <v>1284</v>
      </c>
      <c r="C1266">
        <v>27.4931444444444</v>
      </c>
      <c r="D1266">
        <v>768.24389029917404</v>
      </c>
      <c r="E1266">
        <v>7.0304814494761301</v>
      </c>
      <c r="F1266">
        <v>26.463907798036601</v>
      </c>
      <c r="G1266">
        <v>100</v>
      </c>
      <c r="H1266">
        <v>543</v>
      </c>
      <c r="I1266">
        <v>7.0044057349438499E-2</v>
      </c>
      <c r="K1266" s="1" t="str">
        <f>TEXT(stand_validation_1cycle[[#This Row],[stand_age]], ".0")</f>
        <v>27.5</v>
      </c>
      <c r="L1266" s="1" t="str">
        <f t="shared" si="19"/>
        <v>"27.5"</v>
      </c>
      <c r="M1266">
        <v>100</v>
      </c>
      <c r="N1266">
        <f>0.029*stand_validation_1cycle[[#This Row],[stand_level_biomass]]</f>
        <v>22.279072818676049</v>
      </c>
      <c r="O1266">
        <f>0.213*stand_validation_1cycle[[#This Row],[stand_level_biomass]]</f>
        <v>163.63594863372407</v>
      </c>
      <c r="P1266">
        <f>0.571*stand_validation_1cycle[[#This Row],[stand_level_biomass]]</f>
        <v>438.66726136082832</v>
      </c>
      <c r="Q1266">
        <f>stand_validation_1cycle[[#This Row],[stock]]</f>
        <v>100</v>
      </c>
      <c r="R1266">
        <v>0</v>
      </c>
      <c r="S1266">
        <f>stand_validation_1cycle[[#This Row],[aws]]</f>
        <v>543</v>
      </c>
      <c r="T1266">
        <f>stand_validation_1cycle[[#This Row],[percent_tree_cover]]*100</f>
        <v>7.00440573494385</v>
      </c>
    </row>
    <row r="1267" spans="1:20" x14ac:dyDescent="0.2">
      <c r="A1267">
        <v>1</v>
      </c>
      <c r="B1267" t="s">
        <v>1285</v>
      </c>
      <c r="C1267">
        <v>26.798877777777701</v>
      </c>
      <c r="D1267">
        <v>737.65223170293098</v>
      </c>
      <c r="E1267">
        <v>6.7177531795708596</v>
      </c>
      <c r="F1267">
        <v>25.125456455478002</v>
      </c>
      <c r="G1267">
        <v>100</v>
      </c>
      <c r="H1267">
        <v>592.59411621093705</v>
      </c>
      <c r="I1267">
        <v>6.6944107075161796E-2</v>
      </c>
      <c r="K1267" s="1" t="str">
        <f>TEXT(stand_validation_1cycle[[#This Row],[stand_age]], ".0")</f>
        <v>26.8</v>
      </c>
      <c r="L1267" s="1" t="str">
        <f t="shared" si="19"/>
        <v>"26.8"</v>
      </c>
      <c r="M1267">
        <v>100</v>
      </c>
      <c r="N1267">
        <f>0.029*stand_validation_1cycle[[#This Row],[stand_level_biomass]]</f>
        <v>21.391914719384999</v>
      </c>
      <c r="O1267">
        <f>0.213*stand_validation_1cycle[[#This Row],[stand_level_biomass]]</f>
        <v>157.11992535272429</v>
      </c>
      <c r="P1267">
        <f>0.571*stand_validation_1cycle[[#This Row],[stand_level_biomass]]</f>
        <v>421.19942430237353</v>
      </c>
      <c r="Q1267">
        <f>stand_validation_1cycle[[#This Row],[stock]]</f>
        <v>100</v>
      </c>
      <c r="R1267">
        <v>0</v>
      </c>
      <c r="S1267">
        <f>stand_validation_1cycle[[#This Row],[aws]]</f>
        <v>592.59411621093705</v>
      </c>
      <c r="T1267">
        <f>stand_validation_1cycle[[#This Row],[percent_tree_cover]]*100</f>
        <v>6.6944107075161794</v>
      </c>
    </row>
    <row r="1268" spans="1:20" x14ac:dyDescent="0.2">
      <c r="A1268">
        <v>1</v>
      </c>
      <c r="B1268" t="s">
        <v>1286</v>
      </c>
      <c r="C1268">
        <v>27.5161555555555</v>
      </c>
      <c r="D1268">
        <v>871.75093406443602</v>
      </c>
      <c r="E1268">
        <v>7.76973511457948</v>
      </c>
      <c r="F1268">
        <v>27.425668226218999</v>
      </c>
      <c r="G1268">
        <v>100</v>
      </c>
      <c r="H1268">
        <v>523.002685546875</v>
      </c>
      <c r="I1268">
        <v>7.7434263459471298E-2</v>
      </c>
      <c r="K1268" s="1" t="str">
        <f>TEXT(stand_validation_1cycle[[#This Row],[stand_age]], ".0")</f>
        <v>27.5</v>
      </c>
      <c r="L1268" s="1" t="str">
        <f t="shared" si="19"/>
        <v>"27.5"</v>
      </c>
      <c r="M1268">
        <v>100</v>
      </c>
      <c r="N1268">
        <f>0.029*stand_validation_1cycle[[#This Row],[stand_level_biomass]]</f>
        <v>25.280777087868646</v>
      </c>
      <c r="O1268">
        <f>0.213*stand_validation_1cycle[[#This Row],[stand_level_biomass]]</f>
        <v>185.68294895572487</v>
      </c>
      <c r="P1268">
        <f>0.571*stand_validation_1cycle[[#This Row],[stand_level_biomass]]</f>
        <v>497.76978335079292</v>
      </c>
      <c r="Q1268">
        <f>stand_validation_1cycle[[#This Row],[stock]]</f>
        <v>100</v>
      </c>
      <c r="R1268">
        <v>0</v>
      </c>
      <c r="S1268">
        <f>stand_validation_1cycle[[#This Row],[aws]]</f>
        <v>523.002685546875</v>
      </c>
      <c r="T1268">
        <f>stand_validation_1cycle[[#This Row],[percent_tree_cover]]*100</f>
        <v>7.74342634594713</v>
      </c>
    </row>
    <row r="1269" spans="1:20" x14ac:dyDescent="0.2">
      <c r="A1269">
        <v>1</v>
      </c>
      <c r="B1269" t="s">
        <v>1287</v>
      </c>
      <c r="C1269">
        <v>24.644500561167199</v>
      </c>
      <c r="D1269">
        <v>743.59894351933804</v>
      </c>
      <c r="E1269">
        <v>6.7393382772955102</v>
      </c>
      <c r="F1269">
        <v>25.316329579007199</v>
      </c>
      <c r="G1269">
        <v>99</v>
      </c>
      <c r="H1269">
        <v>525.928466796875</v>
      </c>
      <c r="I1269">
        <v>6.6721242061510394E-2</v>
      </c>
      <c r="K1269" s="1" t="str">
        <f>TEXT(stand_validation_1cycle[[#This Row],[stand_age]], ".0")</f>
        <v>24.6</v>
      </c>
      <c r="L1269" s="1" t="str">
        <f t="shared" si="19"/>
        <v>"24.6"</v>
      </c>
      <c r="M1269">
        <v>100</v>
      </c>
      <c r="N1269">
        <f>0.029*stand_validation_1cycle[[#This Row],[stand_level_biomass]]</f>
        <v>21.564369362060805</v>
      </c>
      <c r="O1269">
        <f>0.213*stand_validation_1cycle[[#This Row],[stand_level_biomass]]</f>
        <v>158.38657496961901</v>
      </c>
      <c r="P1269">
        <f>0.571*stand_validation_1cycle[[#This Row],[stand_level_biomass]]</f>
        <v>424.59499674954196</v>
      </c>
      <c r="Q1269">
        <f>stand_validation_1cycle[[#This Row],[stock]]</f>
        <v>99</v>
      </c>
      <c r="R1269">
        <v>0</v>
      </c>
      <c r="S1269">
        <f>stand_validation_1cycle[[#This Row],[aws]]</f>
        <v>525.928466796875</v>
      </c>
      <c r="T1269">
        <f>stand_validation_1cycle[[#This Row],[percent_tree_cover]]*100</f>
        <v>6.6721242061510395</v>
      </c>
    </row>
    <row r="1270" spans="1:20" x14ac:dyDescent="0.2">
      <c r="A1270">
        <v>1</v>
      </c>
      <c r="B1270" t="s">
        <v>1288</v>
      </c>
      <c r="C1270">
        <v>26.369347079037802</v>
      </c>
      <c r="D1270">
        <v>768.19015402935099</v>
      </c>
      <c r="E1270">
        <v>6.8355762558492499</v>
      </c>
      <c r="F1270">
        <v>25.860258024196298</v>
      </c>
      <c r="G1270">
        <v>97</v>
      </c>
      <c r="H1270">
        <v>524.96813964843705</v>
      </c>
      <c r="I1270">
        <v>6.7368890888196198E-2</v>
      </c>
      <c r="K1270" s="1" t="str">
        <f>TEXT(stand_validation_1cycle[[#This Row],[stand_age]], ".0")</f>
        <v>26.4</v>
      </c>
      <c r="L1270" s="1" t="str">
        <f t="shared" si="19"/>
        <v>"26.4"</v>
      </c>
      <c r="M1270">
        <v>100</v>
      </c>
      <c r="N1270">
        <f>0.029*stand_validation_1cycle[[#This Row],[stand_level_biomass]]</f>
        <v>22.27751446685118</v>
      </c>
      <c r="O1270">
        <f>0.213*stand_validation_1cycle[[#This Row],[stand_level_biomass]]</f>
        <v>163.62450280825175</v>
      </c>
      <c r="P1270">
        <f>0.571*stand_validation_1cycle[[#This Row],[stand_level_biomass]]</f>
        <v>438.63657795075937</v>
      </c>
      <c r="Q1270">
        <f>stand_validation_1cycle[[#This Row],[stock]]</f>
        <v>97</v>
      </c>
      <c r="R1270">
        <v>0</v>
      </c>
      <c r="S1270">
        <f>stand_validation_1cycle[[#This Row],[aws]]</f>
        <v>524.96813964843705</v>
      </c>
      <c r="T1270">
        <f>stand_validation_1cycle[[#This Row],[percent_tree_cover]]*100</f>
        <v>6.7368890888196198</v>
      </c>
    </row>
    <row r="1271" spans="1:20" x14ac:dyDescent="0.2">
      <c r="A1271">
        <v>1</v>
      </c>
      <c r="B1271" t="s">
        <v>1289</v>
      </c>
      <c r="C1271">
        <v>29.281077097505602</v>
      </c>
      <c r="D1271">
        <v>1085.2220041365599</v>
      </c>
      <c r="E1271">
        <v>9.22621909488638</v>
      </c>
      <c r="F1271">
        <v>30.085570493078698</v>
      </c>
      <c r="G1271">
        <v>98</v>
      </c>
      <c r="H1271">
        <v>568.31060791015602</v>
      </c>
      <c r="I1271">
        <v>9.1629183780001996E-2</v>
      </c>
      <c r="K1271" s="1" t="str">
        <f>TEXT(stand_validation_1cycle[[#This Row],[stand_age]], ".0")</f>
        <v>29.3</v>
      </c>
      <c r="L1271" s="1" t="str">
        <f t="shared" si="19"/>
        <v>"29.3"</v>
      </c>
      <c r="M1271">
        <v>100</v>
      </c>
      <c r="N1271">
        <f>0.029*stand_validation_1cycle[[#This Row],[stand_level_biomass]]</f>
        <v>31.47143811996024</v>
      </c>
      <c r="O1271">
        <f>0.213*stand_validation_1cycle[[#This Row],[stand_level_biomass]]</f>
        <v>231.15228688108726</v>
      </c>
      <c r="P1271">
        <f>0.571*stand_validation_1cycle[[#This Row],[stand_level_biomass]]</f>
        <v>619.66176436197566</v>
      </c>
      <c r="Q1271">
        <f>stand_validation_1cycle[[#This Row],[stock]]</f>
        <v>98</v>
      </c>
      <c r="R1271">
        <v>0</v>
      </c>
      <c r="S1271">
        <f>stand_validation_1cycle[[#This Row],[aws]]</f>
        <v>568.31060791015602</v>
      </c>
      <c r="T1271">
        <f>stand_validation_1cycle[[#This Row],[percent_tree_cover]]*100</f>
        <v>9.1629183780001995</v>
      </c>
    </row>
    <row r="1272" spans="1:20" x14ac:dyDescent="0.2">
      <c r="A1272">
        <v>1</v>
      </c>
      <c r="B1272" t="s">
        <v>1290</v>
      </c>
      <c r="C1272">
        <v>28.043877551020401</v>
      </c>
      <c r="D1272">
        <v>896.54981847785405</v>
      </c>
      <c r="E1272">
        <v>7.8324892132331101</v>
      </c>
      <c r="F1272">
        <v>27.516804400162702</v>
      </c>
      <c r="G1272">
        <v>98</v>
      </c>
      <c r="H1272">
        <v>564.93444824218705</v>
      </c>
      <c r="I1272">
        <v>7.7409256447205296E-2</v>
      </c>
      <c r="K1272" s="1" t="str">
        <f>TEXT(stand_validation_1cycle[[#This Row],[stand_age]], ".0")</f>
        <v>28.0</v>
      </c>
      <c r="L1272" s="1" t="str">
        <f t="shared" si="19"/>
        <v>"28.0"</v>
      </c>
      <c r="M1272">
        <v>100</v>
      </c>
      <c r="N1272">
        <f>0.029*stand_validation_1cycle[[#This Row],[stand_level_biomass]]</f>
        <v>25.999944735857767</v>
      </c>
      <c r="O1272">
        <f>0.213*stand_validation_1cycle[[#This Row],[stand_level_biomass]]</f>
        <v>190.96511133578289</v>
      </c>
      <c r="P1272">
        <f>0.571*stand_validation_1cycle[[#This Row],[stand_level_biomass]]</f>
        <v>511.92994635085461</v>
      </c>
      <c r="Q1272">
        <f>stand_validation_1cycle[[#This Row],[stock]]</f>
        <v>98</v>
      </c>
      <c r="R1272">
        <v>0</v>
      </c>
      <c r="S1272">
        <f>stand_validation_1cycle[[#This Row],[aws]]</f>
        <v>564.93444824218705</v>
      </c>
      <c r="T1272">
        <f>stand_validation_1cycle[[#This Row],[percent_tree_cover]]*100</f>
        <v>7.7409256447205292</v>
      </c>
    </row>
    <row r="1273" spans="1:20" x14ac:dyDescent="0.2">
      <c r="A1273">
        <v>1</v>
      </c>
      <c r="B1273" t="s">
        <v>1291</v>
      </c>
      <c r="C1273">
        <v>26.192266666666601</v>
      </c>
      <c r="D1273">
        <v>874.57023869070099</v>
      </c>
      <c r="E1273">
        <v>7.6959343907576798</v>
      </c>
      <c r="F1273">
        <v>26.813353654591399</v>
      </c>
      <c r="G1273">
        <v>100</v>
      </c>
      <c r="H1273">
        <v>564.93444824218705</v>
      </c>
      <c r="I1273">
        <v>7.6706421621340296E-2</v>
      </c>
      <c r="K1273" s="1" t="str">
        <f>TEXT(stand_validation_1cycle[[#This Row],[stand_age]], ".0")</f>
        <v>26.2</v>
      </c>
      <c r="L1273" s="1" t="str">
        <f t="shared" si="19"/>
        <v>"26.2"</v>
      </c>
      <c r="M1273">
        <v>100</v>
      </c>
      <c r="N1273">
        <f>0.029*stand_validation_1cycle[[#This Row],[stand_level_biomass]]</f>
        <v>25.36253692203033</v>
      </c>
      <c r="O1273">
        <f>0.213*stand_validation_1cycle[[#This Row],[stand_level_biomass]]</f>
        <v>186.28346084111931</v>
      </c>
      <c r="P1273">
        <f>0.571*stand_validation_1cycle[[#This Row],[stand_level_biomass]]</f>
        <v>499.37960629239024</v>
      </c>
      <c r="Q1273">
        <f>stand_validation_1cycle[[#This Row],[stock]]</f>
        <v>100</v>
      </c>
      <c r="R1273">
        <v>0</v>
      </c>
      <c r="S1273">
        <f>stand_validation_1cycle[[#This Row],[aws]]</f>
        <v>564.93444824218705</v>
      </c>
      <c r="T1273">
        <f>stand_validation_1cycle[[#This Row],[percent_tree_cover]]*100</f>
        <v>7.6706421621340297</v>
      </c>
    </row>
    <row r="1274" spans="1:20" x14ac:dyDescent="0.2">
      <c r="A1274">
        <v>1</v>
      </c>
      <c r="B1274" t="s">
        <v>1292</v>
      </c>
      <c r="C1274">
        <v>28.7298550724637</v>
      </c>
      <c r="D1274">
        <v>593.22273463559304</v>
      </c>
      <c r="E1274">
        <v>1.39322094364338</v>
      </c>
      <c r="F1274">
        <v>26.083465591596202</v>
      </c>
      <c r="G1274">
        <v>23</v>
      </c>
      <c r="H1274">
        <v>564.93444824218705</v>
      </c>
      <c r="I1274">
        <v>5.7320397475713901E-2</v>
      </c>
      <c r="K1274" s="1" t="str">
        <f>TEXT(stand_validation_1cycle[[#This Row],[stand_age]], ".0")</f>
        <v>28.7</v>
      </c>
      <c r="L1274" s="1" t="str">
        <f t="shared" si="19"/>
        <v>"28.7"</v>
      </c>
      <c r="M1274">
        <v>100</v>
      </c>
      <c r="N1274">
        <f>0.029*stand_validation_1cycle[[#This Row],[stand_level_biomass]]</f>
        <v>17.203459304432201</v>
      </c>
      <c r="O1274">
        <f>0.213*stand_validation_1cycle[[#This Row],[stand_level_biomass]]</f>
        <v>126.35644247738132</v>
      </c>
      <c r="P1274">
        <f>0.571*stand_validation_1cycle[[#This Row],[stand_level_biomass]]</f>
        <v>338.73018147692358</v>
      </c>
      <c r="Q1274">
        <f>stand_validation_1cycle[[#This Row],[stock]]</f>
        <v>23</v>
      </c>
      <c r="R1274">
        <v>0</v>
      </c>
      <c r="S1274">
        <f>stand_validation_1cycle[[#This Row],[aws]]</f>
        <v>564.93444824218705</v>
      </c>
      <c r="T1274">
        <f>stand_validation_1cycle[[#This Row],[percent_tree_cover]]*100</f>
        <v>5.73203974757139</v>
      </c>
    </row>
    <row r="1275" spans="1:20" x14ac:dyDescent="0.2">
      <c r="A1275">
        <v>1</v>
      </c>
      <c r="B1275" t="s">
        <v>1293</v>
      </c>
      <c r="C1275">
        <v>29.049938271604901</v>
      </c>
      <c r="D1275">
        <v>1134.9884955883499</v>
      </c>
      <c r="E1275">
        <v>8.6650717420929801</v>
      </c>
      <c r="F1275">
        <v>29.851984092674599</v>
      </c>
      <c r="G1275">
        <v>90</v>
      </c>
      <c r="H1275">
        <v>525.79699707031205</v>
      </c>
      <c r="I1275">
        <v>9.6141390434987595E-2</v>
      </c>
      <c r="K1275" s="1" t="str">
        <f>TEXT(stand_validation_1cycle[[#This Row],[stand_age]], ".0")</f>
        <v>29.0</v>
      </c>
      <c r="L1275" s="1" t="str">
        <f t="shared" si="19"/>
        <v>"29.0"</v>
      </c>
      <c r="M1275">
        <v>100</v>
      </c>
      <c r="N1275">
        <f>0.029*stand_validation_1cycle[[#This Row],[stand_level_biomass]]</f>
        <v>32.91466637206215</v>
      </c>
      <c r="O1275">
        <f>0.213*stand_validation_1cycle[[#This Row],[stand_level_biomass]]</f>
        <v>241.75254956031853</v>
      </c>
      <c r="P1275">
        <f>0.571*stand_validation_1cycle[[#This Row],[stand_level_biomass]]</f>
        <v>648.0784309809477</v>
      </c>
      <c r="Q1275">
        <f>stand_validation_1cycle[[#This Row],[stock]]</f>
        <v>90</v>
      </c>
      <c r="R1275">
        <v>0</v>
      </c>
      <c r="S1275">
        <f>stand_validation_1cycle[[#This Row],[aws]]</f>
        <v>525.79699707031205</v>
      </c>
      <c r="T1275">
        <f>stand_validation_1cycle[[#This Row],[percent_tree_cover]]*100</f>
        <v>9.6141390434987599</v>
      </c>
    </row>
    <row r="1276" spans="1:20" x14ac:dyDescent="0.2">
      <c r="A1276">
        <v>1</v>
      </c>
      <c r="B1276" t="s">
        <v>1294</v>
      </c>
      <c r="C1276">
        <v>29.912933333333299</v>
      </c>
      <c r="D1276">
        <v>1001.0914132577</v>
      </c>
      <c r="E1276">
        <v>8.5725887521584507</v>
      </c>
      <c r="F1276">
        <v>28.001790255414701</v>
      </c>
      <c r="G1276">
        <v>100</v>
      </c>
      <c r="H1276">
        <v>523.002685546875</v>
      </c>
      <c r="I1276">
        <v>8.5384445033707901E-2</v>
      </c>
      <c r="K1276" s="1" t="str">
        <f>TEXT(stand_validation_1cycle[[#This Row],[stand_age]], ".0")</f>
        <v>29.9</v>
      </c>
      <c r="L1276" s="1" t="str">
        <f t="shared" si="19"/>
        <v>"29.9"</v>
      </c>
      <c r="M1276">
        <v>100</v>
      </c>
      <c r="N1276">
        <f>0.029*stand_validation_1cycle[[#This Row],[stand_level_biomass]]</f>
        <v>29.031650984473302</v>
      </c>
      <c r="O1276">
        <f>0.213*stand_validation_1cycle[[#This Row],[stand_level_biomass]]</f>
        <v>213.2324710238901</v>
      </c>
      <c r="P1276">
        <f>0.571*stand_validation_1cycle[[#This Row],[stand_level_biomass]]</f>
        <v>571.62319697014664</v>
      </c>
      <c r="Q1276">
        <f>stand_validation_1cycle[[#This Row],[stock]]</f>
        <v>100</v>
      </c>
      <c r="R1276">
        <v>0</v>
      </c>
      <c r="S1276">
        <f>stand_validation_1cycle[[#This Row],[aws]]</f>
        <v>523.002685546875</v>
      </c>
      <c r="T1276">
        <f>stand_validation_1cycle[[#This Row],[percent_tree_cover]]*100</f>
        <v>8.5384445033707905</v>
      </c>
    </row>
    <row r="1277" spans="1:20" x14ac:dyDescent="0.2">
      <c r="A1277">
        <v>1</v>
      </c>
      <c r="B1277" t="s">
        <v>1295</v>
      </c>
      <c r="C1277">
        <v>27.916566666666601</v>
      </c>
      <c r="D1277">
        <v>1016.49870335278</v>
      </c>
      <c r="E1277">
        <v>8.6857426363554406</v>
      </c>
      <c r="F1277">
        <v>27.858478969220901</v>
      </c>
      <c r="G1277">
        <v>100</v>
      </c>
      <c r="H1277">
        <v>496</v>
      </c>
      <c r="I1277">
        <v>8.6534656858903103E-2</v>
      </c>
      <c r="K1277" s="1" t="str">
        <f>TEXT(stand_validation_1cycle[[#This Row],[stand_age]], ".0")</f>
        <v>27.9</v>
      </c>
      <c r="L1277" s="1" t="str">
        <f t="shared" si="19"/>
        <v>"27.9"</v>
      </c>
      <c r="M1277">
        <v>100</v>
      </c>
      <c r="N1277">
        <f>0.029*stand_validation_1cycle[[#This Row],[stand_level_biomass]]</f>
        <v>29.478462397230622</v>
      </c>
      <c r="O1277">
        <f>0.213*stand_validation_1cycle[[#This Row],[stand_level_biomass]]</f>
        <v>216.51422381414213</v>
      </c>
      <c r="P1277">
        <f>0.571*stand_validation_1cycle[[#This Row],[stand_level_biomass]]</f>
        <v>580.42075961443732</v>
      </c>
      <c r="Q1277">
        <f>stand_validation_1cycle[[#This Row],[stock]]</f>
        <v>100</v>
      </c>
      <c r="R1277">
        <v>0</v>
      </c>
      <c r="S1277">
        <f>stand_validation_1cycle[[#This Row],[aws]]</f>
        <v>496</v>
      </c>
      <c r="T1277">
        <f>stand_validation_1cycle[[#This Row],[percent_tree_cover]]*100</f>
        <v>8.6534656858903105</v>
      </c>
    </row>
    <row r="1278" spans="1:20" x14ac:dyDescent="0.2">
      <c r="A1278">
        <v>1</v>
      </c>
      <c r="B1278" t="s">
        <v>1296</v>
      </c>
      <c r="C1278">
        <v>27.4489001122334</v>
      </c>
      <c r="D1278">
        <v>794.05018512276501</v>
      </c>
      <c r="E1278">
        <v>7.1727633953590502</v>
      </c>
      <c r="F1278">
        <v>26.0002659721981</v>
      </c>
      <c r="G1278">
        <v>99</v>
      </c>
      <c r="H1278">
        <v>592.59411621093705</v>
      </c>
      <c r="I1278">
        <v>7.0463822139490595E-2</v>
      </c>
      <c r="K1278" s="1" t="str">
        <f>TEXT(stand_validation_1cycle[[#This Row],[stand_age]], ".0")</f>
        <v>27.4</v>
      </c>
      <c r="L1278" s="1" t="str">
        <f t="shared" si="19"/>
        <v>"27.4"</v>
      </c>
      <c r="M1278">
        <v>100</v>
      </c>
      <c r="N1278">
        <f>0.029*stand_validation_1cycle[[#This Row],[stand_level_biomass]]</f>
        <v>23.027455368560187</v>
      </c>
      <c r="O1278">
        <f>0.213*stand_validation_1cycle[[#This Row],[stand_level_biomass]]</f>
        <v>169.13268943114895</v>
      </c>
      <c r="P1278">
        <f>0.571*stand_validation_1cycle[[#This Row],[stand_level_biomass]]</f>
        <v>453.40265570509877</v>
      </c>
      <c r="Q1278">
        <f>stand_validation_1cycle[[#This Row],[stock]]</f>
        <v>99</v>
      </c>
      <c r="R1278">
        <v>0</v>
      </c>
      <c r="S1278">
        <f>stand_validation_1cycle[[#This Row],[aws]]</f>
        <v>592.59411621093705</v>
      </c>
      <c r="T1278">
        <f>stand_validation_1cycle[[#This Row],[percent_tree_cover]]*100</f>
        <v>7.0463822139490597</v>
      </c>
    </row>
    <row r="1279" spans="1:20" x14ac:dyDescent="0.2">
      <c r="A1279">
        <v>1</v>
      </c>
      <c r="B1279" t="s">
        <v>1297</v>
      </c>
      <c r="C1279">
        <v>25.673355780022401</v>
      </c>
      <c r="D1279">
        <v>634.44702121549403</v>
      </c>
      <c r="E1279">
        <v>6.0221786479266903</v>
      </c>
      <c r="F1279">
        <v>24.614284528949899</v>
      </c>
      <c r="G1279">
        <v>99</v>
      </c>
      <c r="H1279">
        <v>524.85943603515602</v>
      </c>
      <c r="I1279">
        <v>5.9771679875684297E-2</v>
      </c>
      <c r="K1279" s="1" t="str">
        <f>TEXT(stand_validation_1cycle[[#This Row],[stand_age]], ".0")</f>
        <v>25.7</v>
      </c>
      <c r="L1279" s="1" t="str">
        <f t="shared" si="19"/>
        <v>"25.7"</v>
      </c>
      <c r="M1279">
        <v>100</v>
      </c>
      <c r="N1279">
        <f>0.029*stand_validation_1cycle[[#This Row],[stand_level_biomass]]</f>
        <v>18.398963615249329</v>
      </c>
      <c r="O1279">
        <f>0.213*stand_validation_1cycle[[#This Row],[stand_level_biomass]]</f>
        <v>135.13721551890023</v>
      </c>
      <c r="P1279">
        <f>0.571*stand_validation_1cycle[[#This Row],[stand_level_biomass]]</f>
        <v>362.26924911404706</v>
      </c>
      <c r="Q1279">
        <f>stand_validation_1cycle[[#This Row],[stock]]</f>
        <v>99</v>
      </c>
      <c r="R1279">
        <v>0</v>
      </c>
      <c r="S1279">
        <f>stand_validation_1cycle[[#This Row],[aws]]</f>
        <v>524.85943603515602</v>
      </c>
      <c r="T1279">
        <f>stand_validation_1cycle[[#This Row],[percent_tree_cover]]*100</f>
        <v>5.9771679875684294</v>
      </c>
    </row>
    <row r="1280" spans="1:20" x14ac:dyDescent="0.2">
      <c r="A1280">
        <v>1</v>
      </c>
      <c r="B1280" t="s">
        <v>1298</v>
      </c>
      <c r="C1280">
        <v>26.704288888888801</v>
      </c>
      <c r="D1280">
        <v>805.97157158789196</v>
      </c>
      <c r="E1280">
        <v>7.3467015996158596</v>
      </c>
      <c r="F1280">
        <v>27.0026538833438</v>
      </c>
      <c r="G1280">
        <v>100</v>
      </c>
      <c r="H1280">
        <v>523.93298339843705</v>
      </c>
      <c r="I1280">
        <v>7.3229305248885504E-2</v>
      </c>
      <c r="K1280" s="1" t="str">
        <f>TEXT(stand_validation_1cycle[[#This Row],[stand_age]], ".0")</f>
        <v>26.7</v>
      </c>
      <c r="L1280" s="1" t="str">
        <f t="shared" si="19"/>
        <v>"26.7"</v>
      </c>
      <c r="M1280">
        <v>100</v>
      </c>
      <c r="N1280">
        <f>0.029*stand_validation_1cycle[[#This Row],[stand_level_biomass]]</f>
        <v>23.373175576048869</v>
      </c>
      <c r="O1280">
        <f>0.213*stand_validation_1cycle[[#This Row],[stand_level_biomass]]</f>
        <v>171.67194474822099</v>
      </c>
      <c r="P1280">
        <f>0.571*stand_validation_1cycle[[#This Row],[stand_level_biomass]]</f>
        <v>460.20976737668627</v>
      </c>
      <c r="Q1280">
        <f>stand_validation_1cycle[[#This Row],[stock]]</f>
        <v>100</v>
      </c>
      <c r="R1280">
        <v>0</v>
      </c>
      <c r="S1280">
        <f>stand_validation_1cycle[[#This Row],[aws]]</f>
        <v>523.93298339843705</v>
      </c>
      <c r="T1280">
        <f>stand_validation_1cycle[[#This Row],[percent_tree_cover]]*100</f>
        <v>7.3229305248885508</v>
      </c>
    </row>
    <row r="1281" spans="1:20" x14ac:dyDescent="0.2">
      <c r="A1281">
        <v>1</v>
      </c>
      <c r="B1281" t="s">
        <v>1299</v>
      </c>
      <c r="C1281">
        <v>26.131391694725</v>
      </c>
      <c r="D1281">
        <v>696.73260749180395</v>
      </c>
      <c r="E1281">
        <v>6.4155665238147099</v>
      </c>
      <c r="F1281">
        <v>25.215927819102902</v>
      </c>
      <c r="G1281">
        <v>99</v>
      </c>
      <c r="H1281">
        <v>564.93444824218705</v>
      </c>
      <c r="I1281">
        <v>6.3786398096445901E-2</v>
      </c>
      <c r="K1281" s="1" t="str">
        <f>TEXT(stand_validation_1cycle[[#This Row],[stand_age]], ".0")</f>
        <v>26.1</v>
      </c>
      <c r="L1281" s="1" t="str">
        <f t="shared" si="19"/>
        <v>"26.1"</v>
      </c>
      <c r="M1281">
        <v>100</v>
      </c>
      <c r="N1281">
        <f>0.029*stand_validation_1cycle[[#This Row],[stand_level_biomass]]</f>
        <v>20.205245617262314</v>
      </c>
      <c r="O1281">
        <f>0.213*stand_validation_1cycle[[#This Row],[stand_level_biomass]]</f>
        <v>148.40404539575422</v>
      </c>
      <c r="P1281">
        <f>0.571*stand_validation_1cycle[[#This Row],[stand_level_biomass]]</f>
        <v>397.83431887782001</v>
      </c>
      <c r="Q1281">
        <f>stand_validation_1cycle[[#This Row],[stock]]</f>
        <v>99</v>
      </c>
      <c r="R1281">
        <v>0</v>
      </c>
      <c r="S1281">
        <f>stand_validation_1cycle[[#This Row],[aws]]</f>
        <v>564.93444824218705</v>
      </c>
      <c r="T1281">
        <f>stand_validation_1cycle[[#This Row],[percent_tree_cover]]*100</f>
        <v>6.3786398096445902</v>
      </c>
    </row>
    <row r="1282" spans="1:20" x14ac:dyDescent="0.2">
      <c r="A1282">
        <v>1</v>
      </c>
      <c r="B1282" t="s">
        <v>1300</v>
      </c>
      <c r="C1282">
        <v>25.453435374149599</v>
      </c>
      <c r="D1282">
        <v>753.020516731881</v>
      </c>
      <c r="E1282">
        <v>6.8886770256765599</v>
      </c>
      <c r="F1282">
        <v>25.2237397937857</v>
      </c>
      <c r="G1282">
        <v>98</v>
      </c>
      <c r="H1282">
        <v>564.93444824218705</v>
      </c>
      <c r="I1282">
        <v>6.65009764681678E-2</v>
      </c>
      <c r="K1282" s="1" t="str">
        <f>TEXT(stand_validation_1cycle[[#This Row],[stand_age]], ".0")</f>
        <v>25.5</v>
      </c>
      <c r="L1282" s="1" t="str">
        <f t="shared" si="19"/>
        <v>"25.5"</v>
      </c>
      <c r="M1282">
        <v>100</v>
      </c>
      <c r="N1282">
        <f>0.029*stand_validation_1cycle[[#This Row],[stand_level_biomass]]</f>
        <v>21.837594985224552</v>
      </c>
      <c r="O1282">
        <f>0.213*stand_validation_1cycle[[#This Row],[stand_level_biomass]]</f>
        <v>160.39337006389064</v>
      </c>
      <c r="P1282">
        <f>0.571*stand_validation_1cycle[[#This Row],[stand_level_biomass]]</f>
        <v>429.97471505390399</v>
      </c>
      <c r="Q1282">
        <f>stand_validation_1cycle[[#This Row],[stock]]</f>
        <v>98</v>
      </c>
      <c r="R1282">
        <v>0</v>
      </c>
      <c r="S1282">
        <f>stand_validation_1cycle[[#This Row],[aws]]</f>
        <v>564.93444824218705</v>
      </c>
      <c r="T1282">
        <f>stand_validation_1cycle[[#This Row],[percent_tree_cover]]*100</f>
        <v>6.6500976468167803</v>
      </c>
    </row>
    <row r="1283" spans="1:20" x14ac:dyDescent="0.2">
      <c r="A1283">
        <v>1</v>
      </c>
      <c r="B1283" t="s">
        <v>1301</v>
      </c>
      <c r="C1283">
        <v>27.243647586980899</v>
      </c>
      <c r="D1283">
        <v>943.95510759753199</v>
      </c>
      <c r="E1283">
        <v>8.1261731484723203</v>
      </c>
      <c r="F1283">
        <v>27.246577169605999</v>
      </c>
      <c r="G1283">
        <v>99</v>
      </c>
      <c r="H1283">
        <v>564.93444824218705</v>
      </c>
      <c r="I1283">
        <v>8.0855381003349602E-2</v>
      </c>
      <c r="K1283" s="1" t="str">
        <f>TEXT(stand_validation_1cycle[[#This Row],[stand_age]], ".0")</f>
        <v>27.2</v>
      </c>
      <c r="L1283" s="1" t="str">
        <f t="shared" ref="L1283:L1346" si="20">""""&amp;K1283&amp;""""</f>
        <v>"27.2"</v>
      </c>
      <c r="M1283">
        <v>100</v>
      </c>
      <c r="N1283">
        <f>0.029*stand_validation_1cycle[[#This Row],[stand_level_biomass]]</f>
        <v>27.374698120328429</v>
      </c>
      <c r="O1283">
        <f>0.213*stand_validation_1cycle[[#This Row],[stand_level_biomass]]</f>
        <v>201.0624379182743</v>
      </c>
      <c r="P1283">
        <f>0.571*stand_validation_1cycle[[#This Row],[stand_level_biomass]]</f>
        <v>538.99836643819071</v>
      </c>
      <c r="Q1283">
        <f>stand_validation_1cycle[[#This Row],[stock]]</f>
        <v>99</v>
      </c>
      <c r="R1283">
        <v>0</v>
      </c>
      <c r="S1283">
        <f>stand_validation_1cycle[[#This Row],[aws]]</f>
        <v>564.93444824218705</v>
      </c>
      <c r="T1283">
        <f>stand_validation_1cycle[[#This Row],[percent_tree_cover]]*100</f>
        <v>8.0855381003349596</v>
      </c>
    </row>
    <row r="1284" spans="1:20" x14ac:dyDescent="0.2">
      <c r="A1284">
        <v>1</v>
      </c>
      <c r="B1284" t="s">
        <v>1302</v>
      </c>
      <c r="C1284">
        <v>26.740555555555499</v>
      </c>
      <c r="D1284">
        <v>600.923002248285</v>
      </c>
      <c r="E1284">
        <v>1.3839422497410001</v>
      </c>
      <c r="F1284">
        <v>24.1277486887797</v>
      </c>
      <c r="G1284">
        <v>24</v>
      </c>
      <c r="H1284">
        <v>564.93444824218705</v>
      </c>
      <c r="I1284">
        <v>5.6940558919575002E-2</v>
      </c>
      <c r="K1284" s="1" t="str">
        <f>TEXT(stand_validation_1cycle[[#This Row],[stand_age]], ".0")</f>
        <v>26.7</v>
      </c>
      <c r="L1284" s="1" t="str">
        <f t="shared" si="20"/>
        <v>"26.7"</v>
      </c>
      <c r="M1284">
        <v>100</v>
      </c>
      <c r="N1284">
        <f>0.029*stand_validation_1cycle[[#This Row],[stand_level_biomass]]</f>
        <v>17.426767065200266</v>
      </c>
      <c r="O1284">
        <f>0.213*stand_validation_1cycle[[#This Row],[stand_level_biomass]]</f>
        <v>127.9965994788847</v>
      </c>
      <c r="P1284">
        <f>0.571*stand_validation_1cycle[[#This Row],[stand_level_biomass]]</f>
        <v>343.12703428377068</v>
      </c>
      <c r="Q1284">
        <f>stand_validation_1cycle[[#This Row],[stock]]</f>
        <v>24</v>
      </c>
      <c r="R1284">
        <v>0</v>
      </c>
      <c r="S1284">
        <f>stand_validation_1cycle[[#This Row],[aws]]</f>
        <v>564.93444824218705</v>
      </c>
      <c r="T1284">
        <f>stand_validation_1cycle[[#This Row],[percent_tree_cover]]*100</f>
        <v>5.6940558919575004</v>
      </c>
    </row>
    <row r="1285" spans="1:20" x14ac:dyDescent="0.2">
      <c r="A1285">
        <v>1</v>
      </c>
      <c r="B1285" t="s">
        <v>1303</v>
      </c>
      <c r="C1285">
        <v>26.578459595959501</v>
      </c>
      <c r="D1285">
        <v>860.50735256629196</v>
      </c>
      <c r="E1285">
        <v>6.6767930945533598</v>
      </c>
      <c r="F1285">
        <v>26.186747432998299</v>
      </c>
      <c r="G1285">
        <v>88</v>
      </c>
      <c r="H1285">
        <v>0</v>
      </c>
      <c r="I1285">
        <v>7.3733018406539605E-2</v>
      </c>
      <c r="K1285" s="1" t="str">
        <f>TEXT(stand_validation_1cycle[[#This Row],[stand_age]], ".0")</f>
        <v>26.6</v>
      </c>
      <c r="L1285" s="1" t="str">
        <f t="shared" si="20"/>
        <v>"26.6"</v>
      </c>
      <c r="M1285">
        <v>100</v>
      </c>
      <c r="N1285">
        <f>0.029*stand_validation_1cycle[[#This Row],[stand_level_biomass]]</f>
        <v>24.954713224422466</v>
      </c>
      <c r="O1285">
        <f>0.213*stand_validation_1cycle[[#This Row],[stand_level_biomass]]</f>
        <v>183.28806609662018</v>
      </c>
      <c r="P1285">
        <f>0.571*stand_validation_1cycle[[#This Row],[stand_level_biomass]]</f>
        <v>491.34969831535267</v>
      </c>
      <c r="Q1285">
        <f>stand_validation_1cycle[[#This Row],[stock]]</f>
        <v>88</v>
      </c>
      <c r="R1285">
        <v>0</v>
      </c>
      <c r="S1285">
        <f>stand_validation_1cycle[[#This Row],[aws]]</f>
        <v>0</v>
      </c>
      <c r="T1285">
        <f>stand_validation_1cycle[[#This Row],[percent_tree_cover]]*100</f>
        <v>7.3733018406539603</v>
      </c>
    </row>
    <row r="1286" spans="1:20" x14ac:dyDescent="0.2">
      <c r="A1286">
        <v>1</v>
      </c>
      <c r="B1286" t="s">
        <v>1304</v>
      </c>
      <c r="C1286">
        <v>26.182300000000001</v>
      </c>
      <c r="D1286">
        <v>693.20543418225895</v>
      </c>
      <c r="E1286">
        <v>6.4650434665161001</v>
      </c>
      <c r="F1286">
        <v>25.2229131692843</v>
      </c>
      <c r="G1286">
        <v>100</v>
      </c>
      <c r="H1286">
        <v>523.002685546875</v>
      </c>
      <c r="I1286">
        <v>6.4434364305533606E-2</v>
      </c>
      <c r="K1286" s="1" t="str">
        <f>TEXT(stand_validation_1cycle[[#This Row],[stand_age]], ".0")</f>
        <v>26.2</v>
      </c>
      <c r="L1286" s="1" t="str">
        <f t="shared" si="20"/>
        <v>"26.2"</v>
      </c>
      <c r="M1286">
        <v>100</v>
      </c>
      <c r="N1286">
        <f>0.029*stand_validation_1cycle[[#This Row],[stand_level_biomass]]</f>
        <v>20.102957591285509</v>
      </c>
      <c r="O1286">
        <f>0.213*stand_validation_1cycle[[#This Row],[stand_level_biomass]]</f>
        <v>147.65275748082115</v>
      </c>
      <c r="P1286">
        <f>0.571*stand_validation_1cycle[[#This Row],[stand_level_biomass]]</f>
        <v>395.82030291806984</v>
      </c>
      <c r="Q1286">
        <f>stand_validation_1cycle[[#This Row],[stock]]</f>
        <v>100</v>
      </c>
      <c r="R1286">
        <v>0</v>
      </c>
      <c r="S1286">
        <f>stand_validation_1cycle[[#This Row],[aws]]</f>
        <v>523.002685546875</v>
      </c>
      <c r="T1286">
        <f>stand_validation_1cycle[[#This Row],[percent_tree_cover]]*100</f>
        <v>6.4434364305533602</v>
      </c>
    </row>
    <row r="1287" spans="1:20" x14ac:dyDescent="0.2">
      <c r="A1287">
        <v>1</v>
      </c>
      <c r="B1287" t="s">
        <v>1305</v>
      </c>
      <c r="C1287">
        <v>27.544534231200799</v>
      </c>
      <c r="D1287">
        <v>964.12793845345004</v>
      </c>
      <c r="E1287">
        <v>8.3923037453432201</v>
      </c>
      <c r="F1287">
        <v>28.139711426039899</v>
      </c>
      <c r="G1287">
        <v>99</v>
      </c>
      <c r="H1287">
        <v>470</v>
      </c>
      <c r="I1287">
        <v>8.3158324005137604E-2</v>
      </c>
      <c r="K1287" s="1" t="str">
        <f>TEXT(stand_validation_1cycle[[#This Row],[stand_age]], ".0")</f>
        <v>27.5</v>
      </c>
      <c r="L1287" s="1" t="str">
        <f t="shared" si="20"/>
        <v>"27.5"</v>
      </c>
      <c r="M1287">
        <v>100</v>
      </c>
      <c r="N1287">
        <f>0.029*stand_validation_1cycle[[#This Row],[stand_level_biomass]]</f>
        <v>27.959710215150054</v>
      </c>
      <c r="O1287">
        <f>0.213*stand_validation_1cycle[[#This Row],[stand_level_biomass]]</f>
        <v>205.35925089058486</v>
      </c>
      <c r="P1287">
        <f>0.571*stand_validation_1cycle[[#This Row],[stand_level_biomass]]</f>
        <v>550.51705285691992</v>
      </c>
      <c r="Q1287">
        <f>stand_validation_1cycle[[#This Row],[stock]]</f>
        <v>99</v>
      </c>
      <c r="R1287">
        <v>0</v>
      </c>
      <c r="S1287">
        <f>stand_validation_1cycle[[#This Row],[aws]]</f>
        <v>470</v>
      </c>
      <c r="T1287">
        <f>stand_validation_1cycle[[#This Row],[percent_tree_cover]]*100</f>
        <v>8.3158324005137612</v>
      </c>
    </row>
    <row r="1288" spans="1:20" x14ac:dyDescent="0.2">
      <c r="A1288">
        <v>1</v>
      </c>
      <c r="B1288" t="s">
        <v>1306</v>
      </c>
      <c r="C1288">
        <v>26.8984399551066</v>
      </c>
      <c r="D1288">
        <v>958.25315514598901</v>
      </c>
      <c r="E1288">
        <v>8.1451208791642795</v>
      </c>
      <c r="F1288">
        <v>26.8843331580529</v>
      </c>
      <c r="G1288">
        <v>99</v>
      </c>
      <c r="H1288">
        <v>592.59411621093705</v>
      </c>
      <c r="I1288">
        <v>8.1050585476272793E-2</v>
      </c>
      <c r="K1288" s="1" t="str">
        <f>TEXT(stand_validation_1cycle[[#This Row],[stand_age]], ".0")</f>
        <v>26.9</v>
      </c>
      <c r="L1288" s="1" t="str">
        <f t="shared" si="20"/>
        <v>"26.9"</v>
      </c>
      <c r="M1288">
        <v>100</v>
      </c>
      <c r="N1288">
        <f>0.029*stand_validation_1cycle[[#This Row],[stand_level_biomass]]</f>
        <v>27.789341499233682</v>
      </c>
      <c r="O1288">
        <f>0.213*stand_validation_1cycle[[#This Row],[stand_level_biomass]]</f>
        <v>204.10792204609567</v>
      </c>
      <c r="P1288">
        <f>0.571*stand_validation_1cycle[[#This Row],[stand_level_biomass]]</f>
        <v>547.16255158835963</v>
      </c>
      <c r="Q1288">
        <f>stand_validation_1cycle[[#This Row],[stock]]</f>
        <v>99</v>
      </c>
      <c r="R1288">
        <v>0</v>
      </c>
      <c r="S1288">
        <f>stand_validation_1cycle[[#This Row],[aws]]</f>
        <v>592.59411621093705</v>
      </c>
      <c r="T1288">
        <f>stand_validation_1cycle[[#This Row],[percent_tree_cover]]*100</f>
        <v>8.1050585476272801</v>
      </c>
    </row>
    <row r="1289" spans="1:20" x14ac:dyDescent="0.2">
      <c r="A1289">
        <v>1</v>
      </c>
      <c r="B1289" t="s">
        <v>1307</v>
      </c>
      <c r="C1289">
        <v>29.238788888888902</v>
      </c>
      <c r="D1289">
        <v>1066.4047306940499</v>
      </c>
      <c r="E1289">
        <v>9.1072925341883995</v>
      </c>
      <c r="F1289">
        <v>28.914695226535699</v>
      </c>
      <c r="G1289">
        <v>100</v>
      </c>
      <c r="H1289">
        <v>523.002685546875</v>
      </c>
      <c r="I1289">
        <v>9.0729362143914194E-2</v>
      </c>
      <c r="K1289" s="1" t="str">
        <f>TEXT(stand_validation_1cycle[[#This Row],[stand_age]], ".0")</f>
        <v>29.2</v>
      </c>
      <c r="L1289" s="1" t="str">
        <f t="shared" si="20"/>
        <v>"29.2"</v>
      </c>
      <c r="M1289">
        <v>100</v>
      </c>
      <c r="N1289">
        <f>0.029*stand_validation_1cycle[[#This Row],[stand_level_biomass]]</f>
        <v>30.92573719012745</v>
      </c>
      <c r="O1289">
        <f>0.213*stand_validation_1cycle[[#This Row],[stand_level_biomass]]</f>
        <v>227.14420763783264</v>
      </c>
      <c r="P1289">
        <f>0.571*stand_validation_1cycle[[#This Row],[stand_level_biomass]]</f>
        <v>608.91710122630241</v>
      </c>
      <c r="Q1289">
        <f>stand_validation_1cycle[[#This Row],[stock]]</f>
        <v>100</v>
      </c>
      <c r="R1289">
        <v>0</v>
      </c>
      <c r="S1289">
        <f>stand_validation_1cycle[[#This Row],[aws]]</f>
        <v>523.002685546875</v>
      </c>
      <c r="T1289">
        <f>stand_validation_1cycle[[#This Row],[percent_tree_cover]]*100</f>
        <v>9.0729362143914187</v>
      </c>
    </row>
    <row r="1290" spans="1:20" x14ac:dyDescent="0.2">
      <c r="A1290">
        <v>1</v>
      </c>
      <c r="B1290" t="s">
        <v>1308</v>
      </c>
      <c r="C1290">
        <v>27.828322222222202</v>
      </c>
      <c r="D1290">
        <v>938.42116627897201</v>
      </c>
      <c r="E1290">
        <v>8.2284838256254407</v>
      </c>
      <c r="F1290">
        <v>27.865127140595199</v>
      </c>
      <c r="G1290">
        <v>100</v>
      </c>
      <c r="H1290">
        <v>523.002685546875</v>
      </c>
      <c r="I1290">
        <v>8.1995008035588304E-2</v>
      </c>
      <c r="K1290" s="1" t="str">
        <f>TEXT(stand_validation_1cycle[[#This Row],[stand_age]], ".0")</f>
        <v>27.8</v>
      </c>
      <c r="L1290" s="1" t="str">
        <f t="shared" si="20"/>
        <v>"27.8"</v>
      </c>
      <c r="M1290">
        <v>100</v>
      </c>
      <c r="N1290">
        <f>0.029*stand_validation_1cycle[[#This Row],[stand_level_biomass]]</f>
        <v>27.214213822090191</v>
      </c>
      <c r="O1290">
        <f>0.213*stand_validation_1cycle[[#This Row],[stand_level_biomass]]</f>
        <v>199.88370841742102</v>
      </c>
      <c r="P1290">
        <f>0.571*stand_validation_1cycle[[#This Row],[stand_level_biomass]]</f>
        <v>535.83848594529297</v>
      </c>
      <c r="Q1290">
        <f>stand_validation_1cycle[[#This Row],[stock]]</f>
        <v>100</v>
      </c>
      <c r="R1290">
        <v>0</v>
      </c>
      <c r="S1290">
        <f>stand_validation_1cycle[[#This Row],[aws]]</f>
        <v>523.002685546875</v>
      </c>
      <c r="T1290">
        <f>stand_validation_1cycle[[#This Row],[percent_tree_cover]]*100</f>
        <v>8.1995008035588306</v>
      </c>
    </row>
    <row r="1291" spans="1:20" x14ac:dyDescent="0.2">
      <c r="A1291">
        <v>1</v>
      </c>
      <c r="B1291" t="s">
        <v>1309</v>
      </c>
      <c r="C1291">
        <v>27.817074829931901</v>
      </c>
      <c r="D1291">
        <v>859.23237067705202</v>
      </c>
      <c r="E1291">
        <v>7.5480164276542299</v>
      </c>
      <c r="F1291">
        <v>27.4054977819854</v>
      </c>
      <c r="G1291">
        <v>98</v>
      </c>
      <c r="H1291">
        <v>523.002685546875</v>
      </c>
      <c r="I1291">
        <v>7.5209563610335303E-2</v>
      </c>
      <c r="K1291" s="1" t="str">
        <f>TEXT(stand_validation_1cycle[[#This Row],[stand_age]], ".0")</f>
        <v>27.8</v>
      </c>
      <c r="L1291" s="1" t="str">
        <f t="shared" si="20"/>
        <v>"27.8"</v>
      </c>
      <c r="M1291">
        <v>100</v>
      </c>
      <c r="N1291">
        <f>0.029*stand_validation_1cycle[[#This Row],[stand_level_biomass]]</f>
        <v>24.917738749634509</v>
      </c>
      <c r="O1291">
        <f>0.213*stand_validation_1cycle[[#This Row],[stand_level_biomass]]</f>
        <v>183.01649495421208</v>
      </c>
      <c r="P1291">
        <f>0.571*stand_validation_1cycle[[#This Row],[stand_level_biomass]]</f>
        <v>490.62168365659664</v>
      </c>
      <c r="Q1291">
        <f>stand_validation_1cycle[[#This Row],[stock]]</f>
        <v>98</v>
      </c>
      <c r="R1291">
        <v>0</v>
      </c>
      <c r="S1291">
        <f>stand_validation_1cycle[[#This Row],[aws]]</f>
        <v>523.002685546875</v>
      </c>
      <c r="T1291">
        <f>stand_validation_1cycle[[#This Row],[percent_tree_cover]]*100</f>
        <v>7.5209563610335302</v>
      </c>
    </row>
    <row r="1292" spans="1:20" x14ac:dyDescent="0.2">
      <c r="A1292">
        <v>1</v>
      </c>
      <c r="B1292" t="s">
        <v>1310</v>
      </c>
      <c r="C1292">
        <v>28.0035777777777</v>
      </c>
      <c r="D1292">
        <v>835.78604284248104</v>
      </c>
      <c r="E1292">
        <v>7.5041417300523499</v>
      </c>
      <c r="F1292">
        <v>26.774016769410899</v>
      </c>
      <c r="G1292">
        <v>100</v>
      </c>
      <c r="H1292">
        <v>564.93444824218705</v>
      </c>
      <c r="I1292">
        <v>7.4769677013267796E-2</v>
      </c>
      <c r="K1292" s="1" t="str">
        <f>TEXT(stand_validation_1cycle[[#This Row],[stand_age]], ".0")</f>
        <v>28.0</v>
      </c>
      <c r="L1292" s="1" t="str">
        <f t="shared" si="20"/>
        <v>"28.0"</v>
      </c>
      <c r="M1292">
        <v>100</v>
      </c>
      <c r="N1292">
        <f>0.029*stand_validation_1cycle[[#This Row],[stand_level_biomass]]</f>
        <v>24.23779524243195</v>
      </c>
      <c r="O1292">
        <f>0.213*stand_validation_1cycle[[#This Row],[stand_level_biomass]]</f>
        <v>178.02242712544844</v>
      </c>
      <c r="P1292">
        <f>0.571*stand_validation_1cycle[[#This Row],[stand_level_biomass]]</f>
        <v>477.23383046305662</v>
      </c>
      <c r="Q1292">
        <f>stand_validation_1cycle[[#This Row],[stock]]</f>
        <v>100</v>
      </c>
      <c r="R1292">
        <v>0</v>
      </c>
      <c r="S1292">
        <f>stand_validation_1cycle[[#This Row],[aws]]</f>
        <v>564.93444824218705</v>
      </c>
      <c r="T1292">
        <f>stand_validation_1cycle[[#This Row],[percent_tree_cover]]*100</f>
        <v>7.4769677013267799</v>
      </c>
    </row>
    <row r="1293" spans="1:20" x14ac:dyDescent="0.2">
      <c r="A1293">
        <v>1</v>
      </c>
      <c r="B1293" t="s">
        <v>1311</v>
      </c>
      <c r="C1293">
        <v>26.625788888888898</v>
      </c>
      <c r="D1293">
        <v>829.06117763773898</v>
      </c>
      <c r="E1293">
        <v>7.4568057827443903</v>
      </c>
      <c r="F1293">
        <v>26.831869940468501</v>
      </c>
      <c r="G1293">
        <v>100</v>
      </c>
      <c r="H1293">
        <v>564.93444824218705</v>
      </c>
      <c r="I1293">
        <v>7.4323583139742702E-2</v>
      </c>
      <c r="K1293" s="1" t="str">
        <f>TEXT(stand_validation_1cycle[[#This Row],[stand_age]], ".0")</f>
        <v>26.6</v>
      </c>
      <c r="L1293" s="1" t="str">
        <f t="shared" si="20"/>
        <v>"26.6"</v>
      </c>
      <c r="M1293">
        <v>100</v>
      </c>
      <c r="N1293">
        <f>0.029*stand_validation_1cycle[[#This Row],[stand_level_biomass]]</f>
        <v>24.042774151494431</v>
      </c>
      <c r="O1293">
        <f>0.213*stand_validation_1cycle[[#This Row],[stand_level_biomass]]</f>
        <v>176.59003083683839</v>
      </c>
      <c r="P1293">
        <f>0.571*stand_validation_1cycle[[#This Row],[stand_level_biomass]]</f>
        <v>473.39393243114893</v>
      </c>
      <c r="Q1293">
        <f>stand_validation_1cycle[[#This Row],[stock]]</f>
        <v>100</v>
      </c>
      <c r="R1293">
        <v>0</v>
      </c>
      <c r="S1293">
        <f>stand_validation_1cycle[[#This Row],[aws]]</f>
        <v>564.93444824218705</v>
      </c>
      <c r="T1293">
        <f>stand_validation_1cycle[[#This Row],[percent_tree_cover]]*100</f>
        <v>7.4323583139742704</v>
      </c>
    </row>
    <row r="1294" spans="1:20" x14ac:dyDescent="0.2">
      <c r="A1294">
        <v>1</v>
      </c>
      <c r="B1294" t="s">
        <v>1312</v>
      </c>
      <c r="C1294">
        <v>28.3566222222222</v>
      </c>
      <c r="D1294">
        <v>1046.60425282605</v>
      </c>
      <c r="E1294">
        <v>8.9107317212330894</v>
      </c>
      <c r="F1294">
        <v>28.319666340595202</v>
      </c>
      <c r="G1294">
        <v>100</v>
      </c>
      <c r="H1294">
        <v>564.93444824218705</v>
      </c>
      <c r="I1294">
        <v>8.8773851326651207E-2</v>
      </c>
      <c r="K1294" s="1" t="str">
        <f>TEXT(stand_validation_1cycle[[#This Row],[stand_age]], ".0")</f>
        <v>28.4</v>
      </c>
      <c r="L1294" s="1" t="str">
        <f t="shared" si="20"/>
        <v>"28.4"</v>
      </c>
      <c r="M1294">
        <v>100</v>
      </c>
      <c r="N1294">
        <f>0.029*stand_validation_1cycle[[#This Row],[stand_level_biomass]]</f>
        <v>30.351523331955452</v>
      </c>
      <c r="O1294">
        <f>0.213*stand_validation_1cycle[[#This Row],[stand_level_biomass]]</f>
        <v>222.92670585194864</v>
      </c>
      <c r="P1294">
        <f>0.571*stand_validation_1cycle[[#This Row],[stand_level_biomass]]</f>
        <v>597.61102836367456</v>
      </c>
      <c r="Q1294">
        <f>stand_validation_1cycle[[#This Row],[stock]]</f>
        <v>100</v>
      </c>
      <c r="R1294">
        <v>0</v>
      </c>
      <c r="S1294">
        <f>stand_validation_1cycle[[#This Row],[aws]]</f>
        <v>564.93444824218705</v>
      </c>
      <c r="T1294">
        <f>stand_validation_1cycle[[#This Row],[percent_tree_cover]]*100</f>
        <v>8.8773851326651201</v>
      </c>
    </row>
    <row r="1295" spans="1:20" x14ac:dyDescent="0.2">
      <c r="A1295">
        <v>1</v>
      </c>
      <c r="B1295" t="s">
        <v>1313</v>
      </c>
      <c r="C1295">
        <v>28.1271555555555</v>
      </c>
      <c r="D1295">
        <v>937.375547427431</v>
      </c>
      <c r="E1295">
        <v>2.0623306987737098</v>
      </c>
      <c r="F1295">
        <v>27.720838169474199</v>
      </c>
      <c r="G1295">
        <v>25</v>
      </c>
      <c r="H1295">
        <v>564.93444824218705</v>
      </c>
      <c r="I1295">
        <v>8.4808938859268199E-2</v>
      </c>
      <c r="K1295" s="1" t="str">
        <f>TEXT(stand_validation_1cycle[[#This Row],[stand_age]], ".0")</f>
        <v>28.1</v>
      </c>
      <c r="L1295" s="1" t="str">
        <f t="shared" si="20"/>
        <v>"28.1"</v>
      </c>
      <c r="M1295">
        <v>100</v>
      </c>
      <c r="N1295">
        <f>0.029*stand_validation_1cycle[[#This Row],[stand_level_biomass]]</f>
        <v>27.183890875395502</v>
      </c>
      <c r="O1295">
        <f>0.213*stand_validation_1cycle[[#This Row],[stand_level_biomass]]</f>
        <v>199.6609916020428</v>
      </c>
      <c r="P1295">
        <f>0.571*stand_validation_1cycle[[#This Row],[stand_level_biomass]]</f>
        <v>535.24143758106311</v>
      </c>
      <c r="Q1295">
        <f>stand_validation_1cycle[[#This Row],[stock]]</f>
        <v>25</v>
      </c>
      <c r="R1295">
        <v>0</v>
      </c>
      <c r="S1295">
        <f>stand_validation_1cycle[[#This Row],[aws]]</f>
        <v>564.93444824218705</v>
      </c>
      <c r="T1295">
        <f>stand_validation_1cycle[[#This Row],[percent_tree_cover]]*100</f>
        <v>8.4808938859268199</v>
      </c>
    </row>
    <row r="1296" spans="1:20" x14ac:dyDescent="0.2">
      <c r="A1296">
        <v>1</v>
      </c>
      <c r="B1296" t="s">
        <v>1314</v>
      </c>
      <c r="C1296">
        <v>30.7723456790123</v>
      </c>
      <c r="D1296">
        <v>1027.3070689443</v>
      </c>
      <c r="E1296">
        <v>8.0677269587449292</v>
      </c>
      <c r="F1296">
        <v>29.610454950460799</v>
      </c>
      <c r="G1296">
        <v>90</v>
      </c>
      <c r="H1296">
        <v>0</v>
      </c>
      <c r="I1296">
        <v>8.9499850794764801E-2</v>
      </c>
      <c r="K1296" s="1" t="str">
        <f>TEXT(stand_validation_1cycle[[#This Row],[stand_age]], ".0")</f>
        <v>30.8</v>
      </c>
      <c r="L1296" s="1" t="str">
        <f t="shared" si="20"/>
        <v>"30.8"</v>
      </c>
      <c r="M1296">
        <v>100</v>
      </c>
      <c r="N1296">
        <f>0.029*stand_validation_1cycle[[#This Row],[stand_level_biomass]]</f>
        <v>29.791904999384702</v>
      </c>
      <c r="O1296">
        <f>0.213*stand_validation_1cycle[[#This Row],[stand_level_biomass]]</f>
        <v>218.81640568513589</v>
      </c>
      <c r="P1296">
        <f>0.571*stand_validation_1cycle[[#This Row],[stand_level_biomass]]</f>
        <v>586.59233636719523</v>
      </c>
      <c r="Q1296">
        <f>stand_validation_1cycle[[#This Row],[stock]]</f>
        <v>90</v>
      </c>
      <c r="R1296">
        <v>0</v>
      </c>
      <c r="S1296">
        <f>stand_validation_1cycle[[#This Row],[aws]]</f>
        <v>0</v>
      </c>
      <c r="T1296">
        <f>stand_validation_1cycle[[#This Row],[percent_tree_cover]]*100</f>
        <v>8.9499850794764804</v>
      </c>
    </row>
    <row r="1297" spans="1:20" x14ac:dyDescent="0.2">
      <c r="A1297">
        <v>1</v>
      </c>
      <c r="B1297" t="s">
        <v>1315</v>
      </c>
      <c r="C1297">
        <v>27.9754</v>
      </c>
      <c r="D1297">
        <v>877.796564282021</v>
      </c>
      <c r="E1297">
        <v>7.8608868546270703</v>
      </c>
      <c r="F1297">
        <v>27.73718799772</v>
      </c>
      <c r="G1297">
        <v>100</v>
      </c>
      <c r="H1297">
        <v>523.002685546875</v>
      </c>
      <c r="I1297">
        <v>7.8335862377095403E-2</v>
      </c>
      <c r="K1297" s="1" t="str">
        <f>TEXT(stand_validation_1cycle[[#This Row],[stand_age]], ".0")</f>
        <v>28.0</v>
      </c>
      <c r="L1297" s="1" t="str">
        <f t="shared" si="20"/>
        <v>"28.0"</v>
      </c>
      <c r="M1297">
        <v>100</v>
      </c>
      <c r="N1297">
        <f>0.029*stand_validation_1cycle[[#This Row],[stand_level_biomass]]</f>
        <v>25.45610036417861</v>
      </c>
      <c r="O1297">
        <f>0.213*stand_validation_1cycle[[#This Row],[stand_level_biomass]]</f>
        <v>186.97066819207046</v>
      </c>
      <c r="P1297">
        <f>0.571*stand_validation_1cycle[[#This Row],[stand_level_biomass]]</f>
        <v>501.22183820503392</v>
      </c>
      <c r="Q1297">
        <f>stand_validation_1cycle[[#This Row],[stock]]</f>
        <v>100</v>
      </c>
      <c r="R1297">
        <v>0</v>
      </c>
      <c r="S1297">
        <f>stand_validation_1cycle[[#This Row],[aws]]</f>
        <v>523.002685546875</v>
      </c>
      <c r="T1297">
        <f>stand_validation_1cycle[[#This Row],[percent_tree_cover]]*100</f>
        <v>7.8335862377095404</v>
      </c>
    </row>
    <row r="1298" spans="1:20" x14ac:dyDescent="0.2">
      <c r="A1298">
        <v>1</v>
      </c>
      <c r="B1298" t="s">
        <v>1316</v>
      </c>
      <c r="C1298">
        <v>28.428344444444399</v>
      </c>
      <c r="D1298">
        <v>1014.45872929426</v>
      </c>
      <c r="E1298">
        <v>8.7477678855134293</v>
      </c>
      <c r="F1298">
        <v>28.484525483470399</v>
      </c>
      <c r="G1298">
        <v>100</v>
      </c>
      <c r="H1298">
        <v>444</v>
      </c>
      <c r="I1298">
        <v>8.7165007831404004E-2</v>
      </c>
      <c r="K1298" s="1" t="str">
        <f>TEXT(stand_validation_1cycle[[#This Row],[stand_age]], ".0")</f>
        <v>28.4</v>
      </c>
      <c r="L1298" s="1" t="str">
        <f t="shared" si="20"/>
        <v>"28.4"</v>
      </c>
      <c r="M1298">
        <v>100</v>
      </c>
      <c r="N1298">
        <f>0.029*stand_validation_1cycle[[#This Row],[stand_level_biomass]]</f>
        <v>29.419303149533544</v>
      </c>
      <c r="O1298">
        <f>0.213*stand_validation_1cycle[[#This Row],[stand_level_biomass]]</f>
        <v>216.07970933967738</v>
      </c>
      <c r="P1298">
        <f>0.571*stand_validation_1cycle[[#This Row],[stand_level_biomass]]</f>
        <v>579.25593442702245</v>
      </c>
      <c r="Q1298">
        <f>stand_validation_1cycle[[#This Row],[stock]]</f>
        <v>100</v>
      </c>
      <c r="R1298">
        <v>0</v>
      </c>
      <c r="S1298">
        <f>stand_validation_1cycle[[#This Row],[aws]]</f>
        <v>444</v>
      </c>
      <c r="T1298">
        <f>stand_validation_1cycle[[#This Row],[percent_tree_cover]]*100</f>
        <v>8.7165007831404004</v>
      </c>
    </row>
    <row r="1299" spans="1:20" x14ac:dyDescent="0.2">
      <c r="A1299">
        <v>1</v>
      </c>
      <c r="B1299" t="s">
        <v>1317</v>
      </c>
      <c r="C1299">
        <v>27.764311111111098</v>
      </c>
      <c r="D1299">
        <v>930.273531903547</v>
      </c>
      <c r="E1299">
        <v>8.1466571179718894</v>
      </c>
      <c r="F1299">
        <v>27.718196769157601</v>
      </c>
      <c r="G1299">
        <v>100</v>
      </c>
      <c r="H1299">
        <v>609.39764404296795</v>
      </c>
      <c r="I1299">
        <v>8.1179303187182E-2</v>
      </c>
      <c r="K1299" s="1" t="str">
        <f>TEXT(stand_validation_1cycle[[#This Row],[stand_age]], ".0")</f>
        <v>27.8</v>
      </c>
      <c r="L1299" s="1" t="str">
        <f t="shared" si="20"/>
        <v>"27.8"</v>
      </c>
      <c r="M1299">
        <v>100</v>
      </c>
      <c r="N1299">
        <f>0.029*stand_validation_1cycle[[#This Row],[stand_level_biomass]]</f>
        <v>26.977932425202866</v>
      </c>
      <c r="O1299">
        <f>0.213*stand_validation_1cycle[[#This Row],[stand_level_biomass]]</f>
        <v>198.14826229545551</v>
      </c>
      <c r="P1299">
        <f>0.571*stand_validation_1cycle[[#This Row],[stand_level_biomass]]</f>
        <v>531.18618671692525</v>
      </c>
      <c r="Q1299">
        <f>stand_validation_1cycle[[#This Row],[stock]]</f>
        <v>100</v>
      </c>
      <c r="R1299">
        <v>0</v>
      </c>
      <c r="S1299">
        <f>stand_validation_1cycle[[#This Row],[aws]]</f>
        <v>609.39764404296795</v>
      </c>
      <c r="T1299">
        <f>stand_validation_1cycle[[#This Row],[percent_tree_cover]]*100</f>
        <v>8.1179303187181997</v>
      </c>
    </row>
    <row r="1300" spans="1:20" x14ac:dyDescent="0.2">
      <c r="A1300">
        <v>1</v>
      </c>
      <c r="B1300" t="s">
        <v>1318</v>
      </c>
      <c r="C1300">
        <v>30.6491245791245</v>
      </c>
      <c r="D1300">
        <v>1099.7077156308301</v>
      </c>
      <c r="E1300">
        <v>9.4589655574238893</v>
      </c>
      <c r="F1300">
        <v>30.71745670748</v>
      </c>
      <c r="G1300">
        <v>99</v>
      </c>
      <c r="H1300">
        <v>526.16015625</v>
      </c>
      <c r="I1300">
        <v>9.3921930352419206E-2</v>
      </c>
      <c r="K1300" s="1" t="str">
        <f>TEXT(stand_validation_1cycle[[#This Row],[stand_age]], ".0")</f>
        <v>30.6</v>
      </c>
      <c r="L1300" s="1" t="str">
        <f t="shared" si="20"/>
        <v>"30.6"</v>
      </c>
      <c r="M1300">
        <v>100</v>
      </c>
      <c r="N1300">
        <f>0.029*stand_validation_1cycle[[#This Row],[stand_level_biomass]]</f>
        <v>31.891523753294074</v>
      </c>
      <c r="O1300">
        <f>0.213*stand_validation_1cycle[[#This Row],[stand_level_biomass]]</f>
        <v>234.23774342936679</v>
      </c>
      <c r="P1300">
        <f>0.571*stand_validation_1cycle[[#This Row],[stand_level_biomass]]</f>
        <v>627.93310562520389</v>
      </c>
      <c r="Q1300">
        <f>stand_validation_1cycle[[#This Row],[stock]]</f>
        <v>99</v>
      </c>
      <c r="R1300">
        <v>0</v>
      </c>
      <c r="S1300">
        <f>stand_validation_1cycle[[#This Row],[aws]]</f>
        <v>526.16015625</v>
      </c>
      <c r="T1300">
        <f>stand_validation_1cycle[[#This Row],[percent_tree_cover]]*100</f>
        <v>9.3921930352419203</v>
      </c>
    </row>
    <row r="1301" spans="1:20" x14ac:dyDescent="0.2">
      <c r="A1301">
        <v>1</v>
      </c>
      <c r="B1301" t="s">
        <v>1319</v>
      </c>
      <c r="C1301">
        <v>24.901311111111099</v>
      </c>
      <c r="D1301">
        <v>648.17441852311902</v>
      </c>
      <c r="E1301">
        <v>6.1489458384898503</v>
      </c>
      <c r="F1301">
        <v>24.923525283280402</v>
      </c>
      <c r="G1301">
        <v>100</v>
      </c>
      <c r="H1301">
        <v>525.60369873046795</v>
      </c>
      <c r="I1301">
        <v>6.1309502164102803E-2</v>
      </c>
      <c r="K1301" s="1" t="str">
        <f>TEXT(stand_validation_1cycle[[#This Row],[stand_age]], ".0")</f>
        <v>24.9</v>
      </c>
      <c r="L1301" s="1" t="str">
        <f t="shared" si="20"/>
        <v>"24.9"</v>
      </c>
      <c r="M1301">
        <v>100</v>
      </c>
      <c r="N1301">
        <f>0.029*stand_validation_1cycle[[#This Row],[stand_level_biomass]]</f>
        <v>18.797058137170453</v>
      </c>
      <c r="O1301">
        <f>0.213*stand_validation_1cycle[[#This Row],[stand_level_biomass]]</f>
        <v>138.06115114542436</v>
      </c>
      <c r="P1301">
        <f>0.571*stand_validation_1cycle[[#This Row],[stand_level_biomass]]</f>
        <v>370.10759297670091</v>
      </c>
      <c r="Q1301">
        <f>stand_validation_1cycle[[#This Row],[stock]]</f>
        <v>100</v>
      </c>
      <c r="R1301">
        <v>0</v>
      </c>
      <c r="S1301">
        <f>stand_validation_1cycle[[#This Row],[aws]]</f>
        <v>525.60369873046795</v>
      </c>
      <c r="T1301">
        <f>stand_validation_1cycle[[#This Row],[percent_tree_cover]]*100</f>
        <v>6.1309502164102803</v>
      </c>
    </row>
    <row r="1302" spans="1:20" x14ac:dyDescent="0.2">
      <c r="A1302">
        <v>1</v>
      </c>
      <c r="B1302" t="s">
        <v>1320</v>
      </c>
      <c r="C1302">
        <v>30.746500000000001</v>
      </c>
      <c r="D1302">
        <v>1236.72651627358</v>
      </c>
      <c r="E1302">
        <v>10.3815075919193</v>
      </c>
      <c r="F1302">
        <v>31.073541426345699</v>
      </c>
      <c r="G1302">
        <v>100</v>
      </c>
      <c r="H1302">
        <v>524.32427978515602</v>
      </c>
      <c r="I1302">
        <v>0.103414975217788</v>
      </c>
      <c r="K1302" s="1" t="str">
        <f>TEXT(stand_validation_1cycle[[#This Row],[stand_age]], ".0")</f>
        <v>30.7</v>
      </c>
      <c r="L1302" s="1" t="str">
        <f t="shared" si="20"/>
        <v>"30.7"</v>
      </c>
      <c r="M1302">
        <v>100</v>
      </c>
      <c r="N1302">
        <f>0.029*stand_validation_1cycle[[#This Row],[stand_level_biomass]]</f>
        <v>35.865068971933823</v>
      </c>
      <c r="O1302">
        <f>0.213*stand_validation_1cycle[[#This Row],[stand_level_biomass]]</f>
        <v>263.42274796627254</v>
      </c>
      <c r="P1302">
        <f>0.571*stand_validation_1cycle[[#This Row],[stand_level_biomass]]</f>
        <v>706.17084079221411</v>
      </c>
      <c r="Q1302">
        <f>stand_validation_1cycle[[#This Row],[stock]]</f>
        <v>100</v>
      </c>
      <c r="R1302">
        <v>0</v>
      </c>
      <c r="S1302">
        <f>stand_validation_1cycle[[#This Row],[aws]]</f>
        <v>524.32427978515602</v>
      </c>
      <c r="T1302">
        <f>stand_validation_1cycle[[#This Row],[percent_tree_cover]]*100</f>
        <v>10.3414975217788</v>
      </c>
    </row>
    <row r="1303" spans="1:20" x14ac:dyDescent="0.2">
      <c r="A1303">
        <v>1</v>
      </c>
      <c r="B1303" t="s">
        <v>1321</v>
      </c>
      <c r="C1303">
        <v>29.981473922902499</v>
      </c>
      <c r="D1303">
        <v>1016.33665181399</v>
      </c>
      <c r="E1303">
        <v>8.6820614751636001</v>
      </c>
      <c r="F1303">
        <v>28.558399123573299</v>
      </c>
      <c r="G1303">
        <v>98</v>
      </c>
      <c r="H1303">
        <v>564.93444824218705</v>
      </c>
      <c r="I1303">
        <v>8.5892109936795094E-2</v>
      </c>
      <c r="K1303" s="1" t="str">
        <f>TEXT(stand_validation_1cycle[[#This Row],[stand_age]], ".0")</f>
        <v>30.0</v>
      </c>
      <c r="L1303" s="1" t="str">
        <f t="shared" si="20"/>
        <v>"30.0"</v>
      </c>
      <c r="M1303">
        <v>100</v>
      </c>
      <c r="N1303">
        <f>0.029*stand_validation_1cycle[[#This Row],[stand_level_biomass]]</f>
        <v>29.47376290260571</v>
      </c>
      <c r="O1303">
        <f>0.213*stand_validation_1cycle[[#This Row],[stand_level_biomass]]</f>
        <v>216.47970683637988</v>
      </c>
      <c r="P1303">
        <f>0.571*stand_validation_1cycle[[#This Row],[stand_level_biomass]]</f>
        <v>580.32822818578825</v>
      </c>
      <c r="Q1303">
        <f>stand_validation_1cycle[[#This Row],[stock]]</f>
        <v>98</v>
      </c>
      <c r="R1303">
        <v>0</v>
      </c>
      <c r="S1303">
        <f>stand_validation_1cycle[[#This Row],[aws]]</f>
        <v>564.93444824218705</v>
      </c>
      <c r="T1303">
        <f>stand_validation_1cycle[[#This Row],[percent_tree_cover]]*100</f>
        <v>8.5892109936795098</v>
      </c>
    </row>
    <row r="1304" spans="1:20" x14ac:dyDescent="0.2">
      <c r="A1304">
        <v>1</v>
      </c>
      <c r="B1304" t="s">
        <v>1322</v>
      </c>
      <c r="C1304">
        <v>28.279399999999999</v>
      </c>
      <c r="D1304">
        <v>900.13028259988403</v>
      </c>
      <c r="E1304">
        <v>8.0101839769054504</v>
      </c>
      <c r="F1304">
        <v>28.063446597656601</v>
      </c>
      <c r="G1304">
        <v>100</v>
      </c>
      <c r="H1304">
        <v>564.93444824218705</v>
      </c>
      <c r="I1304">
        <v>7.9817779650980095E-2</v>
      </c>
      <c r="K1304" s="1" t="str">
        <f>TEXT(stand_validation_1cycle[[#This Row],[stand_age]], ".0")</f>
        <v>28.3</v>
      </c>
      <c r="L1304" s="1" t="str">
        <f t="shared" si="20"/>
        <v>"28.3"</v>
      </c>
      <c r="M1304">
        <v>100</v>
      </c>
      <c r="N1304">
        <f>0.029*stand_validation_1cycle[[#This Row],[stand_level_biomass]]</f>
        <v>26.103778195396639</v>
      </c>
      <c r="O1304">
        <f>0.213*stand_validation_1cycle[[#This Row],[stand_level_biomass]]</f>
        <v>191.72775019377528</v>
      </c>
      <c r="P1304">
        <f>0.571*stand_validation_1cycle[[#This Row],[stand_level_biomass]]</f>
        <v>513.97439136453374</v>
      </c>
      <c r="Q1304">
        <f>stand_validation_1cycle[[#This Row],[stock]]</f>
        <v>100</v>
      </c>
      <c r="R1304">
        <v>0</v>
      </c>
      <c r="S1304">
        <f>stand_validation_1cycle[[#This Row],[aws]]</f>
        <v>564.93444824218705</v>
      </c>
      <c r="T1304">
        <f>stand_validation_1cycle[[#This Row],[percent_tree_cover]]*100</f>
        <v>7.9817779650980096</v>
      </c>
    </row>
    <row r="1305" spans="1:20" x14ac:dyDescent="0.2">
      <c r="A1305">
        <v>1</v>
      </c>
      <c r="B1305" t="s">
        <v>1323</v>
      </c>
      <c r="C1305">
        <v>29.714282407407399</v>
      </c>
      <c r="D1305">
        <v>1114.3911617613001</v>
      </c>
      <c r="E1305">
        <v>4.5496073570389299</v>
      </c>
      <c r="F1305">
        <v>29.446691486040599</v>
      </c>
      <c r="G1305">
        <v>48</v>
      </c>
      <c r="H1305">
        <v>400</v>
      </c>
      <c r="I1305">
        <v>9.3993242164878005E-2</v>
      </c>
      <c r="K1305" s="1" t="str">
        <f>TEXT(stand_validation_1cycle[[#This Row],[stand_age]], ".0")</f>
        <v>29.7</v>
      </c>
      <c r="L1305" s="1" t="str">
        <f t="shared" si="20"/>
        <v>"29.7"</v>
      </c>
      <c r="M1305">
        <v>100</v>
      </c>
      <c r="N1305">
        <f>0.029*stand_validation_1cycle[[#This Row],[stand_level_biomass]]</f>
        <v>32.317343691077703</v>
      </c>
      <c r="O1305">
        <f>0.213*stand_validation_1cycle[[#This Row],[stand_level_biomass]]</f>
        <v>237.36531745515691</v>
      </c>
      <c r="P1305">
        <f>0.571*stand_validation_1cycle[[#This Row],[stand_level_biomass]]</f>
        <v>636.31735336570227</v>
      </c>
      <c r="Q1305">
        <f>stand_validation_1cycle[[#This Row],[stock]]</f>
        <v>48</v>
      </c>
      <c r="R1305">
        <v>0</v>
      </c>
      <c r="S1305">
        <f>stand_validation_1cycle[[#This Row],[aws]]</f>
        <v>400</v>
      </c>
      <c r="T1305">
        <f>stand_validation_1cycle[[#This Row],[percent_tree_cover]]*100</f>
        <v>9.3993242164878001</v>
      </c>
    </row>
    <row r="1306" spans="1:20" x14ac:dyDescent="0.2">
      <c r="A1306">
        <v>1</v>
      </c>
      <c r="B1306" t="s">
        <v>1324</v>
      </c>
      <c r="C1306">
        <v>25.6365079365079</v>
      </c>
      <c r="D1306">
        <v>1052.1792373051101</v>
      </c>
      <c r="E1306">
        <v>0.59837208414577703</v>
      </c>
      <c r="F1306">
        <v>25.282222039265299</v>
      </c>
      <c r="G1306">
        <v>7</v>
      </c>
      <c r="H1306">
        <v>564.93444824218705</v>
      </c>
      <c r="I1306">
        <v>7.5006225612851696E-2</v>
      </c>
      <c r="K1306" s="1" t="str">
        <f>TEXT(stand_validation_1cycle[[#This Row],[stand_age]], ".0")</f>
        <v>25.6</v>
      </c>
      <c r="L1306" s="1" t="str">
        <f t="shared" si="20"/>
        <v>"25.6"</v>
      </c>
      <c r="M1306">
        <v>100</v>
      </c>
      <c r="N1306">
        <f>0.029*stand_validation_1cycle[[#This Row],[stand_level_biomass]]</f>
        <v>30.513197881848193</v>
      </c>
      <c r="O1306">
        <f>0.213*stand_validation_1cycle[[#This Row],[stand_level_biomass]]</f>
        <v>224.11417754598844</v>
      </c>
      <c r="P1306">
        <f>0.571*stand_validation_1cycle[[#This Row],[stand_level_biomass]]</f>
        <v>600.79434450121778</v>
      </c>
      <c r="Q1306">
        <f>stand_validation_1cycle[[#This Row],[stock]]</f>
        <v>7</v>
      </c>
      <c r="R1306">
        <v>0</v>
      </c>
      <c r="S1306">
        <f>stand_validation_1cycle[[#This Row],[aws]]</f>
        <v>564.93444824218705</v>
      </c>
      <c r="T1306">
        <f>stand_validation_1cycle[[#This Row],[percent_tree_cover]]*100</f>
        <v>7.5006225612851694</v>
      </c>
    </row>
    <row r="1307" spans="1:20" x14ac:dyDescent="0.2">
      <c r="A1307">
        <v>1</v>
      </c>
      <c r="B1307" t="s">
        <v>1325</v>
      </c>
      <c r="C1307">
        <v>27.828849206349201</v>
      </c>
      <c r="D1307">
        <v>740.16034133009498</v>
      </c>
      <c r="E1307">
        <v>1.9258159316046199</v>
      </c>
      <c r="F1307">
        <v>26.1484402022074</v>
      </c>
      <c r="G1307">
        <v>28</v>
      </c>
      <c r="H1307">
        <v>0</v>
      </c>
      <c r="I1307">
        <v>6.4012732341273304E-2</v>
      </c>
      <c r="K1307" s="1" t="str">
        <f>TEXT(stand_validation_1cycle[[#This Row],[stand_age]], ".0")</f>
        <v>27.8</v>
      </c>
      <c r="L1307" s="1" t="str">
        <f t="shared" si="20"/>
        <v>"27.8"</v>
      </c>
      <c r="M1307">
        <v>100</v>
      </c>
      <c r="N1307">
        <f>0.029*stand_validation_1cycle[[#This Row],[stand_level_biomass]]</f>
        <v>21.464649898572755</v>
      </c>
      <c r="O1307">
        <f>0.213*stand_validation_1cycle[[#This Row],[stand_level_biomass]]</f>
        <v>157.65415270331022</v>
      </c>
      <c r="P1307">
        <f>0.571*stand_validation_1cycle[[#This Row],[stand_level_biomass]]</f>
        <v>422.63155489948417</v>
      </c>
      <c r="Q1307">
        <f>stand_validation_1cycle[[#This Row],[stock]]</f>
        <v>28</v>
      </c>
      <c r="R1307">
        <v>0</v>
      </c>
      <c r="S1307">
        <f>stand_validation_1cycle[[#This Row],[aws]]</f>
        <v>0</v>
      </c>
      <c r="T1307">
        <f>stand_validation_1cycle[[#This Row],[percent_tree_cover]]*100</f>
        <v>6.4012732341273306</v>
      </c>
    </row>
    <row r="1308" spans="1:20" x14ac:dyDescent="0.2">
      <c r="A1308">
        <v>1</v>
      </c>
      <c r="B1308" t="s">
        <v>1326</v>
      </c>
      <c r="C1308">
        <v>28.3741134751773</v>
      </c>
      <c r="D1308">
        <v>938.55866064315205</v>
      </c>
      <c r="E1308">
        <v>7.6360422830114798</v>
      </c>
      <c r="F1308">
        <v>26.9883291775025</v>
      </c>
      <c r="G1308">
        <v>94</v>
      </c>
      <c r="H1308">
        <v>523.002685546875</v>
      </c>
      <c r="I1308">
        <v>8.2364584001992605E-2</v>
      </c>
      <c r="K1308" s="1" t="str">
        <f>TEXT(stand_validation_1cycle[[#This Row],[stand_age]], ".0")</f>
        <v>28.4</v>
      </c>
      <c r="L1308" s="1" t="str">
        <f t="shared" si="20"/>
        <v>"28.4"</v>
      </c>
      <c r="M1308">
        <v>100</v>
      </c>
      <c r="N1308">
        <f>0.029*stand_validation_1cycle[[#This Row],[stand_level_biomass]]</f>
        <v>27.218201158651411</v>
      </c>
      <c r="O1308">
        <f>0.213*stand_validation_1cycle[[#This Row],[stand_level_biomass]]</f>
        <v>199.91299471699139</v>
      </c>
      <c r="P1308">
        <f>0.571*stand_validation_1cycle[[#This Row],[stand_level_biomass]]</f>
        <v>535.91699522723979</v>
      </c>
      <c r="Q1308">
        <f>stand_validation_1cycle[[#This Row],[stock]]</f>
        <v>94</v>
      </c>
      <c r="R1308">
        <v>0</v>
      </c>
      <c r="S1308">
        <f>stand_validation_1cycle[[#This Row],[aws]]</f>
        <v>523.002685546875</v>
      </c>
      <c r="T1308">
        <f>stand_validation_1cycle[[#This Row],[percent_tree_cover]]*100</f>
        <v>8.2364584001992611</v>
      </c>
    </row>
    <row r="1309" spans="1:20" x14ac:dyDescent="0.2">
      <c r="A1309">
        <v>1</v>
      </c>
      <c r="B1309" t="s">
        <v>1327</v>
      </c>
      <c r="C1309">
        <v>27.546565656565601</v>
      </c>
      <c r="D1309">
        <v>949.46931107750902</v>
      </c>
      <c r="E1309">
        <v>8.1422973727668602</v>
      </c>
      <c r="F1309">
        <v>27.376766404769601</v>
      </c>
      <c r="G1309">
        <v>99</v>
      </c>
      <c r="H1309">
        <v>417</v>
      </c>
      <c r="I1309">
        <v>8.0998730368479696E-2</v>
      </c>
      <c r="K1309" s="1" t="str">
        <f>TEXT(stand_validation_1cycle[[#This Row],[stand_age]], ".0")</f>
        <v>27.5</v>
      </c>
      <c r="L1309" s="1" t="str">
        <f t="shared" si="20"/>
        <v>"27.5"</v>
      </c>
      <c r="M1309">
        <v>100</v>
      </c>
      <c r="N1309">
        <f>0.029*stand_validation_1cycle[[#This Row],[stand_level_biomass]]</f>
        <v>27.534610021247762</v>
      </c>
      <c r="O1309">
        <f>0.213*stand_validation_1cycle[[#This Row],[stand_level_biomass]]</f>
        <v>202.23696325950942</v>
      </c>
      <c r="P1309">
        <f>0.571*stand_validation_1cycle[[#This Row],[stand_level_biomass]]</f>
        <v>542.14697662525759</v>
      </c>
      <c r="Q1309">
        <f>stand_validation_1cycle[[#This Row],[stock]]</f>
        <v>99</v>
      </c>
      <c r="R1309">
        <v>0</v>
      </c>
      <c r="S1309">
        <f>stand_validation_1cycle[[#This Row],[aws]]</f>
        <v>417</v>
      </c>
      <c r="T1309">
        <f>stand_validation_1cycle[[#This Row],[percent_tree_cover]]*100</f>
        <v>8.0998730368479688</v>
      </c>
    </row>
    <row r="1310" spans="1:20" x14ac:dyDescent="0.2">
      <c r="A1310">
        <v>1</v>
      </c>
      <c r="B1310" t="s">
        <v>1328</v>
      </c>
      <c r="C1310">
        <v>27.853288888888802</v>
      </c>
      <c r="D1310">
        <v>1024.8898449274</v>
      </c>
      <c r="E1310">
        <v>8.7643908376417308</v>
      </c>
      <c r="F1310">
        <v>28.159607369094299</v>
      </c>
      <c r="G1310">
        <v>100</v>
      </c>
      <c r="H1310">
        <v>523.37908935546795</v>
      </c>
      <c r="I1310">
        <v>8.7317043678858799E-2</v>
      </c>
      <c r="K1310" s="1" t="str">
        <f>TEXT(stand_validation_1cycle[[#This Row],[stand_age]], ".0")</f>
        <v>27.9</v>
      </c>
      <c r="L1310" s="1" t="str">
        <f t="shared" si="20"/>
        <v>"27.9"</v>
      </c>
      <c r="M1310">
        <v>100</v>
      </c>
      <c r="N1310">
        <f>0.029*stand_validation_1cycle[[#This Row],[stand_level_biomass]]</f>
        <v>29.7218055028946</v>
      </c>
      <c r="O1310">
        <f>0.213*stand_validation_1cycle[[#This Row],[stand_level_biomass]]</f>
        <v>218.30153696953619</v>
      </c>
      <c r="P1310">
        <f>0.571*stand_validation_1cycle[[#This Row],[stand_level_biomass]]</f>
        <v>585.2121014535453</v>
      </c>
      <c r="Q1310">
        <f>stand_validation_1cycle[[#This Row],[stock]]</f>
        <v>100</v>
      </c>
      <c r="R1310">
        <v>0</v>
      </c>
      <c r="S1310">
        <f>stand_validation_1cycle[[#This Row],[aws]]</f>
        <v>523.37908935546795</v>
      </c>
      <c r="T1310">
        <f>stand_validation_1cycle[[#This Row],[percent_tree_cover]]*100</f>
        <v>8.7317043678858806</v>
      </c>
    </row>
    <row r="1311" spans="1:20" x14ac:dyDescent="0.2">
      <c r="A1311">
        <v>1</v>
      </c>
      <c r="B1311" t="s">
        <v>1329</v>
      </c>
      <c r="C1311">
        <v>28.574433221099898</v>
      </c>
      <c r="D1311">
        <v>981.64215458286799</v>
      </c>
      <c r="E1311">
        <v>8.5640608989002693</v>
      </c>
      <c r="F1311">
        <v>28.809789232860499</v>
      </c>
      <c r="G1311">
        <v>99</v>
      </c>
      <c r="H1311">
        <v>0</v>
      </c>
      <c r="I1311">
        <v>8.4608391733595995E-2</v>
      </c>
      <c r="K1311" s="1" t="str">
        <f>TEXT(stand_validation_1cycle[[#This Row],[stand_age]], ".0")</f>
        <v>28.6</v>
      </c>
      <c r="L1311" s="1" t="str">
        <f t="shared" si="20"/>
        <v>"28.6"</v>
      </c>
      <c r="M1311">
        <v>100</v>
      </c>
      <c r="N1311">
        <f>0.029*stand_validation_1cycle[[#This Row],[stand_level_biomass]]</f>
        <v>28.467622482903174</v>
      </c>
      <c r="O1311">
        <f>0.213*stand_validation_1cycle[[#This Row],[stand_level_biomass]]</f>
        <v>209.08977892615087</v>
      </c>
      <c r="P1311">
        <f>0.571*stand_validation_1cycle[[#This Row],[stand_level_biomass]]</f>
        <v>560.51767026681762</v>
      </c>
      <c r="Q1311">
        <f>stand_validation_1cycle[[#This Row],[stock]]</f>
        <v>99</v>
      </c>
      <c r="R1311">
        <v>0</v>
      </c>
      <c r="S1311">
        <f>stand_validation_1cycle[[#This Row],[aws]]</f>
        <v>0</v>
      </c>
      <c r="T1311">
        <f>stand_validation_1cycle[[#This Row],[percent_tree_cover]]*100</f>
        <v>8.4608391733595987</v>
      </c>
    </row>
    <row r="1312" spans="1:20" x14ac:dyDescent="0.2">
      <c r="A1312">
        <v>1</v>
      </c>
      <c r="B1312" t="s">
        <v>1330</v>
      </c>
      <c r="C1312">
        <v>28.1641333333333</v>
      </c>
      <c r="D1312">
        <v>807.30421588658101</v>
      </c>
      <c r="E1312">
        <v>7.3091454302385204</v>
      </c>
      <c r="F1312">
        <v>26.666860169600898</v>
      </c>
      <c r="G1312">
        <v>100</v>
      </c>
      <c r="H1312">
        <v>0</v>
      </c>
      <c r="I1312">
        <v>7.2834638095193097E-2</v>
      </c>
      <c r="K1312" s="1" t="str">
        <f>TEXT(stand_validation_1cycle[[#This Row],[stand_age]], ".0")</f>
        <v>28.2</v>
      </c>
      <c r="L1312" s="1" t="str">
        <f t="shared" si="20"/>
        <v>"28.2"</v>
      </c>
      <c r="M1312">
        <v>100</v>
      </c>
      <c r="N1312">
        <f>0.029*stand_validation_1cycle[[#This Row],[stand_level_biomass]]</f>
        <v>23.411822260710849</v>
      </c>
      <c r="O1312">
        <f>0.213*stand_validation_1cycle[[#This Row],[stand_level_biomass]]</f>
        <v>171.95579798384176</v>
      </c>
      <c r="P1312">
        <f>0.571*stand_validation_1cycle[[#This Row],[stand_level_biomass]]</f>
        <v>460.9707072712377</v>
      </c>
      <c r="Q1312">
        <f>stand_validation_1cycle[[#This Row],[stock]]</f>
        <v>100</v>
      </c>
      <c r="R1312">
        <v>0</v>
      </c>
      <c r="S1312">
        <f>stand_validation_1cycle[[#This Row],[aws]]</f>
        <v>0</v>
      </c>
      <c r="T1312">
        <f>stand_validation_1cycle[[#This Row],[percent_tree_cover]]*100</f>
        <v>7.2834638095193096</v>
      </c>
    </row>
    <row r="1313" spans="1:20" x14ac:dyDescent="0.2">
      <c r="A1313">
        <v>1</v>
      </c>
      <c r="B1313" t="s">
        <v>1331</v>
      </c>
      <c r="C1313">
        <v>26.998462401795699</v>
      </c>
      <c r="D1313">
        <v>800.67601726181499</v>
      </c>
      <c r="E1313">
        <v>7.3525897296468603</v>
      </c>
      <c r="F1313">
        <v>26.462547414870599</v>
      </c>
      <c r="G1313">
        <v>99</v>
      </c>
      <c r="H1313">
        <v>567.88720703125</v>
      </c>
      <c r="I1313">
        <v>7.1286802077583103E-2</v>
      </c>
      <c r="K1313" s="1" t="str">
        <f>TEXT(stand_validation_1cycle[[#This Row],[stand_age]], ".0")</f>
        <v>27.0</v>
      </c>
      <c r="L1313" s="1" t="str">
        <f t="shared" si="20"/>
        <v>"27.0"</v>
      </c>
      <c r="M1313">
        <v>100</v>
      </c>
      <c r="N1313">
        <f>0.029*stand_validation_1cycle[[#This Row],[stand_level_biomass]]</f>
        <v>23.219604500592634</v>
      </c>
      <c r="O1313">
        <f>0.213*stand_validation_1cycle[[#This Row],[stand_level_biomass]]</f>
        <v>170.54399167676658</v>
      </c>
      <c r="P1313">
        <f>0.571*stand_validation_1cycle[[#This Row],[stand_level_biomass]]</f>
        <v>457.18600585649631</v>
      </c>
      <c r="Q1313">
        <f>stand_validation_1cycle[[#This Row],[stock]]</f>
        <v>99</v>
      </c>
      <c r="R1313">
        <v>0</v>
      </c>
      <c r="S1313">
        <f>stand_validation_1cycle[[#This Row],[aws]]</f>
        <v>567.88720703125</v>
      </c>
      <c r="T1313">
        <f>stand_validation_1cycle[[#This Row],[percent_tree_cover]]*100</f>
        <v>7.1286802077583102</v>
      </c>
    </row>
    <row r="1314" spans="1:20" x14ac:dyDescent="0.2">
      <c r="A1314">
        <v>1</v>
      </c>
      <c r="B1314" t="s">
        <v>1332</v>
      </c>
      <c r="C1314">
        <v>26.8688652482269</v>
      </c>
      <c r="D1314">
        <v>884.22074674314797</v>
      </c>
      <c r="E1314">
        <v>3.7228061440598199</v>
      </c>
      <c r="F1314">
        <v>28.066069602225902</v>
      </c>
      <c r="G1314">
        <v>47</v>
      </c>
      <c r="H1314">
        <v>400</v>
      </c>
      <c r="I1314">
        <v>7.7612582959280196E-2</v>
      </c>
      <c r="K1314" s="1" t="str">
        <f>TEXT(stand_validation_1cycle[[#This Row],[stand_age]], ".0")</f>
        <v>26.9</v>
      </c>
      <c r="L1314" s="1" t="str">
        <f t="shared" si="20"/>
        <v>"26.9"</v>
      </c>
      <c r="M1314">
        <v>100</v>
      </c>
      <c r="N1314">
        <f>0.029*stand_validation_1cycle[[#This Row],[stand_level_biomass]]</f>
        <v>25.642401655551293</v>
      </c>
      <c r="O1314">
        <f>0.213*stand_validation_1cycle[[#This Row],[stand_level_biomass]]</f>
        <v>188.33901905629051</v>
      </c>
      <c r="P1314">
        <f>0.571*stand_validation_1cycle[[#This Row],[stand_level_biomass]]</f>
        <v>504.89004639033743</v>
      </c>
      <c r="Q1314">
        <f>stand_validation_1cycle[[#This Row],[stock]]</f>
        <v>47</v>
      </c>
      <c r="R1314">
        <v>0</v>
      </c>
      <c r="S1314">
        <f>stand_validation_1cycle[[#This Row],[aws]]</f>
        <v>400</v>
      </c>
      <c r="T1314">
        <f>stand_validation_1cycle[[#This Row],[percent_tree_cover]]*100</f>
        <v>7.7612582959280196</v>
      </c>
    </row>
    <row r="1315" spans="1:20" x14ac:dyDescent="0.2">
      <c r="A1315">
        <v>1</v>
      </c>
      <c r="B1315" t="s">
        <v>1333</v>
      </c>
      <c r="C1315">
        <v>34.886349206349202</v>
      </c>
      <c r="D1315">
        <v>1604.0950926</v>
      </c>
      <c r="E1315">
        <v>0.88835051085007599</v>
      </c>
      <c r="F1315">
        <v>32.1883453053469</v>
      </c>
      <c r="G1315">
        <v>7</v>
      </c>
      <c r="H1315">
        <v>564.93444824218705</v>
      </c>
      <c r="I1315">
        <v>0.115393442321947</v>
      </c>
      <c r="K1315" s="1" t="str">
        <f>TEXT(stand_validation_1cycle[[#This Row],[stand_age]], ".0")</f>
        <v>34.9</v>
      </c>
      <c r="L1315" s="1" t="str">
        <f t="shared" si="20"/>
        <v>"34.9"</v>
      </c>
      <c r="M1315">
        <v>100</v>
      </c>
      <c r="N1315">
        <f>0.029*stand_validation_1cycle[[#This Row],[stand_level_biomass]]</f>
        <v>46.518757685400004</v>
      </c>
      <c r="O1315">
        <f>0.213*stand_validation_1cycle[[#This Row],[stand_level_biomass]]</f>
        <v>341.67225472379999</v>
      </c>
      <c r="P1315">
        <f>0.571*stand_validation_1cycle[[#This Row],[stand_level_biomass]]</f>
        <v>915.93829787459993</v>
      </c>
      <c r="Q1315">
        <f>stand_validation_1cycle[[#This Row],[stock]]</f>
        <v>7</v>
      </c>
      <c r="R1315">
        <v>0</v>
      </c>
      <c r="S1315">
        <f>stand_validation_1cycle[[#This Row],[aws]]</f>
        <v>564.93444824218705</v>
      </c>
      <c r="T1315">
        <f>stand_validation_1cycle[[#This Row],[percent_tree_cover]]*100</f>
        <v>11.539344232194699</v>
      </c>
    </row>
    <row r="1316" spans="1:20" x14ac:dyDescent="0.2">
      <c r="A1316">
        <v>1</v>
      </c>
      <c r="B1316" t="s">
        <v>1334</v>
      </c>
      <c r="C1316">
        <v>29.183520599250901</v>
      </c>
      <c r="D1316">
        <v>880.36387257666695</v>
      </c>
      <c r="E1316">
        <v>7.0666647428638498</v>
      </c>
      <c r="F1316">
        <v>28.219061442386199</v>
      </c>
      <c r="G1316">
        <v>89</v>
      </c>
      <c r="H1316">
        <v>0</v>
      </c>
      <c r="I1316">
        <v>7.9545706154771398E-2</v>
      </c>
      <c r="K1316" s="1" t="str">
        <f>TEXT(stand_validation_1cycle[[#This Row],[stand_age]], ".0")</f>
        <v>29.2</v>
      </c>
      <c r="L1316" s="1" t="str">
        <f t="shared" si="20"/>
        <v>"29.2"</v>
      </c>
      <c r="M1316">
        <v>100</v>
      </c>
      <c r="N1316">
        <f>0.029*stand_validation_1cycle[[#This Row],[stand_level_biomass]]</f>
        <v>25.530552304723344</v>
      </c>
      <c r="O1316">
        <f>0.213*stand_validation_1cycle[[#This Row],[stand_level_biomass]]</f>
        <v>187.51750485883005</v>
      </c>
      <c r="P1316">
        <f>0.571*stand_validation_1cycle[[#This Row],[stand_level_biomass]]</f>
        <v>502.68777124127678</v>
      </c>
      <c r="Q1316">
        <f>stand_validation_1cycle[[#This Row],[stock]]</f>
        <v>89</v>
      </c>
      <c r="R1316">
        <v>0</v>
      </c>
      <c r="S1316">
        <f>stand_validation_1cycle[[#This Row],[aws]]</f>
        <v>0</v>
      </c>
      <c r="T1316">
        <f>stand_validation_1cycle[[#This Row],[percent_tree_cover]]*100</f>
        <v>7.9545706154771398</v>
      </c>
    </row>
    <row r="1317" spans="1:20" x14ac:dyDescent="0.2">
      <c r="A1317">
        <v>1</v>
      </c>
      <c r="B1317" t="s">
        <v>1335</v>
      </c>
      <c r="C1317">
        <v>28.035</v>
      </c>
      <c r="D1317">
        <v>932.80754598477802</v>
      </c>
      <c r="E1317">
        <v>8.1221880381912399</v>
      </c>
      <c r="F1317">
        <v>27.1993311408485</v>
      </c>
      <c r="G1317">
        <v>100</v>
      </c>
      <c r="H1317">
        <v>525.412353515625</v>
      </c>
      <c r="I1317">
        <v>8.0923292677316697E-2</v>
      </c>
      <c r="K1317" s="1" t="str">
        <f>TEXT(stand_validation_1cycle[[#This Row],[stand_age]], ".0")</f>
        <v>28.0</v>
      </c>
      <c r="L1317" s="1" t="str">
        <f t="shared" si="20"/>
        <v>"28.0"</v>
      </c>
      <c r="M1317">
        <v>100</v>
      </c>
      <c r="N1317">
        <f>0.029*stand_validation_1cycle[[#This Row],[stand_level_biomass]]</f>
        <v>27.051418833558564</v>
      </c>
      <c r="O1317">
        <f>0.213*stand_validation_1cycle[[#This Row],[stand_level_biomass]]</f>
        <v>198.68800729475771</v>
      </c>
      <c r="P1317">
        <f>0.571*stand_validation_1cycle[[#This Row],[stand_level_biomass]]</f>
        <v>532.63310875730815</v>
      </c>
      <c r="Q1317">
        <f>stand_validation_1cycle[[#This Row],[stock]]</f>
        <v>100</v>
      </c>
      <c r="R1317">
        <v>0</v>
      </c>
      <c r="S1317">
        <f>stand_validation_1cycle[[#This Row],[aws]]</f>
        <v>525.412353515625</v>
      </c>
      <c r="T1317">
        <f>stand_validation_1cycle[[#This Row],[percent_tree_cover]]*100</f>
        <v>8.0923292677316692</v>
      </c>
    </row>
    <row r="1318" spans="1:20" x14ac:dyDescent="0.2">
      <c r="A1318">
        <v>1</v>
      </c>
      <c r="B1318" t="s">
        <v>1336</v>
      </c>
      <c r="C1318">
        <v>25.9870444444444</v>
      </c>
      <c r="D1318">
        <v>869.68594974542998</v>
      </c>
      <c r="E1318">
        <v>7.6116148293335</v>
      </c>
      <c r="F1318">
        <v>26.501239597593301</v>
      </c>
      <c r="G1318">
        <v>100</v>
      </c>
      <c r="H1318">
        <v>523.14514160156205</v>
      </c>
      <c r="I1318">
        <v>7.5860774602068401E-2</v>
      </c>
      <c r="K1318" s="1" t="str">
        <f>TEXT(stand_validation_1cycle[[#This Row],[stand_age]], ".0")</f>
        <v>26.0</v>
      </c>
      <c r="L1318" s="1" t="str">
        <f t="shared" si="20"/>
        <v>"26.0"</v>
      </c>
      <c r="M1318">
        <v>100</v>
      </c>
      <c r="N1318">
        <f>0.029*stand_validation_1cycle[[#This Row],[stand_level_biomass]]</f>
        <v>25.22089254261747</v>
      </c>
      <c r="O1318">
        <f>0.213*stand_validation_1cycle[[#This Row],[stand_level_biomass]]</f>
        <v>185.24310729577658</v>
      </c>
      <c r="P1318">
        <f>0.571*stand_validation_1cycle[[#This Row],[stand_level_biomass]]</f>
        <v>496.59067730464045</v>
      </c>
      <c r="Q1318">
        <f>stand_validation_1cycle[[#This Row],[stock]]</f>
        <v>100</v>
      </c>
      <c r="R1318">
        <v>0</v>
      </c>
      <c r="S1318">
        <f>stand_validation_1cycle[[#This Row],[aws]]</f>
        <v>523.14514160156205</v>
      </c>
      <c r="T1318">
        <f>stand_validation_1cycle[[#This Row],[percent_tree_cover]]*100</f>
        <v>7.5860774602068402</v>
      </c>
    </row>
    <row r="1319" spans="1:20" x14ac:dyDescent="0.2">
      <c r="A1319">
        <v>1</v>
      </c>
      <c r="B1319" t="s">
        <v>1337</v>
      </c>
      <c r="C1319">
        <v>25.657922222222201</v>
      </c>
      <c r="D1319">
        <v>610.96200519864897</v>
      </c>
      <c r="E1319">
        <v>5.9536518727720997</v>
      </c>
      <c r="F1319">
        <v>24.6727023979733</v>
      </c>
      <c r="G1319">
        <v>100</v>
      </c>
      <c r="H1319">
        <v>0</v>
      </c>
      <c r="I1319">
        <v>5.9351117969931699E-2</v>
      </c>
      <c r="K1319" s="1" t="str">
        <f>TEXT(stand_validation_1cycle[[#This Row],[stand_age]], ".0")</f>
        <v>25.7</v>
      </c>
      <c r="L1319" s="1" t="str">
        <f t="shared" si="20"/>
        <v>"25.7"</v>
      </c>
      <c r="M1319">
        <v>100</v>
      </c>
      <c r="N1319">
        <f>0.029*stand_validation_1cycle[[#This Row],[stand_level_biomass]]</f>
        <v>17.717898150760821</v>
      </c>
      <c r="O1319">
        <f>0.213*stand_validation_1cycle[[#This Row],[stand_level_biomass]]</f>
        <v>130.13490710731222</v>
      </c>
      <c r="P1319">
        <f>0.571*stand_validation_1cycle[[#This Row],[stand_level_biomass]]</f>
        <v>348.85930496842855</v>
      </c>
      <c r="Q1319">
        <f>stand_validation_1cycle[[#This Row],[stock]]</f>
        <v>100</v>
      </c>
      <c r="R1319">
        <v>0</v>
      </c>
      <c r="S1319">
        <f>stand_validation_1cycle[[#This Row],[aws]]</f>
        <v>0</v>
      </c>
      <c r="T1319">
        <f>stand_validation_1cycle[[#This Row],[percent_tree_cover]]*100</f>
        <v>5.9351117969931702</v>
      </c>
    </row>
    <row r="1320" spans="1:20" x14ac:dyDescent="0.2">
      <c r="A1320">
        <v>1</v>
      </c>
      <c r="B1320" t="s">
        <v>1338</v>
      </c>
      <c r="C1320">
        <v>27.3086666666666</v>
      </c>
      <c r="D1320">
        <v>788.62724020285498</v>
      </c>
      <c r="E1320">
        <v>3.27592165767014</v>
      </c>
      <c r="F1320">
        <v>26.982986410526902</v>
      </c>
      <c r="G1320">
        <v>45</v>
      </c>
      <c r="H1320">
        <v>400</v>
      </c>
      <c r="I1320">
        <v>7.0062888232499204E-2</v>
      </c>
      <c r="K1320" s="1" t="str">
        <f>TEXT(stand_validation_1cycle[[#This Row],[stand_age]], ".0")</f>
        <v>27.3</v>
      </c>
      <c r="L1320" s="1" t="str">
        <f t="shared" si="20"/>
        <v>"27.3"</v>
      </c>
      <c r="M1320">
        <v>100</v>
      </c>
      <c r="N1320">
        <f>0.029*stand_validation_1cycle[[#This Row],[stand_level_biomass]]</f>
        <v>22.870189965882794</v>
      </c>
      <c r="O1320">
        <f>0.213*stand_validation_1cycle[[#This Row],[stand_level_biomass]]</f>
        <v>167.9776021632081</v>
      </c>
      <c r="P1320">
        <f>0.571*stand_validation_1cycle[[#This Row],[stand_level_biomass]]</f>
        <v>450.30615415583014</v>
      </c>
      <c r="Q1320">
        <f>stand_validation_1cycle[[#This Row],[stock]]</f>
        <v>45</v>
      </c>
      <c r="R1320">
        <v>0</v>
      </c>
      <c r="S1320">
        <f>stand_validation_1cycle[[#This Row],[aws]]</f>
        <v>400</v>
      </c>
      <c r="T1320">
        <f>stand_validation_1cycle[[#This Row],[percent_tree_cover]]*100</f>
        <v>7.0062888232499203</v>
      </c>
    </row>
    <row r="1321" spans="1:20" x14ac:dyDescent="0.2">
      <c r="A1321">
        <v>1</v>
      </c>
      <c r="B1321" t="s">
        <v>1339</v>
      </c>
      <c r="C1321">
        <v>27.457744107744102</v>
      </c>
      <c r="D1321">
        <v>661.06372609804396</v>
      </c>
      <c r="E1321">
        <v>2.11461543990925</v>
      </c>
      <c r="F1321">
        <v>26.063206058686799</v>
      </c>
      <c r="G1321">
        <v>33</v>
      </c>
      <c r="H1321">
        <v>567.88720703125</v>
      </c>
      <c r="I1321">
        <v>6.2057573656581898E-2</v>
      </c>
      <c r="K1321" s="1" t="str">
        <f>TEXT(stand_validation_1cycle[[#This Row],[stand_age]], ".0")</f>
        <v>27.5</v>
      </c>
      <c r="L1321" s="1" t="str">
        <f t="shared" si="20"/>
        <v>"27.5"</v>
      </c>
      <c r="M1321">
        <v>100</v>
      </c>
      <c r="N1321">
        <f>0.029*stand_validation_1cycle[[#This Row],[stand_level_biomass]]</f>
        <v>19.170848056843276</v>
      </c>
      <c r="O1321">
        <f>0.213*stand_validation_1cycle[[#This Row],[stand_level_biomass]]</f>
        <v>140.80657365888337</v>
      </c>
      <c r="P1321">
        <f>0.571*stand_validation_1cycle[[#This Row],[stand_level_biomass]]</f>
        <v>377.46738760198309</v>
      </c>
      <c r="Q1321">
        <f>stand_validation_1cycle[[#This Row],[stock]]</f>
        <v>33</v>
      </c>
      <c r="R1321">
        <v>0</v>
      </c>
      <c r="S1321">
        <f>stand_validation_1cycle[[#This Row],[aws]]</f>
        <v>567.88720703125</v>
      </c>
      <c r="T1321">
        <f>stand_validation_1cycle[[#This Row],[percent_tree_cover]]*100</f>
        <v>6.2057573656581901</v>
      </c>
    </row>
    <row r="1322" spans="1:20" x14ac:dyDescent="0.2">
      <c r="A1322">
        <v>1</v>
      </c>
      <c r="B1322" t="s">
        <v>1340</v>
      </c>
      <c r="C1322">
        <v>24.283333333333299</v>
      </c>
      <c r="D1322">
        <v>370.41460276304201</v>
      </c>
      <c r="E1322">
        <v>0.32622612274141699</v>
      </c>
      <c r="F1322">
        <v>21.009713213267801</v>
      </c>
      <c r="G1322">
        <v>8</v>
      </c>
      <c r="H1322">
        <v>567.88720703125</v>
      </c>
      <c r="I1322">
        <v>4.4177312331031802E-2</v>
      </c>
      <c r="K1322" s="1" t="str">
        <f>TEXT(stand_validation_1cycle[[#This Row],[stand_age]], ".0")</f>
        <v>24.3</v>
      </c>
      <c r="L1322" s="1" t="str">
        <f t="shared" si="20"/>
        <v>"24.3"</v>
      </c>
      <c r="M1322">
        <v>100</v>
      </c>
      <c r="N1322">
        <f>0.029*stand_validation_1cycle[[#This Row],[stand_level_biomass]]</f>
        <v>10.74202348012822</v>
      </c>
      <c r="O1322">
        <f>0.213*stand_validation_1cycle[[#This Row],[stand_level_biomass]]</f>
        <v>78.898310388527946</v>
      </c>
      <c r="P1322">
        <f>0.571*stand_validation_1cycle[[#This Row],[stand_level_biomass]]</f>
        <v>211.50673817769697</v>
      </c>
      <c r="Q1322">
        <f>stand_validation_1cycle[[#This Row],[stock]]</f>
        <v>8</v>
      </c>
      <c r="R1322">
        <v>0</v>
      </c>
      <c r="S1322">
        <f>stand_validation_1cycle[[#This Row],[aws]]</f>
        <v>567.88720703125</v>
      </c>
      <c r="T1322">
        <f>stand_validation_1cycle[[#This Row],[percent_tree_cover]]*100</f>
        <v>4.4177312331031802</v>
      </c>
    </row>
    <row r="1323" spans="1:20" x14ac:dyDescent="0.2">
      <c r="A1323">
        <v>1</v>
      </c>
      <c r="B1323" t="s">
        <v>1341</v>
      </c>
      <c r="C1323">
        <v>27.324057428214701</v>
      </c>
      <c r="D1323">
        <v>819.68035583808899</v>
      </c>
      <c r="E1323">
        <v>6.6225825571211701</v>
      </c>
      <c r="F1323">
        <v>27.000732485714799</v>
      </c>
      <c r="G1323">
        <v>89</v>
      </c>
      <c r="H1323">
        <v>400</v>
      </c>
      <c r="I1323">
        <v>7.4552068100214697E-2</v>
      </c>
      <c r="K1323" s="1" t="str">
        <f>TEXT(stand_validation_1cycle[[#This Row],[stand_age]], ".0")</f>
        <v>27.3</v>
      </c>
      <c r="L1323" s="1" t="str">
        <f t="shared" si="20"/>
        <v>"27.3"</v>
      </c>
      <c r="M1323">
        <v>100</v>
      </c>
      <c r="N1323">
        <f>0.029*stand_validation_1cycle[[#This Row],[stand_level_biomass]]</f>
        <v>23.770730319304583</v>
      </c>
      <c r="O1323">
        <f>0.213*stand_validation_1cycle[[#This Row],[stand_level_biomass]]</f>
        <v>174.59191579351295</v>
      </c>
      <c r="P1323">
        <f>0.571*stand_validation_1cycle[[#This Row],[stand_level_biomass]]</f>
        <v>468.03748318354877</v>
      </c>
      <c r="Q1323">
        <f>stand_validation_1cycle[[#This Row],[stock]]</f>
        <v>89</v>
      </c>
      <c r="R1323">
        <v>0</v>
      </c>
      <c r="S1323">
        <f>stand_validation_1cycle[[#This Row],[aws]]</f>
        <v>400</v>
      </c>
      <c r="T1323">
        <f>stand_validation_1cycle[[#This Row],[percent_tree_cover]]*100</f>
        <v>7.4552068100214699</v>
      </c>
    </row>
    <row r="1324" spans="1:20" x14ac:dyDescent="0.2">
      <c r="A1324">
        <v>1</v>
      </c>
      <c r="B1324" t="s">
        <v>1342</v>
      </c>
      <c r="C1324">
        <v>26.7307666666666</v>
      </c>
      <c r="D1324">
        <v>666.42618354867</v>
      </c>
      <c r="E1324">
        <v>6.3316074601475201</v>
      </c>
      <c r="F1324">
        <v>25.2731418838504</v>
      </c>
      <c r="G1324">
        <v>100</v>
      </c>
      <c r="H1324">
        <v>625.89813232421795</v>
      </c>
      <c r="I1324">
        <v>6.3099352757607002E-2</v>
      </c>
      <c r="K1324" s="1" t="str">
        <f>TEXT(stand_validation_1cycle[[#This Row],[stand_age]], ".0")</f>
        <v>26.7</v>
      </c>
      <c r="L1324" s="1" t="str">
        <f t="shared" si="20"/>
        <v>"26.7"</v>
      </c>
      <c r="M1324">
        <v>100</v>
      </c>
      <c r="N1324">
        <f>0.029*stand_validation_1cycle[[#This Row],[stand_level_biomass]]</f>
        <v>19.326359322911429</v>
      </c>
      <c r="O1324">
        <f>0.213*stand_validation_1cycle[[#This Row],[stand_level_biomass]]</f>
        <v>141.94877709586672</v>
      </c>
      <c r="P1324">
        <f>0.571*stand_validation_1cycle[[#This Row],[stand_level_biomass]]</f>
        <v>380.52935080629055</v>
      </c>
      <c r="Q1324">
        <f>stand_validation_1cycle[[#This Row],[stock]]</f>
        <v>100</v>
      </c>
      <c r="R1324">
        <v>0</v>
      </c>
      <c r="S1324">
        <f>stand_validation_1cycle[[#This Row],[aws]]</f>
        <v>625.89813232421795</v>
      </c>
      <c r="T1324">
        <f>stand_validation_1cycle[[#This Row],[percent_tree_cover]]*100</f>
        <v>6.3099352757606999</v>
      </c>
    </row>
    <row r="1325" spans="1:20" x14ac:dyDescent="0.2">
      <c r="A1325">
        <v>1</v>
      </c>
      <c r="B1325" t="s">
        <v>1343</v>
      </c>
      <c r="C1325">
        <v>26.384455667788998</v>
      </c>
      <c r="D1325">
        <v>683.35933310151495</v>
      </c>
      <c r="E1325">
        <v>6.2784925531532796</v>
      </c>
      <c r="F1325">
        <v>24.8443209216931</v>
      </c>
      <c r="G1325">
        <v>99</v>
      </c>
      <c r="H1325">
        <v>523.038330078125</v>
      </c>
      <c r="I1325">
        <v>6.2568788055522906E-2</v>
      </c>
      <c r="K1325" s="1" t="str">
        <f>TEXT(stand_validation_1cycle[[#This Row],[stand_age]], ".0")</f>
        <v>26.4</v>
      </c>
      <c r="L1325" s="1" t="str">
        <f t="shared" si="20"/>
        <v>"26.4"</v>
      </c>
      <c r="M1325">
        <v>100</v>
      </c>
      <c r="N1325">
        <f>0.029*stand_validation_1cycle[[#This Row],[stand_level_biomass]]</f>
        <v>19.817420659943934</v>
      </c>
      <c r="O1325">
        <f>0.213*stand_validation_1cycle[[#This Row],[stand_level_biomass]]</f>
        <v>145.55553795062269</v>
      </c>
      <c r="P1325">
        <f>0.571*stand_validation_1cycle[[#This Row],[stand_level_biomass]]</f>
        <v>390.198179200965</v>
      </c>
      <c r="Q1325">
        <f>stand_validation_1cycle[[#This Row],[stock]]</f>
        <v>99</v>
      </c>
      <c r="R1325">
        <v>0</v>
      </c>
      <c r="S1325">
        <f>stand_validation_1cycle[[#This Row],[aws]]</f>
        <v>523.038330078125</v>
      </c>
      <c r="T1325">
        <f>stand_validation_1cycle[[#This Row],[percent_tree_cover]]*100</f>
        <v>6.2568788055522901</v>
      </c>
    </row>
    <row r="1326" spans="1:20" x14ac:dyDescent="0.2">
      <c r="A1326">
        <v>1</v>
      </c>
      <c r="B1326" t="s">
        <v>1344</v>
      </c>
      <c r="C1326">
        <v>25.557301587301499</v>
      </c>
      <c r="D1326">
        <v>757.382517662954</v>
      </c>
      <c r="E1326">
        <v>6.7627667045096604</v>
      </c>
      <c r="F1326">
        <v>25.542587723630199</v>
      </c>
      <c r="G1326">
        <v>98</v>
      </c>
      <c r="H1326">
        <v>523.002685546875</v>
      </c>
      <c r="I1326">
        <v>6.7189834669667103E-2</v>
      </c>
      <c r="K1326" s="1" t="str">
        <f>TEXT(stand_validation_1cycle[[#This Row],[stand_age]], ".0")</f>
        <v>25.6</v>
      </c>
      <c r="L1326" s="1" t="str">
        <f t="shared" si="20"/>
        <v>"25.6"</v>
      </c>
      <c r="M1326">
        <v>100</v>
      </c>
      <c r="N1326">
        <f>0.029*stand_validation_1cycle[[#This Row],[stand_level_biomass]]</f>
        <v>21.964093012225668</v>
      </c>
      <c r="O1326">
        <f>0.213*stand_validation_1cycle[[#This Row],[stand_level_biomass]]</f>
        <v>161.32247626220919</v>
      </c>
      <c r="P1326">
        <f>0.571*stand_validation_1cycle[[#This Row],[stand_level_biomass]]</f>
        <v>432.46541758554667</v>
      </c>
      <c r="Q1326">
        <f>stand_validation_1cycle[[#This Row],[stock]]</f>
        <v>98</v>
      </c>
      <c r="R1326">
        <v>0</v>
      </c>
      <c r="S1326">
        <f>stand_validation_1cycle[[#This Row],[aws]]</f>
        <v>523.002685546875</v>
      </c>
      <c r="T1326">
        <f>stand_validation_1cycle[[#This Row],[percent_tree_cover]]*100</f>
        <v>6.7189834669667103</v>
      </c>
    </row>
    <row r="1327" spans="1:20" x14ac:dyDescent="0.2">
      <c r="A1327">
        <v>1</v>
      </c>
      <c r="B1327" t="s">
        <v>1345</v>
      </c>
      <c r="C1327">
        <v>28.023379629629598</v>
      </c>
      <c r="D1327">
        <v>854.71255541395703</v>
      </c>
      <c r="E1327">
        <v>3.7031060019273201</v>
      </c>
      <c r="F1327">
        <v>27.634373688251902</v>
      </c>
      <c r="G1327">
        <v>48</v>
      </c>
      <c r="H1327">
        <v>0</v>
      </c>
      <c r="I1327">
        <v>7.9826359366208299E-2</v>
      </c>
      <c r="K1327" s="1" t="str">
        <f>TEXT(stand_validation_1cycle[[#This Row],[stand_age]], ".0")</f>
        <v>28.0</v>
      </c>
      <c r="L1327" s="1" t="str">
        <f t="shared" si="20"/>
        <v>"28.0"</v>
      </c>
      <c r="M1327">
        <v>100</v>
      </c>
      <c r="N1327">
        <f>0.029*stand_validation_1cycle[[#This Row],[stand_level_biomass]]</f>
        <v>24.786664107004754</v>
      </c>
      <c r="O1327">
        <f>0.213*stand_validation_1cycle[[#This Row],[stand_level_biomass]]</f>
        <v>182.05377430317284</v>
      </c>
      <c r="P1327">
        <f>0.571*stand_validation_1cycle[[#This Row],[stand_level_biomass]]</f>
        <v>488.0408691413694</v>
      </c>
      <c r="Q1327">
        <f>stand_validation_1cycle[[#This Row],[stock]]</f>
        <v>48</v>
      </c>
      <c r="R1327">
        <v>0</v>
      </c>
      <c r="S1327">
        <f>stand_validation_1cycle[[#This Row],[aws]]</f>
        <v>0</v>
      </c>
      <c r="T1327">
        <f>stand_validation_1cycle[[#This Row],[percent_tree_cover]]*100</f>
        <v>7.9826359366208299</v>
      </c>
    </row>
    <row r="1328" spans="1:20" x14ac:dyDescent="0.2">
      <c r="A1328">
        <v>1</v>
      </c>
      <c r="B1328" t="s">
        <v>1346</v>
      </c>
      <c r="C1328">
        <v>26.763015873015799</v>
      </c>
      <c r="D1328">
        <v>964.06434397896305</v>
      </c>
      <c r="E1328">
        <v>0.59404611106178395</v>
      </c>
      <c r="F1328">
        <v>28.836430609789101</v>
      </c>
      <c r="G1328">
        <v>7</v>
      </c>
      <c r="H1328">
        <v>0</v>
      </c>
      <c r="I1328">
        <v>8.9621803624513094E-2</v>
      </c>
      <c r="K1328" s="1" t="str">
        <f>TEXT(stand_validation_1cycle[[#This Row],[stand_age]], ".0")</f>
        <v>26.8</v>
      </c>
      <c r="L1328" s="1" t="str">
        <f t="shared" si="20"/>
        <v>"26.8"</v>
      </c>
      <c r="M1328">
        <v>100</v>
      </c>
      <c r="N1328">
        <f>0.029*stand_validation_1cycle[[#This Row],[stand_level_biomass]]</f>
        <v>27.957865975389929</v>
      </c>
      <c r="O1328">
        <f>0.213*stand_validation_1cycle[[#This Row],[stand_level_biomass]]</f>
        <v>205.34570526751912</v>
      </c>
      <c r="P1328">
        <f>0.571*stand_validation_1cycle[[#This Row],[stand_level_biomass]]</f>
        <v>550.48074041198788</v>
      </c>
      <c r="Q1328">
        <f>stand_validation_1cycle[[#This Row],[stock]]</f>
        <v>7</v>
      </c>
      <c r="R1328">
        <v>0</v>
      </c>
      <c r="S1328">
        <f>stand_validation_1cycle[[#This Row],[aws]]</f>
        <v>0</v>
      </c>
      <c r="T1328">
        <f>stand_validation_1cycle[[#This Row],[percent_tree_cover]]*100</f>
        <v>8.9621803624513099</v>
      </c>
    </row>
    <row r="1329" spans="1:20" x14ac:dyDescent="0.2">
      <c r="A1329">
        <v>1</v>
      </c>
      <c r="B1329" t="s">
        <v>1347</v>
      </c>
      <c r="C1329">
        <v>25.0678555555555</v>
      </c>
      <c r="D1329">
        <v>752.63154336873697</v>
      </c>
      <c r="E1329">
        <v>6.8214445866952502</v>
      </c>
      <c r="F1329">
        <v>25.527155425965699</v>
      </c>
      <c r="G1329">
        <v>100</v>
      </c>
      <c r="H1329">
        <v>634.29296875</v>
      </c>
      <c r="I1329">
        <v>6.8000117184875503E-2</v>
      </c>
      <c r="K1329" s="1" t="str">
        <f>TEXT(stand_validation_1cycle[[#This Row],[stand_age]], ".0")</f>
        <v>25.1</v>
      </c>
      <c r="L1329" s="1" t="str">
        <f t="shared" si="20"/>
        <v>"25.1"</v>
      </c>
      <c r="M1329">
        <v>100</v>
      </c>
      <c r="N1329">
        <f>0.029*stand_validation_1cycle[[#This Row],[stand_level_biomass]]</f>
        <v>21.826314757693375</v>
      </c>
      <c r="O1329">
        <f>0.213*stand_validation_1cycle[[#This Row],[stand_level_biomass]]</f>
        <v>160.31051873754097</v>
      </c>
      <c r="P1329">
        <f>0.571*stand_validation_1cycle[[#This Row],[stand_level_biomass]]</f>
        <v>429.75261126354877</v>
      </c>
      <c r="Q1329">
        <f>stand_validation_1cycle[[#This Row],[stock]]</f>
        <v>100</v>
      </c>
      <c r="R1329">
        <v>0</v>
      </c>
      <c r="S1329">
        <f>stand_validation_1cycle[[#This Row],[aws]]</f>
        <v>634.29296875</v>
      </c>
      <c r="T1329">
        <f>stand_validation_1cycle[[#This Row],[percent_tree_cover]]*100</f>
        <v>6.8000117184875499</v>
      </c>
    </row>
    <row r="1330" spans="1:20" x14ac:dyDescent="0.2">
      <c r="A1330">
        <v>1</v>
      </c>
      <c r="B1330" t="s">
        <v>1348</v>
      </c>
      <c r="C1330">
        <v>25.810381593714901</v>
      </c>
      <c r="D1330">
        <v>744.79302014863595</v>
      </c>
      <c r="E1330">
        <v>6.6215772474720298</v>
      </c>
      <c r="F1330">
        <v>24.5596906763646</v>
      </c>
      <c r="G1330">
        <v>99</v>
      </c>
      <c r="H1330">
        <v>523.002685546875</v>
      </c>
      <c r="I1330">
        <v>6.5874994864627501E-2</v>
      </c>
      <c r="K1330" s="1" t="str">
        <f>TEXT(stand_validation_1cycle[[#This Row],[stand_age]], ".0")</f>
        <v>25.8</v>
      </c>
      <c r="L1330" s="1" t="str">
        <f t="shared" si="20"/>
        <v>"25.8"</v>
      </c>
      <c r="M1330">
        <v>100</v>
      </c>
      <c r="N1330">
        <f>0.029*stand_validation_1cycle[[#This Row],[stand_level_biomass]]</f>
        <v>21.598997584310442</v>
      </c>
      <c r="O1330">
        <f>0.213*stand_validation_1cycle[[#This Row],[stand_level_biomass]]</f>
        <v>158.64091329165944</v>
      </c>
      <c r="P1330">
        <f>0.571*stand_validation_1cycle[[#This Row],[stand_level_biomass]]</f>
        <v>425.27681450487108</v>
      </c>
      <c r="Q1330">
        <f>stand_validation_1cycle[[#This Row],[stock]]</f>
        <v>99</v>
      </c>
      <c r="R1330">
        <v>0</v>
      </c>
      <c r="S1330">
        <f>stand_validation_1cycle[[#This Row],[aws]]</f>
        <v>523.002685546875</v>
      </c>
      <c r="T1330">
        <f>stand_validation_1cycle[[#This Row],[percent_tree_cover]]*100</f>
        <v>6.5874994864627503</v>
      </c>
    </row>
    <row r="1331" spans="1:20" x14ac:dyDescent="0.2">
      <c r="A1331">
        <v>1</v>
      </c>
      <c r="B1331" t="s">
        <v>1349</v>
      </c>
      <c r="C1331">
        <v>29.735888888888802</v>
      </c>
      <c r="D1331">
        <v>1103.5626618720401</v>
      </c>
      <c r="E1331">
        <v>9.4798115954768001</v>
      </c>
      <c r="F1331">
        <v>30.076598597656599</v>
      </c>
      <c r="G1331">
        <v>100</v>
      </c>
      <c r="H1331">
        <v>0</v>
      </c>
      <c r="I1331">
        <v>9.4454890520906096E-2</v>
      </c>
      <c r="K1331" s="1" t="str">
        <f>TEXT(stand_validation_1cycle[[#This Row],[stand_age]], ".0")</f>
        <v>29.7</v>
      </c>
      <c r="L1331" s="1" t="str">
        <f t="shared" si="20"/>
        <v>"29.7"</v>
      </c>
      <c r="M1331">
        <v>100</v>
      </c>
      <c r="N1331">
        <f>0.029*stand_validation_1cycle[[#This Row],[stand_level_biomass]]</f>
        <v>32.00331719428916</v>
      </c>
      <c r="O1331">
        <f>0.213*stand_validation_1cycle[[#This Row],[stand_level_biomass]]</f>
        <v>235.05884697874453</v>
      </c>
      <c r="P1331">
        <f>0.571*stand_validation_1cycle[[#This Row],[stand_level_biomass]]</f>
        <v>630.1342799289348</v>
      </c>
      <c r="Q1331">
        <f>stand_validation_1cycle[[#This Row],[stock]]</f>
        <v>100</v>
      </c>
      <c r="R1331">
        <v>0</v>
      </c>
      <c r="S1331">
        <f>stand_validation_1cycle[[#This Row],[aws]]</f>
        <v>0</v>
      </c>
      <c r="T1331">
        <f>stand_validation_1cycle[[#This Row],[percent_tree_cover]]*100</f>
        <v>9.4454890520906094</v>
      </c>
    </row>
    <row r="1332" spans="1:20" x14ac:dyDescent="0.2">
      <c r="A1332">
        <v>1</v>
      </c>
      <c r="B1332" t="s">
        <v>1350</v>
      </c>
      <c r="C1332">
        <v>25.766535947712399</v>
      </c>
      <c r="D1332">
        <v>1078.6613789646699</v>
      </c>
      <c r="E1332">
        <v>1.53290165080913</v>
      </c>
      <c r="F1332">
        <v>27.4563043672464</v>
      </c>
      <c r="G1332">
        <v>17</v>
      </c>
      <c r="H1332">
        <v>0</v>
      </c>
      <c r="I1332">
        <v>8.5563899572772301E-2</v>
      </c>
      <c r="K1332" s="1" t="str">
        <f>TEXT(stand_validation_1cycle[[#This Row],[stand_age]], ".0")</f>
        <v>25.8</v>
      </c>
      <c r="L1332" s="1" t="str">
        <f t="shared" si="20"/>
        <v>"25.8"</v>
      </c>
      <c r="M1332">
        <v>100</v>
      </c>
      <c r="N1332">
        <f>0.029*stand_validation_1cycle[[#This Row],[stand_level_biomass]]</f>
        <v>31.281179989975428</v>
      </c>
      <c r="O1332">
        <f>0.213*stand_validation_1cycle[[#This Row],[stand_level_biomass]]</f>
        <v>229.75487371947469</v>
      </c>
      <c r="P1332">
        <f>0.571*stand_validation_1cycle[[#This Row],[stand_level_biomass]]</f>
        <v>615.91564738882641</v>
      </c>
      <c r="Q1332">
        <f>stand_validation_1cycle[[#This Row],[stock]]</f>
        <v>17</v>
      </c>
      <c r="R1332">
        <v>0</v>
      </c>
      <c r="S1332">
        <f>stand_validation_1cycle[[#This Row],[aws]]</f>
        <v>0</v>
      </c>
      <c r="T1332">
        <f>stand_validation_1cycle[[#This Row],[percent_tree_cover]]*100</f>
        <v>8.5563899572772293</v>
      </c>
    </row>
    <row r="1333" spans="1:20" x14ac:dyDescent="0.2">
      <c r="A1333">
        <v>1</v>
      </c>
      <c r="B1333" t="s">
        <v>1351</v>
      </c>
      <c r="C1333">
        <v>25.562891414141401</v>
      </c>
      <c r="D1333">
        <v>642.21158334050801</v>
      </c>
      <c r="E1333">
        <v>5.3320414277677202</v>
      </c>
      <c r="F1333">
        <v>24.291209803241301</v>
      </c>
      <c r="G1333">
        <v>88</v>
      </c>
      <c r="H1333">
        <v>567.146484375</v>
      </c>
      <c r="I1333">
        <v>5.9761982086470801E-2</v>
      </c>
      <c r="K1333" s="1" t="str">
        <f>TEXT(stand_validation_1cycle[[#This Row],[stand_age]], ".0")</f>
        <v>25.6</v>
      </c>
      <c r="L1333" s="1" t="str">
        <f t="shared" si="20"/>
        <v>"25.6"</v>
      </c>
      <c r="M1333">
        <v>100</v>
      </c>
      <c r="N1333">
        <f>0.029*stand_validation_1cycle[[#This Row],[stand_level_biomass]]</f>
        <v>18.624135916874732</v>
      </c>
      <c r="O1333">
        <f>0.213*stand_validation_1cycle[[#This Row],[stand_level_biomass]]</f>
        <v>136.7910672515282</v>
      </c>
      <c r="P1333">
        <f>0.571*stand_validation_1cycle[[#This Row],[stand_level_biomass]]</f>
        <v>366.70281408743006</v>
      </c>
      <c r="Q1333">
        <f>stand_validation_1cycle[[#This Row],[stock]]</f>
        <v>88</v>
      </c>
      <c r="R1333">
        <v>0</v>
      </c>
      <c r="S1333">
        <f>stand_validation_1cycle[[#This Row],[aws]]</f>
        <v>567.146484375</v>
      </c>
      <c r="T1333">
        <f>stand_validation_1cycle[[#This Row],[percent_tree_cover]]*100</f>
        <v>5.9761982086470802</v>
      </c>
    </row>
    <row r="1334" spans="1:20" x14ac:dyDescent="0.2">
      <c r="A1334">
        <v>1</v>
      </c>
      <c r="B1334" t="s">
        <v>1352</v>
      </c>
      <c r="C1334">
        <v>29.649522222222199</v>
      </c>
      <c r="D1334">
        <v>1055.20069380002</v>
      </c>
      <c r="E1334">
        <v>9.0436250174707595</v>
      </c>
      <c r="F1334">
        <v>28.840927712349501</v>
      </c>
      <c r="G1334">
        <v>100</v>
      </c>
      <c r="H1334">
        <v>468</v>
      </c>
      <c r="I1334">
        <v>9.0097063690051604E-2</v>
      </c>
      <c r="K1334" s="1" t="str">
        <f>TEXT(stand_validation_1cycle[[#This Row],[stand_age]], ".0")</f>
        <v>29.6</v>
      </c>
      <c r="L1334" s="1" t="str">
        <f t="shared" si="20"/>
        <v>"29.6"</v>
      </c>
      <c r="M1334">
        <v>100</v>
      </c>
      <c r="N1334">
        <f>0.029*stand_validation_1cycle[[#This Row],[stand_level_biomass]]</f>
        <v>30.600820120200581</v>
      </c>
      <c r="O1334">
        <f>0.213*stand_validation_1cycle[[#This Row],[stand_level_biomass]]</f>
        <v>224.75774777940424</v>
      </c>
      <c r="P1334">
        <f>0.571*stand_validation_1cycle[[#This Row],[stand_level_biomass]]</f>
        <v>602.51959615981139</v>
      </c>
      <c r="Q1334">
        <f>stand_validation_1cycle[[#This Row],[stock]]</f>
        <v>100</v>
      </c>
      <c r="R1334">
        <v>0</v>
      </c>
      <c r="S1334">
        <f>stand_validation_1cycle[[#This Row],[aws]]</f>
        <v>468</v>
      </c>
      <c r="T1334">
        <f>stand_validation_1cycle[[#This Row],[percent_tree_cover]]*100</f>
        <v>9.0097063690051602</v>
      </c>
    </row>
    <row r="1335" spans="1:20" x14ac:dyDescent="0.2">
      <c r="A1335">
        <v>1</v>
      </c>
      <c r="B1335" t="s">
        <v>1353</v>
      </c>
      <c r="C1335">
        <v>26.746755555555499</v>
      </c>
      <c r="D1335">
        <v>753.45052691341698</v>
      </c>
      <c r="E1335">
        <v>6.8948683193986202</v>
      </c>
      <c r="F1335">
        <v>26.022647112286101</v>
      </c>
      <c r="G1335">
        <v>100</v>
      </c>
      <c r="H1335">
        <v>686.0634765625</v>
      </c>
      <c r="I1335">
        <v>6.8717579469496096E-2</v>
      </c>
      <c r="K1335" s="1" t="str">
        <f>TEXT(stand_validation_1cycle[[#This Row],[stand_age]], ".0")</f>
        <v>26.7</v>
      </c>
      <c r="L1335" s="1" t="str">
        <f t="shared" si="20"/>
        <v>"26.7"</v>
      </c>
      <c r="M1335">
        <v>100</v>
      </c>
      <c r="N1335">
        <f>0.029*stand_validation_1cycle[[#This Row],[stand_level_biomass]]</f>
        <v>21.850065280489094</v>
      </c>
      <c r="O1335">
        <f>0.213*stand_validation_1cycle[[#This Row],[stand_level_biomass]]</f>
        <v>160.48496223255782</v>
      </c>
      <c r="P1335">
        <f>0.571*stand_validation_1cycle[[#This Row],[stand_level_biomass]]</f>
        <v>430.22025086756105</v>
      </c>
      <c r="Q1335">
        <f>stand_validation_1cycle[[#This Row],[stock]]</f>
        <v>100</v>
      </c>
      <c r="R1335">
        <v>0</v>
      </c>
      <c r="S1335">
        <f>stand_validation_1cycle[[#This Row],[aws]]</f>
        <v>686.0634765625</v>
      </c>
      <c r="T1335">
        <f>stand_validation_1cycle[[#This Row],[percent_tree_cover]]*100</f>
        <v>6.87175794694961</v>
      </c>
    </row>
    <row r="1336" spans="1:20" x14ac:dyDescent="0.2">
      <c r="A1336">
        <v>1</v>
      </c>
      <c r="B1336" t="s">
        <v>1354</v>
      </c>
      <c r="C1336">
        <v>26.692255555555501</v>
      </c>
      <c r="D1336">
        <v>709.75652543600302</v>
      </c>
      <c r="E1336">
        <v>6.5530245541780401</v>
      </c>
      <c r="F1336">
        <v>25.242468712539502</v>
      </c>
      <c r="G1336">
        <v>100</v>
      </c>
      <c r="H1336">
        <v>523.53515625</v>
      </c>
      <c r="I1336">
        <v>6.5303877065739993E-2</v>
      </c>
      <c r="K1336" s="1" t="str">
        <f>TEXT(stand_validation_1cycle[[#This Row],[stand_age]], ".0")</f>
        <v>26.7</v>
      </c>
      <c r="L1336" s="1" t="str">
        <f t="shared" si="20"/>
        <v>"26.7"</v>
      </c>
      <c r="M1336">
        <v>100</v>
      </c>
      <c r="N1336">
        <f>0.029*stand_validation_1cycle[[#This Row],[stand_level_biomass]]</f>
        <v>20.582939237644087</v>
      </c>
      <c r="O1336">
        <f>0.213*stand_validation_1cycle[[#This Row],[stand_level_biomass]]</f>
        <v>151.17813991786863</v>
      </c>
      <c r="P1336">
        <f>0.571*stand_validation_1cycle[[#This Row],[stand_level_biomass]]</f>
        <v>405.2709760239577</v>
      </c>
      <c r="Q1336">
        <f>stand_validation_1cycle[[#This Row],[stock]]</f>
        <v>100</v>
      </c>
      <c r="R1336">
        <v>0</v>
      </c>
      <c r="S1336">
        <f>stand_validation_1cycle[[#This Row],[aws]]</f>
        <v>523.53515625</v>
      </c>
      <c r="T1336">
        <f>stand_validation_1cycle[[#This Row],[percent_tree_cover]]*100</f>
        <v>6.5303877065739995</v>
      </c>
    </row>
    <row r="1337" spans="1:20" x14ac:dyDescent="0.2">
      <c r="A1337">
        <v>1</v>
      </c>
      <c r="B1337" t="s">
        <v>1355</v>
      </c>
      <c r="C1337">
        <v>27.915122222222202</v>
      </c>
      <c r="D1337">
        <v>1068.5530131038799</v>
      </c>
      <c r="E1337">
        <v>9.0868737527364001</v>
      </c>
      <c r="F1337">
        <v>28.690625197593299</v>
      </c>
      <c r="G1337">
        <v>100</v>
      </c>
      <c r="H1337">
        <v>0</v>
      </c>
      <c r="I1337">
        <v>9.0540668787983294E-2</v>
      </c>
      <c r="K1337" s="1" t="str">
        <f>TEXT(stand_validation_1cycle[[#This Row],[stand_age]], ".0")</f>
        <v>27.9</v>
      </c>
      <c r="L1337" s="1" t="str">
        <f t="shared" si="20"/>
        <v>"27.9"</v>
      </c>
      <c r="M1337">
        <v>100</v>
      </c>
      <c r="N1337">
        <f>0.029*stand_validation_1cycle[[#This Row],[stand_level_biomass]]</f>
        <v>30.988037380012521</v>
      </c>
      <c r="O1337">
        <f>0.213*stand_validation_1cycle[[#This Row],[stand_level_biomass]]</f>
        <v>227.60179179112643</v>
      </c>
      <c r="P1337">
        <f>0.571*stand_validation_1cycle[[#This Row],[stand_level_biomass]]</f>
        <v>610.1437704823154</v>
      </c>
      <c r="Q1337">
        <f>stand_validation_1cycle[[#This Row],[stock]]</f>
        <v>100</v>
      </c>
      <c r="R1337">
        <v>0</v>
      </c>
      <c r="S1337">
        <f>stand_validation_1cycle[[#This Row],[aws]]</f>
        <v>0</v>
      </c>
      <c r="T1337">
        <f>stand_validation_1cycle[[#This Row],[percent_tree_cover]]*100</f>
        <v>9.0540668787983289</v>
      </c>
    </row>
    <row r="1338" spans="1:20" x14ac:dyDescent="0.2">
      <c r="A1338">
        <v>1</v>
      </c>
      <c r="B1338" t="s">
        <v>1356</v>
      </c>
      <c r="C1338">
        <v>26.9998830409356</v>
      </c>
      <c r="D1338">
        <v>984.80420609519001</v>
      </c>
      <c r="E1338">
        <v>1.5990918664276099</v>
      </c>
      <c r="F1338">
        <v>26.971929321689199</v>
      </c>
      <c r="G1338">
        <v>19</v>
      </c>
      <c r="H1338">
        <v>0</v>
      </c>
      <c r="I1338">
        <v>8.9237947403413898E-2</v>
      </c>
      <c r="K1338" s="1" t="str">
        <f>TEXT(stand_validation_1cycle[[#This Row],[stand_age]], ".0")</f>
        <v>27.0</v>
      </c>
      <c r="L1338" s="1" t="str">
        <f t="shared" si="20"/>
        <v>"27.0"</v>
      </c>
      <c r="M1338">
        <v>100</v>
      </c>
      <c r="N1338">
        <f>0.029*stand_validation_1cycle[[#This Row],[stand_level_biomass]]</f>
        <v>28.559321976760511</v>
      </c>
      <c r="O1338">
        <f>0.213*stand_validation_1cycle[[#This Row],[stand_level_biomass]]</f>
        <v>209.76329589827546</v>
      </c>
      <c r="P1338">
        <f>0.571*stand_validation_1cycle[[#This Row],[stand_level_biomass]]</f>
        <v>562.32320168035346</v>
      </c>
      <c r="Q1338">
        <f>stand_validation_1cycle[[#This Row],[stock]]</f>
        <v>19</v>
      </c>
      <c r="R1338">
        <v>0</v>
      </c>
      <c r="S1338">
        <f>stand_validation_1cycle[[#This Row],[aws]]</f>
        <v>0</v>
      </c>
      <c r="T1338">
        <f>stand_validation_1cycle[[#This Row],[percent_tree_cover]]*100</f>
        <v>8.9237947403413891</v>
      </c>
    </row>
    <row r="1339" spans="1:20" x14ac:dyDescent="0.2">
      <c r="A1339">
        <v>1</v>
      </c>
      <c r="B1339" t="s">
        <v>1357</v>
      </c>
      <c r="C1339">
        <v>27.793939393939301</v>
      </c>
      <c r="D1339">
        <v>1096.7808738169099</v>
      </c>
      <c r="E1339">
        <v>8.1111767559404004</v>
      </c>
      <c r="F1339">
        <v>28.464787578204501</v>
      </c>
      <c r="G1339">
        <v>88</v>
      </c>
      <c r="H1339">
        <v>567.03942871093705</v>
      </c>
      <c r="I1339">
        <v>9.1283421919992294E-2</v>
      </c>
      <c r="K1339" s="1" t="str">
        <f>TEXT(stand_validation_1cycle[[#This Row],[stand_age]], ".0")</f>
        <v>27.8</v>
      </c>
      <c r="L1339" s="1" t="str">
        <f t="shared" si="20"/>
        <v>"27.8"</v>
      </c>
      <c r="M1339">
        <v>100</v>
      </c>
      <c r="N1339">
        <f>0.029*stand_validation_1cycle[[#This Row],[stand_level_biomass]]</f>
        <v>31.806645340690388</v>
      </c>
      <c r="O1339">
        <f>0.213*stand_validation_1cycle[[#This Row],[stand_level_biomass]]</f>
        <v>233.6143261230018</v>
      </c>
      <c r="P1339">
        <f>0.571*stand_validation_1cycle[[#This Row],[stand_level_biomass]]</f>
        <v>626.26187894945554</v>
      </c>
      <c r="Q1339">
        <f>stand_validation_1cycle[[#This Row],[stock]]</f>
        <v>88</v>
      </c>
      <c r="R1339">
        <v>0</v>
      </c>
      <c r="S1339">
        <f>stand_validation_1cycle[[#This Row],[aws]]</f>
        <v>567.03942871093705</v>
      </c>
      <c r="T1339">
        <f>stand_validation_1cycle[[#This Row],[percent_tree_cover]]*100</f>
        <v>9.1283421919992289</v>
      </c>
    </row>
    <row r="1340" spans="1:20" x14ac:dyDescent="0.2">
      <c r="A1340">
        <v>1</v>
      </c>
      <c r="B1340" t="s">
        <v>1358</v>
      </c>
      <c r="C1340">
        <v>30.7772111111111</v>
      </c>
      <c r="D1340">
        <v>1192.71685829028</v>
      </c>
      <c r="E1340">
        <v>9.99957317744812</v>
      </c>
      <c r="F1340">
        <v>30.336058497255699</v>
      </c>
      <c r="G1340">
        <v>100</v>
      </c>
      <c r="H1340">
        <v>513</v>
      </c>
      <c r="I1340">
        <v>9.9606548610838994E-2</v>
      </c>
      <c r="K1340" s="1" t="str">
        <f>TEXT(stand_validation_1cycle[[#This Row],[stand_age]], ".0")</f>
        <v>30.8</v>
      </c>
      <c r="L1340" s="1" t="str">
        <f t="shared" si="20"/>
        <v>"30.8"</v>
      </c>
      <c r="M1340">
        <v>100</v>
      </c>
      <c r="N1340">
        <f>0.029*stand_validation_1cycle[[#This Row],[stand_level_biomass]]</f>
        <v>34.588788890418122</v>
      </c>
      <c r="O1340">
        <f>0.213*stand_validation_1cycle[[#This Row],[stand_level_biomass]]</f>
        <v>254.04869081582964</v>
      </c>
      <c r="P1340">
        <f>0.571*stand_validation_1cycle[[#This Row],[stand_level_biomass]]</f>
        <v>681.04132608374982</v>
      </c>
      <c r="Q1340">
        <f>stand_validation_1cycle[[#This Row],[stock]]</f>
        <v>100</v>
      </c>
      <c r="R1340">
        <v>0</v>
      </c>
      <c r="S1340">
        <f>stand_validation_1cycle[[#This Row],[aws]]</f>
        <v>513</v>
      </c>
      <c r="T1340">
        <f>stand_validation_1cycle[[#This Row],[percent_tree_cover]]*100</f>
        <v>9.9606548610838992</v>
      </c>
    </row>
    <row r="1341" spans="1:20" x14ac:dyDescent="0.2">
      <c r="A1341">
        <v>1</v>
      </c>
      <c r="B1341" t="s">
        <v>1359</v>
      </c>
      <c r="C1341">
        <v>27.555050505050499</v>
      </c>
      <c r="D1341">
        <v>695.76730984072503</v>
      </c>
      <c r="E1341">
        <v>6.4931622915620499</v>
      </c>
      <c r="F1341">
        <v>25.589216278810898</v>
      </c>
      <c r="G1341">
        <v>99</v>
      </c>
      <c r="H1341">
        <v>611.79473876953102</v>
      </c>
      <c r="I1341">
        <v>6.4489013919081795E-2</v>
      </c>
      <c r="K1341" s="1" t="str">
        <f>TEXT(stand_validation_1cycle[[#This Row],[stand_age]], ".0")</f>
        <v>27.6</v>
      </c>
      <c r="L1341" s="1" t="str">
        <f t="shared" si="20"/>
        <v>"27.6"</v>
      </c>
      <c r="M1341">
        <v>100</v>
      </c>
      <c r="N1341">
        <f>0.029*stand_validation_1cycle[[#This Row],[stand_level_biomass]]</f>
        <v>20.177251985381027</v>
      </c>
      <c r="O1341">
        <f>0.213*stand_validation_1cycle[[#This Row],[stand_level_biomass]]</f>
        <v>148.19843699607443</v>
      </c>
      <c r="P1341">
        <f>0.571*stand_validation_1cycle[[#This Row],[stand_level_biomass]]</f>
        <v>397.28313391905397</v>
      </c>
      <c r="Q1341">
        <f>stand_validation_1cycle[[#This Row],[stock]]</f>
        <v>99</v>
      </c>
      <c r="R1341">
        <v>0</v>
      </c>
      <c r="S1341">
        <f>stand_validation_1cycle[[#This Row],[aws]]</f>
        <v>611.79473876953102</v>
      </c>
      <c r="T1341">
        <f>stand_validation_1cycle[[#This Row],[percent_tree_cover]]*100</f>
        <v>6.4489013919081799</v>
      </c>
    </row>
    <row r="1342" spans="1:20" x14ac:dyDescent="0.2">
      <c r="A1342">
        <v>1</v>
      </c>
      <c r="B1342" t="s">
        <v>1360</v>
      </c>
      <c r="C1342">
        <v>26.356877777777701</v>
      </c>
      <c r="D1342">
        <v>850.490267663591</v>
      </c>
      <c r="E1342">
        <v>7.51796787932079</v>
      </c>
      <c r="F1342">
        <v>26.35425533555</v>
      </c>
      <c r="G1342">
        <v>100</v>
      </c>
      <c r="H1342">
        <v>565.9423828125</v>
      </c>
      <c r="I1342">
        <v>7.4924749398495805E-2</v>
      </c>
      <c r="K1342" s="1" t="str">
        <f>TEXT(stand_validation_1cycle[[#This Row],[stand_age]], ".0")</f>
        <v>26.4</v>
      </c>
      <c r="L1342" s="1" t="str">
        <f t="shared" si="20"/>
        <v>"26.4"</v>
      </c>
      <c r="M1342">
        <v>100</v>
      </c>
      <c r="N1342">
        <f>0.029*stand_validation_1cycle[[#This Row],[stand_level_biomass]]</f>
        <v>24.664217762244139</v>
      </c>
      <c r="O1342">
        <f>0.213*stand_validation_1cycle[[#This Row],[stand_level_biomass]]</f>
        <v>181.15442701234488</v>
      </c>
      <c r="P1342">
        <f>0.571*stand_validation_1cycle[[#This Row],[stand_level_biomass]]</f>
        <v>485.62994283591041</v>
      </c>
      <c r="Q1342">
        <f>stand_validation_1cycle[[#This Row],[stock]]</f>
        <v>100</v>
      </c>
      <c r="R1342">
        <v>0</v>
      </c>
      <c r="S1342">
        <f>stand_validation_1cycle[[#This Row],[aws]]</f>
        <v>565.9423828125</v>
      </c>
      <c r="T1342">
        <f>stand_validation_1cycle[[#This Row],[percent_tree_cover]]*100</f>
        <v>7.4924749398495809</v>
      </c>
    </row>
    <row r="1343" spans="1:20" x14ac:dyDescent="0.2">
      <c r="A1343">
        <v>1</v>
      </c>
      <c r="B1343" t="s">
        <v>1361</v>
      </c>
      <c r="C1343">
        <v>25.581433333333301</v>
      </c>
      <c r="D1343">
        <v>691.62858911094804</v>
      </c>
      <c r="E1343">
        <v>6.4470342866293997</v>
      </c>
      <c r="F1343">
        <v>25.076282021237098</v>
      </c>
      <c r="G1343">
        <v>100</v>
      </c>
      <c r="H1343">
        <v>0</v>
      </c>
      <c r="I1343">
        <v>6.4259140925318203E-2</v>
      </c>
      <c r="K1343" s="1" t="str">
        <f>TEXT(stand_validation_1cycle[[#This Row],[stand_age]], ".0")</f>
        <v>25.6</v>
      </c>
      <c r="L1343" s="1" t="str">
        <f t="shared" si="20"/>
        <v>"25.6"</v>
      </c>
      <c r="M1343">
        <v>100</v>
      </c>
      <c r="N1343">
        <f>0.029*stand_validation_1cycle[[#This Row],[stand_level_biomass]]</f>
        <v>20.057229084217493</v>
      </c>
      <c r="O1343">
        <f>0.213*stand_validation_1cycle[[#This Row],[stand_level_biomass]]</f>
        <v>147.31688948063194</v>
      </c>
      <c r="P1343">
        <f>0.571*stand_validation_1cycle[[#This Row],[stand_level_biomass]]</f>
        <v>394.91992438235133</v>
      </c>
      <c r="Q1343">
        <f>stand_validation_1cycle[[#This Row],[stock]]</f>
        <v>100</v>
      </c>
      <c r="R1343">
        <v>0</v>
      </c>
      <c r="S1343">
        <f>stand_validation_1cycle[[#This Row],[aws]]</f>
        <v>0</v>
      </c>
      <c r="T1343">
        <f>stand_validation_1cycle[[#This Row],[percent_tree_cover]]*100</f>
        <v>6.4259140925318201</v>
      </c>
    </row>
    <row r="1344" spans="1:20" x14ac:dyDescent="0.2">
      <c r="A1344">
        <v>1</v>
      </c>
      <c r="B1344" t="s">
        <v>1362</v>
      </c>
      <c r="C1344">
        <v>24.1322222222222</v>
      </c>
      <c r="D1344">
        <v>571.86248686828696</v>
      </c>
      <c r="E1344">
        <v>1.00946597622943</v>
      </c>
      <c r="F1344">
        <v>23.927267515539601</v>
      </c>
      <c r="G1344">
        <v>18</v>
      </c>
      <c r="H1344">
        <v>0</v>
      </c>
      <c r="I1344">
        <v>5.6390548533539503E-2</v>
      </c>
      <c r="K1344" s="1" t="str">
        <f>TEXT(stand_validation_1cycle[[#This Row],[stand_age]], ".0")</f>
        <v>24.1</v>
      </c>
      <c r="L1344" s="1" t="str">
        <f t="shared" si="20"/>
        <v>"24.1"</v>
      </c>
      <c r="M1344">
        <v>100</v>
      </c>
      <c r="N1344">
        <f>0.029*stand_validation_1cycle[[#This Row],[stand_level_biomass]]</f>
        <v>16.584012119180322</v>
      </c>
      <c r="O1344">
        <f>0.213*stand_validation_1cycle[[#This Row],[stand_level_biomass]]</f>
        <v>121.80670970294513</v>
      </c>
      <c r="P1344">
        <f>0.571*stand_validation_1cycle[[#This Row],[stand_level_biomass]]</f>
        <v>326.53348000179182</v>
      </c>
      <c r="Q1344">
        <f>stand_validation_1cycle[[#This Row],[stock]]</f>
        <v>18</v>
      </c>
      <c r="R1344">
        <v>0</v>
      </c>
      <c r="S1344">
        <f>stand_validation_1cycle[[#This Row],[aws]]</f>
        <v>0</v>
      </c>
      <c r="T1344">
        <f>stand_validation_1cycle[[#This Row],[percent_tree_cover]]*100</f>
        <v>5.63905485335395</v>
      </c>
    </row>
    <row r="1345" spans="1:20" x14ac:dyDescent="0.2">
      <c r="A1345">
        <v>1</v>
      </c>
      <c r="B1345" t="s">
        <v>1363</v>
      </c>
      <c r="C1345">
        <v>25.217602996254598</v>
      </c>
      <c r="D1345">
        <v>668.27918802168494</v>
      </c>
      <c r="E1345">
        <v>5.5019576080297803</v>
      </c>
      <c r="F1345">
        <v>24.293579284950201</v>
      </c>
      <c r="G1345">
        <v>89</v>
      </c>
      <c r="H1345">
        <v>565.99090576171795</v>
      </c>
      <c r="I1345">
        <v>6.1947131760512503E-2</v>
      </c>
      <c r="K1345" s="1" t="str">
        <f>TEXT(stand_validation_1cycle[[#This Row],[stand_age]], ".0")</f>
        <v>25.2</v>
      </c>
      <c r="L1345" s="1" t="str">
        <f t="shared" si="20"/>
        <v>"25.2"</v>
      </c>
      <c r="M1345">
        <v>100</v>
      </c>
      <c r="N1345">
        <f>0.029*stand_validation_1cycle[[#This Row],[stand_level_biomass]]</f>
        <v>19.380096452628866</v>
      </c>
      <c r="O1345">
        <f>0.213*stand_validation_1cycle[[#This Row],[stand_level_biomass]]</f>
        <v>142.34346704861889</v>
      </c>
      <c r="P1345">
        <f>0.571*stand_validation_1cycle[[#This Row],[stand_level_biomass]]</f>
        <v>381.58741636038206</v>
      </c>
      <c r="Q1345">
        <f>stand_validation_1cycle[[#This Row],[stock]]</f>
        <v>89</v>
      </c>
      <c r="R1345">
        <v>0</v>
      </c>
      <c r="S1345">
        <f>stand_validation_1cycle[[#This Row],[aws]]</f>
        <v>565.99090576171795</v>
      </c>
      <c r="T1345">
        <f>stand_validation_1cycle[[#This Row],[percent_tree_cover]]*100</f>
        <v>6.1947131760512502</v>
      </c>
    </row>
    <row r="1346" spans="1:20" x14ac:dyDescent="0.2">
      <c r="A1346">
        <v>1</v>
      </c>
      <c r="B1346" t="s">
        <v>1364</v>
      </c>
      <c r="C1346">
        <v>26.805433333333301</v>
      </c>
      <c r="D1346">
        <v>848.41890454258305</v>
      </c>
      <c r="E1346">
        <v>7.5315372033898198</v>
      </c>
      <c r="F1346">
        <v>26.605829583132799</v>
      </c>
      <c r="G1346">
        <v>100</v>
      </c>
      <c r="H1346">
        <v>511</v>
      </c>
      <c r="I1346">
        <v>7.5048837365023005E-2</v>
      </c>
      <c r="K1346" s="1" t="str">
        <f>TEXT(stand_validation_1cycle[[#This Row],[stand_age]], ".0")</f>
        <v>26.8</v>
      </c>
      <c r="L1346" s="1" t="str">
        <f t="shared" si="20"/>
        <v>"26.8"</v>
      </c>
      <c r="M1346">
        <v>100</v>
      </c>
      <c r="N1346">
        <f>0.029*stand_validation_1cycle[[#This Row],[stand_level_biomass]]</f>
        <v>24.604148231734911</v>
      </c>
      <c r="O1346">
        <f>0.213*stand_validation_1cycle[[#This Row],[stand_level_biomass]]</f>
        <v>180.71322666757018</v>
      </c>
      <c r="P1346">
        <f>0.571*stand_validation_1cycle[[#This Row],[stand_level_biomass]]</f>
        <v>484.44719449381489</v>
      </c>
      <c r="Q1346">
        <f>stand_validation_1cycle[[#This Row],[stock]]</f>
        <v>100</v>
      </c>
      <c r="R1346">
        <v>0</v>
      </c>
      <c r="S1346">
        <f>stand_validation_1cycle[[#This Row],[aws]]</f>
        <v>511</v>
      </c>
      <c r="T1346">
        <f>stand_validation_1cycle[[#This Row],[percent_tree_cover]]*100</f>
        <v>7.5048837365023005</v>
      </c>
    </row>
    <row r="1347" spans="1:20" x14ac:dyDescent="0.2">
      <c r="A1347">
        <v>1</v>
      </c>
      <c r="B1347" t="s">
        <v>1365</v>
      </c>
      <c r="C1347">
        <v>27.039755555555502</v>
      </c>
      <c r="D1347">
        <v>880.37939902321204</v>
      </c>
      <c r="E1347">
        <v>7.7776990519563398</v>
      </c>
      <c r="F1347">
        <v>26.9099563833228</v>
      </c>
      <c r="G1347">
        <v>100</v>
      </c>
      <c r="H1347">
        <v>611.37243652343705</v>
      </c>
      <c r="I1347">
        <v>7.7497205619962595E-2</v>
      </c>
      <c r="K1347" s="1" t="str">
        <f>TEXT(stand_validation_1cycle[[#This Row],[stand_age]], ".0")</f>
        <v>27.0</v>
      </c>
      <c r="L1347" s="1" t="str">
        <f t="shared" ref="L1347:L1370" si="21">""""&amp;K1347&amp;""""</f>
        <v>"27.0"</v>
      </c>
      <c r="M1347">
        <v>100</v>
      </c>
      <c r="N1347">
        <f>0.029*stand_validation_1cycle[[#This Row],[stand_level_biomass]]</f>
        <v>25.531002571673152</v>
      </c>
      <c r="O1347">
        <f>0.213*stand_validation_1cycle[[#This Row],[stand_level_biomass]]</f>
        <v>187.52081199194416</v>
      </c>
      <c r="P1347">
        <f>0.571*stand_validation_1cycle[[#This Row],[stand_level_biomass]]</f>
        <v>502.69663684225401</v>
      </c>
      <c r="Q1347">
        <f>stand_validation_1cycle[[#This Row],[stock]]</f>
        <v>100</v>
      </c>
      <c r="R1347">
        <v>0</v>
      </c>
      <c r="S1347">
        <f>stand_validation_1cycle[[#This Row],[aws]]</f>
        <v>611.37243652343705</v>
      </c>
      <c r="T1347">
        <f>stand_validation_1cycle[[#This Row],[percent_tree_cover]]*100</f>
        <v>7.7497205619962592</v>
      </c>
    </row>
    <row r="1348" spans="1:20" x14ac:dyDescent="0.2">
      <c r="A1348">
        <v>1</v>
      </c>
      <c r="B1348" t="s">
        <v>1366</v>
      </c>
      <c r="C1348">
        <v>25.7549888888888</v>
      </c>
      <c r="D1348">
        <v>760.89962261812298</v>
      </c>
      <c r="E1348">
        <v>6.9020452878157403</v>
      </c>
      <c r="F1348">
        <v>25.714495697445699</v>
      </c>
      <c r="G1348">
        <v>100</v>
      </c>
      <c r="H1348">
        <v>565.9423828125</v>
      </c>
      <c r="I1348">
        <v>6.8798372982462497E-2</v>
      </c>
      <c r="K1348" s="1" t="str">
        <f>TEXT(stand_validation_1cycle[[#This Row],[stand_age]], ".0")</f>
        <v>25.8</v>
      </c>
      <c r="L1348" s="1" t="str">
        <f t="shared" si="21"/>
        <v>"25.8"</v>
      </c>
      <c r="M1348">
        <v>100</v>
      </c>
      <c r="N1348">
        <f>0.029*stand_validation_1cycle[[#This Row],[stand_level_biomass]]</f>
        <v>22.066089055925566</v>
      </c>
      <c r="O1348">
        <f>0.213*stand_validation_1cycle[[#This Row],[stand_level_biomass]]</f>
        <v>162.07161961766019</v>
      </c>
      <c r="P1348">
        <f>0.571*stand_validation_1cycle[[#This Row],[stand_level_biomass]]</f>
        <v>434.47368451494816</v>
      </c>
      <c r="Q1348">
        <f>stand_validation_1cycle[[#This Row],[stock]]</f>
        <v>100</v>
      </c>
      <c r="R1348">
        <v>0</v>
      </c>
      <c r="S1348">
        <f>stand_validation_1cycle[[#This Row],[aws]]</f>
        <v>565.9423828125</v>
      </c>
      <c r="T1348">
        <f>stand_validation_1cycle[[#This Row],[percent_tree_cover]]*100</f>
        <v>6.8798372982462492</v>
      </c>
    </row>
    <row r="1349" spans="1:20" x14ac:dyDescent="0.2">
      <c r="A1349">
        <v>1</v>
      </c>
      <c r="B1349" t="s">
        <v>1367</v>
      </c>
      <c r="C1349">
        <v>29.253888888888799</v>
      </c>
      <c r="D1349">
        <v>1214.36022398199</v>
      </c>
      <c r="E1349">
        <v>4.8997692742080501</v>
      </c>
      <c r="F1349">
        <v>30.811042185235099</v>
      </c>
      <c r="G1349">
        <v>48</v>
      </c>
      <c r="H1349">
        <v>400</v>
      </c>
      <c r="I1349">
        <v>0.103102290452721</v>
      </c>
      <c r="K1349" s="1" t="str">
        <f>TEXT(stand_validation_1cycle[[#This Row],[stand_age]], ".0")</f>
        <v>29.3</v>
      </c>
      <c r="L1349" s="1" t="str">
        <f t="shared" si="21"/>
        <v>"29.3"</v>
      </c>
      <c r="M1349">
        <v>100</v>
      </c>
      <c r="N1349">
        <f>0.029*stand_validation_1cycle[[#This Row],[stand_level_biomass]]</f>
        <v>35.216446495477712</v>
      </c>
      <c r="O1349">
        <f>0.213*stand_validation_1cycle[[#This Row],[stand_level_biomass]]</f>
        <v>258.65872770816384</v>
      </c>
      <c r="P1349">
        <f>0.571*stand_validation_1cycle[[#This Row],[stand_level_biomass]]</f>
        <v>693.39968789371619</v>
      </c>
      <c r="Q1349">
        <f>stand_validation_1cycle[[#This Row],[stock]]</f>
        <v>48</v>
      </c>
      <c r="R1349">
        <v>0</v>
      </c>
      <c r="S1349">
        <f>stand_validation_1cycle[[#This Row],[aws]]</f>
        <v>400</v>
      </c>
      <c r="T1349">
        <f>stand_validation_1cycle[[#This Row],[percent_tree_cover]]*100</f>
        <v>10.3102290452721</v>
      </c>
    </row>
    <row r="1350" spans="1:20" x14ac:dyDescent="0.2">
      <c r="A1350">
        <v>1</v>
      </c>
      <c r="B1350" t="s">
        <v>1368</v>
      </c>
      <c r="C1350">
        <v>26.268750000000001</v>
      </c>
      <c r="D1350">
        <v>604.06446898235504</v>
      </c>
      <c r="E1350">
        <v>0.46339512658061799</v>
      </c>
      <c r="F1350">
        <v>24.349645715642801</v>
      </c>
      <c r="G1350">
        <v>8</v>
      </c>
      <c r="H1350">
        <v>0</v>
      </c>
      <c r="I1350">
        <v>7.0118201603194305E-2</v>
      </c>
      <c r="K1350" s="1" t="str">
        <f>TEXT(stand_validation_1cycle[[#This Row],[stand_age]], ".0")</f>
        <v>26.3</v>
      </c>
      <c r="L1350" s="1" t="str">
        <f t="shared" si="21"/>
        <v>"26.3"</v>
      </c>
      <c r="M1350">
        <v>100</v>
      </c>
      <c r="N1350">
        <f>0.029*stand_validation_1cycle[[#This Row],[stand_level_biomass]]</f>
        <v>17.517869600488297</v>
      </c>
      <c r="O1350">
        <f>0.213*stand_validation_1cycle[[#This Row],[stand_level_biomass]]</f>
        <v>128.66573189324163</v>
      </c>
      <c r="P1350">
        <f>0.571*stand_validation_1cycle[[#This Row],[stand_level_biomass]]</f>
        <v>344.92081178892471</v>
      </c>
      <c r="Q1350">
        <f>stand_validation_1cycle[[#This Row],[stock]]</f>
        <v>8</v>
      </c>
      <c r="R1350">
        <v>0</v>
      </c>
      <c r="S1350">
        <f>stand_validation_1cycle[[#This Row],[aws]]</f>
        <v>0</v>
      </c>
      <c r="T1350">
        <f>stand_validation_1cycle[[#This Row],[percent_tree_cover]]*100</f>
        <v>7.0118201603194308</v>
      </c>
    </row>
    <row r="1351" spans="1:20" x14ac:dyDescent="0.2">
      <c r="A1351">
        <v>1</v>
      </c>
      <c r="B1351" t="s">
        <v>1369</v>
      </c>
      <c r="C1351">
        <v>28.211012345678999</v>
      </c>
      <c r="D1351">
        <v>802.54778360539501</v>
      </c>
      <c r="E1351">
        <v>6.5907794292907198</v>
      </c>
      <c r="F1351">
        <v>26.851597229493599</v>
      </c>
      <c r="G1351">
        <v>90</v>
      </c>
      <c r="H1351">
        <v>568.33624267578102</v>
      </c>
      <c r="I1351">
        <v>7.4186441026289796E-2</v>
      </c>
      <c r="K1351" s="1" t="str">
        <f>TEXT(stand_validation_1cycle[[#This Row],[stand_age]], ".0")</f>
        <v>28.2</v>
      </c>
      <c r="L1351" s="1" t="str">
        <f t="shared" si="21"/>
        <v>"28.2"</v>
      </c>
      <c r="M1351">
        <v>100</v>
      </c>
      <c r="N1351">
        <f>0.029*stand_validation_1cycle[[#This Row],[stand_level_biomass]]</f>
        <v>23.273885724556457</v>
      </c>
      <c r="O1351">
        <f>0.213*stand_validation_1cycle[[#This Row],[stand_level_biomass]]</f>
        <v>170.94267790794913</v>
      </c>
      <c r="P1351">
        <f>0.571*stand_validation_1cycle[[#This Row],[stand_level_biomass]]</f>
        <v>458.25478443868053</v>
      </c>
      <c r="Q1351">
        <f>stand_validation_1cycle[[#This Row],[stock]]</f>
        <v>90</v>
      </c>
      <c r="R1351">
        <v>0</v>
      </c>
      <c r="S1351">
        <f>stand_validation_1cycle[[#This Row],[aws]]</f>
        <v>568.33624267578102</v>
      </c>
      <c r="T1351">
        <f>stand_validation_1cycle[[#This Row],[percent_tree_cover]]*100</f>
        <v>7.4186441026289796</v>
      </c>
    </row>
    <row r="1352" spans="1:20" x14ac:dyDescent="0.2">
      <c r="A1352">
        <v>1</v>
      </c>
      <c r="B1352" t="s">
        <v>1370</v>
      </c>
      <c r="C1352">
        <v>26.495476992143601</v>
      </c>
      <c r="D1352">
        <v>761.54406090642897</v>
      </c>
      <c r="E1352">
        <v>6.8999333521543704</v>
      </c>
      <c r="F1352">
        <v>26.347181127871501</v>
      </c>
      <c r="G1352">
        <v>99</v>
      </c>
      <c r="H1352">
        <v>501</v>
      </c>
      <c r="I1352">
        <v>6.8780524744665797E-2</v>
      </c>
      <c r="K1352" s="1" t="str">
        <f>TEXT(stand_validation_1cycle[[#This Row],[stand_age]], ".0")</f>
        <v>26.5</v>
      </c>
      <c r="L1352" s="1" t="str">
        <f t="shared" si="21"/>
        <v>"26.5"</v>
      </c>
      <c r="M1352">
        <v>100</v>
      </c>
      <c r="N1352">
        <f>0.029*stand_validation_1cycle[[#This Row],[stand_level_biomass]]</f>
        <v>22.08477776628644</v>
      </c>
      <c r="O1352">
        <f>0.213*stand_validation_1cycle[[#This Row],[stand_level_biomass]]</f>
        <v>162.20888497306936</v>
      </c>
      <c r="P1352">
        <f>0.571*stand_validation_1cycle[[#This Row],[stand_level_biomass]]</f>
        <v>434.8416587775709</v>
      </c>
      <c r="Q1352">
        <f>stand_validation_1cycle[[#This Row],[stock]]</f>
        <v>99</v>
      </c>
      <c r="R1352">
        <v>0</v>
      </c>
      <c r="S1352">
        <f>stand_validation_1cycle[[#This Row],[aws]]</f>
        <v>501</v>
      </c>
      <c r="T1352">
        <f>stand_validation_1cycle[[#This Row],[percent_tree_cover]]*100</f>
        <v>6.8780524744665801</v>
      </c>
    </row>
    <row r="1353" spans="1:20" x14ac:dyDescent="0.2">
      <c r="A1353">
        <v>1</v>
      </c>
      <c r="B1353" t="s">
        <v>1371</v>
      </c>
      <c r="C1353">
        <v>26.310744444444399</v>
      </c>
      <c r="D1353">
        <v>878.434292457114</v>
      </c>
      <c r="E1353">
        <v>7.8250664151908396</v>
      </c>
      <c r="F1353">
        <v>27.590283278868501</v>
      </c>
      <c r="G1353">
        <v>100</v>
      </c>
      <c r="H1353">
        <v>611.37243652343705</v>
      </c>
      <c r="I1353">
        <v>7.8000244212557301E-2</v>
      </c>
      <c r="K1353" s="1" t="str">
        <f>TEXT(stand_validation_1cycle[[#This Row],[stand_age]], ".0")</f>
        <v>26.3</v>
      </c>
      <c r="L1353" s="1" t="str">
        <f t="shared" si="21"/>
        <v>"26.3"</v>
      </c>
      <c r="M1353">
        <v>100</v>
      </c>
      <c r="N1353">
        <f>0.029*stand_validation_1cycle[[#This Row],[stand_level_biomass]]</f>
        <v>25.474594481256307</v>
      </c>
      <c r="O1353">
        <f>0.213*stand_validation_1cycle[[#This Row],[stand_level_biomass]]</f>
        <v>187.10650429336528</v>
      </c>
      <c r="P1353">
        <f>0.571*stand_validation_1cycle[[#This Row],[stand_level_biomass]]</f>
        <v>501.58598099301207</v>
      </c>
      <c r="Q1353">
        <f>stand_validation_1cycle[[#This Row],[stock]]</f>
        <v>100</v>
      </c>
      <c r="R1353">
        <v>0</v>
      </c>
      <c r="S1353">
        <f>stand_validation_1cycle[[#This Row],[aws]]</f>
        <v>611.37243652343705</v>
      </c>
      <c r="T1353">
        <f>stand_validation_1cycle[[#This Row],[percent_tree_cover]]*100</f>
        <v>7.8000244212557304</v>
      </c>
    </row>
    <row r="1354" spans="1:20" x14ac:dyDescent="0.2">
      <c r="A1354">
        <v>1</v>
      </c>
      <c r="B1354" t="s">
        <v>1372</v>
      </c>
      <c r="C1354">
        <v>26.061638608305199</v>
      </c>
      <c r="D1354">
        <v>612.26052457549395</v>
      </c>
      <c r="E1354">
        <v>6.0378567660644302</v>
      </c>
      <c r="F1354">
        <v>24.483024128875901</v>
      </c>
      <c r="G1354">
        <v>99</v>
      </c>
      <c r="H1354">
        <v>565.9423828125</v>
      </c>
      <c r="I1354">
        <v>5.8202556567310201E-2</v>
      </c>
      <c r="K1354" s="1" t="str">
        <f>TEXT(stand_validation_1cycle[[#This Row],[stand_age]], ".0")</f>
        <v>26.1</v>
      </c>
      <c r="L1354" s="1" t="str">
        <f t="shared" si="21"/>
        <v>"26.1"</v>
      </c>
      <c r="M1354">
        <v>100</v>
      </c>
      <c r="N1354">
        <f>0.029*stand_validation_1cycle[[#This Row],[stand_level_biomass]]</f>
        <v>17.755555212689327</v>
      </c>
      <c r="O1354">
        <f>0.213*stand_validation_1cycle[[#This Row],[stand_level_biomass]]</f>
        <v>130.41149173458021</v>
      </c>
      <c r="P1354">
        <f>0.571*stand_validation_1cycle[[#This Row],[stand_level_biomass]]</f>
        <v>349.60075953260701</v>
      </c>
      <c r="Q1354">
        <f>stand_validation_1cycle[[#This Row],[stock]]</f>
        <v>99</v>
      </c>
      <c r="R1354">
        <v>0</v>
      </c>
      <c r="S1354">
        <f>stand_validation_1cycle[[#This Row],[aws]]</f>
        <v>565.9423828125</v>
      </c>
      <c r="T1354">
        <f>stand_validation_1cycle[[#This Row],[percent_tree_cover]]*100</f>
        <v>5.8202556567310202</v>
      </c>
    </row>
    <row r="1355" spans="1:20" x14ac:dyDescent="0.2">
      <c r="A1355">
        <v>1</v>
      </c>
      <c r="B1355" t="s">
        <v>1373</v>
      </c>
      <c r="C1355">
        <v>32.347530864197502</v>
      </c>
      <c r="D1355">
        <v>1754.6919644228101</v>
      </c>
      <c r="E1355">
        <v>2.5148017222996399</v>
      </c>
      <c r="F1355">
        <v>35.214783177468199</v>
      </c>
      <c r="G1355">
        <v>18</v>
      </c>
      <c r="H1355">
        <v>565.9423828125</v>
      </c>
      <c r="I1355">
        <v>0.15111584246343099</v>
      </c>
      <c r="K1355" s="1" t="str">
        <f>TEXT(stand_validation_1cycle[[#This Row],[stand_age]], ".0")</f>
        <v>32.3</v>
      </c>
      <c r="L1355" s="1" t="str">
        <f t="shared" si="21"/>
        <v>"32.3"</v>
      </c>
      <c r="M1355">
        <v>100</v>
      </c>
      <c r="N1355">
        <f>0.029*stand_validation_1cycle[[#This Row],[stand_level_biomass]]</f>
        <v>50.886066968261495</v>
      </c>
      <c r="O1355">
        <f>0.213*stand_validation_1cycle[[#This Row],[stand_level_biomass]]</f>
        <v>373.74938842205853</v>
      </c>
      <c r="P1355">
        <f>0.571*stand_validation_1cycle[[#This Row],[stand_level_biomass]]</f>
        <v>1001.9291116854245</v>
      </c>
      <c r="Q1355">
        <f>stand_validation_1cycle[[#This Row],[stock]]</f>
        <v>18</v>
      </c>
      <c r="R1355">
        <v>0</v>
      </c>
      <c r="S1355">
        <f>stand_validation_1cycle[[#This Row],[aws]]</f>
        <v>565.9423828125</v>
      </c>
      <c r="T1355">
        <f>stand_validation_1cycle[[#This Row],[percent_tree_cover]]*100</f>
        <v>15.111584246343099</v>
      </c>
    </row>
    <row r="1356" spans="1:20" x14ac:dyDescent="0.2">
      <c r="A1356">
        <v>1</v>
      </c>
      <c r="B1356" t="s">
        <v>1374</v>
      </c>
      <c r="C1356">
        <v>28.065968992247999</v>
      </c>
      <c r="D1356">
        <v>993.20020043548698</v>
      </c>
      <c r="E1356">
        <v>7.3907404454338801</v>
      </c>
      <c r="F1356">
        <v>28.144937100853799</v>
      </c>
      <c r="G1356">
        <v>86</v>
      </c>
      <c r="H1356">
        <v>566.01574707031205</v>
      </c>
      <c r="I1356">
        <v>8.3172896521716097E-2</v>
      </c>
      <c r="K1356" s="1" t="str">
        <f>TEXT(stand_validation_1cycle[[#This Row],[stand_age]], ".0")</f>
        <v>28.1</v>
      </c>
      <c r="L1356" s="1" t="str">
        <f t="shared" si="21"/>
        <v>"28.1"</v>
      </c>
      <c r="M1356">
        <v>100</v>
      </c>
      <c r="N1356">
        <f>0.029*stand_validation_1cycle[[#This Row],[stand_level_biomass]]</f>
        <v>28.802805812629124</v>
      </c>
      <c r="O1356">
        <f>0.213*stand_validation_1cycle[[#This Row],[stand_level_biomass]]</f>
        <v>211.55164269275872</v>
      </c>
      <c r="P1356">
        <f>0.571*stand_validation_1cycle[[#This Row],[stand_level_biomass]]</f>
        <v>567.11731444866302</v>
      </c>
      <c r="Q1356">
        <f>stand_validation_1cycle[[#This Row],[stock]]</f>
        <v>86</v>
      </c>
      <c r="R1356">
        <v>0</v>
      </c>
      <c r="S1356">
        <f>stand_validation_1cycle[[#This Row],[aws]]</f>
        <v>566.01574707031205</v>
      </c>
      <c r="T1356">
        <f>stand_validation_1cycle[[#This Row],[percent_tree_cover]]*100</f>
        <v>8.3172896521716098</v>
      </c>
    </row>
    <row r="1357" spans="1:20" x14ac:dyDescent="0.2">
      <c r="A1357">
        <v>1</v>
      </c>
      <c r="B1357" t="s">
        <v>1375</v>
      </c>
      <c r="C1357">
        <v>26.643733333333302</v>
      </c>
      <c r="D1357">
        <v>811.37314096977502</v>
      </c>
      <c r="E1357">
        <v>7.2725034643233801</v>
      </c>
      <c r="F1357">
        <v>26.384240211758499</v>
      </c>
      <c r="G1357">
        <v>100</v>
      </c>
      <c r="H1357">
        <v>496</v>
      </c>
      <c r="I1357">
        <v>7.2473465061695205E-2</v>
      </c>
      <c r="K1357" s="1" t="str">
        <f>TEXT(stand_validation_1cycle[[#This Row],[stand_age]], ".0")</f>
        <v>26.6</v>
      </c>
      <c r="L1357" s="1" t="str">
        <f t="shared" si="21"/>
        <v>"26.6"</v>
      </c>
      <c r="M1357">
        <v>100</v>
      </c>
      <c r="N1357">
        <f>0.029*stand_validation_1cycle[[#This Row],[stand_level_biomass]]</f>
        <v>23.529821088123477</v>
      </c>
      <c r="O1357">
        <f>0.213*stand_validation_1cycle[[#This Row],[stand_level_biomass]]</f>
        <v>172.82247902656206</v>
      </c>
      <c r="P1357">
        <f>0.571*stand_validation_1cycle[[#This Row],[stand_level_biomass]]</f>
        <v>463.29406349374148</v>
      </c>
      <c r="Q1357">
        <f>stand_validation_1cycle[[#This Row],[stock]]</f>
        <v>100</v>
      </c>
      <c r="R1357">
        <v>0</v>
      </c>
      <c r="S1357">
        <f>stand_validation_1cycle[[#This Row],[aws]]</f>
        <v>496</v>
      </c>
      <c r="T1357">
        <f>stand_validation_1cycle[[#This Row],[percent_tree_cover]]*100</f>
        <v>7.2473465061695208</v>
      </c>
    </row>
    <row r="1358" spans="1:20" x14ac:dyDescent="0.2">
      <c r="A1358">
        <v>1</v>
      </c>
      <c r="B1358" t="s">
        <v>1376</v>
      </c>
      <c r="C1358">
        <v>25.2492666666666</v>
      </c>
      <c r="D1358">
        <v>601.58020831704596</v>
      </c>
      <c r="E1358">
        <v>5.9182877496688002</v>
      </c>
      <c r="F1358">
        <v>24.9826058879671</v>
      </c>
      <c r="G1358">
        <v>100</v>
      </c>
      <c r="H1358">
        <v>611.37243652343705</v>
      </c>
      <c r="I1358">
        <v>5.90120310087393E-2</v>
      </c>
      <c r="K1358" s="1" t="str">
        <f>TEXT(stand_validation_1cycle[[#This Row],[stand_age]], ".0")</f>
        <v>25.2</v>
      </c>
      <c r="L1358" s="1" t="str">
        <f t="shared" si="21"/>
        <v>"25.2"</v>
      </c>
      <c r="M1358">
        <v>100</v>
      </c>
      <c r="N1358">
        <f>0.029*stand_validation_1cycle[[#This Row],[stand_level_biomass]]</f>
        <v>17.445826041194334</v>
      </c>
      <c r="O1358">
        <f>0.213*stand_validation_1cycle[[#This Row],[stand_level_biomass]]</f>
        <v>128.13658437153077</v>
      </c>
      <c r="P1358">
        <f>0.571*stand_validation_1cycle[[#This Row],[stand_level_biomass]]</f>
        <v>343.50229894903322</v>
      </c>
      <c r="Q1358">
        <f>stand_validation_1cycle[[#This Row],[stock]]</f>
        <v>100</v>
      </c>
      <c r="R1358">
        <v>0</v>
      </c>
      <c r="S1358">
        <f>stand_validation_1cycle[[#This Row],[aws]]</f>
        <v>611.37243652343705</v>
      </c>
      <c r="T1358">
        <f>stand_validation_1cycle[[#This Row],[percent_tree_cover]]*100</f>
        <v>5.9012031008739303</v>
      </c>
    </row>
    <row r="1359" spans="1:20" x14ac:dyDescent="0.2">
      <c r="A1359">
        <v>1</v>
      </c>
      <c r="B1359" t="s">
        <v>1377</v>
      </c>
      <c r="C1359">
        <v>26.219355555555499</v>
      </c>
      <c r="D1359">
        <v>920.78107600906606</v>
      </c>
      <c r="E1359">
        <v>4.0340790711683097</v>
      </c>
      <c r="F1359">
        <v>27.236223316782802</v>
      </c>
      <c r="G1359">
        <v>50</v>
      </c>
      <c r="H1359">
        <v>400</v>
      </c>
      <c r="I1359">
        <v>8.4315286022047506E-2</v>
      </c>
      <c r="K1359" s="1" t="str">
        <f>TEXT(stand_validation_1cycle[[#This Row],[stand_age]], ".0")</f>
        <v>26.2</v>
      </c>
      <c r="L1359" s="1" t="str">
        <f t="shared" si="21"/>
        <v>"26.2"</v>
      </c>
      <c r="M1359">
        <v>100</v>
      </c>
      <c r="N1359">
        <f>0.029*stand_validation_1cycle[[#This Row],[stand_level_biomass]]</f>
        <v>26.702651204262917</v>
      </c>
      <c r="O1359">
        <f>0.213*stand_validation_1cycle[[#This Row],[stand_level_biomass]]</f>
        <v>196.12636918993107</v>
      </c>
      <c r="P1359">
        <f>0.571*stand_validation_1cycle[[#This Row],[stand_level_biomass]]</f>
        <v>525.76599440117673</v>
      </c>
      <c r="Q1359">
        <f>stand_validation_1cycle[[#This Row],[stock]]</f>
        <v>50</v>
      </c>
      <c r="R1359">
        <v>0</v>
      </c>
      <c r="S1359">
        <f>stand_validation_1cycle[[#This Row],[aws]]</f>
        <v>400</v>
      </c>
      <c r="T1359">
        <f>stand_validation_1cycle[[#This Row],[percent_tree_cover]]*100</f>
        <v>8.4315286022047502</v>
      </c>
    </row>
    <row r="1360" spans="1:20" x14ac:dyDescent="0.2">
      <c r="A1360">
        <v>1</v>
      </c>
      <c r="B1360" t="s">
        <v>1378</v>
      </c>
      <c r="C1360">
        <v>34.814444444444398</v>
      </c>
      <c r="D1360">
        <v>1017.71837374267</v>
      </c>
      <c r="E1360">
        <v>0.45094185330178799</v>
      </c>
      <c r="F1360">
        <v>30.9370620966857</v>
      </c>
      <c r="G1360">
        <v>5</v>
      </c>
      <c r="H1360">
        <v>565.9423828125</v>
      </c>
      <c r="I1360">
        <v>7.1158099163901894E-2</v>
      </c>
      <c r="K1360" s="1" t="str">
        <f>TEXT(stand_validation_1cycle[[#This Row],[stand_age]], ".0")</f>
        <v>34.8</v>
      </c>
      <c r="L1360" s="1" t="str">
        <f t="shared" si="21"/>
        <v>"34.8"</v>
      </c>
      <c r="M1360">
        <v>100</v>
      </c>
      <c r="N1360">
        <f>0.029*stand_validation_1cycle[[#This Row],[stand_level_biomass]]</f>
        <v>29.513832838537432</v>
      </c>
      <c r="O1360">
        <f>0.213*stand_validation_1cycle[[#This Row],[stand_level_biomass]]</f>
        <v>216.77401360718869</v>
      </c>
      <c r="P1360">
        <f>0.571*stand_validation_1cycle[[#This Row],[stand_level_biomass]]</f>
        <v>581.11719140706452</v>
      </c>
      <c r="Q1360">
        <f>stand_validation_1cycle[[#This Row],[stock]]</f>
        <v>5</v>
      </c>
      <c r="R1360">
        <v>0</v>
      </c>
      <c r="S1360">
        <f>stand_validation_1cycle[[#This Row],[aws]]</f>
        <v>565.9423828125</v>
      </c>
      <c r="T1360">
        <f>stand_validation_1cycle[[#This Row],[percent_tree_cover]]*100</f>
        <v>7.1158099163901891</v>
      </c>
    </row>
    <row r="1361" spans="1:20" x14ac:dyDescent="0.2">
      <c r="A1361">
        <v>1</v>
      </c>
      <c r="B1361" t="s">
        <v>1379</v>
      </c>
      <c r="C1361">
        <v>27.496076388888898</v>
      </c>
      <c r="D1361">
        <v>637.65061255583998</v>
      </c>
      <c r="E1361">
        <v>1.9191353348267599</v>
      </c>
      <c r="F1361">
        <v>24.343364584718699</v>
      </c>
      <c r="G1361">
        <v>32</v>
      </c>
      <c r="H1361">
        <v>566.01574707031205</v>
      </c>
      <c r="I1361">
        <v>5.5873068251449803E-2</v>
      </c>
      <c r="K1361" s="1" t="str">
        <f>TEXT(stand_validation_1cycle[[#This Row],[stand_age]], ".0")</f>
        <v>27.5</v>
      </c>
      <c r="L1361" s="1" t="str">
        <f t="shared" si="21"/>
        <v>"27.5"</v>
      </c>
      <c r="M1361">
        <v>100</v>
      </c>
      <c r="N1361">
        <f>0.029*stand_validation_1cycle[[#This Row],[stand_level_biomass]]</f>
        <v>18.491867764119359</v>
      </c>
      <c r="O1361">
        <f>0.213*stand_validation_1cycle[[#This Row],[stand_level_biomass]]</f>
        <v>135.81958047439392</v>
      </c>
      <c r="P1361">
        <f>0.571*stand_validation_1cycle[[#This Row],[stand_level_biomass]]</f>
        <v>364.0984997693846</v>
      </c>
      <c r="Q1361">
        <f>stand_validation_1cycle[[#This Row],[stock]]</f>
        <v>32</v>
      </c>
      <c r="R1361">
        <v>0</v>
      </c>
      <c r="S1361">
        <f>stand_validation_1cycle[[#This Row],[aws]]</f>
        <v>566.01574707031205</v>
      </c>
      <c r="T1361">
        <f>stand_validation_1cycle[[#This Row],[percent_tree_cover]]*100</f>
        <v>5.5873068251449807</v>
      </c>
    </row>
    <row r="1362" spans="1:20" x14ac:dyDescent="0.2">
      <c r="A1362">
        <v>1</v>
      </c>
      <c r="B1362" t="s">
        <v>1380</v>
      </c>
      <c r="C1362">
        <v>27.965885225885199</v>
      </c>
      <c r="D1362">
        <v>893.36322530011705</v>
      </c>
      <c r="E1362">
        <v>7.2910875556656896</v>
      </c>
      <c r="F1362">
        <v>27.8341830688037</v>
      </c>
      <c r="G1362">
        <v>91</v>
      </c>
      <c r="H1362">
        <v>492</v>
      </c>
      <c r="I1362">
        <v>7.8166345198755496E-2</v>
      </c>
      <c r="K1362" s="1" t="str">
        <f>TEXT(stand_validation_1cycle[[#This Row],[stand_age]], ".0")</f>
        <v>28.0</v>
      </c>
      <c r="L1362" s="1" t="str">
        <f t="shared" si="21"/>
        <v>"28.0"</v>
      </c>
      <c r="M1362">
        <v>100</v>
      </c>
      <c r="N1362">
        <f>0.029*stand_validation_1cycle[[#This Row],[stand_level_biomass]]</f>
        <v>25.907533533703397</v>
      </c>
      <c r="O1362">
        <f>0.213*stand_validation_1cycle[[#This Row],[stand_level_biomass]]</f>
        <v>190.28636698892493</v>
      </c>
      <c r="P1362">
        <f>0.571*stand_validation_1cycle[[#This Row],[stand_level_biomass]]</f>
        <v>510.11040164636677</v>
      </c>
      <c r="Q1362">
        <f>stand_validation_1cycle[[#This Row],[stock]]</f>
        <v>91</v>
      </c>
      <c r="R1362">
        <v>0</v>
      </c>
      <c r="S1362">
        <f>stand_validation_1cycle[[#This Row],[aws]]</f>
        <v>492</v>
      </c>
      <c r="T1362">
        <f>stand_validation_1cycle[[#This Row],[percent_tree_cover]]*100</f>
        <v>7.8166345198755494</v>
      </c>
    </row>
    <row r="1363" spans="1:20" x14ac:dyDescent="0.2">
      <c r="A1363">
        <v>1</v>
      </c>
      <c r="B1363" t="s">
        <v>1381</v>
      </c>
      <c r="C1363">
        <v>27.315388888888801</v>
      </c>
      <c r="D1363">
        <v>910.37226350313995</v>
      </c>
      <c r="E1363">
        <v>8.0511723362568404</v>
      </c>
      <c r="F1363">
        <v>27.746043145218501</v>
      </c>
      <c r="G1363">
        <v>100</v>
      </c>
      <c r="H1363">
        <v>611.37243652343705</v>
      </c>
      <c r="I1363">
        <v>8.0239968298101594E-2</v>
      </c>
      <c r="K1363" s="1" t="str">
        <f>TEXT(stand_validation_1cycle[[#This Row],[stand_age]], ".0")</f>
        <v>27.3</v>
      </c>
      <c r="L1363" s="1" t="str">
        <f t="shared" si="21"/>
        <v>"27.3"</v>
      </c>
      <c r="M1363">
        <v>100</v>
      </c>
      <c r="N1363">
        <f>0.029*stand_validation_1cycle[[#This Row],[stand_level_biomass]]</f>
        <v>26.40079564159106</v>
      </c>
      <c r="O1363">
        <f>0.213*stand_validation_1cycle[[#This Row],[stand_level_biomass]]</f>
        <v>193.90929212616879</v>
      </c>
      <c r="P1363">
        <f>0.571*stand_validation_1cycle[[#This Row],[stand_level_biomass]]</f>
        <v>519.82256246029283</v>
      </c>
      <c r="Q1363">
        <f>stand_validation_1cycle[[#This Row],[stock]]</f>
        <v>100</v>
      </c>
      <c r="R1363">
        <v>0</v>
      </c>
      <c r="S1363">
        <f>stand_validation_1cycle[[#This Row],[aws]]</f>
        <v>611.37243652343705</v>
      </c>
      <c r="T1363">
        <f>stand_validation_1cycle[[#This Row],[percent_tree_cover]]*100</f>
        <v>8.0239968298101587</v>
      </c>
    </row>
    <row r="1364" spans="1:20" x14ac:dyDescent="0.2">
      <c r="A1364">
        <v>1</v>
      </c>
      <c r="B1364" t="s">
        <v>1382</v>
      </c>
      <c r="C1364">
        <v>29.3038888888888</v>
      </c>
      <c r="D1364">
        <v>1093.1122494466899</v>
      </c>
      <c r="E1364">
        <v>1.52606947218573</v>
      </c>
      <c r="F1364">
        <v>30.653119169437499</v>
      </c>
      <c r="G1364">
        <v>16</v>
      </c>
      <c r="H1364">
        <v>611.37243652343705</v>
      </c>
      <c r="I1364">
        <v>9.9404728192862904E-2</v>
      </c>
      <c r="K1364" s="1" t="str">
        <f>TEXT(stand_validation_1cycle[[#This Row],[stand_age]], ".0")</f>
        <v>29.3</v>
      </c>
      <c r="L1364" s="1" t="str">
        <f t="shared" si="21"/>
        <v>"29.3"</v>
      </c>
      <c r="M1364">
        <v>100</v>
      </c>
      <c r="N1364">
        <f>0.029*stand_validation_1cycle[[#This Row],[stand_level_biomass]]</f>
        <v>31.70025523395401</v>
      </c>
      <c r="O1364">
        <f>0.213*stand_validation_1cycle[[#This Row],[stand_level_biomass]]</f>
        <v>232.83290913214495</v>
      </c>
      <c r="P1364">
        <f>0.571*stand_validation_1cycle[[#This Row],[stand_level_biomass]]</f>
        <v>624.16709443405989</v>
      </c>
      <c r="Q1364">
        <f>stand_validation_1cycle[[#This Row],[stock]]</f>
        <v>16</v>
      </c>
      <c r="R1364">
        <v>0</v>
      </c>
      <c r="S1364">
        <f>stand_validation_1cycle[[#This Row],[aws]]</f>
        <v>611.37243652343705</v>
      </c>
      <c r="T1364">
        <f>stand_validation_1cycle[[#This Row],[percent_tree_cover]]*100</f>
        <v>9.9404728192862901</v>
      </c>
    </row>
    <row r="1365" spans="1:20" x14ac:dyDescent="0.2">
      <c r="A1365">
        <v>1</v>
      </c>
      <c r="B1365" t="s">
        <v>1383</v>
      </c>
      <c r="C1365">
        <v>29.7294380587484</v>
      </c>
      <c r="D1365">
        <v>864.31853120666096</v>
      </c>
      <c r="E1365">
        <v>6.7845308730155596</v>
      </c>
      <c r="F1365">
        <v>27.819592317049199</v>
      </c>
      <c r="G1365">
        <v>87</v>
      </c>
      <c r="H1365">
        <v>484</v>
      </c>
      <c r="I1365">
        <v>7.7471935771188799E-2</v>
      </c>
      <c r="K1365" s="1" t="str">
        <f>TEXT(stand_validation_1cycle[[#This Row],[stand_age]], ".0")</f>
        <v>29.7</v>
      </c>
      <c r="L1365" s="1" t="str">
        <f t="shared" si="21"/>
        <v>"29.7"</v>
      </c>
      <c r="M1365">
        <v>100</v>
      </c>
      <c r="N1365">
        <f>0.029*stand_validation_1cycle[[#This Row],[stand_level_biomass]]</f>
        <v>25.065237404993169</v>
      </c>
      <c r="O1365">
        <f>0.213*stand_validation_1cycle[[#This Row],[stand_level_biomass]]</f>
        <v>184.09984714701878</v>
      </c>
      <c r="P1365">
        <f>0.571*stand_validation_1cycle[[#This Row],[stand_level_biomass]]</f>
        <v>493.52588131900336</v>
      </c>
      <c r="Q1365">
        <f>stand_validation_1cycle[[#This Row],[stock]]</f>
        <v>87</v>
      </c>
      <c r="R1365">
        <v>0</v>
      </c>
      <c r="S1365">
        <f>stand_validation_1cycle[[#This Row],[aws]]</f>
        <v>484</v>
      </c>
      <c r="T1365">
        <f>stand_validation_1cycle[[#This Row],[percent_tree_cover]]*100</f>
        <v>7.74719357711888</v>
      </c>
    </row>
    <row r="1366" spans="1:20" x14ac:dyDescent="0.2">
      <c r="A1366">
        <v>1</v>
      </c>
      <c r="B1366" t="s">
        <v>1384</v>
      </c>
      <c r="C1366">
        <v>27.6549555555555</v>
      </c>
      <c r="D1366">
        <v>843.08141507588505</v>
      </c>
      <c r="E1366">
        <v>7.5886285812853398</v>
      </c>
      <c r="F1366">
        <v>27.3071701165928</v>
      </c>
      <c r="G1366">
        <v>100</v>
      </c>
      <c r="H1366">
        <v>611.37243652343705</v>
      </c>
      <c r="I1366">
        <v>7.5632286179560596E-2</v>
      </c>
      <c r="K1366" s="1" t="str">
        <f>TEXT(stand_validation_1cycle[[#This Row],[stand_age]], ".0")</f>
        <v>27.7</v>
      </c>
      <c r="L1366" s="1" t="str">
        <f t="shared" si="21"/>
        <v>"27.7"</v>
      </c>
      <c r="M1366">
        <v>100</v>
      </c>
      <c r="N1366">
        <f>0.029*stand_validation_1cycle[[#This Row],[stand_level_biomass]]</f>
        <v>24.449361037200667</v>
      </c>
      <c r="O1366">
        <f>0.213*stand_validation_1cycle[[#This Row],[stand_level_biomass]]</f>
        <v>179.5763414111635</v>
      </c>
      <c r="P1366">
        <f>0.571*stand_validation_1cycle[[#This Row],[stand_level_biomass]]</f>
        <v>481.39948800833031</v>
      </c>
      <c r="Q1366">
        <f>stand_validation_1cycle[[#This Row],[stock]]</f>
        <v>100</v>
      </c>
      <c r="R1366">
        <v>0</v>
      </c>
      <c r="S1366">
        <f>stand_validation_1cycle[[#This Row],[aws]]</f>
        <v>611.37243652343705</v>
      </c>
      <c r="T1366">
        <f>stand_validation_1cycle[[#This Row],[percent_tree_cover]]*100</f>
        <v>7.5632286179560593</v>
      </c>
    </row>
    <row r="1367" spans="1:20" x14ac:dyDescent="0.2">
      <c r="A1367">
        <v>1</v>
      </c>
      <c r="B1367" t="s">
        <v>1385</v>
      </c>
      <c r="C1367">
        <v>34.590222222222202</v>
      </c>
      <c r="D1367">
        <v>1551.4505396381601</v>
      </c>
      <c r="E1367">
        <v>1.8875953153810501</v>
      </c>
      <c r="F1367">
        <v>33.9123319380761</v>
      </c>
      <c r="G1367">
        <v>15</v>
      </c>
      <c r="H1367">
        <v>611.37243652343705</v>
      </c>
      <c r="I1367">
        <v>0.122838922202314</v>
      </c>
      <c r="K1367" s="1" t="str">
        <f>TEXT(stand_validation_1cycle[[#This Row],[stand_age]], ".0")</f>
        <v>34.6</v>
      </c>
      <c r="L1367" s="1" t="str">
        <f t="shared" si="21"/>
        <v>"34.6"</v>
      </c>
      <c r="M1367">
        <v>100</v>
      </c>
      <c r="N1367">
        <f>0.029*stand_validation_1cycle[[#This Row],[stand_level_biomass]]</f>
        <v>44.992065649506642</v>
      </c>
      <c r="O1367">
        <f>0.213*stand_validation_1cycle[[#This Row],[stand_level_biomass]]</f>
        <v>330.45896494292811</v>
      </c>
      <c r="P1367">
        <f>0.571*stand_validation_1cycle[[#This Row],[stand_level_biomass]]</f>
        <v>885.87825813338929</v>
      </c>
      <c r="Q1367">
        <f>stand_validation_1cycle[[#This Row],[stock]]</f>
        <v>15</v>
      </c>
      <c r="R1367">
        <v>0</v>
      </c>
      <c r="S1367">
        <f>stand_validation_1cycle[[#This Row],[aws]]</f>
        <v>611.37243652343705</v>
      </c>
      <c r="T1367">
        <f>stand_validation_1cycle[[#This Row],[percent_tree_cover]]*100</f>
        <v>12.283892220231401</v>
      </c>
    </row>
    <row r="1368" spans="1:20" x14ac:dyDescent="0.2">
      <c r="A1368">
        <v>1</v>
      </c>
      <c r="B1368" t="s">
        <v>1386</v>
      </c>
      <c r="C1368">
        <v>30.9820588235294</v>
      </c>
      <c r="D1368">
        <v>1152.01552858737</v>
      </c>
      <c r="E1368">
        <v>3.2956021648485598</v>
      </c>
      <c r="F1368">
        <v>29.658887620857101</v>
      </c>
      <c r="G1368">
        <v>34</v>
      </c>
      <c r="H1368">
        <v>484</v>
      </c>
      <c r="I1368">
        <v>9.4451160227112294E-2</v>
      </c>
      <c r="K1368" s="1" t="str">
        <f>TEXT(stand_validation_1cycle[[#This Row],[stand_age]], ".0")</f>
        <v>31.0</v>
      </c>
      <c r="L1368" s="1" t="str">
        <f t="shared" si="21"/>
        <v>"31.0"</v>
      </c>
      <c r="M1368">
        <v>100</v>
      </c>
      <c r="N1368">
        <f>0.029*stand_validation_1cycle[[#This Row],[stand_level_biomass]]</f>
        <v>33.408450329033734</v>
      </c>
      <c r="O1368">
        <f>0.213*stand_validation_1cycle[[#This Row],[stand_level_biomass]]</f>
        <v>245.3793075891098</v>
      </c>
      <c r="P1368">
        <f>0.571*stand_validation_1cycle[[#This Row],[stand_level_biomass]]</f>
        <v>657.80086682338822</v>
      </c>
      <c r="Q1368">
        <f>stand_validation_1cycle[[#This Row],[stock]]</f>
        <v>34</v>
      </c>
      <c r="R1368">
        <v>0</v>
      </c>
      <c r="S1368">
        <f>stand_validation_1cycle[[#This Row],[aws]]</f>
        <v>484</v>
      </c>
      <c r="T1368">
        <f>stand_validation_1cycle[[#This Row],[percent_tree_cover]]*100</f>
        <v>9.445116022711229</v>
      </c>
    </row>
    <row r="1369" spans="1:20" x14ac:dyDescent="0.2">
      <c r="A1369">
        <v>1</v>
      </c>
      <c r="B1369" t="s">
        <v>1387</v>
      </c>
      <c r="C1369">
        <v>25.6936944444444</v>
      </c>
      <c r="D1369">
        <v>610.94935661033799</v>
      </c>
      <c r="E1369">
        <v>2.36889673468897</v>
      </c>
      <c r="F1369">
        <v>24.827529287682101</v>
      </c>
      <c r="G1369">
        <v>40</v>
      </c>
      <c r="H1369">
        <v>611.37243652343705</v>
      </c>
      <c r="I1369">
        <v>5.9308524829340702E-2</v>
      </c>
      <c r="K1369" s="1" t="str">
        <f>TEXT(stand_validation_1cycle[[#This Row],[stand_age]], ".0")</f>
        <v>25.7</v>
      </c>
      <c r="L1369" s="1" t="str">
        <f t="shared" si="21"/>
        <v>"25.7"</v>
      </c>
      <c r="M1369">
        <v>100</v>
      </c>
      <c r="N1369">
        <f>0.029*stand_validation_1cycle[[#This Row],[stand_level_biomass]]</f>
        <v>17.717531341699804</v>
      </c>
      <c r="O1369">
        <f>0.213*stand_validation_1cycle[[#This Row],[stand_level_biomass]]</f>
        <v>130.13221295800199</v>
      </c>
      <c r="P1369">
        <f>0.571*stand_validation_1cycle[[#This Row],[stand_level_biomass]]</f>
        <v>348.85208262450294</v>
      </c>
      <c r="Q1369">
        <f>stand_validation_1cycle[[#This Row],[stock]]</f>
        <v>40</v>
      </c>
      <c r="R1369">
        <v>0</v>
      </c>
      <c r="S1369">
        <f>stand_validation_1cycle[[#This Row],[aws]]</f>
        <v>611.37243652343705</v>
      </c>
      <c r="T1369">
        <f>stand_validation_1cycle[[#This Row],[percent_tree_cover]]*100</f>
        <v>5.9308524829340703</v>
      </c>
    </row>
    <row r="1370" spans="1:20" x14ac:dyDescent="0.2">
      <c r="A1370">
        <v>1</v>
      </c>
      <c r="B1370" t="s">
        <v>1388</v>
      </c>
      <c r="C1370">
        <v>37.226666666666603</v>
      </c>
      <c r="D1370">
        <v>1075.17632486707</v>
      </c>
      <c r="E1370">
        <v>0.38182838571914002</v>
      </c>
      <c r="F1370">
        <v>32.108932857821401</v>
      </c>
      <c r="G1370">
        <v>4</v>
      </c>
      <c r="H1370">
        <v>611.37243652343705</v>
      </c>
      <c r="I1370">
        <v>6.2389528875696501E-2</v>
      </c>
      <c r="K1370" s="1" t="str">
        <f>TEXT(stand_validation_1cycle[[#This Row],[stand_age]], ".0")</f>
        <v>37.2</v>
      </c>
      <c r="L1370" s="1" t="str">
        <f t="shared" si="21"/>
        <v>"37.2"</v>
      </c>
      <c r="M1370">
        <v>100</v>
      </c>
      <c r="N1370">
        <f>0.029*stand_validation_1cycle[[#This Row],[stand_level_biomass]]</f>
        <v>31.18011342114503</v>
      </c>
      <c r="O1370">
        <f>0.213*stand_validation_1cycle[[#This Row],[stand_level_biomass]]</f>
        <v>229.01255719668589</v>
      </c>
      <c r="P1370">
        <f>0.571*stand_validation_1cycle[[#This Row],[stand_level_biomass]]</f>
        <v>613.92568149909687</v>
      </c>
      <c r="Q1370">
        <f>stand_validation_1cycle[[#This Row],[stock]]</f>
        <v>4</v>
      </c>
      <c r="R1370">
        <v>0</v>
      </c>
      <c r="S1370">
        <f>stand_validation_1cycle[[#This Row],[aws]]</f>
        <v>611.37243652343705</v>
      </c>
      <c r="T1370">
        <f>stand_validation_1cycle[[#This Row],[percent_tree_cover]]*100</f>
        <v>6.2389528875696501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E24B2-2981-EA4B-8DEC-E9857F4D57BF}">
  <dimension ref="A1:M1370"/>
  <sheetViews>
    <sheetView tabSelected="1" topLeftCell="Q1" workbookViewId="0">
      <selection activeCell="AD7" sqref="AD7"/>
    </sheetView>
  </sheetViews>
  <sheetFormatPr baseColWidth="10" defaultRowHeight="16" x14ac:dyDescent="0.2"/>
  <cols>
    <col min="3" max="13" width="12.1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0</v>
      </c>
      <c r="B2">
        <v>600</v>
      </c>
      <c r="C2">
        <v>77.500000000000227</v>
      </c>
      <c r="D2">
        <v>82</v>
      </c>
      <c r="E2">
        <v>84.079645824716735</v>
      </c>
      <c r="F2">
        <v>45.52872422489682</v>
      </c>
      <c r="G2">
        <v>657.58916991226215</v>
      </c>
      <c r="H2">
        <v>8.4850215472549699</v>
      </c>
      <c r="I2">
        <v>3.6613627033594689</v>
      </c>
      <c r="J2">
        <v>6.8245343958238003</v>
      </c>
      <c r="K2">
        <v>668.73555744299244</v>
      </c>
      <c r="L2">
        <v>9.2092879766610576</v>
      </c>
      <c r="M2">
        <v>0.41000071320270459</v>
      </c>
    </row>
    <row r="3" spans="1:13" x14ac:dyDescent="0.2">
      <c r="A3">
        <v>1</v>
      </c>
      <c r="B3">
        <v>600</v>
      </c>
      <c r="C3">
        <v>78.333333333333456</v>
      </c>
      <c r="D3">
        <v>99</v>
      </c>
      <c r="E3">
        <v>83.725803345510897</v>
      </c>
      <c r="F3">
        <v>54.505926030094926</v>
      </c>
      <c r="G3">
        <v>785.44415842979811</v>
      </c>
      <c r="H3">
        <v>10.026946703359108</v>
      </c>
      <c r="I3">
        <v>4.3573482464615507</v>
      </c>
      <c r="J3">
        <v>8.1218047464334582</v>
      </c>
      <c r="K3">
        <v>798.75761546799333</v>
      </c>
      <c r="L3">
        <v>10.927865365846296</v>
      </c>
      <c r="M3">
        <v>0.41000062355366318</v>
      </c>
    </row>
    <row r="4" spans="1:13" x14ac:dyDescent="0.2">
      <c r="A4">
        <v>2</v>
      </c>
      <c r="B4">
        <v>600</v>
      </c>
      <c r="C4">
        <v>81.000000000000085</v>
      </c>
      <c r="D4">
        <v>21</v>
      </c>
      <c r="E4">
        <v>165.45445808898111</v>
      </c>
      <c r="F4">
        <v>45.150870007847814</v>
      </c>
      <c r="G4">
        <v>942.9107046026794</v>
      </c>
      <c r="H4">
        <v>11.640872896329364</v>
      </c>
      <c r="I4">
        <v>4.2772187650343687</v>
      </c>
      <c r="J4">
        <v>7.9724487698683468</v>
      </c>
      <c r="K4">
        <v>958.89290130462757</v>
      </c>
      <c r="L4">
        <v>15.222126212394986</v>
      </c>
      <c r="M4">
        <v>0.41000040568464141</v>
      </c>
    </row>
    <row r="5" spans="1:13" x14ac:dyDescent="0.2">
      <c r="A5">
        <v>3</v>
      </c>
      <c r="B5">
        <v>600</v>
      </c>
      <c r="C5">
        <v>77.416666666666742</v>
      </c>
      <c r="D5">
        <v>85</v>
      </c>
      <c r="E5">
        <v>82.078638625335131</v>
      </c>
      <c r="F5">
        <v>44.974785023592737</v>
      </c>
      <c r="G5">
        <v>641.12144059497473</v>
      </c>
      <c r="H5">
        <v>8.2814394910007412</v>
      </c>
      <c r="I5">
        <v>3.7848247864906543</v>
      </c>
      <c r="J5">
        <v>7.0546594342789453</v>
      </c>
      <c r="K5">
        <v>651.98870448410287</v>
      </c>
      <c r="L5">
        <v>9.4502498036336675</v>
      </c>
      <c r="M5">
        <v>0.4100007228478541</v>
      </c>
    </row>
    <row r="6" spans="1:13" x14ac:dyDescent="0.2">
      <c r="A6">
        <v>4</v>
      </c>
      <c r="B6">
        <v>600</v>
      </c>
      <c r="C6">
        <v>76.333333333333528</v>
      </c>
      <c r="D6">
        <v>100</v>
      </c>
      <c r="E6">
        <v>71.074862301755601</v>
      </c>
      <c r="F6">
        <v>39.675456767754362</v>
      </c>
      <c r="G6">
        <v>522.92764140308998</v>
      </c>
      <c r="H6">
        <v>6.8505804550622971</v>
      </c>
      <c r="I6">
        <v>3.2596728384468472</v>
      </c>
      <c r="J6">
        <v>6.0758114416530224</v>
      </c>
      <c r="K6">
        <v>531.79159761492781</v>
      </c>
      <c r="L6">
        <v>7.9700051605350035</v>
      </c>
      <c r="M6">
        <v>0.41000086077131626</v>
      </c>
    </row>
    <row r="7" spans="1:13" x14ac:dyDescent="0.2">
      <c r="A7">
        <v>5</v>
      </c>
      <c r="B7">
        <v>600</v>
      </c>
      <c r="C7">
        <v>76.50000000000027</v>
      </c>
      <c r="D7">
        <v>100</v>
      </c>
      <c r="E7">
        <v>74.063439357423775</v>
      </c>
      <c r="F7">
        <v>43.082176265517788</v>
      </c>
      <c r="G7">
        <v>580.71203255168018</v>
      </c>
      <c r="H7">
        <v>7.5910069614598452</v>
      </c>
      <c r="I7">
        <v>3.46936522852292</v>
      </c>
      <c r="J7">
        <v>6.4666639860632245</v>
      </c>
      <c r="K7">
        <v>590.55544811704397</v>
      </c>
      <c r="L7">
        <v>8.5246366786936036</v>
      </c>
      <c r="M7">
        <v>0.41000083795357306</v>
      </c>
    </row>
    <row r="8" spans="1:13" x14ac:dyDescent="0.2">
      <c r="A8">
        <v>6</v>
      </c>
      <c r="B8">
        <v>600</v>
      </c>
      <c r="C8">
        <v>73.500000000000398</v>
      </c>
      <c r="D8">
        <v>24</v>
      </c>
      <c r="E8">
        <v>128.17108953641207</v>
      </c>
      <c r="F8">
        <v>30.965726619246016</v>
      </c>
      <c r="G8">
        <v>562.70931770981713</v>
      </c>
      <c r="H8">
        <v>7.6559090844872664</v>
      </c>
      <c r="I8">
        <v>3.0195086544504264</v>
      </c>
      <c r="J8">
        <v>5.6281615180809439</v>
      </c>
      <c r="K8">
        <v>572.24808194814364</v>
      </c>
      <c r="L8">
        <v>8.8693985994408546</v>
      </c>
      <c r="M8">
        <v>0.41000135906705326</v>
      </c>
    </row>
    <row r="9" spans="1:13" x14ac:dyDescent="0.2">
      <c r="A9">
        <v>7</v>
      </c>
      <c r="B9">
        <v>600</v>
      </c>
      <c r="C9">
        <v>78.500000000000185</v>
      </c>
      <c r="D9">
        <v>84</v>
      </c>
      <c r="E9">
        <v>93.4882202654548</v>
      </c>
      <c r="F9">
        <v>57.661103805764427</v>
      </c>
      <c r="G9">
        <v>882.35705269429434</v>
      </c>
      <c r="H9">
        <v>11.240217231774423</v>
      </c>
      <c r="I9">
        <v>4.7400638029582112</v>
      </c>
      <c r="J9">
        <v>8.8351608629230398</v>
      </c>
      <c r="K9">
        <v>897.31318018202103</v>
      </c>
      <c r="L9">
        <v>12.251365433118238</v>
      </c>
      <c r="M9">
        <v>0.41000060702420055</v>
      </c>
    </row>
    <row r="10" spans="1:13" x14ac:dyDescent="0.2">
      <c r="A10">
        <v>8</v>
      </c>
      <c r="B10">
        <v>600</v>
      </c>
      <c r="C10">
        <v>77.583333333333485</v>
      </c>
      <c r="D10">
        <v>99</v>
      </c>
      <c r="E10">
        <v>77.216155559209597</v>
      </c>
      <c r="F10">
        <v>46.359786396505577</v>
      </c>
      <c r="G10">
        <v>639.24321708731168</v>
      </c>
      <c r="H10">
        <v>8.2394399624572774</v>
      </c>
      <c r="I10">
        <v>3.673829425901205</v>
      </c>
      <c r="J10">
        <v>6.8477715301047608</v>
      </c>
      <c r="K10">
        <v>650.07862322674146</v>
      </c>
      <c r="L10">
        <v>9.0320007561041784</v>
      </c>
      <c r="M10">
        <v>0.41000070368625285</v>
      </c>
    </row>
    <row r="11" spans="1:13" x14ac:dyDescent="0.2">
      <c r="A11">
        <v>9</v>
      </c>
      <c r="B11">
        <v>600</v>
      </c>
      <c r="C11">
        <v>76.916666666666771</v>
      </c>
      <c r="D11">
        <v>99</v>
      </c>
      <c r="E11">
        <v>75.357578438048236</v>
      </c>
      <c r="F11">
        <v>44.154903961418455</v>
      </c>
      <c r="G11">
        <v>600.81391991023213</v>
      </c>
      <c r="H11">
        <v>7.8112318948242434</v>
      </c>
      <c r="I11">
        <v>3.7218340404490537</v>
      </c>
      <c r="J11">
        <v>6.9372489104362591</v>
      </c>
      <c r="K11">
        <v>610.99801809429493</v>
      </c>
      <c r="L11">
        <v>9.3819536673845079</v>
      </c>
      <c r="M11">
        <v>0.41000078352053626</v>
      </c>
    </row>
    <row r="12" spans="1:13" x14ac:dyDescent="0.2">
      <c r="A12">
        <v>10</v>
      </c>
      <c r="B12">
        <v>600</v>
      </c>
      <c r="C12">
        <v>78.000000000000213</v>
      </c>
      <c r="D12">
        <v>100</v>
      </c>
      <c r="E12">
        <v>81.306442731418457</v>
      </c>
      <c r="F12">
        <v>51.92061193019638</v>
      </c>
      <c r="G12">
        <v>736.33418115571601</v>
      </c>
      <c r="H12">
        <v>9.4401818096886405</v>
      </c>
      <c r="I12">
        <v>4.3452961727050292</v>
      </c>
      <c r="J12">
        <v>8.0993404896645469</v>
      </c>
      <c r="K12">
        <v>748.8152566021397</v>
      </c>
      <c r="L12">
        <v>11.032811259977088</v>
      </c>
      <c r="M12">
        <v>0.41000065797515273</v>
      </c>
    </row>
    <row r="13" spans="1:13" x14ac:dyDescent="0.2">
      <c r="A13">
        <v>11</v>
      </c>
      <c r="B13">
        <v>600</v>
      </c>
      <c r="C13">
        <v>77.916666666666728</v>
      </c>
      <c r="D13">
        <v>97</v>
      </c>
      <c r="E13">
        <v>83.437632148520322</v>
      </c>
      <c r="F13">
        <v>53.037806850398113</v>
      </c>
      <c r="G13">
        <v>762.85414307554686</v>
      </c>
      <c r="H13">
        <v>9.7906414084562083</v>
      </c>
      <c r="I13">
        <v>4.3897864050696294</v>
      </c>
      <c r="J13">
        <v>8.1822672974270816</v>
      </c>
      <c r="K13">
        <v>775.78475117891321</v>
      </c>
      <c r="L13">
        <v>11.268567761888056</v>
      </c>
      <c r="M13">
        <v>0.41000066687342057</v>
      </c>
    </row>
    <row r="14" spans="1:13" x14ac:dyDescent="0.2">
      <c r="A14">
        <v>12</v>
      </c>
      <c r="B14">
        <v>600</v>
      </c>
      <c r="C14">
        <v>78.500000000000185</v>
      </c>
      <c r="D14">
        <v>23</v>
      </c>
      <c r="E14">
        <v>163.04218312743984</v>
      </c>
      <c r="F14">
        <v>48.019505248974255</v>
      </c>
      <c r="G14">
        <v>994.82710986204381</v>
      </c>
      <c r="H14">
        <v>12.67295681352919</v>
      </c>
      <c r="I14">
        <v>4.1821662371047088</v>
      </c>
      <c r="J14">
        <v>7.7952772359826819</v>
      </c>
      <c r="K14">
        <v>1011.6896271818872</v>
      </c>
      <c r="L14">
        <v>14.069156281246441</v>
      </c>
      <c r="M14">
        <v>0.41000060702420055</v>
      </c>
    </row>
    <row r="15" spans="1:13" x14ac:dyDescent="0.2">
      <c r="A15">
        <v>13</v>
      </c>
      <c r="B15">
        <v>600</v>
      </c>
      <c r="C15">
        <v>79.250000000000156</v>
      </c>
      <c r="D15">
        <v>99</v>
      </c>
      <c r="E15">
        <v>81.831570653227416</v>
      </c>
      <c r="F15">
        <v>52.067514894829571</v>
      </c>
      <c r="G15">
        <v>741.01165412839953</v>
      </c>
      <c r="H15">
        <v>9.3503047839545506</v>
      </c>
      <c r="I15">
        <v>4.2179211323681782</v>
      </c>
      <c r="J15">
        <v>7.8619219615436675</v>
      </c>
      <c r="K15">
        <v>753.5718607163127</v>
      </c>
      <c r="L15">
        <v>10.530509710158398</v>
      </c>
      <c r="M15">
        <v>0.41000053789904578</v>
      </c>
    </row>
    <row r="16" spans="1:13" x14ac:dyDescent="0.2">
      <c r="A16">
        <v>14</v>
      </c>
      <c r="B16">
        <v>600</v>
      </c>
      <c r="C16">
        <v>76.583333333333528</v>
      </c>
      <c r="D16">
        <v>100</v>
      </c>
      <c r="E16">
        <v>73.350582413500177</v>
      </c>
      <c r="F16">
        <v>42.25683974902617</v>
      </c>
      <c r="G16">
        <v>566.59443647797241</v>
      </c>
      <c r="H16">
        <v>7.3984039583630592</v>
      </c>
      <c r="I16">
        <v>3.4139567263645016</v>
      </c>
      <c r="J16">
        <v>6.3633862560382131</v>
      </c>
      <c r="K16">
        <v>576.19853944391878</v>
      </c>
      <c r="L16">
        <v>8.3742047108250315</v>
      </c>
      <c r="M16">
        <v>0.41000082677253757</v>
      </c>
    </row>
    <row r="17" spans="1:13" x14ac:dyDescent="0.2">
      <c r="A17">
        <v>15</v>
      </c>
      <c r="B17">
        <v>600</v>
      </c>
      <c r="C17">
        <v>78.333333333333456</v>
      </c>
      <c r="D17">
        <v>100</v>
      </c>
      <c r="E17">
        <v>78.081050927749601</v>
      </c>
      <c r="F17">
        <v>47.88298116557435</v>
      </c>
      <c r="G17">
        <v>664.26430424815931</v>
      </c>
      <c r="H17">
        <v>8.4799698414658504</v>
      </c>
      <c r="I17">
        <v>3.8496384516285262</v>
      </c>
      <c r="J17">
        <v>7.175467756996321</v>
      </c>
      <c r="K17">
        <v>675.52373521050049</v>
      </c>
      <c r="L17">
        <v>9.4660551091575886</v>
      </c>
      <c r="M17">
        <v>0.41000062355366318</v>
      </c>
    </row>
    <row r="18" spans="1:13" x14ac:dyDescent="0.2">
      <c r="A18">
        <v>16</v>
      </c>
      <c r="B18">
        <v>600</v>
      </c>
      <c r="C18">
        <v>76.333333333333528</v>
      </c>
      <c r="D18">
        <v>100</v>
      </c>
      <c r="E18">
        <v>75.440634083749103</v>
      </c>
      <c r="F18">
        <v>44.699281407741147</v>
      </c>
      <c r="G18">
        <v>608.58621114990024</v>
      </c>
      <c r="H18">
        <v>7.9727451242344802</v>
      </c>
      <c r="I18">
        <v>3.6528276068089118</v>
      </c>
      <c r="J18">
        <v>6.8086255485720626</v>
      </c>
      <c r="K18">
        <v>618.90213461550024</v>
      </c>
      <c r="L18">
        <v>9.0726502961383257</v>
      </c>
      <c r="M18">
        <v>0.41000086077131626</v>
      </c>
    </row>
    <row r="19" spans="1:13" x14ac:dyDescent="0.2">
      <c r="A19">
        <v>17</v>
      </c>
      <c r="B19">
        <v>600</v>
      </c>
      <c r="C19">
        <v>77.000000000000256</v>
      </c>
      <c r="D19">
        <v>99</v>
      </c>
      <c r="E19">
        <v>75.950323242413006</v>
      </c>
      <c r="F19">
        <v>44.85225979851738</v>
      </c>
      <c r="G19">
        <v>612.91298850862267</v>
      </c>
      <c r="H19">
        <v>7.9599089416703981</v>
      </c>
      <c r="I19">
        <v>3.7377829323751839</v>
      </c>
      <c r="J19">
        <v>6.9669765747906496</v>
      </c>
      <c r="K19">
        <v>623.30216094706225</v>
      </c>
      <c r="L19">
        <v>9.4037858954994444</v>
      </c>
      <c r="M19">
        <v>0.41000077306581523</v>
      </c>
    </row>
    <row r="20" spans="1:13" x14ac:dyDescent="0.2">
      <c r="A20">
        <v>18</v>
      </c>
      <c r="B20">
        <v>600</v>
      </c>
      <c r="C20">
        <v>76.916666666666771</v>
      </c>
      <c r="D20">
        <v>100</v>
      </c>
      <c r="E20">
        <v>73.764091698372795</v>
      </c>
      <c r="F20">
        <v>42.734623241832487</v>
      </c>
      <c r="G20">
        <v>574.75803442447375</v>
      </c>
      <c r="H20">
        <v>7.4724771539476444</v>
      </c>
      <c r="I20">
        <v>3.5835987195929948</v>
      </c>
      <c r="J20">
        <v>6.6795875481696072</v>
      </c>
      <c r="K20">
        <v>584.50047224204684</v>
      </c>
      <c r="L20">
        <v>8.9827885982426441</v>
      </c>
      <c r="M20">
        <v>0.41000078352053626</v>
      </c>
    </row>
    <row r="21" spans="1:13" x14ac:dyDescent="0.2">
      <c r="A21">
        <v>19</v>
      </c>
      <c r="B21">
        <v>600</v>
      </c>
      <c r="C21">
        <v>76.50000000000027</v>
      </c>
      <c r="D21">
        <v>98</v>
      </c>
      <c r="E21">
        <v>75.437217921960894</v>
      </c>
      <c r="F21">
        <v>43.801328618090729</v>
      </c>
      <c r="G21">
        <v>596.34578689905652</v>
      </c>
      <c r="H21">
        <v>7.7953697633863319</v>
      </c>
      <c r="I21">
        <v>3.5560023074477458</v>
      </c>
      <c r="J21">
        <v>6.6281496876938411</v>
      </c>
      <c r="K21">
        <v>606.45420393203563</v>
      </c>
      <c r="L21">
        <v>8.7753896784028296</v>
      </c>
      <c r="M21">
        <v>0.41000083795357306</v>
      </c>
    </row>
    <row r="22" spans="1:13" x14ac:dyDescent="0.2">
      <c r="A22">
        <v>20</v>
      </c>
      <c r="B22">
        <v>600</v>
      </c>
      <c r="C22">
        <v>76.333333333333528</v>
      </c>
      <c r="D22">
        <v>97</v>
      </c>
      <c r="E22">
        <v>76.501365114809047</v>
      </c>
      <c r="F22">
        <v>44.586151301774485</v>
      </c>
      <c r="G22">
        <v>611.6803568715037</v>
      </c>
      <c r="H22">
        <v>8.0132797843428225</v>
      </c>
      <c r="I22">
        <v>3.5933637246124932</v>
      </c>
      <c r="J22">
        <v>6.697788862278645</v>
      </c>
      <c r="K22">
        <v>622.04872807560105</v>
      </c>
      <c r="L22">
        <v>8.9597717083307877</v>
      </c>
      <c r="M22">
        <v>0.41000086077131626</v>
      </c>
    </row>
    <row r="23" spans="1:13" x14ac:dyDescent="0.2">
      <c r="A23">
        <v>21</v>
      </c>
      <c r="B23">
        <v>600</v>
      </c>
      <c r="C23">
        <v>76.50000000000027</v>
      </c>
      <c r="D23">
        <v>28</v>
      </c>
      <c r="E23">
        <v>142.90219684788067</v>
      </c>
      <c r="F23">
        <v>44.908207772445991</v>
      </c>
      <c r="G23">
        <v>865.89528610336799</v>
      </c>
      <c r="H23">
        <v>11.318892628802155</v>
      </c>
      <c r="I23">
        <v>4.1821690605095068</v>
      </c>
      <c r="J23">
        <v>7.7952824986197689</v>
      </c>
      <c r="K23">
        <v>880.57272803573676</v>
      </c>
      <c r="L23">
        <v>12.724220269637948</v>
      </c>
      <c r="M23">
        <v>0.41000083795357306</v>
      </c>
    </row>
    <row r="24" spans="1:13" x14ac:dyDescent="0.2">
      <c r="A24">
        <v>22</v>
      </c>
      <c r="B24">
        <v>600</v>
      </c>
      <c r="C24">
        <v>77.083333333333499</v>
      </c>
      <c r="D24">
        <v>89</v>
      </c>
      <c r="E24">
        <v>80.442059687948387</v>
      </c>
      <c r="F24">
        <v>45.232048001501745</v>
      </c>
      <c r="G24">
        <v>637.753656096192</v>
      </c>
      <c r="H24">
        <v>8.2735609439505815</v>
      </c>
      <c r="I24">
        <v>3.8410444880732673</v>
      </c>
      <c r="J24">
        <v>7.1594491855978877</v>
      </c>
      <c r="K24">
        <v>648.5638785596592</v>
      </c>
      <c r="L24">
        <v>9.7595735983185996</v>
      </c>
      <c r="M24">
        <v>0.41000076275059422</v>
      </c>
    </row>
    <row r="25" spans="1:13" x14ac:dyDescent="0.2">
      <c r="A25">
        <v>23</v>
      </c>
      <c r="B25">
        <v>600</v>
      </c>
      <c r="C25">
        <v>76.916666666666771</v>
      </c>
      <c r="D25">
        <v>99</v>
      </c>
      <c r="E25">
        <v>79.357277660156214</v>
      </c>
      <c r="F25">
        <v>48.966447580385434</v>
      </c>
      <c r="G25">
        <v>685.32015920404854</v>
      </c>
      <c r="H25">
        <v>8.9099045616994275</v>
      </c>
      <c r="I25">
        <v>4.0714815775421931</v>
      </c>
      <c r="J25">
        <v>7.5889684576741709</v>
      </c>
      <c r="K25">
        <v>696.93668065530653</v>
      </c>
      <c r="L25">
        <v>10.404315034001495</v>
      </c>
      <c r="M25">
        <v>0.41000078352053626</v>
      </c>
    </row>
    <row r="26" spans="1:13" x14ac:dyDescent="0.2">
      <c r="A26">
        <v>24</v>
      </c>
      <c r="B26">
        <v>600</v>
      </c>
      <c r="C26">
        <v>75.916666666666814</v>
      </c>
      <c r="D26">
        <v>100</v>
      </c>
      <c r="E26">
        <v>74.722420083394496</v>
      </c>
      <c r="F26">
        <v>43.852235710136121</v>
      </c>
      <c r="G26">
        <v>593.95064805847323</v>
      </c>
      <c r="H26">
        <v>7.8237187450073158</v>
      </c>
      <c r="I26">
        <v>3.7207113759402222</v>
      </c>
      <c r="J26">
        <v>6.9351563391243642</v>
      </c>
      <c r="K26">
        <v>604.01855063921164</v>
      </c>
      <c r="L26">
        <v>9.4786021587001592</v>
      </c>
      <c r="M26">
        <v>0.41000092057114862</v>
      </c>
    </row>
    <row r="27" spans="1:13" x14ac:dyDescent="0.2">
      <c r="A27">
        <v>25</v>
      </c>
      <c r="B27">
        <v>600</v>
      </c>
      <c r="C27">
        <v>76.916666666666771</v>
      </c>
      <c r="D27">
        <v>100</v>
      </c>
      <c r="E27">
        <v>76.038052292199154</v>
      </c>
      <c r="F27">
        <v>45.410036314838464</v>
      </c>
      <c r="G27">
        <v>620.92540119457078</v>
      </c>
      <c r="H27">
        <v>8.072702940774473</v>
      </c>
      <c r="I27">
        <v>3.8547318184293382</v>
      </c>
      <c r="J27">
        <v>7.1849614509400519</v>
      </c>
      <c r="K27">
        <v>631.45039910355558</v>
      </c>
      <c r="L27">
        <v>9.7403864333912846</v>
      </c>
      <c r="M27">
        <v>0.41000078352053626</v>
      </c>
    </row>
    <row r="28" spans="1:13" x14ac:dyDescent="0.2">
      <c r="A28">
        <v>26</v>
      </c>
      <c r="B28">
        <v>600</v>
      </c>
      <c r="C28">
        <v>76.50000000000027</v>
      </c>
      <c r="D28">
        <v>100</v>
      </c>
      <c r="E28">
        <v>75.140951933143583</v>
      </c>
      <c r="F28">
        <v>44.344857813801347</v>
      </c>
      <c r="G28">
        <v>602.45312519217657</v>
      </c>
      <c r="H28">
        <v>7.8752042508780971</v>
      </c>
      <c r="I28">
        <v>3.5980139237343169</v>
      </c>
      <c r="J28">
        <v>6.706456521405995</v>
      </c>
      <c r="K28">
        <v>612.66506525455338</v>
      </c>
      <c r="L28">
        <v>8.8749659974810893</v>
      </c>
      <c r="M28">
        <v>0.41000083795357306</v>
      </c>
    </row>
    <row r="29" spans="1:13" x14ac:dyDescent="0.2">
      <c r="A29">
        <v>27</v>
      </c>
      <c r="B29">
        <v>600</v>
      </c>
      <c r="C29">
        <v>77.166666666666757</v>
      </c>
      <c r="D29">
        <v>100</v>
      </c>
      <c r="E29">
        <v>80.511237434841945</v>
      </c>
      <c r="F29">
        <v>50.909975111068206</v>
      </c>
      <c r="G29">
        <v>718.14632833747328</v>
      </c>
      <c r="H29">
        <v>9.3064319007015861</v>
      </c>
      <c r="I29">
        <v>4.1347520063160497</v>
      </c>
      <c r="J29">
        <v>7.7069002913626274</v>
      </c>
      <c r="K29">
        <v>730.31923156106393</v>
      </c>
      <c r="L29">
        <v>10.449925915801456</v>
      </c>
      <c r="M29">
        <v>0.41000075257301194</v>
      </c>
    </row>
    <row r="30" spans="1:13" x14ac:dyDescent="0.2">
      <c r="A30">
        <v>28</v>
      </c>
      <c r="B30">
        <v>600</v>
      </c>
      <c r="C30">
        <v>76.50000000000027</v>
      </c>
      <c r="D30">
        <v>100</v>
      </c>
      <c r="E30">
        <v>75.475947335596317</v>
      </c>
      <c r="F30">
        <v>44.741138065976585</v>
      </c>
      <c r="G30">
        <v>609.31141848489142</v>
      </c>
      <c r="H30">
        <v>7.9648551435933239</v>
      </c>
      <c r="I30">
        <v>3.5754404673964268</v>
      </c>
      <c r="J30">
        <v>6.6643811135068534</v>
      </c>
      <c r="K30">
        <v>619.63961071213669</v>
      </c>
      <c r="L30">
        <v>8.8301220675162071</v>
      </c>
      <c r="M30">
        <v>0.41000083795357306</v>
      </c>
    </row>
    <row r="31" spans="1:13" x14ac:dyDescent="0.2">
      <c r="A31">
        <v>29</v>
      </c>
      <c r="B31">
        <v>600</v>
      </c>
      <c r="C31">
        <v>77.333333333333499</v>
      </c>
      <c r="D31">
        <v>100</v>
      </c>
      <c r="E31">
        <v>75.716183932900904</v>
      </c>
      <c r="F31">
        <v>45.026409469188678</v>
      </c>
      <c r="G31">
        <v>614.25888750656952</v>
      </c>
      <c r="H31">
        <v>7.9430028556883823</v>
      </c>
      <c r="I31">
        <v>3.6797276006361415</v>
      </c>
      <c r="J31">
        <v>6.8587653320338138</v>
      </c>
      <c r="K31">
        <v>624.67083076684025</v>
      </c>
      <c r="L31">
        <v>9.0460852343096505</v>
      </c>
      <c r="M31">
        <v>0.41000073262344178</v>
      </c>
    </row>
    <row r="32" spans="1:13" x14ac:dyDescent="0.2">
      <c r="A32">
        <v>30</v>
      </c>
      <c r="B32">
        <v>600</v>
      </c>
      <c r="C32">
        <v>76.333333333333528</v>
      </c>
      <c r="D32">
        <v>100</v>
      </c>
      <c r="E32">
        <v>74.583681032408023</v>
      </c>
      <c r="F32">
        <v>43.689543726047582</v>
      </c>
      <c r="G32">
        <v>591.14842681306061</v>
      </c>
      <c r="H32">
        <v>7.744302534668897</v>
      </c>
      <c r="I32">
        <v>3.5840690426427582</v>
      </c>
      <c r="J32">
        <v>6.6804641987749447</v>
      </c>
      <c r="K32">
        <v>601.16876874011643</v>
      </c>
      <c r="L32">
        <v>8.8771730596973466</v>
      </c>
      <c r="M32">
        <v>0.41000086077131626</v>
      </c>
    </row>
    <row r="33" spans="1:13" x14ac:dyDescent="0.2">
      <c r="A33">
        <v>31</v>
      </c>
      <c r="B33">
        <v>600</v>
      </c>
      <c r="C33">
        <v>74.41666666666687</v>
      </c>
      <c r="D33">
        <v>100</v>
      </c>
      <c r="E33">
        <v>71.992103602123194</v>
      </c>
      <c r="F33">
        <v>40.70611066464236</v>
      </c>
      <c r="G33">
        <v>540.27191039659908</v>
      </c>
      <c r="H33">
        <v>7.2600928608725326</v>
      </c>
      <c r="I33">
        <v>3.307549719930595</v>
      </c>
      <c r="J33">
        <v>6.1650507361241278</v>
      </c>
      <c r="K33">
        <v>549.43015318309403</v>
      </c>
      <c r="L33">
        <v>8.2662908261694721</v>
      </c>
      <c r="M33">
        <v>0.41000117237844025</v>
      </c>
    </row>
    <row r="34" spans="1:13" x14ac:dyDescent="0.2">
      <c r="A34">
        <v>32</v>
      </c>
      <c r="B34">
        <v>600</v>
      </c>
      <c r="C34">
        <v>78.4166666666667</v>
      </c>
      <c r="D34">
        <v>95</v>
      </c>
      <c r="E34">
        <v>86.892393666607688</v>
      </c>
      <c r="F34">
        <v>56.334832694416853</v>
      </c>
      <c r="G34">
        <v>828.38170428343903</v>
      </c>
      <c r="H34">
        <v>10.563847451010908</v>
      </c>
      <c r="I34">
        <v>4.5517844773940634</v>
      </c>
      <c r="J34">
        <v>8.4842208339125129</v>
      </c>
      <c r="K34">
        <v>842.42295060477693</v>
      </c>
      <c r="L34">
        <v>11.474278040594683</v>
      </c>
      <c r="M34">
        <v>0.41000061523342229</v>
      </c>
    </row>
    <row r="35" spans="1:13" x14ac:dyDescent="0.2">
      <c r="A35">
        <v>33</v>
      </c>
      <c r="B35">
        <v>600</v>
      </c>
      <c r="C35">
        <v>75.916666666666814</v>
      </c>
      <c r="D35">
        <v>95</v>
      </c>
      <c r="E35">
        <v>73.65997413149465</v>
      </c>
      <c r="F35">
        <v>40.483365607938211</v>
      </c>
      <c r="G35">
        <v>544.0609331077668</v>
      </c>
      <c r="H35">
        <v>7.1665545524623369</v>
      </c>
      <c r="I35">
        <v>3.4594099182493134</v>
      </c>
      <c r="J35">
        <v>6.4481079557303129</v>
      </c>
      <c r="K35">
        <v>553.28316813759602</v>
      </c>
      <c r="L35">
        <v>8.7801591817292675</v>
      </c>
      <c r="M35">
        <v>0.41000092057114862</v>
      </c>
    </row>
    <row r="36" spans="1:13" x14ac:dyDescent="0.2">
      <c r="A36">
        <v>34</v>
      </c>
      <c r="B36">
        <v>600</v>
      </c>
      <c r="C36">
        <v>77.000000000000256</v>
      </c>
      <c r="D36">
        <v>97</v>
      </c>
      <c r="E36">
        <v>78.803583913522189</v>
      </c>
      <c r="F36">
        <v>47.31006602327934</v>
      </c>
      <c r="G36">
        <v>659.61747345585388</v>
      </c>
      <c r="H36">
        <v>8.5664606942318393</v>
      </c>
      <c r="I36">
        <v>3.9775523693155295</v>
      </c>
      <c r="J36">
        <v>7.4138907163383578</v>
      </c>
      <c r="K36">
        <v>670.79830956738022</v>
      </c>
      <c r="L36">
        <v>10.104084534631594</v>
      </c>
      <c r="M36">
        <v>0.41000077306581523</v>
      </c>
    </row>
    <row r="37" spans="1:13" x14ac:dyDescent="0.2">
      <c r="A37">
        <v>35</v>
      </c>
      <c r="B37">
        <v>600</v>
      </c>
      <c r="C37">
        <v>74.583333333333613</v>
      </c>
      <c r="D37">
        <v>29</v>
      </c>
      <c r="E37">
        <v>110.47620123730002</v>
      </c>
      <c r="F37">
        <v>27.798754886185172</v>
      </c>
      <c r="G37">
        <v>465.89018356155674</v>
      </c>
      <c r="H37">
        <v>6.2465722935627488</v>
      </c>
      <c r="I37">
        <v>2.482567860901054</v>
      </c>
      <c r="J37">
        <v>4.6273399084828588</v>
      </c>
      <c r="K37">
        <v>473.78754384894552</v>
      </c>
      <c r="L37">
        <v>6.9119738562395741</v>
      </c>
      <c r="M37">
        <v>0.41000114130046439</v>
      </c>
    </row>
    <row r="38" spans="1:13" x14ac:dyDescent="0.2">
      <c r="A38">
        <v>36</v>
      </c>
      <c r="B38">
        <v>600</v>
      </c>
      <c r="C38">
        <v>78.4166666666667</v>
      </c>
      <c r="D38">
        <v>86</v>
      </c>
      <c r="E38">
        <v>83.025355076886129</v>
      </c>
      <c r="F38">
        <v>46.559661676908355</v>
      </c>
      <c r="G38">
        <v>667.87322221314457</v>
      </c>
      <c r="H38">
        <v>8.516980517064539</v>
      </c>
      <c r="I38">
        <v>3.7926667007858041</v>
      </c>
      <c r="J38">
        <v>7.0692762363202295</v>
      </c>
      <c r="K38">
        <v>679.19381557732606</v>
      </c>
      <c r="L38">
        <v>9.4377316351820486</v>
      </c>
      <c r="M38">
        <v>0.41000061523342229</v>
      </c>
    </row>
    <row r="39" spans="1:13" x14ac:dyDescent="0.2">
      <c r="A39">
        <v>37</v>
      </c>
      <c r="B39">
        <v>600</v>
      </c>
      <c r="C39">
        <v>76.666666666666771</v>
      </c>
      <c r="D39">
        <v>100</v>
      </c>
      <c r="E39">
        <v>81.024808867543371</v>
      </c>
      <c r="F39">
        <v>51.561543773661832</v>
      </c>
      <c r="G39">
        <v>729.86093888073231</v>
      </c>
      <c r="H39">
        <v>9.5199252897486701</v>
      </c>
      <c r="I39">
        <v>4.1010275916255434</v>
      </c>
      <c r="J39">
        <v>7.6440402453411798</v>
      </c>
      <c r="K39">
        <v>742.23248948760192</v>
      </c>
      <c r="L39">
        <v>10.327425419689442</v>
      </c>
      <c r="M39">
        <v>0.41000081574069358</v>
      </c>
    </row>
    <row r="40" spans="1:13" x14ac:dyDescent="0.2">
      <c r="A40">
        <v>38</v>
      </c>
      <c r="B40">
        <v>600</v>
      </c>
      <c r="C40">
        <v>77.416666666666742</v>
      </c>
      <c r="D40">
        <v>99</v>
      </c>
      <c r="E40">
        <v>83.164270128808766</v>
      </c>
      <c r="F40">
        <v>53.777255789059879</v>
      </c>
      <c r="G40">
        <v>772.10834457954684</v>
      </c>
      <c r="H40">
        <v>9.9734124165280438</v>
      </c>
      <c r="I40">
        <v>4.2625900835138024</v>
      </c>
      <c r="J40">
        <v>7.9451818891217174</v>
      </c>
      <c r="K40">
        <v>785.19588868625635</v>
      </c>
      <c r="L40">
        <v>10.682665655156905</v>
      </c>
      <c r="M40">
        <v>0.4100007228478541</v>
      </c>
    </row>
    <row r="41" spans="1:13" x14ac:dyDescent="0.2">
      <c r="A41">
        <v>39</v>
      </c>
      <c r="B41">
        <v>600</v>
      </c>
      <c r="C41">
        <v>76.666666666666771</v>
      </c>
      <c r="D41">
        <v>100</v>
      </c>
      <c r="E41">
        <v>72.620198275005862</v>
      </c>
      <c r="F41">
        <v>41.419489516390314</v>
      </c>
      <c r="G41">
        <v>552.34789221212736</v>
      </c>
      <c r="H41">
        <v>7.2045377245059994</v>
      </c>
      <c r="I41">
        <v>3.3318150790486949</v>
      </c>
      <c r="J41">
        <v>6.2102797372762248</v>
      </c>
      <c r="K41">
        <v>561.71049752099532</v>
      </c>
      <c r="L41">
        <v>8.1514340432902728</v>
      </c>
      <c r="M41">
        <v>0.41000081574069358</v>
      </c>
    </row>
    <row r="42" spans="1:13" x14ac:dyDescent="0.2">
      <c r="A42">
        <v>40</v>
      </c>
      <c r="B42">
        <v>600</v>
      </c>
      <c r="C42">
        <v>78.333333333333456</v>
      </c>
      <c r="D42">
        <v>100</v>
      </c>
      <c r="E42">
        <v>80.438081396553216</v>
      </c>
      <c r="F42">
        <v>50.81749907559113</v>
      </c>
      <c r="G42">
        <v>716.4871336002326</v>
      </c>
      <c r="H42">
        <v>9.1466442587263597</v>
      </c>
      <c r="I42">
        <v>4.0807348296055501</v>
      </c>
      <c r="J42">
        <v>7.6062158986123949</v>
      </c>
      <c r="K42">
        <v>728.6317533917603</v>
      </c>
      <c r="L42">
        <v>10.115199254077057</v>
      </c>
      <c r="M42">
        <v>0.41000062355366318</v>
      </c>
    </row>
    <row r="43" spans="1:13" x14ac:dyDescent="0.2">
      <c r="A43">
        <v>41</v>
      </c>
      <c r="B43">
        <v>600</v>
      </c>
      <c r="C43">
        <v>77.583333333333485</v>
      </c>
      <c r="D43">
        <v>99</v>
      </c>
      <c r="E43">
        <v>84.577978730775868</v>
      </c>
      <c r="F43">
        <v>55.621113643582234</v>
      </c>
      <c r="G43">
        <v>805.94757273667926</v>
      </c>
      <c r="H43">
        <v>10.38815346169724</v>
      </c>
      <c r="I43">
        <v>4.4102348978647425</v>
      </c>
      <c r="J43">
        <v>8.2203819158709077</v>
      </c>
      <c r="K43">
        <v>819.60867862604641</v>
      </c>
      <c r="L43">
        <v>11.112753059051013</v>
      </c>
      <c r="M43">
        <v>0.41000070368625285</v>
      </c>
    </row>
    <row r="44" spans="1:13" x14ac:dyDescent="0.2">
      <c r="A44">
        <v>42</v>
      </c>
      <c r="B44">
        <v>600</v>
      </c>
      <c r="C44">
        <v>77.500000000000227</v>
      </c>
      <c r="D44">
        <v>100</v>
      </c>
      <c r="E44">
        <v>82.131145676490391</v>
      </c>
      <c r="F44">
        <v>52.979230169417754</v>
      </c>
      <c r="G44">
        <v>755.48898781080823</v>
      </c>
      <c r="H44">
        <v>9.7482450040103998</v>
      </c>
      <c r="I44">
        <v>4.2380397769740554</v>
      </c>
      <c r="J44">
        <v>7.8994217650960952</v>
      </c>
      <c r="K44">
        <v>768.29481463800789</v>
      </c>
      <c r="L44">
        <v>10.592009710561166</v>
      </c>
      <c r="M44">
        <v>0.41000071320270459</v>
      </c>
    </row>
    <row r="45" spans="1:13" x14ac:dyDescent="0.2">
      <c r="A45">
        <v>43</v>
      </c>
      <c r="B45">
        <v>600</v>
      </c>
      <c r="C45">
        <v>75.416666666666828</v>
      </c>
      <c r="D45">
        <v>100</v>
      </c>
      <c r="E45">
        <v>74.922982269927715</v>
      </c>
      <c r="F45">
        <v>44.08795890318909</v>
      </c>
      <c r="G45">
        <v>598.01579768116721</v>
      </c>
      <c r="H45">
        <v>7.9294912399712612</v>
      </c>
      <c r="I45">
        <v>3.5593319840556767</v>
      </c>
      <c r="J45">
        <v>6.6343559814644486</v>
      </c>
      <c r="K45">
        <v>608.15268719947687</v>
      </c>
      <c r="L45">
        <v>8.8856200000566101</v>
      </c>
      <c r="M45">
        <v>0.41000099783985799</v>
      </c>
    </row>
    <row r="46" spans="1:13" x14ac:dyDescent="0.2">
      <c r="A46">
        <v>44</v>
      </c>
      <c r="B46">
        <v>600</v>
      </c>
      <c r="C46">
        <v>78.166666666666714</v>
      </c>
      <c r="D46">
        <v>98</v>
      </c>
      <c r="E46">
        <v>79.713342088520548</v>
      </c>
      <c r="F46">
        <v>48.907784827546578</v>
      </c>
      <c r="G46">
        <v>686.17050179948399</v>
      </c>
      <c r="H46">
        <v>8.7783006626799605</v>
      </c>
      <c r="I46">
        <v>3.982380330490439</v>
      </c>
      <c r="J46">
        <v>7.4228897120045474</v>
      </c>
      <c r="K46">
        <v>697.80126787218524</v>
      </c>
      <c r="L46">
        <v>9.9603016383778193</v>
      </c>
      <c r="M46">
        <v>0.41000064053322849</v>
      </c>
    </row>
    <row r="47" spans="1:13" x14ac:dyDescent="0.2">
      <c r="A47">
        <v>45</v>
      </c>
      <c r="B47">
        <v>600</v>
      </c>
      <c r="C47">
        <v>77.916666666666728</v>
      </c>
      <c r="D47">
        <v>100</v>
      </c>
      <c r="E47">
        <v>78.223318295952254</v>
      </c>
      <c r="F47">
        <v>48.057630243510879</v>
      </c>
      <c r="G47">
        <v>667.34849470958613</v>
      </c>
      <c r="H47">
        <v>8.5649004668609923</v>
      </c>
      <c r="I47">
        <v>3.9815268368495378</v>
      </c>
      <c r="J47">
        <v>7.4212988571286802</v>
      </c>
      <c r="K47">
        <v>678.66025323090878</v>
      </c>
      <c r="L47">
        <v>10.038618900293123</v>
      </c>
      <c r="M47">
        <v>0.41000066687342057</v>
      </c>
    </row>
    <row r="48" spans="1:13" x14ac:dyDescent="0.2">
      <c r="A48">
        <v>46</v>
      </c>
      <c r="B48">
        <v>600</v>
      </c>
      <c r="C48">
        <v>80.083333333333371</v>
      </c>
      <c r="D48">
        <v>86</v>
      </c>
      <c r="E48">
        <v>84.13580567845068</v>
      </c>
      <c r="F48">
        <v>47.813446344266744</v>
      </c>
      <c r="G48">
        <v>690.83980451345838</v>
      </c>
      <c r="H48">
        <v>8.6265116068277798</v>
      </c>
      <c r="I48">
        <v>3.9992395811035255</v>
      </c>
      <c r="J48">
        <v>7.4543142238649116</v>
      </c>
      <c r="K48">
        <v>702.54951374059976</v>
      </c>
      <c r="L48">
        <v>10.186504723193693</v>
      </c>
      <c r="M48">
        <v>0.41000047028554198</v>
      </c>
    </row>
    <row r="49" spans="1:13" x14ac:dyDescent="0.2">
      <c r="A49">
        <v>47</v>
      </c>
      <c r="B49">
        <v>600</v>
      </c>
      <c r="C49">
        <v>76.916666666666771</v>
      </c>
      <c r="D49">
        <v>63</v>
      </c>
      <c r="E49">
        <v>89.136190727260185</v>
      </c>
      <c r="F49">
        <v>39.313215914779491</v>
      </c>
      <c r="G49">
        <v>586.16923952757554</v>
      </c>
      <c r="H49">
        <v>7.6208351834570927</v>
      </c>
      <c r="I49">
        <v>3.5453180507997142</v>
      </c>
      <c r="J49">
        <v>6.6082349502324593</v>
      </c>
      <c r="K49">
        <v>596.10510301209365</v>
      </c>
      <c r="L49">
        <v>9.3457680906969944</v>
      </c>
      <c r="M49">
        <v>0.41000078352053626</v>
      </c>
    </row>
    <row r="50" spans="1:13" x14ac:dyDescent="0.2">
      <c r="A50">
        <v>48</v>
      </c>
      <c r="B50">
        <v>600</v>
      </c>
      <c r="C50">
        <v>77.500000000000227</v>
      </c>
      <c r="D50">
        <v>98</v>
      </c>
      <c r="E50">
        <v>80.952541188926347</v>
      </c>
      <c r="F50">
        <v>50.440215064022105</v>
      </c>
      <c r="G50">
        <v>713.6415498110814</v>
      </c>
      <c r="H50">
        <v>9.2082780620784419</v>
      </c>
      <c r="I50">
        <v>4.043193258939862</v>
      </c>
      <c r="J50">
        <v>7.5362409299904227</v>
      </c>
      <c r="K50">
        <v>725.73804658472284</v>
      </c>
      <c r="L50">
        <v>10.067140737930876</v>
      </c>
      <c r="M50">
        <v>0.41000071320270459</v>
      </c>
    </row>
    <row r="51" spans="1:13" x14ac:dyDescent="0.2">
      <c r="A51">
        <v>49</v>
      </c>
      <c r="B51">
        <v>600</v>
      </c>
      <c r="C51">
        <v>75.000000000000341</v>
      </c>
      <c r="D51">
        <v>98</v>
      </c>
      <c r="E51">
        <v>74.128786822199473</v>
      </c>
      <c r="F51">
        <v>42.295069433588822</v>
      </c>
      <c r="G51">
        <v>570.37619845403606</v>
      </c>
      <c r="H51">
        <v>7.6050159793871126</v>
      </c>
      <c r="I51">
        <v>3.5381237582235872</v>
      </c>
      <c r="J51">
        <v>6.594825271618987</v>
      </c>
      <c r="K51">
        <v>580.04464080359014</v>
      </c>
      <c r="L51">
        <v>9.0703259222621568</v>
      </c>
      <c r="M51">
        <v>0.41000106716216822</v>
      </c>
    </row>
    <row r="52" spans="1:13" x14ac:dyDescent="0.2">
      <c r="A52">
        <v>50</v>
      </c>
      <c r="B52">
        <v>600</v>
      </c>
      <c r="C52">
        <v>76.666666666666771</v>
      </c>
      <c r="D52">
        <v>98</v>
      </c>
      <c r="E52">
        <v>76.599928093318653</v>
      </c>
      <c r="F52">
        <v>45.161949516888527</v>
      </c>
      <c r="G52">
        <v>620.01450023153859</v>
      </c>
      <c r="H52">
        <v>8.0871456551939698</v>
      </c>
      <c r="I52">
        <v>3.7106395218518391</v>
      </c>
      <c r="J52">
        <v>6.9163830789409859</v>
      </c>
      <c r="K52">
        <v>630.52409234420941</v>
      </c>
      <c r="L52">
        <v>9.2044464712065714</v>
      </c>
      <c r="M52">
        <v>0.41000081574069358</v>
      </c>
    </row>
    <row r="53" spans="1:13" x14ac:dyDescent="0.2">
      <c r="A53">
        <v>51</v>
      </c>
      <c r="B53">
        <v>600</v>
      </c>
      <c r="C53">
        <v>75.250000000000327</v>
      </c>
      <c r="D53">
        <v>35</v>
      </c>
      <c r="E53">
        <v>100.00299749467248</v>
      </c>
      <c r="F53">
        <v>27.490583702376817</v>
      </c>
      <c r="G53">
        <v>436.3961140394141</v>
      </c>
      <c r="H53">
        <v>5.7992839075004943</v>
      </c>
      <c r="I53">
        <v>2.6957469447775497</v>
      </c>
      <c r="J53">
        <v>5.0246914161743694</v>
      </c>
      <c r="K53">
        <v>443.79342935076789</v>
      </c>
      <c r="L53">
        <v>7.3245235772705106</v>
      </c>
      <c r="M53">
        <v>0.41000102501135577</v>
      </c>
    </row>
    <row r="54" spans="1:13" x14ac:dyDescent="0.2">
      <c r="A54">
        <v>52</v>
      </c>
      <c r="B54">
        <v>600</v>
      </c>
      <c r="C54">
        <v>78.000000000000213</v>
      </c>
      <c r="D54">
        <v>89</v>
      </c>
      <c r="E54">
        <v>82.941793825807451</v>
      </c>
      <c r="F54">
        <v>48.086895042060362</v>
      </c>
      <c r="G54">
        <v>689.40227546505128</v>
      </c>
      <c r="H54">
        <v>8.8384907110903761</v>
      </c>
      <c r="I54">
        <v>4.0183375101850478</v>
      </c>
      <c r="J54">
        <v>7.4899114821715704</v>
      </c>
      <c r="K54">
        <v>701.08784165662792</v>
      </c>
      <c r="L54">
        <v>10.26103530403954</v>
      </c>
      <c r="M54">
        <v>0.41000065797515273</v>
      </c>
    </row>
    <row r="55" spans="1:13" x14ac:dyDescent="0.2">
      <c r="A55">
        <v>53</v>
      </c>
      <c r="B55">
        <v>600</v>
      </c>
      <c r="C55">
        <v>78.166666666666714</v>
      </c>
      <c r="D55">
        <v>95</v>
      </c>
      <c r="E55">
        <v>81.719836234055762</v>
      </c>
      <c r="F55">
        <v>49.827427043467033</v>
      </c>
      <c r="G55">
        <v>708.60359305141139</v>
      </c>
      <c r="H55">
        <v>9.0652911691012061</v>
      </c>
      <c r="I55">
        <v>4.12076681480095</v>
      </c>
      <c r="J55">
        <v>7.6808328328069893</v>
      </c>
      <c r="K55">
        <v>720.61460577702837</v>
      </c>
      <c r="L55">
        <v>10.377632293694711</v>
      </c>
      <c r="M55">
        <v>0.41000064053322849</v>
      </c>
    </row>
    <row r="56" spans="1:13" x14ac:dyDescent="0.2">
      <c r="A56">
        <v>54</v>
      </c>
      <c r="B56">
        <v>600</v>
      </c>
      <c r="C56">
        <v>77.333333333333499</v>
      </c>
      <c r="D56">
        <v>96</v>
      </c>
      <c r="E56">
        <v>83.047046153387285</v>
      </c>
      <c r="F56">
        <v>52.000736445771452</v>
      </c>
      <c r="G56">
        <v>746.02849926512567</v>
      </c>
      <c r="H56">
        <v>9.6469202491179846</v>
      </c>
      <c r="I56">
        <v>4.1422766992293223</v>
      </c>
      <c r="J56">
        <v>7.7209258140341506</v>
      </c>
      <c r="K56">
        <v>758.67399217190973</v>
      </c>
      <c r="L56">
        <v>10.435268113922785</v>
      </c>
      <c r="M56">
        <v>0.41000073262344178</v>
      </c>
    </row>
    <row r="57" spans="1:13" x14ac:dyDescent="0.2">
      <c r="A57">
        <v>55</v>
      </c>
      <c r="B57">
        <v>600</v>
      </c>
      <c r="C57">
        <v>76.250000000000284</v>
      </c>
      <c r="D57">
        <v>96</v>
      </c>
      <c r="E57">
        <v>81.305079552720116</v>
      </c>
      <c r="F57">
        <v>49.84211611139667</v>
      </c>
      <c r="G57">
        <v>706.85039883214438</v>
      </c>
      <c r="H57">
        <v>9.2701691650116942</v>
      </c>
      <c r="I57">
        <v>4.0474104546817804</v>
      </c>
      <c r="J57">
        <v>7.5441014998728422</v>
      </c>
      <c r="K57">
        <v>718.8319769780187</v>
      </c>
      <c r="L57">
        <v>10.311549361093361</v>
      </c>
      <c r="M57">
        <v>0.4100008724121415</v>
      </c>
    </row>
    <row r="58" spans="1:13" x14ac:dyDescent="0.2">
      <c r="A58">
        <v>56</v>
      </c>
      <c r="B58">
        <v>600</v>
      </c>
      <c r="C58">
        <v>76.50000000000027</v>
      </c>
      <c r="D58">
        <v>100</v>
      </c>
      <c r="E58">
        <v>73.706979283753412</v>
      </c>
      <c r="F58">
        <v>42.668473639543414</v>
      </c>
      <c r="G58">
        <v>573.62623954927187</v>
      </c>
      <c r="H58">
        <v>7.4983822163303246</v>
      </c>
      <c r="I58">
        <v>3.4155189578083291</v>
      </c>
      <c r="J58">
        <v>6.3662981506213026</v>
      </c>
      <c r="K58">
        <v>583.34954669389856</v>
      </c>
      <c r="L58">
        <v>8.3819529400393105</v>
      </c>
      <c r="M58">
        <v>0.41000083795357306</v>
      </c>
    </row>
    <row r="59" spans="1:13" x14ac:dyDescent="0.2">
      <c r="A59">
        <v>57</v>
      </c>
      <c r="B59">
        <v>600</v>
      </c>
      <c r="C59">
        <v>78.083333333333456</v>
      </c>
      <c r="D59">
        <v>100</v>
      </c>
      <c r="E59">
        <v>81.77812277773792</v>
      </c>
      <c r="F59">
        <v>52.524769535349513</v>
      </c>
      <c r="G59">
        <v>747.25306213950148</v>
      </c>
      <c r="H59">
        <v>9.569943165073644</v>
      </c>
      <c r="I59">
        <v>4.335340047944765</v>
      </c>
      <c r="J59">
        <v>8.0807829411831591</v>
      </c>
      <c r="K59">
        <v>759.91920444053812</v>
      </c>
      <c r="L59">
        <v>10.977554837761025</v>
      </c>
      <c r="M59">
        <v>0.41000064919561674</v>
      </c>
    </row>
    <row r="60" spans="1:13" x14ac:dyDescent="0.2">
      <c r="A60">
        <v>58</v>
      </c>
      <c r="B60">
        <v>600</v>
      </c>
      <c r="C60">
        <v>76.000000000000298</v>
      </c>
      <c r="D60">
        <v>100</v>
      </c>
      <c r="E60">
        <v>74.524217978797566</v>
      </c>
      <c r="F60">
        <v>43.619907096952083</v>
      </c>
      <c r="G60">
        <v>589.94979370718295</v>
      </c>
      <c r="H60">
        <v>7.7624972856207979</v>
      </c>
      <c r="I60">
        <v>3.6579161519281418</v>
      </c>
      <c r="J60">
        <v>6.8181102552248669</v>
      </c>
      <c r="K60">
        <v>599.94986635832038</v>
      </c>
      <c r="L60">
        <v>9.2664346303179403</v>
      </c>
      <c r="M60">
        <v>0.41000090828772506</v>
      </c>
    </row>
    <row r="61" spans="1:13" x14ac:dyDescent="0.2">
      <c r="A61">
        <v>59</v>
      </c>
      <c r="B61">
        <v>600</v>
      </c>
      <c r="C61">
        <v>76.416666666666785</v>
      </c>
      <c r="D61">
        <v>100</v>
      </c>
      <c r="E61">
        <v>73.838449029158966</v>
      </c>
      <c r="F61">
        <v>42.82082328950726</v>
      </c>
      <c r="G61">
        <v>576.23346772883758</v>
      </c>
      <c r="H61">
        <v>7.5406778764951357</v>
      </c>
      <c r="I61">
        <v>3.4937789230554785</v>
      </c>
      <c r="J61">
        <v>6.5121694744743301</v>
      </c>
      <c r="K61">
        <v>586.00098020275277</v>
      </c>
      <c r="L61">
        <v>8.5803025484860349</v>
      </c>
      <c r="M61">
        <v>0.4100008492858177</v>
      </c>
    </row>
    <row r="62" spans="1:13" x14ac:dyDescent="0.2">
      <c r="A62">
        <v>60</v>
      </c>
      <c r="B62">
        <v>600</v>
      </c>
      <c r="C62">
        <v>77.166666666666757</v>
      </c>
      <c r="D62">
        <v>99</v>
      </c>
      <c r="E62">
        <v>74.004013089481759</v>
      </c>
      <c r="F62">
        <v>42.582937643069037</v>
      </c>
      <c r="G62">
        <v>573.73188721843565</v>
      </c>
      <c r="H62">
        <v>7.4349704607140605</v>
      </c>
      <c r="I62">
        <v>3.4976451657835583</v>
      </c>
      <c r="J62">
        <v>6.5193758914884592</v>
      </c>
      <c r="K62">
        <v>583.45690072030243</v>
      </c>
      <c r="L62">
        <v>8.6461852447390584</v>
      </c>
      <c r="M62">
        <v>0.41000075257301194</v>
      </c>
    </row>
    <row r="63" spans="1:13" x14ac:dyDescent="0.2">
      <c r="A63">
        <v>61</v>
      </c>
      <c r="B63">
        <v>600</v>
      </c>
      <c r="C63">
        <v>75.500000000000313</v>
      </c>
      <c r="D63">
        <v>100</v>
      </c>
      <c r="E63">
        <v>70.191661928721317</v>
      </c>
      <c r="F63">
        <v>38.695541814487925</v>
      </c>
      <c r="G63">
        <v>506.55022214895166</v>
      </c>
      <c r="H63">
        <v>6.7092744655490009</v>
      </c>
      <c r="I63">
        <v>3.1399897371612462</v>
      </c>
      <c r="J63">
        <v>5.8527301717823788</v>
      </c>
      <c r="K63">
        <v>515.13667873648262</v>
      </c>
      <c r="L63">
        <v>7.6961341039227342</v>
      </c>
      <c r="M63">
        <v>0.41000098452541767</v>
      </c>
    </row>
    <row r="64" spans="1:13" x14ac:dyDescent="0.2">
      <c r="A64">
        <v>62</v>
      </c>
      <c r="B64">
        <v>600</v>
      </c>
      <c r="C64">
        <v>77.250000000000242</v>
      </c>
      <c r="D64">
        <v>100</v>
      </c>
      <c r="E64">
        <v>81.215473348688263</v>
      </c>
      <c r="F64">
        <v>51.80449459432608</v>
      </c>
      <c r="G64">
        <v>734.23945006820179</v>
      </c>
      <c r="H64">
        <v>9.5047178002355928</v>
      </c>
      <c r="I64">
        <v>4.1783294711155827</v>
      </c>
      <c r="J64">
        <v>7.7881257616320267</v>
      </c>
      <c r="K64">
        <v>746.68512623380946</v>
      </c>
      <c r="L64">
        <v>10.521920678489664</v>
      </c>
      <c r="M64">
        <v>0.41000074253123181</v>
      </c>
    </row>
    <row r="65" spans="1:13" x14ac:dyDescent="0.2">
      <c r="A65">
        <v>63</v>
      </c>
      <c r="B65">
        <v>600</v>
      </c>
      <c r="C65">
        <v>79.083333333333414</v>
      </c>
      <c r="D65">
        <v>100</v>
      </c>
      <c r="E65">
        <v>85.057789983991412</v>
      </c>
      <c r="F65">
        <v>56.822203385661055</v>
      </c>
      <c r="G65">
        <v>825.8924728557439</v>
      </c>
      <c r="H65">
        <v>10.443318940220143</v>
      </c>
      <c r="I65">
        <v>4.6787091397067258</v>
      </c>
      <c r="J65">
        <v>8.7207998876173818</v>
      </c>
      <c r="K65">
        <v>839.8914369360599</v>
      </c>
      <c r="L65">
        <v>11.947164528170966</v>
      </c>
      <c r="M65">
        <v>0.41000055254620849</v>
      </c>
    </row>
    <row r="66" spans="1:13" x14ac:dyDescent="0.2">
      <c r="A66">
        <v>64</v>
      </c>
      <c r="B66">
        <v>600</v>
      </c>
      <c r="C66">
        <v>78.250000000000199</v>
      </c>
      <c r="D66">
        <v>100</v>
      </c>
      <c r="E66">
        <v>79.127706896290277</v>
      </c>
      <c r="F66">
        <v>49.175302672267918</v>
      </c>
      <c r="G66">
        <v>687.15819662949195</v>
      </c>
      <c r="H66">
        <v>8.7815743978209611</v>
      </c>
      <c r="I66">
        <v>4.0025568845606587</v>
      </c>
      <c r="J66">
        <v>7.4604974549126908</v>
      </c>
      <c r="K66">
        <v>698.8056942600125</v>
      </c>
      <c r="L66">
        <v>9.9324004523545959</v>
      </c>
      <c r="M66">
        <v>0.41000063198642472</v>
      </c>
    </row>
    <row r="67" spans="1:13" x14ac:dyDescent="0.2">
      <c r="A67">
        <v>65</v>
      </c>
      <c r="B67">
        <v>600</v>
      </c>
      <c r="C67">
        <v>77.333333333333499</v>
      </c>
      <c r="D67">
        <v>100</v>
      </c>
      <c r="E67">
        <v>81.726255238777554</v>
      </c>
      <c r="F67">
        <v>52.458163296703951</v>
      </c>
      <c r="G67">
        <v>746.04750435539347</v>
      </c>
      <c r="H67">
        <v>9.6471660045955847</v>
      </c>
      <c r="I67">
        <v>4.2379876302287007</v>
      </c>
      <c r="J67">
        <v>7.8993245670618837</v>
      </c>
      <c r="K67">
        <v>758.69331940635095</v>
      </c>
      <c r="L67">
        <v>10.628120728999727</v>
      </c>
      <c r="M67">
        <v>0.41000073262344178</v>
      </c>
    </row>
    <row r="68" spans="1:13" x14ac:dyDescent="0.2">
      <c r="A68">
        <v>66</v>
      </c>
      <c r="B68">
        <v>600</v>
      </c>
      <c r="C68">
        <v>75.666666666666814</v>
      </c>
      <c r="D68">
        <v>100</v>
      </c>
      <c r="E68">
        <v>71.817939354714369</v>
      </c>
      <c r="F68">
        <v>40.509395380350611</v>
      </c>
      <c r="G68">
        <v>536.95231023897679</v>
      </c>
      <c r="H68">
        <v>7.0962860384005602</v>
      </c>
      <c r="I68">
        <v>3.246510900355295</v>
      </c>
      <c r="J68">
        <v>6.0512784722372679</v>
      </c>
      <c r="K68">
        <v>546.05408389227193</v>
      </c>
      <c r="L68">
        <v>8.016538162174621</v>
      </c>
      <c r="M68">
        <v>0.41000095842714079</v>
      </c>
    </row>
    <row r="69" spans="1:13" x14ac:dyDescent="0.2">
      <c r="A69">
        <v>67</v>
      </c>
      <c r="B69">
        <v>600</v>
      </c>
      <c r="C69">
        <v>76.583333333333528</v>
      </c>
      <c r="D69">
        <v>100</v>
      </c>
      <c r="E69">
        <v>78.175524180906237</v>
      </c>
      <c r="F69">
        <v>47.998922168496165</v>
      </c>
      <c r="G69">
        <v>666.31120968711491</v>
      </c>
      <c r="H69">
        <v>8.7004728141951677</v>
      </c>
      <c r="I69">
        <v>3.8131989706682412</v>
      </c>
      <c r="J69">
        <v>7.1075470096332545</v>
      </c>
      <c r="K69">
        <v>677.60556955583934</v>
      </c>
      <c r="L69">
        <v>9.5097415045747553</v>
      </c>
      <c r="M69">
        <v>0.41000082677253757</v>
      </c>
    </row>
    <row r="70" spans="1:13" x14ac:dyDescent="0.2">
      <c r="A70">
        <v>68</v>
      </c>
      <c r="B70">
        <v>600</v>
      </c>
      <c r="C70">
        <v>75.083333333333584</v>
      </c>
      <c r="D70">
        <v>90</v>
      </c>
      <c r="E70">
        <v>71.980881927368827</v>
      </c>
      <c r="F70">
        <v>36.624079467368198</v>
      </c>
      <c r="G70">
        <v>486.05197115402092</v>
      </c>
      <c r="H70">
        <v>6.4735001707527537</v>
      </c>
      <c r="I70">
        <v>3.1144873231722237</v>
      </c>
      <c r="J70">
        <v>5.8051953833592238</v>
      </c>
      <c r="K70">
        <v>494.29102227571371</v>
      </c>
      <c r="L70">
        <v>7.8790761562452269</v>
      </c>
      <c r="M70">
        <v>0.41000105292274208</v>
      </c>
    </row>
    <row r="71" spans="1:13" x14ac:dyDescent="0.2">
      <c r="A71">
        <v>69</v>
      </c>
      <c r="B71">
        <v>600</v>
      </c>
      <c r="C71">
        <v>77.583333333333485</v>
      </c>
      <c r="D71">
        <v>78</v>
      </c>
      <c r="E71">
        <v>92.293685839953042</v>
      </c>
      <c r="F71">
        <v>52.182930504272697</v>
      </c>
      <c r="G71">
        <v>792.95347560686923</v>
      </c>
      <c r="H71">
        <v>10.22066778440646</v>
      </c>
      <c r="I71">
        <v>4.2885868724427487</v>
      </c>
      <c r="J71">
        <v>7.9936381592595502</v>
      </c>
      <c r="K71">
        <v>806.39432680122661</v>
      </c>
      <c r="L71">
        <v>11.073458942489156</v>
      </c>
      <c r="M71">
        <v>0.41000070368625285</v>
      </c>
    </row>
    <row r="72" spans="1:13" x14ac:dyDescent="0.2">
      <c r="A72">
        <v>70</v>
      </c>
      <c r="B72">
        <v>600</v>
      </c>
      <c r="C72">
        <v>78.250000000000199</v>
      </c>
      <c r="D72">
        <v>99</v>
      </c>
      <c r="E72">
        <v>85.504857670712866</v>
      </c>
      <c r="F72">
        <v>56.846882492496668</v>
      </c>
      <c r="G72">
        <v>828.61377196705939</v>
      </c>
      <c r="H72">
        <v>10.589313379770701</v>
      </c>
      <c r="I72">
        <v>4.5734158547244519</v>
      </c>
      <c r="J72">
        <v>8.5245402697566668</v>
      </c>
      <c r="K72">
        <v>842.65897581232025</v>
      </c>
      <c r="L72">
        <v>11.602335745242829</v>
      </c>
      <c r="M72">
        <v>0.41000063198642472</v>
      </c>
    </row>
    <row r="73" spans="1:13" x14ac:dyDescent="0.2">
      <c r="A73">
        <v>71</v>
      </c>
      <c r="B73">
        <v>600</v>
      </c>
      <c r="C73">
        <v>77.416666666666742</v>
      </c>
      <c r="D73">
        <v>100</v>
      </c>
      <c r="E73">
        <v>76.906978179120713</v>
      </c>
      <c r="F73">
        <v>46.453813951199727</v>
      </c>
      <c r="G73">
        <v>639.14142111321542</v>
      </c>
      <c r="H73">
        <v>8.2558633513009454</v>
      </c>
      <c r="I73">
        <v>3.7451969569784631</v>
      </c>
      <c r="J73">
        <v>6.9807958191583657</v>
      </c>
      <c r="K73">
        <v>649.97512288313897</v>
      </c>
      <c r="L73">
        <v>9.1935681599527577</v>
      </c>
      <c r="M73">
        <v>0.4100007228478541</v>
      </c>
    </row>
    <row r="74" spans="1:13" x14ac:dyDescent="0.2">
      <c r="A74">
        <v>72</v>
      </c>
      <c r="B74">
        <v>600</v>
      </c>
      <c r="C74">
        <v>75.58333333333357</v>
      </c>
      <c r="D74">
        <v>97</v>
      </c>
      <c r="E74">
        <v>73.157773990069316</v>
      </c>
      <c r="F74">
        <v>40.773930717070577</v>
      </c>
      <c r="G74">
        <v>545.92769613943972</v>
      </c>
      <c r="H74">
        <v>7.2228581628150561</v>
      </c>
      <c r="I74">
        <v>3.2731907402553269</v>
      </c>
      <c r="J74">
        <v>6.1010079035514009</v>
      </c>
      <c r="K74">
        <v>555.18162200132554</v>
      </c>
      <c r="L74">
        <v>8.1265387157040507</v>
      </c>
      <c r="M74">
        <v>0.41000097138863545</v>
      </c>
    </row>
    <row r="75" spans="1:13" x14ac:dyDescent="0.2">
      <c r="A75">
        <v>73</v>
      </c>
      <c r="B75">
        <v>600</v>
      </c>
      <c r="C75">
        <v>78.250000000000199</v>
      </c>
      <c r="D75">
        <v>95</v>
      </c>
      <c r="E75">
        <v>77.723369854803707</v>
      </c>
      <c r="F75">
        <v>45.073027571579075</v>
      </c>
      <c r="G75">
        <v>623.72092068130735</v>
      </c>
      <c r="H75">
        <v>7.9708743857035884</v>
      </c>
      <c r="I75">
        <v>3.6799742150384649</v>
      </c>
      <c r="J75">
        <v>6.8592250047315266</v>
      </c>
      <c r="K75">
        <v>634.29314114142176</v>
      </c>
      <c r="L75">
        <v>9.0863476070935043</v>
      </c>
      <c r="M75">
        <v>0.41000063198642472</v>
      </c>
    </row>
    <row r="76" spans="1:13" x14ac:dyDescent="0.2">
      <c r="A76">
        <v>74</v>
      </c>
      <c r="B76">
        <v>600</v>
      </c>
      <c r="C76">
        <v>78.4166666666667</v>
      </c>
      <c r="D76">
        <v>39</v>
      </c>
      <c r="E76">
        <v>114.9946157716374</v>
      </c>
      <c r="F76">
        <v>40.505080660958171</v>
      </c>
      <c r="G76">
        <v>693.82614882937901</v>
      </c>
      <c r="H76">
        <v>8.8479423867720985</v>
      </c>
      <c r="I76">
        <v>3.8095988337212718</v>
      </c>
      <c r="J76">
        <v>7.1008365959389961</v>
      </c>
      <c r="K76">
        <v>705.58664982731648</v>
      </c>
      <c r="L76">
        <v>10.5960666598255</v>
      </c>
      <c r="M76">
        <v>0.41000061523342229</v>
      </c>
    </row>
    <row r="77" spans="1:13" x14ac:dyDescent="0.2">
      <c r="A77">
        <v>75</v>
      </c>
      <c r="B77">
        <v>600</v>
      </c>
      <c r="C77">
        <v>77.166666666666757</v>
      </c>
      <c r="D77">
        <v>92</v>
      </c>
      <c r="E77">
        <v>78.933614001499478</v>
      </c>
      <c r="F77">
        <v>45.019605379779371</v>
      </c>
      <c r="G77">
        <v>628.24683839723218</v>
      </c>
      <c r="H77">
        <v>8.1414277114112075</v>
      </c>
      <c r="I77">
        <v>3.7120956113205792</v>
      </c>
      <c r="J77">
        <v>6.9190971320048069</v>
      </c>
      <c r="K77">
        <v>638.89590483755035</v>
      </c>
      <c r="L77">
        <v>9.3348373153990032</v>
      </c>
      <c r="M77">
        <v>0.41000075257301194</v>
      </c>
    </row>
    <row r="78" spans="1:13" x14ac:dyDescent="0.2">
      <c r="A78">
        <v>76</v>
      </c>
      <c r="B78">
        <v>600</v>
      </c>
      <c r="C78">
        <v>77.000000000000256</v>
      </c>
      <c r="D78">
        <v>99</v>
      </c>
      <c r="E78">
        <v>79.107405242264491</v>
      </c>
      <c r="F78">
        <v>48.658571547986888</v>
      </c>
      <c r="G78">
        <v>679.84238838005444</v>
      </c>
      <c r="H78">
        <v>8.8291219270136647</v>
      </c>
      <c r="I78">
        <v>4.0403655114764065</v>
      </c>
      <c r="J78">
        <v>7.5309701984648765</v>
      </c>
      <c r="K78">
        <v>691.36604660930345</v>
      </c>
      <c r="L78">
        <v>10.27500954158648</v>
      </c>
      <c r="M78">
        <v>0.41000077306581523</v>
      </c>
    </row>
    <row r="79" spans="1:13" x14ac:dyDescent="0.2">
      <c r="A79">
        <v>77</v>
      </c>
      <c r="B79">
        <v>600</v>
      </c>
      <c r="C79">
        <v>75.916666666666814</v>
      </c>
      <c r="D79">
        <v>100</v>
      </c>
      <c r="E79">
        <v>72.043062240865211</v>
      </c>
      <c r="F79">
        <v>40.763757601644038</v>
      </c>
      <c r="G79">
        <v>541.24582829399333</v>
      </c>
      <c r="H79">
        <v>7.1294730400964959</v>
      </c>
      <c r="I79">
        <v>3.4400990461053489</v>
      </c>
      <c r="J79">
        <v>6.4121137858440802</v>
      </c>
      <c r="K79">
        <v>550.42034521607695</v>
      </c>
      <c r="L79">
        <v>8.6752128426238855</v>
      </c>
      <c r="M79">
        <v>0.41000092057114862</v>
      </c>
    </row>
    <row r="80" spans="1:13" x14ac:dyDescent="0.2">
      <c r="A80">
        <v>78</v>
      </c>
      <c r="B80">
        <v>600</v>
      </c>
      <c r="C80">
        <v>74.916666666666856</v>
      </c>
      <c r="D80">
        <v>100</v>
      </c>
      <c r="E80">
        <v>74.452916833327862</v>
      </c>
      <c r="F80">
        <v>43.536480216245913</v>
      </c>
      <c r="G80">
        <v>588.51436361923481</v>
      </c>
      <c r="H80">
        <v>7.8555866111577304</v>
      </c>
      <c r="I80">
        <v>3.7038218125068711</v>
      </c>
      <c r="J80">
        <v>6.9036753262010642</v>
      </c>
      <c r="K80">
        <v>598.49028050022991</v>
      </c>
      <c r="L80">
        <v>9.5556694552016967</v>
      </c>
      <c r="M80">
        <v>0.41000108159416432</v>
      </c>
    </row>
    <row r="81" spans="1:13" x14ac:dyDescent="0.2">
      <c r="A81">
        <v>79</v>
      </c>
      <c r="B81">
        <v>600</v>
      </c>
      <c r="C81">
        <v>79.250000000000156</v>
      </c>
      <c r="D81">
        <v>99</v>
      </c>
      <c r="E81">
        <v>84.610654476004072</v>
      </c>
      <c r="F81">
        <v>55.664099121452935</v>
      </c>
      <c r="G81">
        <v>806.74037586811414</v>
      </c>
      <c r="H81">
        <v>10.179689285402052</v>
      </c>
      <c r="I81">
        <v>4.4235213880238948</v>
      </c>
      <c r="J81">
        <v>8.2451470419830279</v>
      </c>
      <c r="K81">
        <v>820.41468952736795</v>
      </c>
      <c r="L81">
        <v>11.161189256376616</v>
      </c>
      <c r="M81">
        <v>0.41000053789904578</v>
      </c>
    </row>
    <row r="82" spans="1:13" x14ac:dyDescent="0.2">
      <c r="A82">
        <v>80</v>
      </c>
      <c r="B82">
        <v>600</v>
      </c>
      <c r="C82">
        <v>80.166666666666629</v>
      </c>
      <c r="D82">
        <v>99</v>
      </c>
      <c r="E82">
        <v>82.998607434781476</v>
      </c>
      <c r="F82">
        <v>53.563221280331724</v>
      </c>
      <c r="G82">
        <v>768.20086355365481</v>
      </c>
      <c r="H82">
        <v>9.5825471545154493</v>
      </c>
      <c r="I82">
        <v>4.3473299633881357</v>
      </c>
      <c r="J82">
        <v>8.1031313390272786</v>
      </c>
      <c r="K82">
        <v>781.22183157160316</v>
      </c>
      <c r="L82">
        <v>10.975499762943398</v>
      </c>
      <c r="M82">
        <v>0.41000046401039802</v>
      </c>
    </row>
    <row r="83" spans="1:13" x14ac:dyDescent="0.2">
      <c r="A83">
        <v>81</v>
      </c>
      <c r="B83">
        <v>600</v>
      </c>
      <c r="C83">
        <v>77.500000000000227</v>
      </c>
      <c r="D83">
        <v>99</v>
      </c>
      <c r="E83">
        <v>80.811858970947938</v>
      </c>
      <c r="F83">
        <v>50.777962493945033</v>
      </c>
      <c r="G83">
        <v>717.73976499588673</v>
      </c>
      <c r="H83">
        <v>9.2611582580114167</v>
      </c>
      <c r="I83">
        <v>4.0368099312402776</v>
      </c>
      <c r="J83">
        <v>7.5243428354897999</v>
      </c>
      <c r="K83">
        <v>729.90572808181582</v>
      </c>
      <c r="L83">
        <v>10.04587273303415</v>
      </c>
      <c r="M83">
        <v>0.41000071320270459</v>
      </c>
    </row>
    <row r="84" spans="1:13" x14ac:dyDescent="0.2">
      <c r="A84">
        <v>82</v>
      </c>
      <c r="B84">
        <v>600</v>
      </c>
      <c r="C84">
        <v>78.916666666666686</v>
      </c>
      <c r="D84">
        <v>100</v>
      </c>
      <c r="E84">
        <v>86.321907073959551</v>
      </c>
      <c r="F84">
        <v>58.523721413594906</v>
      </c>
      <c r="G84">
        <v>857.48635276768107</v>
      </c>
      <c r="H84">
        <v>10.865719359252555</v>
      </c>
      <c r="I84">
        <v>4.8296902970594893</v>
      </c>
      <c r="J84">
        <v>9.0022186338480683</v>
      </c>
      <c r="K84">
        <v>872.02085866586776</v>
      </c>
      <c r="L84">
        <v>12.476346506126506</v>
      </c>
      <c r="M84">
        <v>0.41000056759221798</v>
      </c>
    </row>
    <row r="85" spans="1:13" x14ac:dyDescent="0.2">
      <c r="A85">
        <v>83</v>
      </c>
      <c r="B85">
        <v>600</v>
      </c>
      <c r="C85">
        <v>76.333333333333528</v>
      </c>
      <c r="D85">
        <v>98</v>
      </c>
      <c r="E85">
        <v>75.771713630902582</v>
      </c>
      <c r="F85">
        <v>44.190628213660858</v>
      </c>
      <c r="G85">
        <v>603.09765734168968</v>
      </c>
      <c r="H85">
        <v>7.900842672598535</v>
      </c>
      <c r="I85">
        <v>3.5412192631876551</v>
      </c>
      <c r="J85">
        <v>6.600595085158723</v>
      </c>
      <c r="K85">
        <v>613.32054632838594</v>
      </c>
      <c r="L85">
        <v>8.8008684803618848</v>
      </c>
      <c r="M85">
        <v>0.41000086077131626</v>
      </c>
    </row>
    <row r="86" spans="1:13" x14ac:dyDescent="0.2">
      <c r="A86">
        <v>84</v>
      </c>
      <c r="B86">
        <v>600</v>
      </c>
      <c r="C86">
        <v>79.000000000000171</v>
      </c>
      <c r="D86">
        <v>100</v>
      </c>
      <c r="E86">
        <v>83.121260945375397</v>
      </c>
      <c r="F86">
        <v>54.264290248590342</v>
      </c>
      <c r="G86">
        <v>778.88167339025176</v>
      </c>
      <c r="H86">
        <v>9.8592616884841782</v>
      </c>
      <c r="I86">
        <v>4.4665530813513126</v>
      </c>
      <c r="J86">
        <v>8.3253552308505352</v>
      </c>
      <c r="K86">
        <v>792.0838095184489</v>
      </c>
      <c r="L86">
        <v>11.36624576921114</v>
      </c>
      <c r="M86">
        <v>0.41000056001868546</v>
      </c>
    </row>
    <row r="87" spans="1:13" x14ac:dyDescent="0.2">
      <c r="A87">
        <v>85</v>
      </c>
      <c r="B87">
        <v>600</v>
      </c>
      <c r="C87">
        <v>75.33333333333357</v>
      </c>
      <c r="D87">
        <v>99</v>
      </c>
      <c r="E87">
        <v>70.052367437611153</v>
      </c>
      <c r="F87">
        <v>38.156691424381371</v>
      </c>
      <c r="G87">
        <v>498.95611673178718</v>
      </c>
      <c r="H87">
        <v>6.623311284050251</v>
      </c>
      <c r="I87">
        <v>3.1006692749912275</v>
      </c>
      <c r="J87">
        <v>5.7794394687627717</v>
      </c>
      <c r="K87">
        <v>507.41386983754768</v>
      </c>
      <c r="L87">
        <v>7.6423542378537492</v>
      </c>
      <c r="M87">
        <v>0.41000101133435901</v>
      </c>
    </row>
    <row r="88" spans="1:13" x14ac:dyDescent="0.2">
      <c r="A88">
        <v>86</v>
      </c>
      <c r="B88">
        <v>600</v>
      </c>
      <c r="C88">
        <v>76.416666666666785</v>
      </c>
      <c r="D88">
        <v>100</v>
      </c>
      <c r="E88">
        <v>75.554919035319458</v>
      </c>
      <c r="F88">
        <v>44.834813794768451</v>
      </c>
      <c r="G88">
        <v>610.93504662071712</v>
      </c>
      <c r="H88">
        <v>7.9947879601402336</v>
      </c>
      <c r="I88">
        <v>3.6113974871685777</v>
      </c>
      <c r="J88">
        <v>6.7314025855891479</v>
      </c>
      <c r="K88">
        <v>621.29077224724017</v>
      </c>
      <c r="L88">
        <v>8.9221356842210504</v>
      </c>
      <c r="M88">
        <v>0.4100008492858177</v>
      </c>
    </row>
    <row r="89" spans="1:13" x14ac:dyDescent="0.2">
      <c r="A89">
        <v>87</v>
      </c>
      <c r="B89">
        <v>600</v>
      </c>
      <c r="C89">
        <v>77.250000000000242</v>
      </c>
      <c r="D89">
        <v>100</v>
      </c>
      <c r="E89">
        <v>79.054477843835301</v>
      </c>
      <c r="F89">
        <v>49.084325828580695</v>
      </c>
      <c r="G89">
        <v>685.54096521568465</v>
      </c>
      <c r="H89">
        <v>8.8743167018211331</v>
      </c>
      <c r="I89">
        <v>4.0002996267980562</v>
      </c>
      <c r="J89">
        <v>7.456290077908772</v>
      </c>
      <c r="K89">
        <v>697.16118100569702</v>
      </c>
      <c r="L89">
        <v>10.00531104639852</v>
      </c>
      <c r="M89">
        <v>0.41000074253123181</v>
      </c>
    </row>
    <row r="90" spans="1:13" x14ac:dyDescent="0.2">
      <c r="A90">
        <v>88</v>
      </c>
      <c r="B90">
        <v>600</v>
      </c>
      <c r="C90">
        <v>78.666666666666686</v>
      </c>
      <c r="D90">
        <v>99</v>
      </c>
      <c r="E90">
        <v>79.398501661455143</v>
      </c>
      <c r="F90">
        <v>49.017334336104184</v>
      </c>
      <c r="G90">
        <v>686.22667428341867</v>
      </c>
      <c r="H90">
        <v>8.7232204358061676</v>
      </c>
      <c r="I90">
        <v>3.9029957316122057</v>
      </c>
      <c r="J90">
        <v>7.2749221465278753</v>
      </c>
      <c r="K90">
        <v>697.85833382628198</v>
      </c>
      <c r="L90">
        <v>9.5972265893782218</v>
      </c>
      <c r="M90">
        <v>0.41000059093290886</v>
      </c>
    </row>
    <row r="91" spans="1:13" x14ac:dyDescent="0.2">
      <c r="A91">
        <v>89</v>
      </c>
      <c r="B91">
        <v>600</v>
      </c>
      <c r="C91">
        <v>77.000000000000256</v>
      </c>
      <c r="D91">
        <v>100</v>
      </c>
      <c r="E91">
        <v>79.981771483789686</v>
      </c>
      <c r="F91">
        <v>50.24257843810345</v>
      </c>
      <c r="G91">
        <v>706.18930386967054</v>
      </c>
      <c r="H91">
        <v>9.1712896606450407</v>
      </c>
      <c r="I91">
        <v>4.1689714126696309</v>
      </c>
      <c r="J91">
        <v>7.7706829686293206</v>
      </c>
      <c r="K91">
        <v>718.15955509560024</v>
      </c>
      <c r="L91">
        <v>10.629557219874012</v>
      </c>
      <c r="M91">
        <v>0.41000077306581523</v>
      </c>
    </row>
    <row r="92" spans="1:13" x14ac:dyDescent="0.2">
      <c r="A92">
        <v>90</v>
      </c>
      <c r="B92">
        <v>600</v>
      </c>
      <c r="C92">
        <v>76.333333333333528</v>
      </c>
      <c r="D92">
        <v>100</v>
      </c>
      <c r="E92">
        <v>76.357686435474136</v>
      </c>
      <c r="F92">
        <v>45.792610682626496</v>
      </c>
      <c r="G92">
        <v>627.5888894172657</v>
      </c>
      <c r="H92">
        <v>8.2216885076497483</v>
      </c>
      <c r="I92">
        <v>3.7430139415873231</v>
      </c>
      <c r="J92">
        <v>6.9767268249530714</v>
      </c>
      <c r="K92">
        <v>638.22692036912827</v>
      </c>
      <c r="L92">
        <v>9.3260498288409845</v>
      </c>
      <c r="M92">
        <v>0.41000086077131626</v>
      </c>
    </row>
    <row r="93" spans="1:13" x14ac:dyDescent="0.2">
      <c r="A93">
        <v>91</v>
      </c>
      <c r="B93">
        <v>600</v>
      </c>
      <c r="C93">
        <v>79.333333333333414</v>
      </c>
      <c r="D93">
        <v>67</v>
      </c>
      <c r="E93">
        <v>96.902718826673905</v>
      </c>
      <c r="F93">
        <v>49.412475128783235</v>
      </c>
      <c r="G93">
        <v>771.05257872152822</v>
      </c>
      <c r="H93">
        <v>9.7191501519520287</v>
      </c>
      <c r="I93">
        <v>4.0263526559832714</v>
      </c>
      <c r="J93">
        <v>7.5048511761104777</v>
      </c>
      <c r="K93">
        <v>784.12197183640012</v>
      </c>
      <c r="L93">
        <v>10.576349482897648</v>
      </c>
      <c r="M93">
        <v>0.41000053072171699</v>
      </c>
    </row>
    <row r="94" spans="1:13" x14ac:dyDescent="0.2">
      <c r="A94">
        <v>92</v>
      </c>
      <c r="B94">
        <v>600</v>
      </c>
      <c r="C94">
        <v>79.083333333333414</v>
      </c>
      <c r="D94">
        <v>93.860024451473123</v>
      </c>
      <c r="E94">
        <v>92.623932151373594</v>
      </c>
      <c r="F94">
        <v>63.243656701184356</v>
      </c>
      <c r="G94">
        <v>962.90020184992795</v>
      </c>
      <c r="H94">
        <v>12.175766514435328</v>
      </c>
      <c r="I94">
        <v>5.2159308671061462</v>
      </c>
      <c r="J94">
        <v>9.7221451390608493</v>
      </c>
      <c r="K94">
        <v>979.22146131366537</v>
      </c>
      <c r="L94">
        <v>13.590378765938908</v>
      </c>
      <c r="M94">
        <v>0.41000055254620849</v>
      </c>
    </row>
    <row r="95" spans="1:13" x14ac:dyDescent="0.2">
      <c r="A95">
        <v>93</v>
      </c>
      <c r="B95">
        <v>600</v>
      </c>
      <c r="C95">
        <v>78.4166666666667</v>
      </c>
      <c r="D95">
        <v>100</v>
      </c>
      <c r="E95">
        <v>81.542906592912487</v>
      </c>
      <c r="F95">
        <v>52.223052944868378</v>
      </c>
      <c r="G95">
        <v>741.79591566417696</v>
      </c>
      <c r="H95">
        <v>9.4596716131457157</v>
      </c>
      <c r="I95">
        <v>4.1707100486638735</v>
      </c>
      <c r="J95">
        <v>7.7739236694573579</v>
      </c>
      <c r="K95">
        <v>754.36951442685461</v>
      </c>
      <c r="L95">
        <v>10.323161806780728</v>
      </c>
      <c r="M95">
        <v>0.41000061523342229</v>
      </c>
    </row>
    <row r="96" spans="1:13" x14ac:dyDescent="0.2">
      <c r="A96">
        <v>94</v>
      </c>
      <c r="B96">
        <v>600</v>
      </c>
      <c r="C96">
        <v>80.083333333333371</v>
      </c>
      <c r="D96">
        <v>100</v>
      </c>
      <c r="E96">
        <v>82.058065496049949</v>
      </c>
      <c r="F96">
        <v>52.884990423028484</v>
      </c>
      <c r="G96">
        <v>753.77984210477177</v>
      </c>
      <c r="H96">
        <v>9.4124433977702981</v>
      </c>
      <c r="I96">
        <v>4.3193781927604036</v>
      </c>
      <c r="J96">
        <v>8.0510311141852817</v>
      </c>
      <c r="K96">
        <v>766.55638264957111</v>
      </c>
      <c r="L96">
        <v>10.911936209443889</v>
      </c>
      <c r="M96">
        <v>0.41000047028554198</v>
      </c>
    </row>
    <row r="97" spans="1:13" x14ac:dyDescent="0.2">
      <c r="A97">
        <v>95</v>
      </c>
      <c r="B97">
        <v>600</v>
      </c>
      <c r="C97">
        <v>76.250000000000284</v>
      </c>
      <c r="D97">
        <v>100</v>
      </c>
      <c r="E97">
        <v>75.417654526000703</v>
      </c>
      <c r="F97">
        <v>44.672054349256619</v>
      </c>
      <c r="G97">
        <v>608.11457845526172</v>
      </c>
      <c r="H97">
        <v>7.9752731600689764</v>
      </c>
      <c r="I97">
        <v>3.661017060749975</v>
      </c>
      <c r="J97">
        <v>6.8238901411928703</v>
      </c>
      <c r="K97">
        <v>618.42251964825721</v>
      </c>
      <c r="L97">
        <v>9.1481808358163885</v>
      </c>
      <c r="M97">
        <v>0.4100008724121415</v>
      </c>
    </row>
    <row r="98" spans="1:13" x14ac:dyDescent="0.2">
      <c r="A98">
        <v>96</v>
      </c>
      <c r="B98">
        <v>600</v>
      </c>
      <c r="C98">
        <v>76.50000000000027</v>
      </c>
      <c r="D98">
        <v>100</v>
      </c>
      <c r="E98">
        <v>76.16508794231207</v>
      </c>
      <c r="F98">
        <v>45.561894815847715</v>
      </c>
      <c r="G98">
        <v>623.56854867517632</v>
      </c>
      <c r="H98">
        <v>8.1512228584990076</v>
      </c>
      <c r="I98">
        <v>3.6309833251863872</v>
      </c>
      <c r="J98">
        <v>6.7679092734135819</v>
      </c>
      <c r="K98">
        <v>634.13840776889901</v>
      </c>
      <c r="L98">
        <v>8.9882514428725919</v>
      </c>
      <c r="M98">
        <v>0.41000083795357306</v>
      </c>
    </row>
    <row r="99" spans="1:13" x14ac:dyDescent="0.2">
      <c r="A99">
        <v>97</v>
      </c>
      <c r="B99">
        <v>600</v>
      </c>
      <c r="C99">
        <v>77.416666666666742</v>
      </c>
      <c r="D99">
        <v>99</v>
      </c>
      <c r="E99">
        <v>78.307030905883707</v>
      </c>
      <c r="F99">
        <v>47.678939941068137</v>
      </c>
      <c r="G99">
        <v>662.47563297822728</v>
      </c>
      <c r="H99">
        <v>8.5572740535400644</v>
      </c>
      <c r="I99">
        <v>3.8792709768613061</v>
      </c>
      <c r="J99">
        <v>7.2307007956408302</v>
      </c>
      <c r="K99">
        <v>673.70485893736929</v>
      </c>
      <c r="L99">
        <v>9.5651806819074405</v>
      </c>
      <c r="M99">
        <v>0.4100007228478541</v>
      </c>
    </row>
    <row r="100" spans="1:13" x14ac:dyDescent="0.2">
      <c r="A100">
        <v>98</v>
      </c>
      <c r="B100">
        <v>600</v>
      </c>
      <c r="C100">
        <v>78.000000000000213</v>
      </c>
      <c r="D100">
        <v>95</v>
      </c>
      <c r="E100">
        <v>79.33433392122798</v>
      </c>
      <c r="F100">
        <v>46.96083888151901</v>
      </c>
      <c r="G100">
        <v>657.14687016629807</v>
      </c>
      <c r="H100">
        <v>8.4249598739268752</v>
      </c>
      <c r="I100">
        <v>3.8949295806887072</v>
      </c>
      <c r="J100">
        <v>7.2598873824579799</v>
      </c>
      <c r="K100">
        <v>668.28569799180173</v>
      </c>
      <c r="L100">
        <v>9.8221955752729357</v>
      </c>
      <c r="M100">
        <v>0.41000065797515273</v>
      </c>
    </row>
    <row r="101" spans="1:13" x14ac:dyDescent="0.2">
      <c r="A101">
        <v>99</v>
      </c>
      <c r="B101">
        <v>600</v>
      </c>
      <c r="C101">
        <v>76.166666666666799</v>
      </c>
      <c r="D101">
        <v>95</v>
      </c>
      <c r="E101">
        <v>76.910334328412816</v>
      </c>
      <c r="F101">
        <v>44.134975020365715</v>
      </c>
      <c r="G101">
        <v>607.25161306993493</v>
      </c>
      <c r="H101">
        <v>7.9726688805680599</v>
      </c>
      <c r="I101">
        <v>3.6429602901629972</v>
      </c>
      <c r="J101">
        <v>6.7902335324566572</v>
      </c>
      <c r="K101">
        <v>617.54493878239748</v>
      </c>
      <c r="L101">
        <v>9.2032329992619353</v>
      </c>
      <c r="M101">
        <v>0.41000088421039388</v>
      </c>
    </row>
    <row r="102" spans="1:13" x14ac:dyDescent="0.2">
      <c r="A102">
        <v>100</v>
      </c>
      <c r="B102">
        <v>600</v>
      </c>
      <c r="C102">
        <v>77.333333333333499</v>
      </c>
      <c r="D102">
        <v>39</v>
      </c>
      <c r="E102">
        <v>103.39357053455031</v>
      </c>
      <c r="F102">
        <v>32.744740642983921</v>
      </c>
      <c r="G102">
        <v>529.32964883232853</v>
      </c>
      <c r="H102">
        <v>6.844779941797337</v>
      </c>
      <c r="I102">
        <v>3.0380321288929633</v>
      </c>
      <c r="J102">
        <v>5.6626880314873489</v>
      </c>
      <c r="K102">
        <v>538.30200622384007</v>
      </c>
      <c r="L102">
        <v>8.1413998302318085</v>
      </c>
      <c r="M102">
        <v>0.41000073262344178</v>
      </c>
    </row>
    <row r="103" spans="1:13" x14ac:dyDescent="0.2">
      <c r="A103">
        <v>101</v>
      </c>
      <c r="B103">
        <v>600</v>
      </c>
      <c r="C103">
        <v>78.666666666666686</v>
      </c>
      <c r="D103">
        <v>93</v>
      </c>
      <c r="E103">
        <v>85.979568857829605</v>
      </c>
      <c r="F103">
        <v>53.996219730512721</v>
      </c>
      <c r="G103">
        <v>789.43903684957763</v>
      </c>
      <c r="H103">
        <v>10.03524199385056</v>
      </c>
      <c r="I103">
        <v>4.3304352043387366</v>
      </c>
      <c r="J103">
        <v>8.071640641824299</v>
      </c>
      <c r="K103">
        <v>802.82016359762906</v>
      </c>
      <c r="L103">
        <v>10.902960557118451</v>
      </c>
      <c r="M103">
        <v>0.41000059093290886</v>
      </c>
    </row>
    <row r="104" spans="1:13" x14ac:dyDescent="0.2">
      <c r="A104">
        <v>102</v>
      </c>
      <c r="B104">
        <v>600</v>
      </c>
      <c r="C104">
        <v>75.666666666666814</v>
      </c>
      <c r="D104">
        <v>100</v>
      </c>
      <c r="E104">
        <v>72.252878221587139</v>
      </c>
      <c r="F104">
        <v>41.00154156293798</v>
      </c>
      <c r="G104">
        <v>545.26605068042875</v>
      </c>
      <c r="H104">
        <v>7.2061592600937576</v>
      </c>
      <c r="I104">
        <v>3.3332863354762305</v>
      </c>
      <c r="J104">
        <v>6.2130220605335138</v>
      </c>
      <c r="K104">
        <v>554.50874892286777</v>
      </c>
      <c r="L104">
        <v>8.2495823948966205</v>
      </c>
      <c r="M104">
        <v>0.41000095842714079</v>
      </c>
    </row>
    <row r="105" spans="1:13" x14ac:dyDescent="0.2">
      <c r="A105">
        <v>103</v>
      </c>
      <c r="B105">
        <v>600</v>
      </c>
      <c r="C105">
        <v>76.166666666666799</v>
      </c>
      <c r="D105">
        <v>99</v>
      </c>
      <c r="E105">
        <v>72.856021351761257</v>
      </c>
      <c r="F105">
        <v>41.272043979982158</v>
      </c>
      <c r="G105">
        <v>551.35438769525194</v>
      </c>
      <c r="H105">
        <v>7.2387884598938861</v>
      </c>
      <c r="I105">
        <v>3.3720091083385606</v>
      </c>
      <c r="J105">
        <v>6.285198710789488</v>
      </c>
      <c r="K105">
        <v>560.70021761713804</v>
      </c>
      <c r="L105">
        <v>8.4008710594672671</v>
      </c>
      <c r="M105">
        <v>0.41000088421039388</v>
      </c>
    </row>
    <row r="106" spans="1:13" x14ac:dyDescent="0.2">
      <c r="A106">
        <v>104</v>
      </c>
      <c r="B106">
        <v>600</v>
      </c>
      <c r="C106">
        <v>76.50000000000027</v>
      </c>
      <c r="D106">
        <v>100</v>
      </c>
      <c r="E106">
        <v>73.492085137414008</v>
      </c>
      <c r="F106">
        <v>42.420034785900008</v>
      </c>
      <c r="G106">
        <v>569.38001415877113</v>
      </c>
      <c r="H106">
        <v>7.4428760020754137</v>
      </c>
      <c r="I106">
        <v>3.4209821379175076</v>
      </c>
      <c r="J106">
        <v>6.3764811517567708</v>
      </c>
      <c r="K106">
        <v>579.03134524855477</v>
      </c>
      <c r="L106">
        <v>8.3873493342920149</v>
      </c>
      <c r="M106">
        <v>0.41000083795357306</v>
      </c>
    </row>
    <row r="107" spans="1:13" x14ac:dyDescent="0.2">
      <c r="A107">
        <v>105</v>
      </c>
      <c r="B107">
        <v>600</v>
      </c>
      <c r="C107">
        <v>77.416666666666742</v>
      </c>
      <c r="D107">
        <v>100</v>
      </c>
      <c r="E107">
        <v>81.810176784549739</v>
      </c>
      <c r="F107">
        <v>52.565953148363953</v>
      </c>
      <c r="G107">
        <v>747.99852592398497</v>
      </c>
      <c r="H107">
        <v>9.6619831120428543</v>
      </c>
      <c r="I107">
        <v>4.2069884602345304</v>
      </c>
      <c r="J107">
        <v>7.8415441942861701</v>
      </c>
      <c r="K107">
        <v>760.677398997316</v>
      </c>
      <c r="L107">
        <v>10.49388096031859</v>
      </c>
      <c r="M107">
        <v>0.4100007228478541</v>
      </c>
    </row>
    <row r="108" spans="1:13" x14ac:dyDescent="0.2">
      <c r="A108">
        <v>106</v>
      </c>
      <c r="B108">
        <v>600</v>
      </c>
      <c r="C108">
        <v>78.166666666666714</v>
      </c>
      <c r="D108">
        <v>100</v>
      </c>
      <c r="E108">
        <v>79.629930757195723</v>
      </c>
      <c r="F108">
        <v>49.801515344190122</v>
      </c>
      <c r="G108">
        <v>698.31109864101211</v>
      </c>
      <c r="H108">
        <v>8.933617466622751</v>
      </c>
      <c r="I108">
        <v>4.0825263883878335</v>
      </c>
      <c r="J108">
        <v>7.6095552439661382</v>
      </c>
      <c r="K108">
        <v>710.14765094538109</v>
      </c>
      <c r="L108">
        <v>10.203857850343269</v>
      </c>
      <c r="M108">
        <v>0.41000064053322849</v>
      </c>
    </row>
    <row r="109" spans="1:13" x14ac:dyDescent="0.2">
      <c r="A109">
        <v>107</v>
      </c>
      <c r="B109">
        <v>600</v>
      </c>
      <c r="C109">
        <v>77.250000000000242</v>
      </c>
      <c r="D109">
        <v>100</v>
      </c>
      <c r="E109">
        <v>75.262799026007116</v>
      </c>
      <c r="F109">
        <v>44.488791921769653</v>
      </c>
      <c r="G109">
        <v>604.94232147099069</v>
      </c>
      <c r="H109">
        <v>7.8309685627312469</v>
      </c>
      <c r="I109">
        <v>3.6461573871222663</v>
      </c>
      <c r="J109">
        <v>6.7961927066584638</v>
      </c>
      <c r="K109">
        <v>615.19635539847786</v>
      </c>
      <c r="L109">
        <v>9.00012009138994</v>
      </c>
      <c r="M109">
        <v>0.41000074253123181</v>
      </c>
    </row>
    <row r="110" spans="1:13" x14ac:dyDescent="0.2">
      <c r="A110">
        <v>108</v>
      </c>
      <c r="B110">
        <v>600</v>
      </c>
      <c r="C110">
        <v>77.333333333333499</v>
      </c>
      <c r="D110">
        <v>100</v>
      </c>
      <c r="E110">
        <v>79.473726032647647</v>
      </c>
      <c r="F110">
        <v>49.60632235802963</v>
      </c>
      <c r="G110">
        <v>694.8304623475683</v>
      </c>
      <c r="H110">
        <v>8.9848766682875016</v>
      </c>
      <c r="I110">
        <v>4.0224037871117666</v>
      </c>
      <c r="J110">
        <v>7.4974907495093506</v>
      </c>
      <c r="K110">
        <v>706.6081272647782</v>
      </c>
      <c r="L110">
        <v>10.01443517637032</v>
      </c>
      <c r="M110">
        <v>0.41000073262344178</v>
      </c>
    </row>
    <row r="111" spans="1:13" x14ac:dyDescent="0.2">
      <c r="A111">
        <v>109</v>
      </c>
      <c r="B111">
        <v>600</v>
      </c>
      <c r="C111">
        <v>75.916666666666814</v>
      </c>
      <c r="D111">
        <v>100</v>
      </c>
      <c r="E111">
        <v>75.406864025439319</v>
      </c>
      <c r="F111">
        <v>44.659272213649622</v>
      </c>
      <c r="G111">
        <v>607.8931466955512</v>
      </c>
      <c r="H111">
        <v>8.0073740508744233</v>
      </c>
      <c r="I111">
        <v>3.755326534102291</v>
      </c>
      <c r="J111">
        <v>6.9996766712065073</v>
      </c>
      <c r="K111">
        <v>618.19738493560578</v>
      </c>
      <c r="L111">
        <v>9.5905738843760755</v>
      </c>
      <c r="M111">
        <v>0.41000092057114862</v>
      </c>
    </row>
    <row r="112" spans="1:13" x14ac:dyDescent="0.2">
      <c r="A112">
        <v>110</v>
      </c>
      <c r="B112">
        <v>600</v>
      </c>
      <c r="C112">
        <v>75.166666666666842</v>
      </c>
      <c r="D112">
        <v>100</v>
      </c>
      <c r="E112">
        <v>70.22989236115481</v>
      </c>
      <c r="F112">
        <v>38.737704946835514</v>
      </c>
      <c r="G112">
        <v>507.25254462166146</v>
      </c>
      <c r="H112">
        <v>6.7483708818846155</v>
      </c>
      <c r="I112">
        <v>3.2053684794221007</v>
      </c>
      <c r="J112">
        <v>5.9745917603394236</v>
      </c>
      <c r="K112">
        <v>515.850953689471</v>
      </c>
      <c r="L112">
        <v>8.0066530432451763</v>
      </c>
      <c r="M112">
        <v>0.41000103887331629</v>
      </c>
    </row>
    <row r="113" spans="1:13" x14ac:dyDescent="0.2">
      <c r="A113">
        <v>111</v>
      </c>
      <c r="B113">
        <v>600</v>
      </c>
      <c r="C113">
        <v>74.250000000000369</v>
      </c>
      <c r="D113">
        <v>100</v>
      </c>
      <c r="E113">
        <v>67.378836924901179</v>
      </c>
      <c r="F113">
        <v>35.656351423617927</v>
      </c>
      <c r="G113">
        <v>456.48167516705058</v>
      </c>
      <c r="H113">
        <v>6.147901349051156</v>
      </c>
      <c r="I113">
        <v>2.9300268922234838</v>
      </c>
      <c r="J113">
        <v>5.4613735176579388</v>
      </c>
      <c r="K113">
        <v>464.2196002731165</v>
      </c>
      <c r="L113">
        <v>7.2691731071674379</v>
      </c>
      <c r="M113">
        <v>0.41000120430267928</v>
      </c>
    </row>
    <row r="114" spans="1:13" x14ac:dyDescent="0.2">
      <c r="A114">
        <v>112</v>
      </c>
      <c r="B114">
        <v>600</v>
      </c>
      <c r="C114">
        <v>78.083333333333456</v>
      </c>
      <c r="D114">
        <v>100</v>
      </c>
      <c r="E114">
        <v>78.336422231305903</v>
      </c>
      <c r="F114">
        <v>48.196704802142051</v>
      </c>
      <c r="G114">
        <v>669.80670570065388</v>
      </c>
      <c r="H114">
        <v>8.5781008200723949</v>
      </c>
      <c r="I114">
        <v>3.9952639685777722</v>
      </c>
      <c r="J114">
        <v>7.4469039488868063</v>
      </c>
      <c r="K114">
        <v>681.1601112314421</v>
      </c>
      <c r="L114">
        <v>9.9921050553832913</v>
      </c>
      <c r="M114">
        <v>0.41000064919561674</v>
      </c>
    </row>
    <row r="115" spans="1:13" x14ac:dyDescent="0.2">
      <c r="A115">
        <v>113</v>
      </c>
      <c r="B115">
        <v>600</v>
      </c>
      <c r="C115">
        <v>76.666666666666771</v>
      </c>
      <c r="D115">
        <v>95</v>
      </c>
      <c r="E115">
        <v>75.183666039216391</v>
      </c>
      <c r="F115">
        <v>42.175523681669539</v>
      </c>
      <c r="G115">
        <v>573.15875442168044</v>
      </c>
      <c r="H115">
        <v>7.4759837533262568</v>
      </c>
      <c r="I115">
        <v>3.426771730793881</v>
      </c>
      <c r="J115">
        <v>6.3872725643874766</v>
      </c>
      <c r="K115">
        <v>582.87411546973465</v>
      </c>
      <c r="L115">
        <v>8.4608771167573007</v>
      </c>
      <c r="M115">
        <v>0.41000081574069358</v>
      </c>
    </row>
    <row r="116" spans="1:13" x14ac:dyDescent="0.2">
      <c r="A116">
        <v>114</v>
      </c>
      <c r="B116">
        <v>600</v>
      </c>
      <c r="C116">
        <v>79.166666666666671</v>
      </c>
      <c r="D116">
        <v>68</v>
      </c>
      <c r="E116">
        <v>100.55107208981904</v>
      </c>
      <c r="F116">
        <v>53.997319949328151</v>
      </c>
      <c r="G116">
        <v>859.73066869268041</v>
      </c>
      <c r="H116">
        <v>10.859755815065435</v>
      </c>
      <c r="I116">
        <v>4.4479352581512259</v>
      </c>
      <c r="J116">
        <v>8.2906528576910077</v>
      </c>
      <c r="K116">
        <v>874.3031828177642</v>
      </c>
      <c r="L116">
        <v>11.967279268516387</v>
      </c>
      <c r="M116">
        <v>0.4100005451734387</v>
      </c>
    </row>
    <row r="117" spans="1:13" x14ac:dyDescent="0.2">
      <c r="A117">
        <v>115</v>
      </c>
      <c r="B117">
        <v>600</v>
      </c>
      <c r="C117">
        <v>77.916666666666728</v>
      </c>
      <c r="D117">
        <v>99</v>
      </c>
      <c r="E117">
        <v>81.453451189131442</v>
      </c>
      <c r="F117">
        <v>51.587449436941917</v>
      </c>
      <c r="G117">
        <v>732.32952170234375</v>
      </c>
      <c r="H117">
        <v>9.3988815619552089</v>
      </c>
      <c r="I117">
        <v>4.273772017620888</v>
      </c>
      <c r="J117">
        <v>7.9660242639718328</v>
      </c>
      <c r="K117">
        <v>744.74272825514731</v>
      </c>
      <c r="L117">
        <v>10.895555738668673</v>
      </c>
      <c r="M117">
        <v>0.41000066687342057</v>
      </c>
    </row>
    <row r="118" spans="1:13" x14ac:dyDescent="0.2">
      <c r="A118">
        <v>116</v>
      </c>
      <c r="B118">
        <v>600</v>
      </c>
      <c r="C118">
        <v>76.333333333333528</v>
      </c>
      <c r="D118">
        <v>99</v>
      </c>
      <c r="E118">
        <v>73.675509017415322</v>
      </c>
      <c r="F118">
        <v>42.205725112027203</v>
      </c>
      <c r="G118">
        <v>567.27314810535108</v>
      </c>
      <c r="H118">
        <v>7.4315259577120036</v>
      </c>
      <c r="I118">
        <v>3.3822168915658475</v>
      </c>
      <c r="J118">
        <v>6.3042253337667233</v>
      </c>
      <c r="K118">
        <v>576.88878886869952</v>
      </c>
      <c r="L118">
        <v>8.350626075019326</v>
      </c>
      <c r="M118">
        <v>0.41000086077131626</v>
      </c>
    </row>
    <row r="119" spans="1:13" x14ac:dyDescent="0.2">
      <c r="A119">
        <v>117</v>
      </c>
      <c r="B119">
        <v>600</v>
      </c>
      <c r="C119">
        <v>77.250000000000242</v>
      </c>
      <c r="D119">
        <v>98</v>
      </c>
      <c r="E119">
        <v>77.464881812589283</v>
      </c>
      <c r="F119">
        <v>46.187630444488569</v>
      </c>
      <c r="G119">
        <v>637.98597491261251</v>
      </c>
      <c r="H119">
        <v>8.2587181218460906</v>
      </c>
      <c r="I119">
        <v>3.7811708171381486</v>
      </c>
      <c r="J119">
        <v>7.047848680593007</v>
      </c>
      <c r="K119">
        <v>648.80011305409255</v>
      </c>
      <c r="L119">
        <v>9.4059309624626302</v>
      </c>
      <c r="M119">
        <v>0.41000074253123181</v>
      </c>
    </row>
    <row r="120" spans="1:13" x14ac:dyDescent="0.2">
      <c r="A120">
        <v>118</v>
      </c>
      <c r="B120">
        <v>600</v>
      </c>
      <c r="C120">
        <v>79.000000000000171</v>
      </c>
      <c r="D120">
        <v>99</v>
      </c>
      <c r="E120">
        <v>85.536433521499717</v>
      </c>
      <c r="F120">
        <v>56.888875898751571</v>
      </c>
      <c r="G120">
        <v>829.39276446538338</v>
      </c>
      <c r="H120">
        <v>10.498642588169387</v>
      </c>
      <c r="I120">
        <v>4.6452841384346781</v>
      </c>
      <c r="J120">
        <v>8.6584979281168266</v>
      </c>
      <c r="K120">
        <v>843.45106953828679</v>
      </c>
      <c r="L120">
        <v>11.93244295371508</v>
      </c>
      <c r="M120">
        <v>0.41000056001868546</v>
      </c>
    </row>
    <row r="121" spans="1:13" x14ac:dyDescent="0.2">
      <c r="A121">
        <v>119</v>
      </c>
      <c r="B121">
        <v>600</v>
      </c>
      <c r="C121">
        <v>78.000000000000213</v>
      </c>
      <c r="D121">
        <v>99</v>
      </c>
      <c r="E121">
        <v>75.063111739536282</v>
      </c>
      <c r="F121">
        <v>43.810499443309027</v>
      </c>
      <c r="G121">
        <v>594.85778073493873</v>
      </c>
      <c r="H121">
        <v>7.6263818042940654</v>
      </c>
      <c r="I121">
        <v>3.6223564339949919</v>
      </c>
      <c r="J121">
        <v>6.7518293271108876</v>
      </c>
      <c r="K121">
        <v>604.94079063893616</v>
      </c>
      <c r="L121">
        <v>8.9957913035916679</v>
      </c>
      <c r="M121">
        <v>0.41000065797515273</v>
      </c>
    </row>
    <row r="122" spans="1:13" x14ac:dyDescent="0.2">
      <c r="A122">
        <v>120</v>
      </c>
      <c r="B122">
        <v>600</v>
      </c>
      <c r="C122">
        <v>77.083333333333499</v>
      </c>
      <c r="D122">
        <v>100</v>
      </c>
      <c r="E122">
        <v>71.646784371931872</v>
      </c>
      <c r="F122">
        <v>40.316543199306878</v>
      </c>
      <c r="G122">
        <v>533.70214465064055</v>
      </c>
      <c r="H122">
        <v>6.9237034981704575</v>
      </c>
      <c r="I122">
        <v>3.3503945193304761</v>
      </c>
      <c r="J122">
        <v>6.2449105672515861</v>
      </c>
      <c r="K122">
        <v>542.74864537667133</v>
      </c>
      <c r="L122">
        <v>8.2575169848443224</v>
      </c>
      <c r="M122">
        <v>0.41000076275059422</v>
      </c>
    </row>
    <row r="123" spans="1:13" x14ac:dyDescent="0.2">
      <c r="A123">
        <v>121</v>
      </c>
      <c r="B123">
        <v>600</v>
      </c>
      <c r="C123">
        <v>78.916666666666686</v>
      </c>
      <c r="D123">
        <v>100</v>
      </c>
      <c r="E123">
        <v>86.114340016756557</v>
      </c>
      <c r="F123">
        <v>58.242611040360359</v>
      </c>
      <c r="G123">
        <v>852.24921193438615</v>
      </c>
      <c r="H123">
        <v>10.799356434226643</v>
      </c>
      <c r="I123">
        <v>4.8188477504948946</v>
      </c>
      <c r="J123">
        <v>8.9820088546037162</v>
      </c>
      <c r="K123">
        <v>866.69494761006672</v>
      </c>
      <c r="L123">
        <v>12.43620904153858</v>
      </c>
      <c r="M123">
        <v>0.41000056759221798</v>
      </c>
    </row>
    <row r="124" spans="1:13" x14ac:dyDescent="0.2">
      <c r="A124">
        <v>122</v>
      </c>
      <c r="B124">
        <v>600</v>
      </c>
      <c r="C124">
        <v>77.500000000000227</v>
      </c>
      <c r="D124">
        <v>99</v>
      </c>
      <c r="E124">
        <v>80.037008761154524</v>
      </c>
      <c r="F124">
        <v>49.808879797539753</v>
      </c>
      <c r="G124">
        <v>700.35680426589465</v>
      </c>
      <c r="H124">
        <v>9.0368619905276457</v>
      </c>
      <c r="I124">
        <v>3.9631918629752594</v>
      </c>
      <c r="J124">
        <v>7.3871236961328224</v>
      </c>
      <c r="K124">
        <v>712.22811952975917</v>
      </c>
      <c r="L124">
        <v>9.8363763494475247</v>
      </c>
      <c r="M124">
        <v>0.41000071320270459</v>
      </c>
    </row>
    <row r="125" spans="1:13" x14ac:dyDescent="0.2">
      <c r="A125">
        <v>123</v>
      </c>
      <c r="B125">
        <v>600</v>
      </c>
      <c r="C125">
        <v>80.583333333333357</v>
      </c>
      <c r="D125">
        <v>95</v>
      </c>
      <c r="E125">
        <v>90.264000060432394</v>
      </c>
      <c r="F125">
        <v>60.791468923267217</v>
      </c>
      <c r="G125">
        <v>912.64459175401839</v>
      </c>
      <c r="H125">
        <v>11.325475802531766</v>
      </c>
      <c r="I125">
        <v>4.7206068783081898</v>
      </c>
      <c r="J125">
        <v>8.7988944609658706</v>
      </c>
      <c r="K125">
        <v>928.11382666403858</v>
      </c>
      <c r="L125">
        <v>12.107849765003415</v>
      </c>
      <c r="M125">
        <v>0.4100004338685192</v>
      </c>
    </row>
    <row r="126" spans="1:13" x14ac:dyDescent="0.2">
      <c r="A126">
        <v>124</v>
      </c>
      <c r="B126">
        <v>600</v>
      </c>
      <c r="C126">
        <v>74.666666666666856</v>
      </c>
      <c r="D126">
        <v>41</v>
      </c>
      <c r="E126">
        <v>108.92551704158774</v>
      </c>
      <c r="F126">
        <v>38.206125531158413</v>
      </c>
      <c r="G126">
        <v>635.40006670688717</v>
      </c>
      <c r="H126">
        <v>8.5098223219672171</v>
      </c>
      <c r="I126">
        <v>3.4850690150138832</v>
      </c>
      <c r="J126">
        <v>6.4959347903334264</v>
      </c>
      <c r="K126">
        <v>646.17079264209201</v>
      </c>
      <c r="L126">
        <v>9.6797564135945127</v>
      </c>
      <c r="M126">
        <v>0.4100011260717914</v>
      </c>
    </row>
    <row r="127" spans="1:13" x14ac:dyDescent="0.2">
      <c r="A127">
        <v>125</v>
      </c>
      <c r="B127">
        <v>600</v>
      </c>
      <c r="C127">
        <v>74.41666666666687</v>
      </c>
      <c r="D127">
        <v>90</v>
      </c>
      <c r="E127">
        <v>72.55283065500204</v>
      </c>
      <c r="F127">
        <v>37.208410090918768</v>
      </c>
      <c r="G127">
        <v>495.94013716586062</v>
      </c>
      <c r="H127">
        <v>6.6643691444460371</v>
      </c>
      <c r="I127">
        <v>3.0801827634118752</v>
      </c>
      <c r="J127">
        <v>5.7412539858562441</v>
      </c>
      <c r="K127">
        <v>504.34690438127711</v>
      </c>
      <c r="L127">
        <v>7.7151420446541099</v>
      </c>
      <c r="M127">
        <v>0.41000117237844025</v>
      </c>
    </row>
    <row r="128" spans="1:13" x14ac:dyDescent="0.2">
      <c r="A128">
        <v>126</v>
      </c>
      <c r="B128">
        <v>600</v>
      </c>
      <c r="C128">
        <v>76.666666666666771</v>
      </c>
      <c r="D128">
        <v>93</v>
      </c>
      <c r="E128">
        <v>80.579076880168756</v>
      </c>
      <c r="F128">
        <v>47.426099210231143</v>
      </c>
      <c r="G128">
        <v>669.30899608910136</v>
      </c>
      <c r="H128">
        <v>8.7301173402926153</v>
      </c>
      <c r="I128">
        <v>3.7794811507797208</v>
      </c>
      <c r="J128">
        <v>7.0446992558801869</v>
      </c>
      <c r="K128">
        <v>680.65415744195809</v>
      </c>
      <c r="L128">
        <v>9.5043146860648804</v>
      </c>
      <c r="M128">
        <v>0.41000081574069358</v>
      </c>
    </row>
    <row r="129" spans="1:13" x14ac:dyDescent="0.2">
      <c r="A129">
        <v>127</v>
      </c>
      <c r="B129">
        <v>600</v>
      </c>
      <c r="C129">
        <v>78.250000000000199</v>
      </c>
      <c r="D129">
        <v>98</v>
      </c>
      <c r="E129">
        <v>82.564631159037404</v>
      </c>
      <c r="F129">
        <v>52.469152247772129</v>
      </c>
      <c r="G129">
        <v>750.36380269054428</v>
      </c>
      <c r="H129">
        <v>9.5893137724030968</v>
      </c>
      <c r="I129">
        <v>4.1836086085927624</v>
      </c>
      <c r="J129">
        <v>7.7979657196510006</v>
      </c>
      <c r="K129">
        <v>763.08265063085196</v>
      </c>
      <c r="L129">
        <v>10.506406578013683</v>
      </c>
      <c r="M129">
        <v>0.41000063198642472</v>
      </c>
    </row>
    <row r="130" spans="1:13" x14ac:dyDescent="0.2">
      <c r="A130">
        <v>128</v>
      </c>
      <c r="B130">
        <v>600</v>
      </c>
      <c r="C130">
        <v>77.166666666666757</v>
      </c>
      <c r="D130">
        <v>100</v>
      </c>
      <c r="E130">
        <v>74.496082288205329</v>
      </c>
      <c r="F130">
        <v>43.58697700867755</v>
      </c>
      <c r="G130">
        <v>589.3833380667146</v>
      </c>
      <c r="H130">
        <v>7.6377970375816062</v>
      </c>
      <c r="I130">
        <v>3.6279154607627664</v>
      </c>
      <c r="J130">
        <v>6.7621909799865163</v>
      </c>
      <c r="K130">
        <v>599.37365069908867</v>
      </c>
      <c r="L130">
        <v>8.9830646051086358</v>
      </c>
      <c r="M130">
        <v>0.41000075257301194</v>
      </c>
    </row>
    <row r="131" spans="1:13" x14ac:dyDescent="0.2">
      <c r="A131">
        <v>129</v>
      </c>
      <c r="B131">
        <v>600</v>
      </c>
      <c r="C131">
        <v>75.416666666666828</v>
      </c>
      <c r="D131">
        <v>99</v>
      </c>
      <c r="E131">
        <v>75.108197459744432</v>
      </c>
      <c r="F131">
        <v>43.863143706843474</v>
      </c>
      <c r="G131">
        <v>595.76706514756734</v>
      </c>
      <c r="H131">
        <v>7.8996737920119253</v>
      </c>
      <c r="I131">
        <v>3.502186687369198</v>
      </c>
      <c r="J131">
        <v>6.5278409829807966</v>
      </c>
      <c r="K131">
        <v>605.8658366874929</v>
      </c>
      <c r="L131">
        <v>8.7497780187459355</v>
      </c>
      <c r="M131">
        <v>0.41000099783985799</v>
      </c>
    </row>
    <row r="132" spans="1:13" x14ac:dyDescent="0.2">
      <c r="A132">
        <v>130</v>
      </c>
      <c r="B132">
        <v>600</v>
      </c>
      <c r="C132">
        <v>77.000000000000256</v>
      </c>
      <c r="D132">
        <v>99</v>
      </c>
      <c r="E132">
        <v>82.341760130162896</v>
      </c>
      <c r="F132">
        <v>52.718782058533542</v>
      </c>
      <c r="G132">
        <v>752.82437131294023</v>
      </c>
      <c r="H132">
        <v>9.77693988718101</v>
      </c>
      <c r="I132">
        <v>4.3373385774020576</v>
      </c>
      <c r="J132">
        <v>8.084508065987059</v>
      </c>
      <c r="K132">
        <v>765.58510955159477</v>
      </c>
      <c r="L132">
        <v>11.150091831368856</v>
      </c>
      <c r="M132">
        <v>0.41000077306581523</v>
      </c>
    </row>
    <row r="133" spans="1:13" x14ac:dyDescent="0.2">
      <c r="A133">
        <v>131</v>
      </c>
      <c r="B133">
        <v>600</v>
      </c>
      <c r="C133">
        <v>75.58333333333357</v>
      </c>
      <c r="D133">
        <v>98</v>
      </c>
      <c r="E133">
        <v>75.05986355619217</v>
      </c>
      <c r="F133">
        <v>43.364215929070511</v>
      </c>
      <c r="G133">
        <v>588.78396395290338</v>
      </c>
      <c r="H133">
        <v>7.7898650137098331</v>
      </c>
      <c r="I133">
        <v>3.4177840318428667</v>
      </c>
      <c r="J133">
        <v>6.3705200966316244</v>
      </c>
      <c r="K133">
        <v>598.76433899087499</v>
      </c>
      <c r="L133">
        <v>8.5428881324677182</v>
      </c>
      <c r="M133">
        <v>0.41000097138863545</v>
      </c>
    </row>
    <row r="134" spans="1:13" x14ac:dyDescent="0.2">
      <c r="A134">
        <v>132</v>
      </c>
      <c r="B134">
        <v>600</v>
      </c>
      <c r="C134">
        <v>75.250000000000327</v>
      </c>
      <c r="D134">
        <v>100</v>
      </c>
      <c r="E134">
        <v>72.559068313920406</v>
      </c>
      <c r="F134">
        <v>41.34978697727508</v>
      </c>
      <c r="G134">
        <v>551.16529901517868</v>
      </c>
      <c r="H134">
        <v>7.3244558008661302</v>
      </c>
      <c r="I134">
        <v>3.4171494466328287</v>
      </c>
      <c r="J134">
        <v>6.3693372723817863</v>
      </c>
      <c r="K134">
        <v>560.50805751903579</v>
      </c>
      <c r="L134">
        <v>8.5597678630101832</v>
      </c>
      <c r="M134">
        <v>0.41000102501135577</v>
      </c>
    </row>
    <row r="135" spans="1:13" x14ac:dyDescent="0.2">
      <c r="A135">
        <v>133</v>
      </c>
      <c r="B135">
        <v>600</v>
      </c>
      <c r="C135">
        <v>74.41666666666687</v>
      </c>
      <c r="D135">
        <v>100</v>
      </c>
      <c r="E135">
        <v>69.823447987371424</v>
      </c>
      <c r="F135">
        <v>38.290625742850622</v>
      </c>
      <c r="G135">
        <v>499.815455115129</v>
      </c>
      <c r="H135">
        <v>6.7164450855336302</v>
      </c>
      <c r="I135">
        <v>3.1251024690142213</v>
      </c>
      <c r="J135">
        <v>5.824981302915603</v>
      </c>
      <c r="K135">
        <v>508.28791351672652</v>
      </c>
      <c r="L135">
        <v>7.7401045005344837</v>
      </c>
      <c r="M135">
        <v>0.41000117237844025</v>
      </c>
    </row>
    <row r="136" spans="1:13" x14ac:dyDescent="0.2">
      <c r="A136">
        <v>134</v>
      </c>
      <c r="B136">
        <v>600</v>
      </c>
      <c r="C136">
        <v>77.333333333333499</v>
      </c>
      <c r="D136">
        <v>99</v>
      </c>
      <c r="E136">
        <v>77.689882217144245</v>
      </c>
      <c r="F136">
        <v>46.930372573116237</v>
      </c>
      <c r="G136">
        <v>649.27033862128326</v>
      </c>
      <c r="H136">
        <v>8.3957371373441614</v>
      </c>
      <c r="I136">
        <v>3.761647873782124</v>
      </c>
      <c r="J136">
        <v>7.0114592241978082</v>
      </c>
      <c r="K136">
        <v>660.2757405190772</v>
      </c>
      <c r="L136">
        <v>9.3113300523663796</v>
      </c>
      <c r="M136">
        <v>0.41000073262344178</v>
      </c>
    </row>
    <row r="137" spans="1:13" x14ac:dyDescent="0.2">
      <c r="A137">
        <v>135</v>
      </c>
      <c r="B137">
        <v>600</v>
      </c>
      <c r="C137">
        <v>76.583333333333528</v>
      </c>
      <c r="D137">
        <v>100</v>
      </c>
      <c r="E137">
        <v>74.52347766365186</v>
      </c>
      <c r="F137">
        <v>43.619040470817403</v>
      </c>
      <c r="G137">
        <v>589.93496212763694</v>
      </c>
      <c r="H137">
        <v>7.7031768721780471</v>
      </c>
      <c r="I137">
        <v>3.5172692268989958</v>
      </c>
      <c r="J137">
        <v>6.5559538246020415</v>
      </c>
      <c r="K137">
        <v>599.93470048494385</v>
      </c>
      <c r="L137">
        <v>8.6639988029237003</v>
      </c>
      <c r="M137">
        <v>0.41000082677253757</v>
      </c>
    </row>
    <row r="138" spans="1:13" x14ac:dyDescent="0.2">
      <c r="A138">
        <v>136</v>
      </c>
      <c r="B138">
        <v>600</v>
      </c>
      <c r="C138">
        <v>79.000000000000171</v>
      </c>
      <c r="D138">
        <v>100</v>
      </c>
      <c r="E138">
        <v>81.391340420074187</v>
      </c>
      <c r="F138">
        <v>52.0290963532265</v>
      </c>
      <c r="G138">
        <v>738.2923936241408</v>
      </c>
      <c r="H138">
        <v>9.3454733370144201</v>
      </c>
      <c r="I138">
        <v>4.3267242594077819</v>
      </c>
      <c r="J138">
        <v>8.0647236894832837</v>
      </c>
      <c r="K138">
        <v>750.8065366782613</v>
      </c>
      <c r="L138">
        <v>10.942128458765962</v>
      </c>
      <c r="M138">
        <v>0.41000056001868546</v>
      </c>
    </row>
    <row r="139" spans="1:13" x14ac:dyDescent="0.2">
      <c r="A139">
        <v>137</v>
      </c>
      <c r="B139">
        <v>600</v>
      </c>
      <c r="C139">
        <v>77.333333333333499</v>
      </c>
      <c r="D139">
        <v>100</v>
      </c>
      <c r="E139">
        <v>78.388050210959335</v>
      </c>
      <c r="F139">
        <v>48.260254256821668</v>
      </c>
      <c r="G139">
        <v>670.93051300899549</v>
      </c>
      <c r="H139">
        <v>8.6758255992542335</v>
      </c>
      <c r="I139">
        <v>3.9207585139041665</v>
      </c>
      <c r="J139">
        <v>7.3080307808092559</v>
      </c>
      <c r="K139">
        <v>682.30306385867175</v>
      </c>
      <c r="L139">
        <v>9.7277769403050378</v>
      </c>
      <c r="M139">
        <v>0.41000073262344178</v>
      </c>
    </row>
    <row r="140" spans="1:13" x14ac:dyDescent="0.2">
      <c r="A140">
        <v>138</v>
      </c>
      <c r="B140">
        <v>600</v>
      </c>
      <c r="C140">
        <v>77.416666666666742</v>
      </c>
      <c r="D140">
        <v>99</v>
      </c>
      <c r="E140">
        <v>71.386315812555935</v>
      </c>
      <c r="F140">
        <v>39.623698818484762</v>
      </c>
      <c r="G140">
        <v>523.49089515728201</v>
      </c>
      <c r="H140">
        <v>6.7619921871769408</v>
      </c>
      <c r="I140">
        <v>3.2099609847737165</v>
      </c>
      <c r="J140">
        <v>5.983151882150449</v>
      </c>
      <c r="K140">
        <v>532.36427442837714</v>
      </c>
      <c r="L140">
        <v>7.7198198816801611</v>
      </c>
      <c r="M140">
        <v>0.4100007228478541</v>
      </c>
    </row>
    <row r="141" spans="1:13" x14ac:dyDescent="0.2">
      <c r="A141">
        <v>139</v>
      </c>
      <c r="B141">
        <v>600</v>
      </c>
      <c r="C141">
        <v>75.916666666666814</v>
      </c>
      <c r="D141">
        <v>97</v>
      </c>
      <c r="E141">
        <v>76.010077732961449</v>
      </c>
      <c r="F141">
        <v>44.015330678622668</v>
      </c>
      <c r="G141">
        <v>601.73378825755117</v>
      </c>
      <c r="H141">
        <v>7.9262408991115256</v>
      </c>
      <c r="I141">
        <v>3.7153483143387191</v>
      </c>
      <c r="J141">
        <v>6.9251599521690936</v>
      </c>
      <c r="K141">
        <v>611.93362081858788</v>
      </c>
      <c r="L141">
        <v>9.5058848488969634</v>
      </c>
      <c r="M141">
        <v>0.41000092057114862</v>
      </c>
    </row>
    <row r="142" spans="1:13" x14ac:dyDescent="0.2">
      <c r="A142">
        <v>140</v>
      </c>
      <c r="B142">
        <v>600</v>
      </c>
      <c r="C142">
        <v>76.583333333333528</v>
      </c>
      <c r="D142">
        <v>63</v>
      </c>
      <c r="E142">
        <v>90.163923183404236</v>
      </c>
      <c r="F142">
        <v>40.224998027953056</v>
      </c>
      <c r="G142">
        <v>603.52097234355631</v>
      </c>
      <c r="H142">
        <v>7.880578528969159</v>
      </c>
      <c r="I142">
        <v>3.433747853342608</v>
      </c>
      <c r="J142">
        <v>6.4002755887094276</v>
      </c>
      <c r="K142">
        <v>613.75100142136728</v>
      </c>
      <c r="L142">
        <v>8.8865825551868731</v>
      </c>
      <c r="M142">
        <v>0.41000082677253757</v>
      </c>
    </row>
    <row r="143" spans="1:13" x14ac:dyDescent="0.2">
      <c r="A143">
        <v>141</v>
      </c>
      <c r="B143">
        <v>600</v>
      </c>
      <c r="C143">
        <v>77.916666666666728</v>
      </c>
      <c r="D143">
        <v>99</v>
      </c>
      <c r="E143">
        <v>78.905831477070919</v>
      </c>
      <c r="F143">
        <v>48.410913438595237</v>
      </c>
      <c r="G143">
        <v>675.44297726490117</v>
      </c>
      <c r="H143">
        <v>8.6687868739880294</v>
      </c>
      <c r="I143">
        <v>4.0780540170830859</v>
      </c>
      <c r="J143">
        <v>7.6012190439572889</v>
      </c>
      <c r="K143">
        <v>686.89193971003078</v>
      </c>
      <c r="L143">
        <v>10.304825132582678</v>
      </c>
      <c r="M143">
        <v>0.41000066687342057</v>
      </c>
    </row>
    <row r="144" spans="1:13" x14ac:dyDescent="0.2">
      <c r="A144">
        <v>142</v>
      </c>
      <c r="B144">
        <v>600</v>
      </c>
      <c r="C144">
        <v>76.416666666666785</v>
      </c>
      <c r="D144">
        <v>100</v>
      </c>
      <c r="E144">
        <v>74.731402567823494</v>
      </c>
      <c r="F144">
        <v>43.862779418430215</v>
      </c>
      <c r="G144">
        <v>594.13242732733738</v>
      </c>
      <c r="H144">
        <v>7.7749063554286124</v>
      </c>
      <c r="I144">
        <v>3.5611503726105291</v>
      </c>
      <c r="J144">
        <v>6.63774533571394</v>
      </c>
      <c r="K144">
        <v>604.20333819953976</v>
      </c>
      <c r="L144">
        <v>8.7710914601783632</v>
      </c>
      <c r="M144">
        <v>0.4100008492858177</v>
      </c>
    </row>
    <row r="145" spans="1:13" x14ac:dyDescent="0.2">
      <c r="A145">
        <v>143</v>
      </c>
      <c r="B145">
        <v>600</v>
      </c>
      <c r="C145">
        <v>76.333333333333528</v>
      </c>
      <c r="D145">
        <v>100</v>
      </c>
      <c r="E145">
        <v>69.479747512705643</v>
      </c>
      <c r="F145">
        <v>37.914588298727757</v>
      </c>
      <c r="G145">
        <v>493.57876479466336</v>
      </c>
      <c r="H145">
        <v>6.4660973553885865</v>
      </c>
      <c r="I145">
        <v>3.1347995714087324</v>
      </c>
      <c r="J145">
        <v>5.8430560510880376</v>
      </c>
      <c r="K145">
        <v>501.94523887603719</v>
      </c>
      <c r="L145">
        <v>7.6193135377699086</v>
      </c>
      <c r="M145">
        <v>0.41000086077131626</v>
      </c>
    </row>
    <row r="146" spans="1:13" x14ac:dyDescent="0.2">
      <c r="A146">
        <v>144</v>
      </c>
      <c r="B146">
        <v>600</v>
      </c>
      <c r="C146">
        <v>79.916666666666643</v>
      </c>
      <c r="D146">
        <v>99</v>
      </c>
      <c r="E146">
        <v>89.283964937333721</v>
      </c>
      <c r="F146">
        <v>61.982917225707652</v>
      </c>
      <c r="G146">
        <v>925.01450349920435</v>
      </c>
      <c r="H146">
        <v>11.574738312815908</v>
      </c>
      <c r="I146">
        <v>5.1053239868005846</v>
      </c>
      <c r="J146">
        <v>9.5159813360681902</v>
      </c>
      <c r="K146">
        <v>940.69348566205576</v>
      </c>
      <c r="L146">
        <v>13.35580728666975</v>
      </c>
      <c r="M146">
        <v>0.41000048309156739</v>
      </c>
    </row>
    <row r="147" spans="1:13" x14ac:dyDescent="0.2">
      <c r="A147">
        <v>145</v>
      </c>
      <c r="B147">
        <v>600</v>
      </c>
      <c r="C147">
        <v>78.250000000000199</v>
      </c>
      <c r="D147">
        <v>100</v>
      </c>
      <c r="E147">
        <v>83.345486236668549</v>
      </c>
      <c r="F147">
        <v>54.557448398067088</v>
      </c>
      <c r="G147">
        <v>784.23935787058372</v>
      </c>
      <c r="H147">
        <v>10.022228215598489</v>
      </c>
      <c r="I147">
        <v>4.4024122596922428</v>
      </c>
      <c r="J147">
        <v>8.2058010432287833</v>
      </c>
      <c r="K147">
        <v>797.53240466441218</v>
      </c>
      <c r="L147">
        <v>11.083940222999123</v>
      </c>
      <c r="M147">
        <v>0.41000063198642472</v>
      </c>
    </row>
    <row r="148" spans="1:13" x14ac:dyDescent="0.2">
      <c r="A148">
        <v>146</v>
      </c>
      <c r="B148">
        <v>600</v>
      </c>
      <c r="C148">
        <v>77.083333333333499</v>
      </c>
      <c r="D148">
        <v>99</v>
      </c>
      <c r="E148">
        <v>72.953057856300958</v>
      </c>
      <c r="F148">
        <v>41.38205717742531</v>
      </c>
      <c r="G148">
        <v>553.22511373060524</v>
      </c>
      <c r="H148">
        <v>7.1769744483970257</v>
      </c>
      <c r="I148">
        <v>3.3980439413702928</v>
      </c>
      <c r="J148">
        <v>6.3337258925820921</v>
      </c>
      <c r="K148">
        <v>562.60253790471734</v>
      </c>
      <c r="L148">
        <v>8.4147515561630932</v>
      </c>
      <c r="M148">
        <v>0.41000076275059422</v>
      </c>
    </row>
    <row r="149" spans="1:13" x14ac:dyDescent="0.2">
      <c r="A149">
        <v>147</v>
      </c>
      <c r="B149">
        <v>600</v>
      </c>
      <c r="C149">
        <v>76.333333333333528</v>
      </c>
      <c r="D149">
        <v>99</v>
      </c>
      <c r="E149">
        <v>75.845396585067974</v>
      </c>
      <c r="F149">
        <v>44.728417090590391</v>
      </c>
      <c r="G149">
        <v>610.76047237715431</v>
      </c>
      <c r="H149">
        <v>8.0012288957705611</v>
      </c>
      <c r="I149">
        <v>3.5862051158555732</v>
      </c>
      <c r="J149">
        <v>6.6844456959097354</v>
      </c>
      <c r="K149">
        <v>621.11325095383575</v>
      </c>
      <c r="L149">
        <v>8.9220549610827327</v>
      </c>
      <c r="M149">
        <v>0.41000086077131626</v>
      </c>
    </row>
    <row r="150" spans="1:13" x14ac:dyDescent="0.2">
      <c r="A150">
        <v>148</v>
      </c>
      <c r="B150">
        <v>600</v>
      </c>
      <c r="C150">
        <v>76.083333333333542</v>
      </c>
      <c r="D150">
        <v>100</v>
      </c>
      <c r="E150">
        <v>75.718776660677165</v>
      </c>
      <c r="F150">
        <v>45.029493175080873</v>
      </c>
      <c r="G150">
        <v>614.31224358438203</v>
      </c>
      <c r="H150">
        <v>8.0742025443730174</v>
      </c>
      <c r="I150">
        <v>3.7500518776203089</v>
      </c>
      <c r="J150">
        <v>6.989845065461898</v>
      </c>
      <c r="K150">
        <v>624.72526442296009</v>
      </c>
      <c r="L150">
        <v>9.4930128139074963</v>
      </c>
      <c r="M150">
        <v>0.41000089616820251</v>
      </c>
    </row>
    <row r="151" spans="1:13" x14ac:dyDescent="0.2">
      <c r="A151">
        <v>149</v>
      </c>
      <c r="B151">
        <v>600</v>
      </c>
      <c r="C151">
        <v>79.5833333333334</v>
      </c>
      <c r="D151">
        <v>99</v>
      </c>
      <c r="E151">
        <v>85.83270215959574</v>
      </c>
      <c r="F151">
        <v>57.283645191327899</v>
      </c>
      <c r="G151">
        <v>836.72263965510854</v>
      </c>
      <c r="H151">
        <v>10.51379233074481</v>
      </c>
      <c r="I151">
        <v>4.4935846669917323</v>
      </c>
      <c r="J151">
        <v>8.375740292622055</v>
      </c>
      <c r="K151">
        <v>850.90511449121743</v>
      </c>
      <c r="L151">
        <v>11.2888912588446</v>
      </c>
      <c r="M151">
        <v>0.41000050975925018</v>
      </c>
    </row>
    <row r="152" spans="1:13" x14ac:dyDescent="0.2">
      <c r="A152">
        <v>150</v>
      </c>
      <c r="B152">
        <v>600</v>
      </c>
      <c r="C152">
        <v>76.166666666666799</v>
      </c>
      <c r="D152">
        <v>97</v>
      </c>
      <c r="E152">
        <v>76.123505190100033</v>
      </c>
      <c r="F152">
        <v>44.146794092258126</v>
      </c>
      <c r="G152">
        <v>604.02146927946399</v>
      </c>
      <c r="H152">
        <v>7.9302599905399944</v>
      </c>
      <c r="I152">
        <v>3.5831447659770888</v>
      </c>
      <c r="J152">
        <v>6.6787414090905655</v>
      </c>
      <c r="K152">
        <v>614.26004186913895</v>
      </c>
      <c r="L152">
        <v>9.0312237453379502</v>
      </c>
      <c r="M152">
        <v>0.41000088421039388</v>
      </c>
    </row>
    <row r="153" spans="1:13" x14ac:dyDescent="0.2">
      <c r="A153">
        <v>151</v>
      </c>
      <c r="B153">
        <v>600</v>
      </c>
      <c r="C153">
        <v>77.333333333333499</v>
      </c>
      <c r="D153">
        <v>94</v>
      </c>
      <c r="E153">
        <v>78.789381138464279</v>
      </c>
      <c r="F153">
        <v>45.830343626226416</v>
      </c>
      <c r="G153">
        <v>638.92385265639803</v>
      </c>
      <c r="H153">
        <v>8.2619463705568528</v>
      </c>
      <c r="I153">
        <v>3.7074172409737032</v>
      </c>
      <c r="J153">
        <v>6.9103769636042927</v>
      </c>
      <c r="K153">
        <v>649.75387731993351</v>
      </c>
      <c r="L153">
        <v>9.2112964714377394</v>
      </c>
      <c r="M153">
        <v>0.41000073262344178</v>
      </c>
    </row>
    <row r="154" spans="1:13" x14ac:dyDescent="0.2">
      <c r="A154">
        <v>152</v>
      </c>
      <c r="B154">
        <v>600</v>
      </c>
      <c r="C154">
        <v>77.500000000000227</v>
      </c>
      <c r="D154">
        <v>96</v>
      </c>
      <c r="E154">
        <v>83.267721155741299</v>
      </c>
      <c r="F154">
        <v>52.277459324403708</v>
      </c>
      <c r="G154">
        <v>751.08341482296021</v>
      </c>
      <c r="H154">
        <v>9.6913989009413939</v>
      </c>
      <c r="I154">
        <v>4.205448655542698</v>
      </c>
      <c r="J154">
        <v>7.8386741016639281</v>
      </c>
      <c r="K154">
        <v>763.8145655057458</v>
      </c>
      <c r="L154">
        <v>10.549695529262506</v>
      </c>
      <c r="M154">
        <v>0.41000071320270459</v>
      </c>
    </row>
    <row r="155" spans="1:13" x14ac:dyDescent="0.2">
      <c r="A155">
        <v>153</v>
      </c>
      <c r="B155">
        <v>600</v>
      </c>
      <c r="C155">
        <v>77.500000000000227</v>
      </c>
      <c r="D155">
        <v>94</v>
      </c>
      <c r="E155">
        <v>81.588872498742461</v>
      </c>
      <c r="F155">
        <v>49.14502926454923</v>
      </c>
      <c r="G155">
        <v>698.28870716029121</v>
      </c>
      <c r="H155">
        <v>9.0101768665843753</v>
      </c>
      <c r="I155">
        <v>3.927161777749161</v>
      </c>
      <c r="J155">
        <v>7.3199660349471776</v>
      </c>
      <c r="K155">
        <v>710.12496738851189</v>
      </c>
      <c r="L155">
        <v>9.7973426806570316</v>
      </c>
      <c r="M155">
        <v>0.41000071320270459</v>
      </c>
    </row>
    <row r="156" spans="1:13" x14ac:dyDescent="0.2">
      <c r="A156">
        <v>154</v>
      </c>
      <c r="B156">
        <v>600</v>
      </c>
      <c r="C156">
        <v>74.41666666666687</v>
      </c>
      <c r="D156">
        <v>48</v>
      </c>
      <c r="E156">
        <v>83.698685223345677</v>
      </c>
      <c r="F156">
        <v>26.409999357940563</v>
      </c>
      <c r="G156">
        <v>380.50725861715625</v>
      </c>
      <c r="H156">
        <v>5.1131994439035413</v>
      </c>
      <c r="I156">
        <v>2.592245557510747</v>
      </c>
      <c r="J156">
        <v>4.8317717754161169</v>
      </c>
      <c r="K156">
        <v>386.95730310286984</v>
      </c>
      <c r="L156">
        <v>6.7412444161928002</v>
      </c>
      <c r="M156">
        <v>0.41000117237844025</v>
      </c>
    </row>
    <row r="157" spans="1:13" x14ac:dyDescent="0.2">
      <c r="A157">
        <v>155</v>
      </c>
      <c r="B157">
        <v>600</v>
      </c>
      <c r="C157">
        <v>78.4166666666667</v>
      </c>
      <c r="D157">
        <v>96</v>
      </c>
      <c r="E157">
        <v>80.623721776524334</v>
      </c>
      <c r="F157">
        <v>49.010236591987429</v>
      </c>
      <c r="G157">
        <v>691.87435532022107</v>
      </c>
      <c r="H157">
        <v>8.8230523526489364</v>
      </c>
      <c r="I157">
        <v>3.9999573865272851</v>
      </c>
      <c r="J157">
        <v>7.4556521650089183</v>
      </c>
      <c r="K157">
        <v>703.60177300247358</v>
      </c>
      <c r="L157">
        <v>9.8710449819911901</v>
      </c>
      <c r="M157">
        <v>0.41000061523342229</v>
      </c>
    </row>
    <row r="158" spans="1:13" x14ac:dyDescent="0.2">
      <c r="A158">
        <v>156</v>
      </c>
      <c r="B158">
        <v>600</v>
      </c>
      <c r="C158">
        <v>76.583333333333528</v>
      </c>
      <c r="D158">
        <v>100</v>
      </c>
      <c r="E158">
        <v>75.162805278547836</v>
      </c>
      <c r="F158">
        <v>44.370655315422205</v>
      </c>
      <c r="G158">
        <v>602.8990994199811</v>
      </c>
      <c r="H158">
        <v>7.8724583166917901</v>
      </c>
      <c r="I158">
        <v>3.6063568939397856</v>
      </c>
      <c r="J158">
        <v>6.7220072580424706</v>
      </c>
      <c r="K158">
        <v>613.11858739254069</v>
      </c>
      <c r="L158">
        <v>8.903462100429147</v>
      </c>
      <c r="M158">
        <v>0.41000082677253757</v>
      </c>
    </row>
    <row r="159" spans="1:13" x14ac:dyDescent="0.2">
      <c r="A159">
        <v>157</v>
      </c>
      <c r="B159">
        <v>600</v>
      </c>
      <c r="C159">
        <v>75.916666666666814</v>
      </c>
      <c r="D159">
        <v>100</v>
      </c>
      <c r="E159">
        <v>76.011667553264829</v>
      </c>
      <c r="F159">
        <v>45.378527772869674</v>
      </c>
      <c r="G159">
        <v>620.37712978582135</v>
      </c>
      <c r="H159">
        <v>8.1718172968494418</v>
      </c>
      <c r="I159">
        <v>3.8329248429106841</v>
      </c>
      <c r="J159">
        <v>7.1443147118558885</v>
      </c>
      <c r="K159">
        <v>630.89298076842158</v>
      </c>
      <c r="L159">
        <v>9.8087761993358686</v>
      </c>
      <c r="M159">
        <v>0.41000092057114862</v>
      </c>
    </row>
    <row r="160" spans="1:13" x14ac:dyDescent="0.2">
      <c r="A160">
        <v>158</v>
      </c>
      <c r="B160">
        <v>600</v>
      </c>
      <c r="C160">
        <v>75.500000000000313</v>
      </c>
      <c r="D160">
        <v>100</v>
      </c>
      <c r="E160">
        <v>74.068408895728282</v>
      </c>
      <c r="F160">
        <v>43.087957949703245</v>
      </c>
      <c r="G160">
        <v>580.81104725076511</v>
      </c>
      <c r="H160">
        <v>7.6928615529902347</v>
      </c>
      <c r="I160">
        <v>3.4762587670251932</v>
      </c>
      <c r="J160">
        <v>6.4795130792641062</v>
      </c>
      <c r="K160">
        <v>590.65628790947051</v>
      </c>
      <c r="L160">
        <v>8.6489980383329925</v>
      </c>
      <c r="M160">
        <v>0.41000098452541767</v>
      </c>
    </row>
    <row r="161" spans="1:13" x14ac:dyDescent="0.2">
      <c r="A161">
        <v>159</v>
      </c>
      <c r="B161">
        <v>600</v>
      </c>
      <c r="C161">
        <v>77.416666666666742</v>
      </c>
      <c r="D161">
        <v>99</v>
      </c>
      <c r="E161">
        <v>82.447545803360327</v>
      </c>
      <c r="F161">
        <v>52.854326263539086</v>
      </c>
      <c r="G161">
        <v>755.28802191533589</v>
      </c>
      <c r="H161">
        <v>9.7561423713498616</v>
      </c>
      <c r="I161">
        <v>4.1643768654803264</v>
      </c>
      <c r="J161">
        <v>7.7621190409698526</v>
      </c>
      <c r="K161">
        <v>768.09045485040429</v>
      </c>
      <c r="L161">
        <v>10.411653867603713</v>
      </c>
      <c r="M161">
        <v>0.4100007228478541</v>
      </c>
    </row>
    <row r="162" spans="1:13" x14ac:dyDescent="0.2">
      <c r="A162">
        <v>160</v>
      </c>
      <c r="B162">
        <v>600</v>
      </c>
      <c r="C162">
        <v>76.000000000000298</v>
      </c>
      <c r="D162">
        <v>100</v>
      </c>
      <c r="E162">
        <v>68.028367197069073</v>
      </c>
      <c r="F162">
        <v>36.34711757607144</v>
      </c>
      <c r="G162">
        <v>467.76330910204615</v>
      </c>
      <c r="H162">
        <v>6.1547803829216354</v>
      </c>
      <c r="I162">
        <v>3.0826792628506983</v>
      </c>
      <c r="J162">
        <v>5.7459072932911424</v>
      </c>
      <c r="K162">
        <v>475.69223309600659</v>
      </c>
      <c r="L162">
        <v>7.6257686302497083</v>
      </c>
      <c r="M162">
        <v>0.41000090828772506</v>
      </c>
    </row>
    <row r="163" spans="1:13" x14ac:dyDescent="0.2">
      <c r="A163">
        <v>161</v>
      </c>
      <c r="B163">
        <v>600</v>
      </c>
      <c r="C163">
        <v>77.250000000000242</v>
      </c>
      <c r="D163">
        <v>99</v>
      </c>
      <c r="E163">
        <v>81.534885198987539</v>
      </c>
      <c r="F163">
        <v>51.690651272827985</v>
      </c>
      <c r="G163">
        <v>734.19398058686613</v>
      </c>
      <c r="H163">
        <v>9.5041291985354537</v>
      </c>
      <c r="I163">
        <v>4.1503987251893797</v>
      </c>
      <c r="J163">
        <v>7.7360647254228887</v>
      </c>
      <c r="K163">
        <v>746.63888602510406</v>
      </c>
      <c r="L163">
        <v>10.464412530748753</v>
      </c>
      <c r="M163">
        <v>0.41000074253123181</v>
      </c>
    </row>
    <row r="164" spans="1:13" x14ac:dyDescent="0.2">
      <c r="A164">
        <v>162</v>
      </c>
      <c r="B164">
        <v>600</v>
      </c>
      <c r="C164">
        <v>78.083333333333456</v>
      </c>
      <c r="D164">
        <v>98</v>
      </c>
      <c r="E164">
        <v>84.302170723856278</v>
      </c>
      <c r="F164">
        <v>54.700774082757576</v>
      </c>
      <c r="G164">
        <v>791.20303174886135</v>
      </c>
      <c r="H164">
        <v>10.132802967968326</v>
      </c>
      <c r="I164">
        <v>4.4293700906153175</v>
      </c>
      <c r="J164">
        <v>8.2560486311562293</v>
      </c>
      <c r="K164">
        <v>804.61413796828538</v>
      </c>
      <c r="L164">
        <v>11.312028107279351</v>
      </c>
      <c r="M164">
        <v>0.41000064919561674</v>
      </c>
    </row>
    <row r="165" spans="1:13" x14ac:dyDescent="0.2">
      <c r="A165">
        <v>163</v>
      </c>
      <c r="B165">
        <v>600</v>
      </c>
      <c r="C165">
        <v>77.000000000000256</v>
      </c>
      <c r="D165">
        <v>100</v>
      </c>
      <c r="E165">
        <v>77.677091046430803</v>
      </c>
      <c r="F165">
        <v>47.388808322714581</v>
      </c>
      <c r="G165">
        <v>655.5538426742736</v>
      </c>
      <c r="H165">
        <v>8.5136862684970307</v>
      </c>
      <c r="I165">
        <v>3.923742603424071</v>
      </c>
      <c r="J165">
        <v>7.3135929234372252</v>
      </c>
      <c r="K165">
        <v>666.66579827305577</v>
      </c>
      <c r="L165">
        <v>9.9306888404397942</v>
      </c>
      <c r="M165">
        <v>0.41000077306581523</v>
      </c>
    </row>
    <row r="166" spans="1:13" x14ac:dyDescent="0.2">
      <c r="A166">
        <v>164</v>
      </c>
      <c r="B166">
        <v>600</v>
      </c>
      <c r="C166">
        <v>77.083333333333499</v>
      </c>
      <c r="D166">
        <v>100</v>
      </c>
      <c r="E166">
        <v>76.456063399258156</v>
      </c>
      <c r="F166">
        <v>45.910682358890043</v>
      </c>
      <c r="G166">
        <v>629.648601837348</v>
      </c>
      <c r="H166">
        <v>8.1684142941061193</v>
      </c>
      <c r="I166">
        <v>3.8232793368053151</v>
      </c>
      <c r="J166">
        <v>7.1263361357042214</v>
      </c>
      <c r="K166">
        <v>640.32143984401273</v>
      </c>
      <c r="L166">
        <v>9.5867825533777715</v>
      </c>
      <c r="M166">
        <v>0.41000076275059422</v>
      </c>
    </row>
    <row r="167" spans="1:13" x14ac:dyDescent="0.2">
      <c r="A167">
        <v>165</v>
      </c>
      <c r="B167">
        <v>600</v>
      </c>
      <c r="C167">
        <v>78.333333333333456</v>
      </c>
      <c r="D167">
        <v>98</v>
      </c>
      <c r="E167">
        <v>83.162928191021919</v>
      </c>
      <c r="F167">
        <v>53.232333230812102</v>
      </c>
      <c r="G167">
        <v>764.27801591162029</v>
      </c>
      <c r="H167">
        <v>9.7567406286589673</v>
      </c>
      <c r="I167">
        <v>4.1958819693895739</v>
      </c>
      <c r="J167">
        <v>7.820842440614304</v>
      </c>
      <c r="K167">
        <v>777.23270202249273</v>
      </c>
      <c r="L167">
        <v>10.501490588471119</v>
      </c>
      <c r="M167">
        <v>0.41000062355366318</v>
      </c>
    </row>
    <row r="168" spans="1:13" x14ac:dyDescent="0.2">
      <c r="A168">
        <v>166</v>
      </c>
      <c r="B168">
        <v>600</v>
      </c>
      <c r="C168">
        <v>79.5833333333334</v>
      </c>
      <c r="D168">
        <v>100</v>
      </c>
      <c r="E168">
        <v>80.368968511681473</v>
      </c>
      <c r="F168">
        <v>50.730211187205718</v>
      </c>
      <c r="G168">
        <v>714.92176795593537</v>
      </c>
      <c r="H168">
        <v>8.9833101732682898</v>
      </c>
      <c r="I168">
        <v>4.0036046897426969</v>
      </c>
      <c r="J168">
        <v>7.4624504934626206</v>
      </c>
      <c r="K168">
        <v>727.03971421827248</v>
      </c>
      <c r="L168">
        <v>9.8473066919770815</v>
      </c>
      <c r="M168">
        <v>0.41000050975925018</v>
      </c>
    </row>
    <row r="169" spans="1:13" x14ac:dyDescent="0.2">
      <c r="A169">
        <v>167</v>
      </c>
      <c r="B169">
        <v>600</v>
      </c>
      <c r="C169">
        <v>78.666666666666686</v>
      </c>
      <c r="D169">
        <v>100</v>
      </c>
      <c r="E169">
        <v>83.315437710974024</v>
      </c>
      <c r="F169">
        <v>54.518116325196573</v>
      </c>
      <c r="G169">
        <v>783.52012016235733</v>
      </c>
      <c r="H169">
        <v>9.9600015274875915</v>
      </c>
      <c r="I169">
        <v>4.3811021898383178</v>
      </c>
      <c r="J169">
        <v>8.1660805029605168</v>
      </c>
      <c r="K169">
        <v>796.80092025983049</v>
      </c>
      <c r="L169">
        <v>10.927907115446359</v>
      </c>
      <c r="M169">
        <v>0.41000059093290886</v>
      </c>
    </row>
    <row r="170" spans="1:13" x14ac:dyDescent="0.2">
      <c r="A170">
        <v>168</v>
      </c>
      <c r="B170">
        <v>600</v>
      </c>
      <c r="C170">
        <v>79.250000000000156</v>
      </c>
      <c r="D170">
        <v>68</v>
      </c>
      <c r="E170">
        <v>84.868449673493856</v>
      </c>
      <c r="F170">
        <v>38.467266982402435</v>
      </c>
      <c r="G170">
        <v>558.43111113769601</v>
      </c>
      <c r="H170">
        <v>7.0464493518952036</v>
      </c>
      <c r="I170">
        <v>3.2469285141349622</v>
      </c>
      <c r="J170">
        <v>6.0520568763000231</v>
      </c>
      <c r="K170">
        <v>567.89656297226588</v>
      </c>
      <c r="L170">
        <v>8.1989816961544584</v>
      </c>
      <c r="M170">
        <v>0.41000053789904578</v>
      </c>
    </row>
    <row r="171" spans="1:13" x14ac:dyDescent="0.2">
      <c r="A171">
        <v>169</v>
      </c>
      <c r="B171">
        <v>600</v>
      </c>
      <c r="C171">
        <v>76.583333333333528</v>
      </c>
      <c r="D171">
        <v>97</v>
      </c>
      <c r="E171">
        <v>75.653099982707133</v>
      </c>
      <c r="F171">
        <v>43.602869655124039</v>
      </c>
      <c r="G171">
        <v>594.56858694620576</v>
      </c>
      <c r="H171">
        <v>7.7636812223661051</v>
      </c>
      <c r="I171">
        <v>3.5019664532145107</v>
      </c>
      <c r="J171">
        <v>6.5274304812945205</v>
      </c>
      <c r="K171">
        <v>604.64686792059126</v>
      </c>
      <c r="L171">
        <v>8.6527904431728402</v>
      </c>
      <c r="M171">
        <v>0.41000082677253757</v>
      </c>
    </row>
    <row r="172" spans="1:13" x14ac:dyDescent="0.2">
      <c r="A172">
        <v>170</v>
      </c>
      <c r="B172">
        <v>600</v>
      </c>
      <c r="C172">
        <v>77.166666666666757</v>
      </c>
      <c r="D172">
        <v>100</v>
      </c>
      <c r="E172">
        <v>77.670883202803807</v>
      </c>
      <c r="F172">
        <v>47.38123413185712</v>
      </c>
      <c r="G172">
        <v>655.42055444576124</v>
      </c>
      <c r="H172">
        <v>8.4935708999450608</v>
      </c>
      <c r="I172">
        <v>3.8936242120227842</v>
      </c>
      <c r="J172">
        <v>7.2574542628570056</v>
      </c>
      <c r="K172">
        <v>666.5302275934198</v>
      </c>
      <c r="L172">
        <v>9.7500018638282206</v>
      </c>
      <c r="M172">
        <v>0.41000075257301194</v>
      </c>
    </row>
    <row r="173" spans="1:13" x14ac:dyDescent="0.2">
      <c r="A173">
        <v>171</v>
      </c>
      <c r="B173">
        <v>600</v>
      </c>
      <c r="C173">
        <v>75.916666666666814</v>
      </c>
      <c r="D173">
        <v>100</v>
      </c>
      <c r="E173">
        <v>72.953379702728824</v>
      </c>
      <c r="F173">
        <v>41.800426573756447</v>
      </c>
      <c r="G173">
        <v>558.81937021308477</v>
      </c>
      <c r="H173">
        <v>7.360957675693748</v>
      </c>
      <c r="I173">
        <v>3.5271683625918486</v>
      </c>
      <c r="J173">
        <v>6.5744051492858313</v>
      </c>
      <c r="K173">
        <v>568.29177166247428</v>
      </c>
      <c r="L173">
        <v>8.9277893068677994</v>
      </c>
      <c r="M173">
        <v>0.41000092057114862</v>
      </c>
    </row>
    <row r="174" spans="1:13" x14ac:dyDescent="0.2">
      <c r="A174">
        <v>172</v>
      </c>
      <c r="B174">
        <v>600</v>
      </c>
      <c r="C174">
        <v>77.416666666666742</v>
      </c>
      <c r="D174">
        <v>100</v>
      </c>
      <c r="E174">
        <v>76.202721764670997</v>
      </c>
      <c r="F174">
        <v>45.606930984473188</v>
      </c>
      <c r="G174">
        <v>624.35301866752843</v>
      </c>
      <c r="H174">
        <v>8.0648398536171513</v>
      </c>
      <c r="I174">
        <v>3.6620314398545624</v>
      </c>
      <c r="J174">
        <v>6.8257808757773759</v>
      </c>
      <c r="K174">
        <v>634.93605112318482</v>
      </c>
      <c r="L174">
        <v>8.9674827267019772</v>
      </c>
      <c r="M174">
        <v>0.4100007228478541</v>
      </c>
    </row>
    <row r="175" spans="1:13" x14ac:dyDescent="0.2">
      <c r="A175">
        <v>173</v>
      </c>
      <c r="B175">
        <v>600</v>
      </c>
      <c r="C175">
        <v>75.666666666666814</v>
      </c>
      <c r="D175">
        <v>99</v>
      </c>
      <c r="E175">
        <v>76.8084387746906</v>
      </c>
      <c r="F175">
        <v>45.871500995126482</v>
      </c>
      <c r="G175">
        <v>630.68873109583501</v>
      </c>
      <c r="H175">
        <v>8.3350933625000057</v>
      </c>
      <c r="I175">
        <v>3.6787113093340422</v>
      </c>
      <c r="J175">
        <v>6.8568710332414584</v>
      </c>
      <c r="K175">
        <v>641.37941249650419</v>
      </c>
      <c r="L175">
        <v>9.2509191450466286</v>
      </c>
      <c r="M175">
        <v>0.41000095842714079</v>
      </c>
    </row>
    <row r="176" spans="1:13" x14ac:dyDescent="0.2">
      <c r="A176">
        <v>174</v>
      </c>
      <c r="B176">
        <v>600</v>
      </c>
      <c r="C176">
        <v>79.5833333333334</v>
      </c>
      <c r="D176">
        <v>97.804510132456684</v>
      </c>
      <c r="E176">
        <v>90.403388919236619</v>
      </c>
      <c r="F176">
        <v>62.779548153313037</v>
      </c>
      <c r="G176">
        <v>943.28341716791635</v>
      </c>
      <c r="H176">
        <v>11.852775922528782</v>
      </c>
      <c r="I176">
        <v>4.9592654787190709</v>
      </c>
      <c r="J176">
        <v>9.2437380777615488</v>
      </c>
      <c r="K176">
        <v>959.27210050606197</v>
      </c>
      <c r="L176">
        <v>12.605176588071631</v>
      </c>
      <c r="M176">
        <v>0.41000050975925018</v>
      </c>
    </row>
    <row r="177" spans="1:13" x14ac:dyDescent="0.2">
      <c r="A177">
        <v>175</v>
      </c>
      <c r="B177">
        <v>600</v>
      </c>
      <c r="C177">
        <v>77.583333333333485</v>
      </c>
      <c r="D177">
        <v>100</v>
      </c>
      <c r="E177">
        <v>73.41766393234181</v>
      </c>
      <c r="F177">
        <v>42.334165629480594</v>
      </c>
      <c r="G177">
        <v>567.91407173915718</v>
      </c>
      <c r="H177">
        <v>7.32005248213735</v>
      </c>
      <c r="I177">
        <v>3.4506975819092176</v>
      </c>
      <c r="J177">
        <v>6.4318687454039463</v>
      </c>
      <c r="K177">
        <v>577.54042279788177</v>
      </c>
      <c r="L177">
        <v>8.3700482739130315</v>
      </c>
      <c r="M177">
        <v>0.41000070368625285</v>
      </c>
    </row>
    <row r="178" spans="1:13" x14ac:dyDescent="0.2">
      <c r="A178">
        <v>176</v>
      </c>
      <c r="B178">
        <v>600</v>
      </c>
      <c r="C178">
        <v>77.083333333333499</v>
      </c>
      <c r="D178">
        <v>100</v>
      </c>
      <c r="E178">
        <v>75.192743805659134</v>
      </c>
      <c r="F178">
        <v>44.406009414352013</v>
      </c>
      <c r="G178">
        <v>603.5104478400707</v>
      </c>
      <c r="H178">
        <v>7.8293247287360357</v>
      </c>
      <c r="I178">
        <v>3.6492981202782264</v>
      </c>
      <c r="J178">
        <v>6.8020468225130033</v>
      </c>
      <c r="K178">
        <v>613.74023192333721</v>
      </c>
      <c r="L178">
        <v>9.1106040142788292</v>
      </c>
      <c r="M178">
        <v>0.41000076275059422</v>
      </c>
    </row>
    <row r="179" spans="1:13" x14ac:dyDescent="0.2">
      <c r="A179">
        <v>177</v>
      </c>
      <c r="B179">
        <v>600</v>
      </c>
      <c r="C179">
        <v>75.500000000000313</v>
      </c>
      <c r="D179">
        <v>100</v>
      </c>
      <c r="E179">
        <v>76.759468371268412</v>
      </c>
      <c r="F179">
        <v>46.27578533044472</v>
      </c>
      <c r="G179">
        <v>636.02623197127627</v>
      </c>
      <c r="H179">
        <v>8.424188502930777</v>
      </c>
      <c r="I179">
        <v>3.6638716866657894</v>
      </c>
      <c r="J179">
        <v>6.8292109723500269</v>
      </c>
      <c r="K179">
        <v>646.80741691713229</v>
      </c>
      <c r="L179">
        <v>9.2046788479440682</v>
      </c>
      <c r="M179">
        <v>0.41000098452541767</v>
      </c>
    </row>
    <row r="180" spans="1:13" x14ac:dyDescent="0.2">
      <c r="A180">
        <v>178</v>
      </c>
      <c r="B180">
        <v>600</v>
      </c>
      <c r="C180">
        <v>77.666666666666728</v>
      </c>
      <c r="D180">
        <v>100</v>
      </c>
      <c r="E180">
        <v>81.061796502607351</v>
      </c>
      <c r="F180">
        <v>51.60862996598896</v>
      </c>
      <c r="G180">
        <v>730.70923089263863</v>
      </c>
      <c r="H180">
        <v>9.4082733591326804</v>
      </c>
      <c r="I180">
        <v>4.1160947857785741</v>
      </c>
      <c r="J180">
        <v>7.6721244842098288</v>
      </c>
      <c r="K180">
        <v>743.09500756619548</v>
      </c>
      <c r="L180">
        <v>10.257485747800276</v>
      </c>
      <c r="M180">
        <v>0.41000069429678165</v>
      </c>
    </row>
    <row r="181" spans="1:13" x14ac:dyDescent="0.2">
      <c r="A181">
        <v>179</v>
      </c>
      <c r="B181">
        <v>600</v>
      </c>
      <c r="C181">
        <v>77.416666666666742</v>
      </c>
      <c r="D181">
        <v>100</v>
      </c>
      <c r="E181">
        <v>78.280802901492009</v>
      </c>
      <c r="F181">
        <v>48.128289199318388</v>
      </c>
      <c r="G181">
        <v>668.59711099345907</v>
      </c>
      <c r="H181">
        <v>8.6363458901200225</v>
      </c>
      <c r="I181">
        <v>3.9074863443530101</v>
      </c>
      <c r="J181">
        <v>7.283292347349505</v>
      </c>
      <c r="K181">
        <v>679.93009844421692</v>
      </c>
      <c r="L181">
        <v>9.6374120497904237</v>
      </c>
      <c r="M181">
        <v>0.4100007228478541</v>
      </c>
    </row>
    <row r="182" spans="1:13" x14ac:dyDescent="0.2">
      <c r="A182">
        <v>180</v>
      </c>
      <c r="B182">
        <v>600</v>
      </c>
      <c r="C182">
        <v>76.333333333333528</v>
      </c>
      <c r="D182">
        <v>100</v>
      </c>
      <c r="E182">
        <v>76.224414681720987</v>
      </c>
      <c r="F182">
        <v>45.63290087553392</v>
      </c>
      <c r="G182">
        <v>624.8052592357908</v>
      </c>
      <c r="H182">
        <v>8.1852217367133964</v>
      </c>
      <c r="I182">
        <v>3.7299284644471649</v>
      </c>
      <c r="J182">
        <v>6.9523363736200627</v>
      </c>
      <c r="K182">
        <v>635.39610588511334</v>
      </c>
      <c r="L182">
        <v>9.2851027966112394</v>
      </c>
      <c r="M182">
        <v>0.41000086077131626</v>
      </c>
    </row>
    <row r="183" spans="1:13" x14ac:dyDescent="0.2">
      <c r="A183">
        <v>181</v>
      </c>
      <c r="B183">
        <v>600</v>
      </c>
      <c r="C183">
        <v>77.333333333333499</v>
      </c>
      <c r="D183">
        <v>100</v>
      </c>
      <c r="E183">
        <v>74.393166080842235</v>
      </c>
      <c r="F183">
        <v>43.466629531074865</v>
      </c>
      <c r="G183">
        <v>587.31359187097053</v>
      </c>
      <c r="H183">
        <v>7.5945723086763266</v>
      </c>
      <c r="I183">
        <v>3.5146908791597826</v>
      </c>
      <c r="J183">
        <v>6.551147957427367</v>
      </c>
      <c r="K183">
        <v>597.2688011791646</v>
      </c>
      <c r="L183">
        <v>8.5989699047783397</v>
      </c>
      <c r="M183">
        <v>0.41000073262344178</v>
      </c>
    </row>
    <row r="184" spans="1:13" x14ac:dyDescent="0.2">
      <c r="A184">
        <v>182</v>
      </c>
      <c r="B184">
        <v>600</v>
      </c>
      <c r="C184">
        <v>74.666666666666856</v>
      </c>
      <c r="D184">
        <v>100</v>
      </c>
      <c r="E184">
        <v>73.37429014833647</v>
      </c>
      <c r="F184">
        <v>42.284159937021975</v>
      </c>
      <c r="G184">
        <v>567.06027531836844</v>
      </c>
      <c r="H184">
        <v>7.5945572587281296</v>
      </c>
      <c r="I184">
        <v>3.4395322207534416</v>
      </c>
      <c r="J184">
        <v>6.4110572614230037</v>
      </c>
      <c r="K184">
        <v>576.67256706056219</v>
      </c>
      <c r="L184">
        <v>8.6529241915865995</v>
      </c>
      <c r="M184">
        <v>0.4100011260717914</v>
      </c>
    </row>
    <row r="185" spans="1:13" x14ac:dyDescent="0.2">
      <c r="A185">
        <v>183</v>
      </c>
      <c r="B185">
        <v>600</v>
      </c>
      <c r="C185">
        <v>75.33333333333357</v>
      </c>
      <c r="D185">
        <v>50</v>
      </c>
      <c r="E185">
        <v>104.6355904572989</v>
      </c>
      <c r="F185">
        <v>42.995078324499111</v>
      </c>
      <c r="G185">
        <v>699.56482159622806</v>
      </c>
      <c r="H185">
        <v>9.2862586937552098</v>
      </c>
      <c r="I185">
        <v>4.0230232974166737</v>
      </c>
      <c r="J185">
        <v>7.4986454751475744</v>
      </c>
      <c r="K185">
        <v>711.42307193954798</v>
      </c>
      <c r="L185">
        <v>10.951740842485766</v>
      </c>
      <c r="M185">
        <v>0.41000101133435901</v>
      </c>
    </row>
    <row r="186" spans="1:13" x14ac:dyDescent="0.2">
      <c r="A186">
        <v>184</v>
      </c>
      <c r="B186">
        <v>600</v>
      </c>
      <c r="C186">
        <v>77.083333333333499</v>
      </c>
      <c r="D186">
        <v>90</v>
      </c>
      <c r="E186">
        <v>76.511842011746765</v>
      </c>
      <c r="F186">
        <v>41.379925662954037</v>
      </c>
      <c r="G186">
        <v>567.73637661730424</v>
      </c>
      <c r="H186">
        <v>7.365228669629877</v>
      </c>
      <c r="I186">
        <v>3.5258799514949852</v>
      </c>
      <c r="J186">
        <v>6.5720036374557038</v>
      </c>
      <c r="K186">
        <v>577.35977347778442</v>
      </c>
      <c r="L186">
        <v>8.8419161862280582</v>
      </c>
      <c r="M186">
        <v>0.41000076275059422</v>
      </c>
    </row>
    <row r="187" spans="1:13" x14ac:dyDescent="0.2">
      <c r="A187">
        <v>185</v>
      </c>
      <c r="B187">
        <v>600</v>
      </c>
      <c r="C187">
        <v>75.58333333333357</v>
      </c>
      <c r="D187">
        <v>100</v>
      </c>
      <c r="E187">
        <v>76.79990371945172</v>
      </c>
      <c r="F187">
        <v>46.324552482729402</v>
      </c>
      <c r="G187">
        <v>636.87918427061948</v>
      </c>
      <c r="H187">
        <v>8.4261854589276837</v>
      </c>
      <c r="I187">
        <v>3.6935904469656209</v>
      </c>
      <c r="J187">
        <v>6.8846047473730119</v>
      </c>
      <c r="K187">
        <v>647.67481306156708</v>
      </c>
      <c r="L187">
        <v>9.2861429480152111</v>
      </c>
      <c r="M187">
        <v>0.41000097138863545</v>
      </c>
    </row>
    <row r="188" spans="1:13" x14ac:dyDescent="0.2">
      <c r="A188">
        <v>186</v>
      </c>
      <c r="B188">
        <v>600</v>
      </c>
      <c r="C188">
        <v>75.33333333333357</v>
      </c>
      <c r="D188">
        <v>100</v>
      </c>
      <c r="E188">
        <v>74.459560629356005</v>
      </c>
      <c r="F188">
        <v>43.544250506843603</v>
      </c>
      <c r="G188">
        <v>588.64808039426396</v>
      </c>
      <c r="H188">
        <v>7.8139125716052495</v>
      </c>
      <c r="I188">
        <v>3.564918285519461</v>
      </c>
      <c r="J188">
        <v>6.6447684725432632</v>
      </c>
      <c r="K188">
        <v>598.6261926233816</v>
      </c>
      <c r="L188">
        <v>8.9391831454176831</v>
      </c>
      <c r="M188">
        <v>0.41000101133435901</v>
      </c>
    </row>
    <row r="189" spans="1:13" x14ac:dyDescent="0.2">
      <c r="A189">
        <v>187</v>
      </c>
      <c r="B189">
        <v>600</v>
      </c>
      <c r="C189">
        <v>75.416666666666828</v>
      </c>
      <c r="D189">
        <v>100</v>
      </c>
      <c r="E189">
        <v>70.442556372559608</v>
      </c>
      <c r="F189">
        <v>38.972664404115562</v>
      </c>
      <c r="G189">
        <v>511.17043108589922</v>
      </c>
      <c r="H189">
        <v>6.7779504674373232</v>
      </c>
      <c r="I189">
        <v>3.1366664984737476</v>
      </c>
      <c r="J189">
        <v>5.8465358778634622</v>
      </c>
      <c r="K189">
        <v>519.83521587091104</v>
      </c>
      <c r="L189">
        <v>7.6982595375915919</v>
      </c>
      <c r="M189">
        <v>0.41000099783985799</v>
      </c>
    </row>
    <row r="190" spans="1:13" x14ac:dyDescent="0.2">
      <c r="A190">
        <v>188</v>
      </c>
      <c r="B190">
        <v>600</v>
      </c>
      <c r="C190">
        <v>79.250000000000156</v>
      </c>
      <c r="D190">
        <v>100</v>
      </c>
      <c r="E190">
        <v>86.307808889687536</v>
      </c>
      <c r="F190">
        <v>58.504606663691447</v>
      </c>
      <c r="G190">
        <v>857.13006689690928</v>
      </c>
      <c r="H190">
        <v>10.815521348856878</v>
      </c>
      <c r="I190">
        <v>4.7056313321689043</v>
      </c>
      <c r="J190">
        <v>8.7709810478451136</v>
      </c>
      <c r="K190">
        <v>871.65848983460262</v>
      </c>
      <c r="L190">
        <v>11.948264906583733</v>
      </c>
      <c r="M190">
        <v>0.41000053789904578</v>
      </c>
    </row>
    <row r="191" spans="1:13" x14ac:dyDescent="0.2">
      <c r="A191">
        <v>189</v>
      </c>
      <c r="B191">
        <v>600</v>
      </c>
      <c r="C191">
        <v>79.000000000000171</v>
      </c>
      <c r="D191">
        <v>100</v>
      </c>
      <c r="E191">
        <v>79.942973373343676</v>
      </c>
      <c r="F191">
        <v>50.193846226323856</v>
      </c>
      <c r="G191">
        <v>705.31816458133756</v>
      </c>
      <c r="H191">
        <v>8.9280780326751401</v>
      </c>
      <c r="I191">
        <v>4.1492765168053536</v>
      </c>
      <c r="J191">
        <v>7.7339730042970238</v>
      </c>
      <c r="K191">
        <v>717.27339056831158</v>
      </c>
      <c r="L191">
        <v>10.436370111683113</v>
      </c>
      <c r="M191">
        <v>0.41000056001868546</v>
      </c>
    </row>
    <row r="192" spans="1:13" x14ac:dyDescent="0.2">
      <c r="A192">
        <v>190</v>
      </c>
      <c r="B192">
        <v>600</v>
      </c>
      <c r="C192">
        <v>77.083333333333499</v>
      </c>
      <c r="D192">
        <v>99</v>
      </c>
      <c r="E192">
        <v>79.826998018743382</v>
      </c>
      <c r="F192">
        <v>49.547833655055271</v>
      </c>
      <c r="G192">
        <v>695.68987270113223</v>
      </c>
      <c r="H192">
        <v>9.0251659161227753</v>
      </c>
      <c r="I192">
        <v>4.0743522969203552</v>
      </c>
      <c r="J192">
        <v>7.5943192859652484</v>
      </c>
      <c r="K192">
        <v>707.48214110695392</v>
      </c>
      <c r="L192">
        <v>10.331036134817785</v>
      </c>
      <c r="M192">
        <v>0.41000076275059422</v>
      </c>
    </row>
    <row r="193" spans="1:13" x14ac:dyDescent="0.2">
      <c r="A193">
        <v>191</v>
      </c>
      <c r="B193">
        <v>600</v>
      </c>
      <c r="C193">
        <v>78.083333333333456</v>
      </c>
      <c r="D193">
        <v>100</v>
      </c>
      <c r="E193">
        <v>75.773958706082368</v>
      </c>
      <c r="F193">
        <v>45.095149940425102</v>
      </c>
      <c r="G193">
        <v>615.45239498522778</v>
      </c>
      <c r="H193">
        <v>7.8819943861501844</v>
      </c>
      <c r="I193">
        <v>3.7577960418867891</v>
      </c>
      <c r="J193">
        <v>7.0042796680089259</v>
      </c>
      <c r="K193">
        <v>625.88448019084376</v>
      </c>
      <c r="L193">
        <v>9.3132172456675537</v>
      </c>
      <c r="M193">
        <v>0.41000064919561674</v>
      </c>
    </row>
    <row r="194" spans="1:13" x14ac:dyDescent="0.2">
      <c r="A194">
        <v>192</v>
      </c>
      <c r="B194">
        <v>600</v>
      </c>
      <c r="C194">
        <v>79.250000000000156</v>
      </c>
      <c r="D194">
        <v>100</v>
      </c>
      <c r="E194">
        <v>83.796114052906077</v>
      </c>
      <c r="F194">
        <v>55.148999725956486</v>
      </c>
      <c r="G194">
        <v>795.07457911058657</v>
      </c>
      <c r="H194">
        <v>10.032486802657225</v>
      </c>
      <c r="I194">
        <v>4.4685889633037048</v>
      </c>
      <c r="J194">
        <v>8.32914997819889</v>
      </c>
      <c r="K194">
        <v>808.55115658516524</v>
      </c>
      <c r="L194">
        <v>11.240955117739352</v>
      </c>
      <c r="M194">
        <v>0.41000053789904578</v>
      </c>
    </row>
    <row r="195" spans="1:13" x14ac:dyDescent="0.2">
      <c r="A195">
        <v>193</v>
      </c>
      <c r="B195">
        <v>600</v>
      </c>
      <c r="C195">
        <v>76.250000000000284</v>
      </c>
      <c r="D195">
        <v>99</v>
      </c>
      <c r="E195">
        <v>80.118041736505631</v>
      </c>
      <c r="F195">
        <v>49.909788239394743</v>
      </c>
      <c r="G195">
        <v>702.16240132066082</v>
      </c>
      <c r="H195">
        <v>9.2086872304348617</v>
      </c>
      <c r="I195">
        <v>4.0155383764526098</v>
      </c>
      <c r="J195">
        <v>7.4846940847206147</v>
      </c>
      <c r="K195">
        <v>714.06451483211708</v>
      </c>
      <c r="L195">
        <v>10.18364696786028</v>
      </c>
      <c r="M195">
        <v>0.4100008724121415</v>
      </c>
    </row>
    <row r="196" spans="1:13" x14ac:dyDescent="0.2">
      <c r="A196">
        <v>194</v>
      </c>
      <c r="B196">
        <v>600</v>
      </c>
      <c r="C196">
        <v>79.000000000000171</v>
      </c>
      <c r="D196">
        <v>100</v>
      </c>
      <c r="E196">
        <v>85.055670511337198</v>
      </c>
      <c r="F196">
        <v>56.819371626082706</v>
      </c>
      <c r="G196">
        <v>825.84009445962738</v>
      </c>
      <c r="H196">
        <v>10.453672081767412</v>
      </c>
      <c r="I196">
        <v>4.704888204653737</v>
      </c>
      <c r="J196">
        <v>8.7695959080218753</v>
      </c>
      <c r="K196">
        <v>839.83818135737408</v>
      </c>
      <c r="L196">
        <v>12.06274488613111</v>
      </c>
      <c r="M196">
        <v>0.41000056001868546</v>
      </c>
    </row>
    <row r="197" spans="1:13" x14ac:dyDescent="0.2">
      <c r="A197">
        <v>195</v>
      </c>
      <c r="B197">
        <v>600</v>
      </c>
      <c r="C197">
        <v>77.500000000000227</v>
      </c>
      <c r="D197">
        <v>100</v>
      </c>
      <c r="E197">
        <v>78.708353540126851</v>
      </c>
      <c r="F197">
        <v>48.655454840480758</v>
      </c>
      <c r="G197">
        <v>677.9288775583459</v>
      </c>
      <c r="H197">
        <v>8.7474693878495984</v>
      </c>
      <c r="I197">
        <v>3.8837927728026815</v>
      </c>
      <c r="J197">
        <v>7.2391291198558827</v>
      </c>
      <c r="K197">
        <v>689.42003090040362</v>
      </c>
      <c r="L197">
        <v>9.5948107426331113</v>
      </c>
      <c r="M197">
        <v>0.41000071320270459</v>
      </c>
    </row>
    <row r="198" spans="1:13" x14ac:dyDescent="0.2">
      <c r="A198">
        <v>196</v>
      </c>
      <c r="B198">
        <v>600</v>
      </c>
      <c r="C198">
        <v>75.416666666666828</v>
      </c>
      <c r="D198">
        <v>100</v>
      </c>
      <c r="E198">
        <v>76.489157115859697</v>
      </c>
      <c r="F198">
        <v>45.950435489431875</v>
      </c>
      <c r="G198">
        <v>630.34211764260806</v>
      </c>
      <c r="H198">
        <v>8.3581275267527957</v>
      </c>
      <c r="I198">
        <v>3.6970565734568361</v>
      </c>
      <c r="J198">
        <v>6.8910653745700561</v>
      </c>
      <c r="K198">
        <v>641.02696648783399</v>
      </c>
      <c r="L198">
        <v>9.2809934140672006</v>
      </c>
      <c r="M198">
        <v>0.41000099783985799</v>
      </c>
    </row>
    <row r="199" spans="1:13" x14ac:dyDescent="0.2">
      <c r="A199">
        <v>197</v>
      </c>
      <c r="B199">
        <v>600</v>
      </c>
      <c r="C199">
        <v>77.250000000000242</v>
      </c>
      <c r="D199">
        <v>99</v>
      </c>
      <c r="E199">
        <v>76.239323801615242</v>
      </c>
      <c r="F199">
        <v>45.194246224791677</v>
      </c>
      <c r="G199">
        <v>618.86525214123367</v>
      </c>
      <c r="H199">
        <v>8.0112006749674016</v>
      </c>
      <c r="I199">
        <v>3.6826869816429908</v>
      </c>
      <c r="J199">
        <v>6.8642814196514266</v>
      </c>
      <c r="K199">
        <v>629.35528576389106</v>
      </c>
      <c r="L199">
        <v>9.1204803256180291</v>
      </c>
      <c r="M199">
        <v>0.41000074253123181</v>
      </c>
    </row>
    <row r="200" spans="1:13" x14ac:dyDescent="0.2">
      <c r="A200">
        <v>198</v>
      </c>
      <c r="B200">
        <v>600</v>
      </c>
      <c r="C200">
        <v>76.000000000000298</v>
      </c>
      <c r="D200">
        <v>100</v>
      </c>
      <c r="E200">
        <v>73.82635652921239</v>
      </c>
      <c r="F200">
        <v>42.806798932027078</v>
      </c>
      <c r="G200">
        <v>575.99329823987034</v>
      </c>
      <c r="H200">
        <v>7.5788591873666853</v>
      </c>
      <c r="I200">
        <v>3.5759065507359709</v>
      </c>
      <c r="J200">
        <v>6.6652498615768323</v>
      </c>
      <c r="K200">
        <v>585.75679827056263</v>
      </c>
      <c r="L200">
        <v>9.0372535886143837</v>
      </c>
      <c r="M200">
        <v>0.41000090828772506</v>
      </c>
    </row>
    <row r="201" spans="1:13" x14ac:dyDescent="0.2">
      <c r="A201">
        <v>199</v>
      </c>
      <c r="B201">
        <v>600</v>
      </c>
      <c r="C201">
        <v>78.333333333333456</v>
      </c>
      <c r="D201">
        <v>100</v>
      </c>
      <c r="E201">
        <v>78.848980265597888</v>
      </c>
      <c r="F201">
        <v>48.829473720263941</v>
      </c>
      <c r="G201">
        <v>681.01548502777609</v>
      </c>
      <c r="H201">
        <v>8.6938147024822339</v>
      </c>
      <c r="I201">
        <v>3.9615852633293183</v>
      </c>
      <c r="J201">
        <v>7.3841291021981696</v>
      </c>
      <c r="K201">
        <v>692.5588523123306</v>
      </c>
      <c r="L201">
        <v>9.7673848349725567</v>
      </c>
      <c r="M201">
        <v>0.41000062355366318</v>
      </c>
    </row>
    <row r="202" spans="1:13" x14ac:dyDescent="0.2">
      <c r="A202">
        <v>200</v>
      </c>
      <c r="B202">
        <v>600</v>
      </c>
      <c r="C202">
        <v>77.333333333333499</v>
      </c>
      <c r="D202">
        <v>94</v>
      </c>
      <c r="E202">
        <v>79.212537040393457</v>
      </c>
      <c r="F202">
        <v>46.323949702174808</v>
      </c>
      <c r="G202">
        <v>647.69220341198627</v>
      </c>
      <c r="H202">
        <v>8.3753302165342873</v>
      </c>
      <c r="I202">
        <v>3.7911883563277566</v>
      </c>
      <c r="J202">
        <v>7.0665207014496856</v>
      </c>
      <c r="K202">
        <v>658.67085526254368</v>
      </c>
      <c r="L202">
        <v>9.4319786990721965</v>
      </c>
      <c r="M202">
        <v>0.41000073262344178</v>
      </c>
    </row>
    <row r="203" spans="1:13" x14ac:dyDescent="0.2">
      <c r="A203">
        <v>201</v>
      </c>
      <c r="B203">
        <v>600</v>
      </c>
      <c r="C203">
        <v>76.666666666666771</v>
      </c>
      <c r="D203">
        <v>65</v>
      </c>
      <c r="E203">
        <v>93.317071938824824</v>
      </c>
      <c r="F203">
        <v>44.455494398586417</v>
      </c>
      <c r="G203">
        <v>679.59978709634856</v>
      </c>
      <c r="H203">
        <v>8.8643450490827949</v>
      </c>
      <c r="I203">
        <v>3.7720941794289526</v>
      </c>
      <c r="J203">
        <v>7.030930436959836</v>
      </c>
      <c r="K203">
        <v>691.11938310510857</v>
      </c>
      <c r="L203">
        <v>9.8611017828241057</v>
      </c>
      <c r="M203">
        <v>0.41000081574069358</v>
      </c>
    </row>
    <row r="204" spans="1:13" x14ac:dyDescent="0.2">
      <c r="A204">
        <v>202</v>
      </c>
      <c r="B204">
        <v>600</v>
      </c>
      <c r="C204">
        <v>79.166666666666671</v>
      </c>
      <c r="D204">
        <v>100</v>
      </c>
      <c r="E204">
        <v>83.928405112401705</v>
      </c>
      <c r="F204">
        <v>55.32326743885875</v>
      </c>
      <c r="G204">
        <v>798.27258392599958</v>
      </c>
      <c r="H204">
        <v>10.083443165381048</v>
      </c>
      <c r="I204">
        <v>4.5097062976714346</v>
      </c>
      <c r="J204">
        <v>8.405789930422058</v>
      </c>
      <c r="K204">
        <v>811.80337784616756</v>
      </c>
      <c r="L204">
        <v>11.410783449764658</v>
      </c>
      <c r="M204">
        <v>0.4100005451734387</v>
      </c>
    </row>
    <row r="205" spans="1:13" x14ac:dyDescent="0.2">
      <c r="A205">
        <v>203</v>
      </c>
      <c r="B205">
        <v>600</v>
      </c>
      <c r="C205">
        <v>77.083333333333499</v>
      </c>
      <c r="D205">
        <v>98</v>
      </c>
      <c r="E205">
        <v>80.264916198720002</v>
      </c>
      <c r="F205">
        <v>49.58695842464617</v>
      </c>
      <c r="G205">
        <v>698.31708179448515</v>
      </c>
      <c r="H205">
        <v>9.0592486286851912</v>
      </c>
      <c r="I205">
        <v>4.0682064089676677</v>
      </c>
      <c r="J205">
        <v>7.5828637632202573</v>
      </c>
      <c r="K205">
        <v>710.15388262201179</v>
      </c>
      <c r="L205">
        <v>10.333255127775306</v>
      </c>
      <c r="M205">
        <v>0.41000076275059422</v>
      </c>
    </row>
    <row r="206" spans="1:13" x14ac:dyDescent="0.2">
      <c r="A206">
        <v>204</v>
      </c>
      <c r="B206">
        <v>600</v>
      </c>
      <c r="C206">
        <v>76.666666666666771</v>
      </c>
      <c r="D206">
        <v>99</v>
      </c>
      <c r="E206">
        <v>71.749272223049985</v>
      </c>
      <c r="F206">
        <v>40.027648410433571</v>
      </c>
      <c r="G206">
        <v>530.29049829298856</v>
      </c>
      <c r="H206">
        <v>6.9168325864302762</v>
      </c>
      <c r="I206">
        <v>3.2108873613357987</v>
      </c>
      <c r="J206">
        <v>5.9848785859008364</v>
      </c>
      <c r="K206">
        <v>539.2792184538929</v>
      </c>
      <c r="L206">
        <v>7.8303468615840588</v>
      </c>
      <c r="M206">
        <v>0.41000081574069358</v>
      </c>
    </row>
    <row r="207" spans="1:13" x14ac:dyDescent="0.2">
      <c r="A207">
        <v>205</v>
      </c>
      <c r="B207">
        <v>600</v>
      </c>
      <c r="C207">
        <v>79.416666666666657</v>
      </c>
      <c r="D207">
        <v>96.83879112086052</v>
      </c>
      <c r="E207">
        <v>90.933729701242484</v>
      </c>
      <c r="F207">
        <v>62.891108463629166</v>
      </c>
      <c r="G207">
        <v>947.97514536325878</v>
      </c>
      <c r="H207">
        <v>11.9367279584041</v>
      </c>
      <c r="I207">
        <v>5.0233249790709769</v>
      </c>
      <c r="J207">
        <v>9.3631406879235364</v>
      </c>
      <c r="K207">
        <v>964.04337632166141</v>
      </c>
      <c r="L207">
        <v>12.750236753894468</v>
      </c>
      <c r="M207">
        <v>0.41000052364015721</v>
      </c>
    </row>
    <row r="208" spans="1:13" x14ac:dyDescent="0.2">
      <c r="A208">
        <v>206</v>
      </c>
      <c r="B208">
        <v>600</v>
      </c>
      <c r="C208">
        <v>77.916666666666728</v>
      </c>
      <c r="D208">
        <v>100</v>
      </c>
      <c r="E208">
        <v>77.010642891167606</v>
      </c>
      <c r="F208">
        <v>46.579130714515571</v>
      </c>
      <c r="G208">
        <v>641.33605862647323</v>
      </c>
      <c r="H208">
        <v>8.2310510198049975</v>
      </c>
      <c r="I208">
        <v>3.9271234251510823</v>
      </c>
      <c r="J208">
        <v>7.3198945482778779</v>
      </c>
      <c r="K208">
        <v>652.20689850055805</v>
      </c>
      <c r="L208">
        <v>9.8564276605936314</v>
      </c>
      <c r="M208">
        <v>0.41000066687342057</v>
      </c>
    </row>
    <row r="209" spans="1:13" x14ac:dyDescent="0.2">
      <c r="A209">
        <v>207</v>
      </c>
      <c r="B209">
        <v>600</v>
      </c>
      <c r="C209">
        <v>76.50000000000027</v>
      </c>
      <c r="D209">
        <v>100</v>
      </c>
      <c r="E209">
        <v>69.788439016631145</v>
      </c>
      <c r="F209">
        <v>38.252238084476915</v>
      </c>
      <c r="G209">
        <v>499.17827338417464</v>
      </c>
      <c r="H209">
        <v>6.5252061880284034</v>
      </c>
      <c r="I209">
        <v>3.1202391289865541</v>
      </c>
      <c r="J209">
        <v>5.8159163634418523</v>
      </c>
      <c r="K209">
        <v>507.63964306602975</v>
      </c>
      <c r="L209">
        <v>7.5441843220558118</v>
      </c>
      <c r="M209">
        <v>0.41000083795357306</v>
      </c>
    </row>
    <row r="210" spans="1:13" x14ac:dyDescent="0.2">
      <c r="A210">
        <v>208</v>
      </c>
      <c r="B210">
        <v>600</v>
      </c>
      <c r="C210">
        <v>76.50000000000027</v>
      </c>
      <c r="D210">
        <v>100</v>
      </c>
      <c r="E210">
        <v>74.133351241896264</v>
      </c>
      <c r="F210">
        <v>43.163549145793247</v>
      </c>
      <c r="G210">
        <v>582.10795442204949</v>
      </c>
      <c r="H210">
        <v>7.6092543061705546</v>
      </c>
      <c r="I210">
        <v>3.4324304717936567</v>
      </c>
      <c r="J210">
        <v>6.3978200779005707</v>
      </c>
      <c r="K210">
        <v>591.97503169630966</v>
      </c>
      <c r="L210">
        <v>8.435622439734729</v>
      </c>
      <c r="M210">
        <v>0.41000083795357306</v>
      </c>
    </row>
    <row r="211" spans="1:13" x14ac:dyDescent="0.2">
      <c r="A211">
        <v>209</v>
      </c>
      <c r="B211">
        <v>600</v>
      </c>
      <c r="C211">
        <v>77.166666666666757</v>
      </c>
      <c r="D211">
        <v>99</v>
      </c>
      <c r="E211">
        <v>78.819102523302604</v>
      </c>
      <c r="F211">
        <v>48.304550693423394</v>
      </c>
      <c r="G211">
        <v>673.55527268160711</v>
      </c>
      <c r="H211">
        <v>8.7285780477098012</v>
      </c>
      <c r="I211">
        <v>3.9485673000270034</v>
      </c>
      <c r="J211">
        <v>7.3598644921286178</v>
      </c>
      <c r="K211">
        <v>684.97233745874462</v>
      </c>
      <c r="L211">
        <v>9.9270632205586686</v>
      </c>
      <c r="M211">
        <v>0.41000075257301194</v>
      </c>
    </row>
    <row r="212" spans="1:13" x14ac:dyDescent="0.2">
      <c r="A212">
        <v>210</v>
      </c>
      <c r="B212">
        <v>600</v>
      </c>
      <c r="C212">
        <v>76.083333333333542</v>
      </c>
      <c r="D212">
        <v>100</v>
      </c>
      <c r="E212">
        <v>74.171652003228033</v>
      </c>
      <c r="F212">
        <v>43.208161289337532</v>
      </c>
      <c r="G212">
        <v>582.87350616878382</v>
      </c>
      <c r="H212">
        <v>7.6609880328865136</v>
      </c>
      <c r="I212">
        <v>3.6386830402933281</v>
      </c>
      <c r="J212">
        <v>6.782261025709837</v>
      </c>
      <c r="K212">
        <v>592.75361848850014</v>
      </c>
      <c r="L212">
        <v>9.1606497787819752</v>
      </c>
      <c r="M212">
        <v>0.41000089616820251</v>
      </c>
    </row>
    <row r="213" spans="1:13" x14ac:dyDescent="0.2">
      <c r="A213">
        <v>211</v>
      </c>
      <c r="B213">
        <v>600</v>
      </c>
      <c r="C213">
        <v>77.500000000000227</v>
      </c>
      <c r="D213">
        <v>97</v>
      </c>
      <c r="E213">
        <v>75.301562492430605</v>
      </c>
      <c r="F213">
        <v>43.198591947059327</v>
      </c>
      <c r="G213">
        <v>587.56345462485604</v>
      </c>
      <c r="H213">
        <v>7.5814639306432818</v>
      </c>
      <c r="I213">
        <v>3.4155446717325035</v>
      </c>
      <c r="J213">
        <v>6.3663460796505182</v>
      </c>
      <c r="K213">
        <v>597.52287954211408</v>
      </c>
      <c r="L213">
        <v>8.3381914968713229</v>
      </c>
      <c r="M213">
        <v>0.41000071320270459</v>
      </c>
    </row>
    <row r="214" spans="1:13" x14ac:dyDescent="0.2">
      <c r="A214">
        <v>212</v>
      </c>
      <c r="B214">
        <v>600</v>
      </c>
      <c r="C214">
        <v>78.333333333333456</v>
      </c>
      <c r="D214">
        <v>100</v>
      </c>
      <c r="E214">
        <v>77.663065898431555</v>
      </c>
      <c r="F214">
        <v>47.371697098825976</v>
      </c>
      <c r="G214">
        <v>655.25284761116995</v>
      </c>
      <c r="H214">
        <v>8.3649299695042849</v>
      </c>
      <c r="I214">
        <v>3.85129373341266</v>
      </c>
      <c r="J214">
        <v>7.178553091169916</v>
      </c>
      <c r="K214">
        <v>666.35953233496514</v>
      </c>
      <c r="L214">
        <v>9.4537369154397073</v>
      </c>
      <c r="M214">
        <v>0.41000062355366318</v>
      </c>
    </row>
    <row r="215" spans="1:13" x14ac:dyDescent="0.2">
      <c r="A215">
        <v>213</v>
      </c>
      <c r="B215">
        <v>600</v>
      </c>
      <c r="C215">
        <v>77.166666666666757</v>
      </c>
      <c r="D215">
        <v>99</v>
      </c>
      <c r="E215">
        <v>77.730941536848349</v>
      </c>
      <c r="F215">
        <v>46.979991347402674</v>
      </c>
      <c r="G215">
        <v>650.14386447823631</v>
      </c>
      <c r="H215">
        <v>8.4251904684004604</v>
      </c>
      <c r="I215">
        <v>3.8491074202153666</v>
      </c>
      <c r="J215">
        <v>7.1744779500752394</v>
      </c>
      <c r="K215">
        <v>661.16409535795992</v>
      </c>
      <c r="L215">
        <v>9.6416512151068368</v>
      </c>
      <c r="M215">
        <v>0.41000075257301194</v>
      </c>
    </row>
    <row r="216" spans="1:13" x14ac:dyDescent="0.2">
      <c r="A216">
        <v>214</v>
      </c>
      <c r="B216">
        <v>600</v>
      </c>
      <c r="C216">
        <v>78.166666666666714</v>
      </c>
      <c r="D216">
        <v>100</v>
      </c>
      <c r="E216">
        <v>76.234807047827886</v>
      </c>
      <c r="F216">
        <v>45.645344818664171</v>
      </c>
      <c r="G216">
        <v>625.0222865864182</v>
      </c>
      <c r="H216">
        <v>7.9960207239200578</v>
      </c>
      <c r="I216">
        <v>3.8114063318349864</v>
      </c>
      <c r="J216">
        <v>7.1042056511369731</v>
      </c>
      <c r="K216">
        <v>635.61657472099591</v>
      </c>
      <c r="L216">
        <v>9.411924903063392</v>
      </c>
      <c r="M216">
        <v>0.41000064053322849</v>
      </c>
    </row>
    <row r="217" spans="1:13" x14ac:dyDescent="0.2">
      <c r="A217">
        <v>215</v>
      </c>
      <c r="B217">
        <v>600</v>
      </c>
      <c r="C217">
        <v>79.000000000000171</v>
      </c>
      <c r="D217">
        <v>98</v>
      </c>
      <c r="E217">
        <v>85.368248814973256</v>
      </c>
      <c r="F217">
        <v>56.093004471566509</v>
      </c>
      <c r="G217">
        <v>816.91336553788335</v>
      </c>
      <c r="H217">
        <v>10.340675513137739</v>
      </c>
      <c r="I217">
        <v>4.5723715801131304</v>
      </c>
      <c r="J217">
        <v>8.5225938119536444</v>
      </c>
      <c r="K217">
        <v>830.76014332870068</v>
      </c>
      <c r="L217">
        <v>11.737441532813545</v>
      </c>
      <c r="M217">
        <v>0.41000056001868546</v>
      </c>
    </row>
    <row r="218" spans="1:13" x14ac:dyDescent="0.2">
      <c r="A218">
        <v>216</v>
      </c>
      <c r="B218">
        <v>600</v>
      </c>
      <c r="C218">
        <v>76.166666666666799</v>
      </c>
      <c r="D218">
        <v>50</v>
      </c>
      <c r="E218">
        <v>103.26459648891893</v>
      </c>
      <c r="F218">
        <v>41.87576851548895</v>
      </c>
      <c r="G218">
        <v>676.47550079167809</v>
      </c>
      <c r="H218">
        <v>8.8815164217725631</v>
      </c>
      <c r="I218">
        <v>4.0109490887522838</v>
      </c>
      <c r="J218">
        <v>7.4761399603956828</v>
      </c>
      <c r="K218">
        <v>687.94221823841804</v>
      </c>
      <c r="L218">
        <v>10.938564757299496</v>
      </c>
      <c r="M218">
        <v>0.41000088421039388</v>
      </c>
    </row>
    <row r="219" spans="1:13" x14ac:dyDescent="0.2">
      <c r="A219">
        <v>217</v>
      </c>
      <c r="B219">
        <v>600</v>
      </c>
      <c r="C219">
        <v>74.666666666666856</v>
      </c>
      <c r="D219">
        <v>88</v>
      </c>
      <c r="E219">
        <v>73.43645953475027</v>
      </c>
      <c r="F219">
        <v>37.273142967816504</v>
      </c>
      <c r="G219">
        <v>500.08966938692902</v>
      </c>
      <c r="H219">
        <v>6.697629500717782</v>
      </c>
      <c r="I219">
        <v>2.9807949525895538</v>
      </c>
      <c r="J219">
        <v>5.5560017755630078</v>
      </c>
      <c r="K219">
        <v>508.56673612680157</v>
      </c>
      <c r="L219">
        <v>7.5014682738770846</v>
      </c>
      <c r="M219">
        <v>0.4100011260717914</v>
      </c>
    </row>
    <row r="220" spans="1:13" x14ac:dyDescent="0.2">
      <c r="A220">
        <v>218</v>
      </c>
      <c r="B220">
        <v>600</v>
      </c>
      <c r="C220">
        <v>76.916666666666771</v>
      </c>
      <c r="D220">
        <v>100</v>
      </c>
      <c r="E220">
        <v>72.695893917604764</v>
      </c>
      <c r="F220">
        <v>41.505881704128775</v>
      </c>
      <c r="G220">
        <v>553.81418688469626</v>
      </c>
      <c r="H220">
        <v>7.2001844448714474</v>
      </c>
      <c r="I220">
        <v>3.5581344025655124</v>
      </c>
      <c r="J220">
        <v>6.6321237699263964</v>
      </c>
      <c r="K220">
        <v>563.20161595059301</v>
      </c>
      <c r="L220">
        <v>8.8831289239759261</v>
      </c>
      <c r="M220">
        <v>0.41000078352053626</v>
      </c>
    </row>
    <row r="221" spans="1:13" x14ac:dyDescent="0.2">
      <c r="A221">
        <v>219</v>
      </c>
      <c r="B221">
        <v>600</v>
      </c>
      <c r="C221">
        <v>79.666666666666643</v>
      </c>
      <c r="D221">
        <v>89</v>
      </c>
      <c r="E221">
        <v>84.163683026708597</v>
      </c>
      <c r="F221">
        <v>49.514152754840545</v>
      </c>
      <c r="G221">
        <v>715.54178607498886</v>
      </c>
      <c r="H221">
        <v>8.9816960595186917</v>
      </c>
      <c r="I221">
        <v>4.0027943072839545</v>
      </c>
      <c r="J221">
        <v>7.4609399949374726</v>
      </c>
      <c r="K221">
        <v>727.67023327478057</v>
      </c>
      <c r="L221">
        <v>9.9909947339676783</v>
      </c>
      <c r="M221">
        <v>0.41000050295739809</v>
      </c>
    </row>
    <row r="222" spans="1:13" x14ac:dyDescent="0.2">
      <c r="A222">
        <v>220</v>
      </c>
      <c r="B222">
        <v>600</v>
      </c>
      <c r="C222">
        <v>77.166666666666757</v>
      </c>
      <c r="D222">
        <v>65</v>
      </c>
      <c r="E222">
        <v>98.18333352712574</v>
      </c>
      <c r="F222">
        <v>49.212880361232962</v>
      </c>
      <c r="G222">
        <v>773.44917885008658</v>
      </c>
      <c r="H222">
        <v>10.023099509936316</v>
      </c>
      <c r="I222">
        <v>4.1515310348621242</v>
      </c>
      <c r="J222">
        <v>7.7381752746731109</v>
      </c>
      <c r="K222">
        <v>786.55949026016378</v>
      </c>
      <c r="L222">
        <v>11.088785566396892</v>
      </c>
      <c r="M222">
        <v>0.41000075257301194</v>
      </c>
    </row>
    <row r="223" spans="1:13" x14ac:dyDescent="0.2">
      <c r="A223">
        <v>221</v>
      </c>
      <c r="B223">
        <v>600</v>
      </c>
      <c r="C223">
        <v>76.916666666666771</v>
      </c>
      <c r="D223">
        <v>92</v>
      </c>
      <c r="E223">
        <v>75.498195439837161</v>
      </c>
      <c r="F223">
        <v>41.186117217156195</v>
      </c>
      <c r="G223">
        <v>560.9871352357776</v>
      </c>
      <c r="H223">
        <v>7.2934405447771633</v>
      </c>
      <c r="I223">
        <v>3.4344038722261896</v>
      </c>
      <c r="J223">
        <v>6.4014983638885168</v>
      </c>
      <c r="K223">
        <v>570.49614938460252</v>
      </c>
      <c r="L223">
        <v>8.6622466624915901</v>
      </c>
      <c r="M223">
        <v>0.41000078352053626</v>
      </c>
    </row>
    <row r="224" spans="1:13" x14ac:dyDescent="0.2">
      <c r="A224">
        <v>222</v>
      </c>
      <c r="B224">
        <v>600</v>
      </c>
      <c r="C224">
        <v>79.416666666666657</v>
      </c>
      <c r="D224">
        <v>100</v>
      </c>
      <c r="E224">
        <v>80.400309300575941</v>
      </c>
      <c r="F224">
        <v>50.769784541783544</v>
      </c>
      <c r="G224">
        <v>715.63140639116557</v>
      </c>
      <c r="H224">
        <v>9.0110985064994633</v>
      </c>
      <c r="I224">
        <v>4.0739882901870406</v>
      </c>
      <c r="J224">
        <v>7.5936408018397756</v>
      </c>
      <c r="K224">
        <v>727.7613981691394</v>
      </c>
      <c r="L224">
        <v>10.013915895476631</v>
      </c>
      <c r="M224">
        <v>0.41000052364015721</v>
      </c>
    </row>
    <row r="225" spans="1:13" x14ac:dyDescent="0.2">
      <c r="A225">
        <v>223</v>
      </c>
      <c r="B225">
        <v>600</v>
      </c>
      <c r="C225">
        <v>78.000000000000213</v>
      </c>
      <c r="D225">
        <v>99</v>
      </c>
      <c r="E225">
        <v>80.382820627735725</v>
      </c>
      <c r="F225">
        <v>50.24022305936608</v>
      </c>
      <c r="G225">
        <v>708.0828396807874</v>
      </c>
      <c r="H225">
        <v>9.0779851241126366</v>
      </c>
      <c r="I225">
        <v>4.1269784349821537</v>
      </c>
      <c r="J225">
        <v>7.692410876015197</v>
      </c>
      <c r="K225">
        <v>720.08504679074758</v>
      </c>
      <c r="L225">
        <v>10.4480060740881</v>
      </c>
      <c r="M225">
        <v>0.41000065797515273</v>
      </c>
    </row>
    <row r="226" spans="1:13" x14ac:dyDescent="0.2">
      <c r="A226">
        <v>224</v>
      </c>
      <c r="B226">
        <v>600</v>
      </c>
      <c r="C226">
        <v>76.50000000000027</v>
      </c>
      <c r="D226">
        <v>99</v>
      </c>
      <c r="E226">
        <v>76.14713871321085</v>
      </c>
      <c r="F226">
        <v>45.085018687986981</v>
      </c>
      <c r="G226">
        <v>616.96272253412064</v>
      </c>
      <c r="H226">
        <v>8.0648721899884759</v>
      </c>
      <c r="I226">
        <v>3.594380032082173</v>
      </c>
      <c r="J226">
        <v>6.6996831912062866</v>
      </c>
      <c r="K226">
        <v>627.42060893188727</v>
      </c>
      <c r="L226">
        <v>8.8967223045415817</v>
      </c>
      <c r="M226">
        <v>0.41000083795357306</v>
      </c>
    </row>
    <row r="227" spans="1:13" x14ac:dyDescent="0.2">
      <c r="A227">
        <v>225</v>
      </c>
      <c r="B227">
        <v>600</v>
      </c>
      <c r="C227">
        <v>77.416666666666742</v>
      </c>
      <c r="D227">
        <v>88</v>
      </c>
      <c r="E227">
        <v>83.672598823339882</v>
      </c>
      <c r="F227">
        <v>48.388155740724237</v>
      </c>
      <c r="G227">
        <v>697.04403587559807</v>
      </c>
      <c r="H227">
        <v>9.0037980952714403</v>
      </c>
      <c r="I227">
        <v>3.9786557336783162</v>
      </c>
      <c r="J227">
        <v>7.4159473134730964</v>
      </c>
      <c r="K227">
        <v>708.85921003850444</v>
      </c>
      <c r="L227">
        <v>9.9861385818127353</v>
      </c>
      <c r="M227">
        <v>0.4100007228478541</v>
      </c>
    </row>
    <row r="228" spans="1:13" x14ac:dyDescent="0.2">
      <c r="A228">
        <v>226</v>
      </c>
      <c r="B228">
        <v>600</v>
      </c>
      <c r="C228">
        <v>79.000000000000171</v>
      </c>
      <c r="D228">
        <v>64</v>
      </c>
      <c r="E228">
        <v>98.827674837360675</v>
      </c>
      <c r="F228">
        <v>49.093840877413271</v>
      </c>
      <c r="G228">
        <v>774.33258762951164</v>
      </c>
      <c r="H228">
        <v>9.8016783244241754</v>
      </c>
      <c r="I228">
        <v>4.1905544206376906</v>
      </c>
      <c r="J228">
        <v>7.8109122472277539</v>
      </c>
      <c r="K228">
        <v>787.45761621811198</v>
      </c>
      <c r="L228">
        <v>11.298697369009526</v>
      </c>
      <c r="M228">
        <v>0.41000056001868546</v>
      </c>
    </row>
    <row r="229" spans="1:13" x14ac:dyDescent="0.2">
      <c r="A229">
        <v>227</v>
      </c>
      <c r="B229">
        <v>600</v>
      </c>
      <c r="C229">
        <v>76.916666666666771</v>
      </c>
      <c r="D229">
        <v>74</v>
      </c>
      <c r="E229">
        <v>85.722178943067746</v>
      </c>
      <c r="F229">
        <v>42.707879086209864</v>
      </c>
      <c r="G229">
        <v>623.38144581370204</v>
      </c>
      <c r="H229">
        <v>8.1046341817599288</v>
      </c>
      <c r="I229">
        <v>3.5737423273768871</v>
      </c>
      <c r="J229">
        <v>6.6612158944583157</v>
      </c>
      <c r="K229">
        <v>633.94807491450308</v>
      </c>
      <c r="L229">
        <v>9.3232843182590663</v>
      </c>
      <c r="M229">
        <v>0.41000078352053626</v>
      </c>
    </row>
    <row r="230" spans="1:13" x14ac:dyDescent="0.2">
      <c r="A230">
        <v>228</v>
      </c>
      <c r="B230">
        <v>600</v>
      </c>
      <c r="C230">
        <v>76.083333333333542</v>
      </c>
      <c r="D230">
        <v>99</v>
      </c>
      <c r="E230">
        <v>69.647663978293437</v>
      </c>
      <c r="F230">
        <v>37.717090601798972</v>
      </c>
      <c r="G230">
        <v>491.65368973690119</v>
      </c>
      <c r="H230">
        <v>6.4620419242527909</v>
      </c>
      <c r="I230">
        <v>3.1724052182800309</v>
      </c>
      <c r="J230">
        <v>5.9131504534576527</v>
      </c>
      <c r="K230">
        <v>499.98756256795912</v>
      </c>
      <c r="L230">
        <v>7.8539643788169231</v>
      </c>
      <c r="M230">
        <v>0.41000089616820251</v>
      </c>
    </row>
    <row r="231" spans="1:13" x14ac:dyDescent="0.2">
      <c r="A231">
        <v>229</v>
      </c>
      <c r="B231">
        <v>600</v>
      </c>
      <c r="C231">
        <v>77.083333333333499</v>
      </c>
      <c r="D231">
        <v>100</v>
      </c>
      <c r="E231">
        <v>78.831873702578449</v>
      </c>
      <c r="F231">
        <v>48.808288567191056</v>
      </c>
      <c r="G231">
        <v>680.63941132766411</v>
      </c>
      <c r="H231">
        <v>8.829916687494002</v>
      </c>
      <c r="I231">
        <v>4.0200062907099641</v>
      </c>
      <c r="J231">
        <v>7.4930219770921962</v>
      </c>
      <c r="K231">
        <v>692.17656738082451</v>
      </c>
      <c r="L231">
        <v>10.162317164675059</v>
      </c>
      <c r="M231">
        <v>0.41000076275059422</v>
      </c>
    </row>
    <row r="232" spans="1:13" x14ac:dyDescent="0.2">
      <c r="A232">
        <v>230</v>
      </c>
      <c r="B232">
        <v>600</v>
      </c>
      <c r="C232">
        <v>75.500000000000313</v>
      </c>
      <c r="D232">
        <v>100</v>
      </c>
      <c r="E232">
        <v>70.487043496311813</v>
      </c>
      <c r="F232">
        <v>39.021905354694262</v>
      </c>
      <c r="G232">
        <v>511.99233196762464</v>
      </c>
      <c r="H232">
        <v>6.7813553902996357</v>
      </c>
      <c r="I232">
        <v>3.148808129096456</v>
      </c>
      <c r="J232">
        <v>5.8691670626215391</v>
      </c>
      <c r="K232">
        <v>520.67103693973706</v>
      </c>
      <c r="L232">
        <v>7.7273479194569887</v>
      </c>
      <c r="M232">
        <v>0.41000098452541767</v>
      </c>
    </row>
    <row r="233" spans="1:13" x14ac:dyDescent="0.2">
      <c r="A233">
        <v>231</v>
      </c>
      <c r="B233">
        <v>600</v>
      </c>
      <c r="C233">
        <v>78.166666666666714</v>
      </c>
      <c r="D233">
        <v>100</v>
      </c>
      <c r="E233">
        <v>83.185181820106067</v>
      </c>
      <c r="F233">
        <v>54.347781633529422</v>
      </c>
      <c r="G233">
        <v>780.40666073305761</v>
      </c>
      <c r="H233">
        <v>9.983880521105208</v>
      </c>
      <c r="I233">
        <v>4.4423951978084979</v>
      </c>
      <c r="J233">
        <v>8.2803265569589897</v>
      </c>
      <c r="K233">
        <v>793.63475388011125</v>
      </c>
      <c r="L233">
        <v>11.245162889613674</v>
      </c>
      <c r="M233">
        <v>0.41000064053322849</v>
      </c>
    </row>
    <row r="234" spans="1:13" x14ac:dyDescent="0.2">
      <c r="A234">
        <v>232</v>
      </c>
      <c r="B234">
        <v>600</v>
      </c>
      <c r="C234">
        <v>77.500000000000227</v>
      </c>
      <c r="D234">
        <v>100</v>
      </c>
      <c r="E234">
        <v>80.757156290093519</v>
      </c>
      <c r="F234">
        <v>51.221455687815023</v>
      </c>
      <c r="G234">
        <v>723.7414884798925</v>
      </c>
      <c r="H234">
        <v>9.3385998513534236</v>
      </c>
      <c r="I234">
        <v>4.0674296361141025</v>
      </c>
      <c r="J234">
        <v>7.5814159107438996</v>
      </c>
      <c r="K234">
        <v>736.00918307063637</v>
      </c>
      <c r="L234">
        <v>10.119205101968308</v>
      </c>
      <c r="M234">
        <v>0.41000071320270459</v>
      </c>
    </row>
    <row r="235" spans="1:13" x14ac:dyDescent="0.2">
      <c r="A235">
        <v>233</v>
      </c>
      <c r="B235">
        <v>600</v>
      </c>
      <c r="C235">
        <v>78.333333333333456</v>
      </c>
      <c r="D235">
        <v>100</v>
      </c>
      <c r="E235">
        <v>82.956375491551384</v>
      </c>
      <c r="F235">
        <v>54.049218492712548</v>
      </c>
      <c r="G235">
        <v>774.95593025575329</v>
      </c>
      <c r="H235">
        <v>9.8930544287968356</v>
      </c>
      <c r="I235">
        <v>4.3726469459092501</v>
      </c>
      <c r="J235">
        <v>8.1503204956369988</v>
      </c>
      <c r="K235">
        <v>788.09160944213909</v>
      </c>
      <c r="L235">
        <v>10.933655724043559</v>
      </c>
      <c r="M235">
        <v>0.41000062355366318</v>
      </c>
    </row>
    <row r="236" spans="1:13" x14ac:dyDescent="0.2">
      <c r="A236">
        <v>234</v>
      </c>
      <c r="B236">
        <v>600</v>
      </c>
      <c r="C236">
        <v>76.416666666666785</v>
      </c>
      <c r="D236">
        <v>77</v>
      </c>
      <c r="E236">
        <v>84.662796097738379</v>
      </c>
      <c r="F236">
        <v>43.347676295470158</v>
      </c>
      <c r="G236">
        <v>628.4488515087703</v>
      </c>
      <c r="H236">
        <v>8.2239762465705919</v>
      </c>
      <c r="I236">
        <v>3.6541301006442519</v>
      </c>
      <c r="J236">
        <v>6.8110533096817365</v>
      </c>
      <c r="K236">
        <v>639.10144692382551</v>
      </c>
      <c r="L236">
        <v>9.2882318740586403</v>
      </c>
      <c r="M236">
        <v>0.4100008492858177</v>
      </c>
    </row>
    <row r="237" spans="1:13" x14ac:dyDescent="0.2">
      <c r="A237">
        <v>235</v>
      </c>
      <c r="B237">
        <v>600</v>
      </c>
      <c r="C237">
        <v>78.583333333333442</v>
      </c>
      <c r="D237">
        <v>94</v>
      </c>
      <c r="E237">
        <v>88.486940769690946</v>
      </c>
      <c r="F237">
        <v>57.806422962640511</v>
      </c>
      <c r="G237">
        <v>858.48225425494888</v>
      </c>
      <c r="H237">
        <v>10.924482556796789</v>
      </c>
      <c r="I237">
        <v>4.5962010598851402</v>
      </c>
      <c r="J237">
        <v>8.5670103632528232</v>
      </c>
      <c r="K237">
        <v>873.03368717669218</v>
      </c>
      <c r="L237">
        <v>11.6710456656083</v>
      </c>
      <c r="M237">
        <v>0.41000059892451662</v>
      </c>
    </row>
    <row r="238" spans="1:13" x14ac:dyDescent="0.2">
      <c r="A238">
        <v>236</v>
      </c>
      <c r="B238">
        <v>600</v>
      </c>
      <c r="C238">
        <v>76.250000000000284</v>
      </c>
      <c r="D238">
        <v>100</v>
      </c>
      <c r="E238">
        <v>74.095127685750995</v>
      </c>
      <c r="F238">
        <v>43.119049902818531</v>
      </c>
      <c r="G238">
        <v>581.34446341241846</v>
      </c>
      <c r="H238">
        <v>7.6241896840972627</v>
      </c>
      <c r="I238">
        <v>3.5564625947477655</v>
      </c>
      <c r="J238">
        <v>6.6290076323350702</v>
      </c>
      <c r="K238">
        <v>591.19863358697808</v>
      </c>
      <c r="L238">
        <v>8.8456846572858332</v>
      </c>
      <c r="M238">
        <v>0.4100008724121415</v>
      </c>
    </row>
    <row r="239" spans="1:13" x14ac:dyDescent="0.2">
      <c r="A239">
        <v>237</v>
      </c>
      <c r="B239">
        <v>600</v>
      </c>
      <c r="C239">
        <v>77.916666666666728</v>
      </c>
      <c r="D239">
        <v>99</v>
      </c>
      <c r="E239">
        <v>77.848652999522571</v>
      </c>
      <c r="F239">
        <v>47.122386913843854</v>
      </c>
      <c r="G239">
        <v>652.6522546777129</v>
      </c>
      <c r="H239">
        <v>8.3762856215321371</v>
      </c>
      <c r="I239">
        <v>3.9245536541706594</v>
      </c>
      <c r="J239">
        <v>7.3151046676060751</v>
      </c>
      <c r="K239">
        <v>663.71490749230236</v>
      </c>
      <c r="L239">
        <v>9.8820049604377793</v>
      </c>
      <c r="M239">
        <v>0.41000066687342057</v>
      </c>
    </row>
    <row r="240" spans="1:13" x14ac:dyDescent="0.2">
      <c r="A240">
        <v>238</v>
      </c>
      <c r="B240">
        <v>600</v>
      </c>
      <c r="C240">
        <v>79.500000000000142</v>
      </c>
      <c r="D240">
        <v>99</v>
      </c>
      <c r="E240">
        <v>84.878796199335966</v>
      </c>
      <c r="F240">
        <v>56.017471129436828</v>
      </c>
      <c r="G240">
        <v>813.26227379039221</v>
      </c>
      <c r="H240">
        <v>10.229714135728186</v>
      </c>
      <c r="I240">
        <v>4.4157563014047536</v>
      </c>
      <c r="J240">
        <v>8.230673441574563</v>
      </c>
      <c r="K240">
        <v>827.0471043570783</v>
      </c>
      <c r="L240">
        <v>11.06240835663526</v>
      </c>
      <c r="M240">
        <v>0.41000051665308856</v>
      </c>
    </row>
    <row r="241" spans="1:13" x14ac:dyDescent="0.2">
      <c r="A241">
        <v>239</v>
      </c>
      <c r="B241">
        <v>600</v>
      </c>
      <c r="C241">
        <v>78.666666666666686</v>
      </c>
      <c r="D241">
        <v>100</v>
      </c>
      <c r="E241">
        <v>83.293828553687462</v>
      </c>
      <c r="F241">
        <v>54.489839746331285</v>
      </c>
      <c r="G241">
        <v>783.00309451093915</v>
      </c>
      <c r="H241">
        <v>9.9534291675119366</v>
      </c>
      <c r="I241">
        <v>4.3175724135827505</v>
      </c>
      <c r="J241">
        <v>8.0476652629687795</v>
      </c>
      <c r="K241">
        <v>796.27513093515734</v>
      </c>
      <c r="L241">
        <v>10.768186574401891</v>
      </c>
      <c r="M241">
        <v>0.41000059093290886</v>
      </c>
    </row>
    <row r="242" spans="1:13" x14ac:dyDescent="0.2">
      <c r="A242">
        <v>240</v>
      </c>
      <c r="B242">
        <v>600</v>
      </c>
      <c r="C242">
        <v>75.58333333333357</v>
      </c>
      <c r="D242">
        <v>100</v>
      </c>
      <c r="E242">
        <v>72.164582788784998</v>
      </c>
      <c r="F242">
        <v>40.901392284062496</v>
      </c>
      <c r="G242">
        <v>543.57202031234783</v>
      </c>
      <c r="H242">
        <v>7.1916915587079977</v>
      </c>
      <c r="I242">
        <v>3.2519480458048502</v>
      </c>
      <c r="J242">
        <v>6.0614129465141655</v>
      </c>
      <c r="K242">
        <v>552.78601552112195</v>
      </c>
      <c r="L242">
        <v>8.0386872181179605</v>
      </c>
      <c r="M242">
        <v>0.41000097138863545</v>
      </c>
    </row>
    <row r="243" spans="1:13" x14ac:dyDescent="0.2">
      <c r="A243">
        <v>241</v>
      </c>
      <c r="B243">
        <v>600</v>
      </c>
      <c r="C243">
        <v>80.9166666666666</v>
      </c>
      <c r="D243">
        <v>99</v>
      </c>
      <c r="E243">
        <v>87.077726619705004</v>
      </c>
      <c r="F243">
        <v>58.957524525245063</v>
      </c>
      <c r="G243">
        <v>867.95438682346503</v>
      </c>
      <c r="H243">
        <v>10.726521773307509</v>
      </c>
      <c r="I243">
        <v>4.7850988752454118</v>
      </c>
      <c r="J243">
        <v>8.9191032157416803</v>
      </c>
      <c r="K243">
        <v>882.66609325556476</v>
      </c>
      <c r="L243">
        <v>12.467630504203846</v>
      </c>
      <c r="M243">
        <v>0.41000041117100455</v>
      </c>
    </row>
    <row r="244" spans="1:13" x14ac:dyDescent="0.2">
      <c r="A244">
        <v>242</v>
      </c>
      <c r="B244">
        <v>600</v>
      </c>
      <c r="C244">
        <v>76.000000000000298</v>
      </c>
      <c r="D244">
        <v>100</v>
      </c>
      <c r="E244">
        <v>73.275157839911785</v>
      </c>
      <c r="F244">
        <v>42.169981121508478</v>
      </c>
      <c r="G244">
        <v>565.1129554398284</v>
      </c>
      <c r="H244">
        <v>7.4356967821029762</v>
      </c>
      <c r="I244">
        <v>3.5760786245146585</v>
      </c>
      <c r="J244">
        <v>6.6655705955538824</v>
      </c>
      <c r="K244">
        <v>574.69202584679624</v>
      </c>
      <c r="L244">
        <v>9.02104936446759</v>
      </c>
      <c r="M244">
        <v>0.41000090828772506</v>
      </c>
    </row>
    <row r="245" spans="1:13" x14ac:dyDescent="0.2">
      <c r="A245">
        <v>243</v>
      </c>
      <c r="B245">
        <v>600</v>
      </c>
      <c r="C245">
        <v>76.916666666666771</v>
      </c>
      <c r="D245">
        <v>99</v>
      </c>
      <c r="E245">
        <v>75.50242520472753</v>
      </c>
      <c r="F245">
        <v>44.324809679481064</v>
      </c>
      <c r="G245">
        <v>603.75700573470544</v>
      </c>
      <c r="H245">
        <v>7.8494951991510895</v>
      </c>
      <c r="I245">
        <v>3.7195770741290297</v>
      </c>
      <c r="J245">
        <v>6.9330420766617511</v>
      </c>
      <c r="K245">
        <v>613.99099070402292</v>
      </c>
      <c r="L245">
        <v>9.3772508945562407</v>
      </c>
      <c r="M245">
        <v>0.41000078352053626</v>
      </c>
    </row>
    <row r="246" spans="1:13" x14ac:dyDescent="0.2">
      <c r="A246">
        <v>244</v>
      </c>
      <c r="B246">
        <v>600</v>
      </c>
      <c r="C246">
        <v>78.000000000000213</v>
      </c>
      <c r="D246">
        <v>98</v>
      </c>
      <c r="E246">
        <v>77.47674443313899</v>
      </c>
      <c r="F246">
        <v>46.20177745596466</v>
      </c>
      <c r="G246">
        <v>638.23470859416091</v>
      </c>
      <c r="H246">
        <v>8.1824962640276819</v>
      </c>
      <c r="I246">
        <v>3.8257943111873511</v>
      </c>
      <c r="J246">
        <v>7.1310238791935712</v>
      </c>
      <c r="K246">
        <v>649.05296985970085</v>
      </c>
      <c r="L246">
        <v>9.5864697066081082</v>
      </c>
      <c r="M246">
        <v>0.41000065797515273</v>
      </c>
    </row>
    <row r="247" spans="1:13" x14ac:dyDescent="0.2">
      <c r="A247">
        <v>245</v>
      </c>
      <c r="B247">
        <v>600</v>
      </c>
      <c r="C247">
        <v>74.166666666666885</v>
      </c>
      <c r="D247">
        <v>100</v>
      </c>
      <c r="E247">
        <v>73.628885748997504</v>
      </c>
      <c r="F247">
        <v>42.578105895749218</v>
      </c>
      <c r="G247">
        <v>572.08055502949151</v>
      </c>
      <c r="H247">
        <v>7.713445685790874</v>
      </c>
      <c r="I247">
        <v>3.5278122417107962</v>
      </c>
      <c r="J247">
        <v>6.5756052967582397</v>
      </c>
      <c r="K247">
        <v>581.77803920298095</v>
      </c>
      <c r="L247">
        <v>9.0316302955583705</v>
      </c>
      <c r="M247">
        <v>0.41000122058932448</v>
      </c>
    </row>
    <row r="248" spans="1:13" x14ac:dyDescent="0.2">
      <c r="A248">
        <v>246</v>
      </c>
      <c r="B248">
        <v>600</v>
      </c>
      <c r="C248">
        <v>76.000000000000298</v>
      </c>
      <c r="D248">
        <v>100</v>
      </c>
      <c r="E248">
        <v>73.52355440115835</v>
      </c>
      <c r="F248">
        <v>42.456371027217003</v>
      </c>
      <c r="G248">
        <v>570.00057002659901</v>
      </c>
      <c r="H248">
        <v>7.5000075003499571</v>
      </c>
      <c r="I248">
        <v>3.5583583858175483</v>
      </c>
      <c r="J248">
        <v>6.6325412596785602</v>
      </c>
      <c r="K248">
        <v>579.66248901064887</v>
      </c>
      <c r="L248">
        <v>8.9801872621611931</v>
      </c>
      <c r="M248">
        <v>0.41000090828772506</v>
      </c>
    </row>
    <row r="249" spans="1:13" x14ac:dyDescent="0.2">
      <c r="A249">
        <v>247</v>
      </c>
      <c r="B249">
        <v>600</v>
      </c>
      <c r="C249">
        <v>76.250000000000284</v>
      </c>
      <c r="D249">
        <v>98</v>
      </c>
      <c r="E249">
        <v>77.458183631203198</v>
      </c>
      <c r="F249">
        <v>46.179643347782608</v>
      </c>
      <c r="G249">
        <v>637.84546564347806</v>
      </c>
      <c r="H249">
        <v>8.3651864346685336</v>
      </c>
      <c r="I249">
        <v>3.7048616739480127</v>
      </c>
      <c r="J249">
        <v>6.9056135581510016</v>
      </c>
      <c r="K249">
        <v>648.65736488584355</v>
      </c>
      <c r="L249">
        <v>9.3235650960240566</v>
      </c>
      <c r="M249">
        <v>0.4100008724121415</v>
      </c>
    </row>
    <row r="250" spans="1:13" x14ac:dyDescent="0.2">
      <c r="A250">
        <v>248</v>
      </c>
      <c r="B250">
        <v>600</v>
      </c>
      <c r="C250">
        <v>76.916666666666771</v>
      </c>
      <c r="D250">
        <v>98</v>
      </c>
      <c r="E250">
        <v>75.255030447197655</v>
      </c>
      <c r="F250">
        <v>43.590016021776165</v>
      </c>
      <c r="G250">
        <v>592.68772862812204</v>
      </c>
      <c r="H250">
        <v>7.7055826040492468</v>
      </c>
      <c r="I250">
        <v>3.6718291445195095</v>
      </c>
      <c r="J250">
        <v>6.8440431398313315</v>
      </c>
      <c r="K250">
        <v>602.73408378204363</v>
      </c>
      <c r="L250">
        <v>9.2525130069646515</v>
      </c>
      <c r="M250">
        <v>0.41000078352053626</v>
      </c>
    </row>
    <row r="251" spans="1:13" x14ac:dyDescent="0.2">
      <c r="A251">
        <v>249</v>
      </c>
      <c r="B251">
        <v>600</v>
      </c>
      <c r="C251">
        <v>79.250000000000156</v>
      </c>
      <c r="D251">
        <v>100</v>
      </c>
      <c r="E251">
        <v>88.083561964827112</v>
      </c>
      <c r="F251">
        <v>60.936796382846971</v>
      </c>
      <c r="G251">
        <v>902.72201637174044</v>
      </c>
      <c r="H251">
        <v>11.390814086709636</v>
      </c>
      <c r="I251">
        <v>4.8373840163673929</v>
      </c>
      <c r="J251">
        <v>9.0165592103772436</v>
      </c>
      <c r="K251">
        <v>918.02322648620645</v>
      </c>
      <c r="L251">
        <v>12.365859783533516</v>
      </c>
      <c r="M251">
        <v>0.41000053789904578</v>
      </c>
    </row>
    <row r="252" spans="1:13" x14ac:dyDescent="0.2">
      <c r="A252">
        <v>250</v>
      </c>
      <c r="B252">
        <v>600</v>
      </c>
      <c r="C252">
        <v>76.583333333333528</v>
      </c>
      <c r="D252">
        <v>50</v>
      </c>
      <c r="E252">
        <v>104.45095303769608</v>
      </c>
      <c r="F252">
        <v>42.843476059142901</v>
      </c>
      <c r="G252">
        <v>696.42805226877908</v>
      </c>
      <c r="H252">
        <v>9.0937286476880601</v>
      </c>
      <c r="I252">
        <v>3.8982886822420029</v>
      </c>
      <c r="J252">
        <v>7.2661485223522888</v>
      </c>
      <c r="K252">
        <v>708.2329100148944</v>
      </c>
      <c r="L252">
        <v>10.459383368868108</v>
      </c>
      <c r="M252">
        <v>0.41000082677253757</v>
      </c>
    </row>
    <row r="253" spans="1:13" x14ac:dyDescent="0.2">
      <c r="A253">
        <v>251</v>
      </c>
      <c r="B253">
        <v>600</v>
      </c>
      <c r="C253">
        <v>75.166666666666842</v>
      </c>
      <c r="D253">
        <v>90</v>
      </c>
      <c r="E253">
        <v>76.570357030466695</v>
      </c>
      <c r="F253">
        <v>41.4432432609796</v>
      </c>
      <c r="G253">
        <v>568.84166065723286</v>
      </c>
      <c r="H253">
        <v>7.5677382792536347</v>
      </c>
      <c r="I253">
        <v>3.4732888604258805</v>
      </c>
      <c r="J253">
        <v>6.4739773726484255</v>
      </c>
      <c r="K253">
        <v>578.48406333219839</v>
      </c>
      <c r="L253">
        <v>8.8796593163971362</v>
      </c>
      <c r="M253">
        <v>0.41000103887331629</v>
      </c>
    </row>
    <row r="254" spans="1:13" x14ac:dyDescent="0.2">
      <c r="A254">
        <v>252</v>
      </c>
      <c r="B254">
        <v>600</v>
      </c>
      <c r="C254">
        <v>79.000000000000171</v>
      </c>
      <c r="D254">
        <v>100</v>
      </c>
      <c r="E254">
        <v>83.646808942291599</v>
      </c>
      <c r="F254">
        <v>54.952649524277732</v>
      </c>
      <c r="G254">
        <v>791.47459187624406</v>
      </c>
      <c r="H254">
        <v>10.018665719952434</v>
      </c>
      <c r="I254">
        <v>4.5208150530142213</v>
      </c>
      <c r="J254">
        <v>8.4264959049659289</v>
      </c>
      <c r="K254">
        <v>804.89017945641808</v>
      </c>
      <c r="L254">
        <v>11.531086285917707</v>
      </c>
      <c r="M254">
        <v>0.41000056001868546</v>
      </c>
    </row>
    <row r="255" spans="1:13" x14ac:dyDescent="0.2">
      <c r="A255">
        <v>253</v>
      </c>
      <c r="B255">
        <v>600</v>
      </c>
      <c r="C255">
        <v>77.416666666666742</v>
      </c>
      <c r="D255">
        <v>100</v>
      </c>
      <c r="E255">
        <v>78.854771585923643</v>
      </c>
      <c r="F255">
        <v>48.836646863348612</v>
      </c>
      <c r="G255">
        <v>681.14266198682731</v>
      </c>
      <c r="H255">
        <v>8.7983982172679429</v>
      </c>
      <c r="I255">
        <v>3.8799084346647024</v>
      </c>
      <c r="J255">
        <v>7.231888974211933</v>
      </c>
      <c r="K255">
        <v>692.6883015260147</v>
      </c>
      <c r="L255">
        <v>9.5859945795641543</v>
      </c>
      <c r="M255">
        <v>0.4100007228478541</v>
      </c>
    </row>
    <row r="256" spans="1:13" x14ac:dyDescent="0.2">
      <c r="A256">
        <v>254</v>
      </c>
      <c r="B256">
        <v>600</v>
      </c>
      <c r="C256">
        <v>78.583333333333442</v>
      </c>
      <c r="D256">
        <v>99</v>
      </c>
      <c r="E256">
        <v>84.84998463600364</v>
      </c>
      <c r="F256">
        <v>55.979448040826419</v>
      </c>
      <c r="G256">
        <v>812.5598632436911</v>
      </c>
      <c r="H256">
        <v>10.340104304267529</v>
      </c>
      <c r="I256">
        <v>4.425320257098134</v>
      </c>
      <c r="J256">
        <v>8.2485000132304442</v>
      </c>
      <c r="K256">
        <v>826.33290314787996</v>
      </c>
      <c r="L256">
        <v>11.094180894705366</v>
      </c>
      <c r="M256">
        <v>0.41000059892451662</v>
      </c>
    </row>
    <row r="257" spans="1:13" x14ac:dyDescent="0.2">
      <c r="A257">
        <v>255</v>
      </c>
      <c r="B257">
        <v>600</v>
      </c>
      <c r="C257">
        <v>80.000000000000128</v>
      </c>
      <c r="D257">
        <v>97</v>
      </c>
      <c r="E257">
        <v>82.21355505487972</v>
      </c>
      <c r="F257">
        <v>51.493032892585923</v>
      </c>
      <c r="G257">
        <v>734.69719849986632</v>
      </c>
      <c r="H257">
        <v>9.1837149812483165</v>
      </c>
      <c r="I257">
        <v>4.2798597419566047</v>
      </c>
      <c r="J257">
        <v>7.9773713736376592</v>
      </c>
      <c r="K257">
        <v>747.15029699285321</v>
      </c>
      <c r="L257">
        <v>10.858356965360684</v>
      </c>
      <c r="M257">
        <v>0.41000047664554917</v>
      </c>
    </row>
    <row r="258" spans="1:13" x14ac:dyDescent="0.2">
      <c r="A258">
        <v>256</v>
      </c>
      <c r="B258">
        <v>600</v>
      </c>
      <c r="C258">
        <v>75.083333333333584</v>
      </c>
      <c r="D258">
        <v>70</v>
      </c>
      <c r="E258">
        <v>87.528295673995842</v>
      </c>
      <c r="F258">
        <v>42.119660850084522</v>
      </c>
      <c r="G258">
        <v>621.81750012133443</v>
      </c>
      <c r="H258">
        <v>8.2816981148235165</v>
      </c>
      <c r="I258">
        <v>3.5989514721276059</v>
      </c>
      <c r="J258">
        <v>6.7082040487001038</v>
      </c>
      <c r="K258">
        <v>632.35790829970063</v>
      </c>
      <c r="L258">
        <v>9.5837676778991341</v>
      </c>
      <c r="M258">
        <v>0.41000105292274208</v>
      </c>
    </row>
    <row r="259" spans="1:13" x14ac:dyDescent="0.2">
      <c r="A259">
        <v>257</v>
      </c>
      <c r="B259">
        <v>600</v>
      </c>
      <c r="C259">
        <v>80.083333333333371</v>
      </c>
      <c r="D259">
        <v>99</v>
      </c>
      <c r="E259">
        <v>85.405329346804734</v>
      </c>
      <c r="F259">
        <v>56.714619082380445</v>
      </c>
      <c r="G259">
        <v>826.16180845520148</v>
      </c>
      <c r="H259">
        <v>10.316276484352146</v>
      </c>
      <c r="I259">
        <v>4.5666367823354053</v>
      </c>
      <c r="J259">
        <v>8.5119045337099806</v>
      </c>
      <c r="K259">
        <v>840.16522066216453</v>
      </c>
      <c r="L259">
        <v>11.693490436288666</v>
      </c>
      <c r="M259">
        <v>0.41000047028554198</v>
      </c>
    </row>
    <row r="260" spans="1:13" x14ac:dyDescent="0.2">
      <c r="A260">
        <v>258</v>
      </c>
      <c r="B260">
        <v>600</v>
      </c>
      <c r="C260">
        <v>77.250000000000242</v>
      </c>
      <c r="D260">
        <v>100</v>
      </c>
      <c r="E260">
        <v>74.308058321808502</v>
      </c>
      <c r="F260">
        <v>43.367232461396874</v>
      </c>
      <c r="G260">
        <v>585.60530254602929</v>
      </c>
      <c r="H260">
        <v>7.580651165644368</v>
      </c>
      <c r="I260">
        <v>3.5327444701727844</v>
      </c>
      <c r="J260">
        <v>6.5847986396510425</v>
      </c>
      <c r="K260">
        <v>595.53156564136361</v>
      </c>
      <c r="L260">
        <v>8.6910307771033271</v>
      </c>
      <c r="M260">
        <v>0.41000074253123181</v>
      </c>
    </row>
    <row r="261" spans="1:13" x14ac:dyDescent="0.2">
      <c r="A261">
        <v>259</v>
      </c>
      <c r="B261">
        <v>600</v>
      </c>
      <c r="C261">
        <v>75.500000000000313</v>
      </c>
      <c r="D261">
        <v>100</v>
      </c>
      <c r="E261">
        <v>73.014926764235796</v>
      </c>
      <c r="F261">
        <v>41.870986119077983</v>
      </c>
      <c r="G261">
        <v>560.01978385040491</v>
      </c>
      <c r="H261">
        <v>7.4174805808000341</v>
      </c>
      <c r="I261">
        <v>3.4059491753966529</v>
      </c>
      <c r="J261">
        <v>6.3484607183534996</v>
      </c>
      <c r="K261">
        <v>569.51259493198017</v>
      </c>
      <c r="L261">
        <v>8.4381548960457486</v>
      </c>
      <c r="M261">
        <v>0.41000098452541767</v>
      </c>
    </row>
    <row r="262" spans="1:13" x14ac:dyDescent="0.2">
      <c r="A262">
        <v>260</v>
      </c>
      <c r="B262">
        <v>600</v>
      </c>
      <c r="C262">
        <v>81.000000000000085</v>
      </c>
      <c r="D262">
        <v>70</v>
      </c>
      <c r="E262">
        <v>104.24667493902965</v>
      </c>
      <c r="F262">
        <v>59.746482871555067</v>
      </c>
      <c r="G262">
        <v>970.15496299940241</v>
      </c>
      <c r="H262">
        <v>11.97722176542471</v>
      </c>
      <c r="I262">
        <v>5.0684610751773</v>
      </c>
      <c r="J262">
        <v>9.4472713423621606</v>
      </c>
      <c r="K262">
        <v>986.59894584352719</v>
      </c>
      <c r="L262">
        <v>14.232746170055163</v>
      </c>
      <c r="M262">
        <v>0.41000040568464141</v>
      </c>
    </row>
    <row r="263" spans="1:13" x14ac:dyDescent="0.2">
      <c r="A263">
        <v>261</v>
      </c>
      <c r="B263">
        <v>600</v>
      </c>
      <c r="C263">
        <v>77.166666666666757</v>
      </c>
      <c r="D263">
        <v>100</v>
      </c>
      <c r="E263">
        <v>80.040419183676846</v>
      </c>
      <c r="F263">
        <v>50.316287532769543</v>
      </c>
      <c r="G263">
        <v>707.50777827843581</v>
      </c>
      <c r="H263">
        <v>9.1685673211028291</v>
      </c>
      <c r="I263">
        <v>4.1489647841287187</v>
      </c>
      <c r="J263">
        <v>7.7333919555055326</v>
      </c>
      <c r="K263">
        <v>719.50035329425327</v>
      </c>
      <c r="L263">
        <v>10.468381006977118</v>
      </c>
      <c r="M263">
        <v>0.41000075257301194</v>
      </c>
    </row>
    <row r="264" spans="1:13" x14ac:dyDescent="0.2">
      <c r="A264">
        <v>262</v>
      </c>
      <c r="B264">
        <v>600</v>
      </c>
      <c r="C264">
        <v>76.250000000000284</v>
      </c>
      <c r="D264">
        <v>69</v>
      </c>
      <c r="E264">
        <v>93.501283820222923</v>
      </c>
      <c r="F264">
        <v>47.377715979716584</v>
      </c>
      <c r="G264">
        <v>725.05071918443366</v>
      </c>
      <c r="H264">
        <v>9.508861890943356</v>
      </c>
      <c r="I264">
        <v>4.0506252243319061</v>
      </c>
      <c r="J264">
        <v>7.550093614784541</v>
      </c>
      <c r="K264">
        <v>737.34080470462834</v>
      </c>
      <c r="L264">
        <v>10.701975232082958</v>
      </c>
      <c r="M264">
        <v>0.4100008724121415</v>
      </c>
    </row>
    <row r="265" spans="1:13" x14ac:dyDescent="0.2">
      <c r="A265">
        <v>263</v>
      </c>
      <c r="B265">
        <v>600</v>
      </c>
      <c r="C265">
        <v>77.166666666666757</v>
      </c>
      <c r="D265">
        <v>73</v>
      </c>
      <c r="E265">
        <v>86.035927616921356</v>
      </c>
      <c r="F265">
        <v>42.439712434347754</v>
      </c>
      <c r="G265">
        <v>620.70117511132298</v>
      </c>
      <c r="H265">
        <v>8.0436437379437002</v>
      </c>
      <c r="I265">
        <v>3.732560389137082</v>
      </c>
      <c r="J265">
        <v>6.9572421046357533</v>
      </c>
      <c r="K265">
        <v>631.22233916557764</v>
      </c>
      <c r="L265">
        <v>9.6005760257142683</v>
      </c>
      <c r="M265">
        <v>0.41000075257301194</v>
      </c>
    </row>
    <row r="266" spans="1:13" x14ac:dyDescent="0.2">
      <c r="A266">
        <v>264</v>
      </c>
      <c r="B266">
        <v>600</v>
      </c>
      <c r="C266">
        <v>75.33333333333357</v>
      </c>
      <c r="D266">
        <v>88</v>
      </c>
      <c r="E266">
        <v>76.568022062650954</v>
      </c>
      <c r="F266">
        <v>40.51981093117341</v>
      </c>
      <c r="G266">
        <v>556.15760115116598</v>
      </c>
      <c r="H266">
        <v>7.3826230241304982</v>
      </c>
      <c r="I266">
        <v>3.3407348668105494</v>
      </c>
      <c r="J266">
        <v>6.2269056231324305</v>
      </c>
      <c r="K266">
        <v>565.58497065459892</v>
      </c>
      <c r="L266">
        <v>8.438796377355537</v>
      </c>
      <c r="M266">
        <v>0.41000101133435901</v>
      </c>
    </row>
    <row r="267" spans="1:13" x14ac:dyDescent="0.2">
      <c r="A267">
        <v>265</v>
      </c>
      <c r="B267">
        <v>600</v>
      </c>
      <c r="C267">
        <v>78.916666666666686</v>
      </c>
      <c r="D267">
        <v>100</v>
      </c>
      <c r="E267">
        <v>82.717529673050535</v>
      </c>
      <c r="F267">
        <v>53.738432359444111</v>
      </c>
      <c r="G267">
        <v>769.29080452444668</v>
      </c>
      <c r="H267">
        <v>9.7481411344174855</v>
      </c>
      <c r="I267">
        <v>4.4900775200875129</v>
      </c>
      <c r="J267">
        <v>8.369203206127704</v>
      </c>
      <c r="K267">
        <v>782.33038433780689</v>
      </c>
      <c r="L267">
        <v>11.443078338905901</v>
      </c>
      <c r="M267">
        <v>0.41000056759221798</v>
      </c>
    </row>
    <row r="268" spans="1:13" x14ac:dyDescent="0.2">
      <c r="A268">
        <v>266</v>
      </c>
      <c r="B268">
        <v>600</v>
      </c>
      <c r="C268">
        <v>76.50000000000027</v>
      </c>
      <c r="D268">
        <v>89</v>
      </c>
      <c r="E268">
        <v>79.198641818438077</v>
      </c>
      <c r="F268">
        <v>43.844523630461367</v>
      </c>
      <c r="G268">
        <v>612.96667766991652</v>
      </c>
      <c r="H268">
        <v>8.0126363094106452</v>
      </c>
      <c r="I268">
        <v>3.5458111373521981</v>
      </c>
      <c r="J268">
        <v>6.6091540304793996</v>
      </c>
      <c r="K268">
        <v>623.35682872208781</v>
      </c>
      <c r="L268">
        <v>8.8677762172137733</v>
      </c>
      <c r="M268">
        <v>0.41000083795357306</v>
      </c>
    </row>
    <row r="269" spans="1:13" x14ac:dyDescent="0.2">
      <c r="A269">
        <v>267</v>
      </c>
      <c r="B269">
        <v>600</v>
      </c>
      <c r="C269">
        <v>80.333333333333371</v>
      </c>
      <c r="D269">
        <v>65</v>
      </c>
      <c r="E269">
        <v>104.47068864441744</v>
      </c>
      <c r="F269">
        <v>55.717568152274417</v>
      </c>
      <c r="G269">
        <v>905.79241290805919</v>
      </c>
      <c r="H269">
        <v>11.275424227071271</v>
      </c>
      <c r="I269">
        <v>4.4236483646561409</v>
      </c>
      <c r="J269">
        <v>8.2453837179052023</v>
      </c>
      <c r="K269">
        <v>921.14553192483845</v>
      </c>
      <c r="L269">
        <v>12.099175008423488</v>
      </c>
      <c r="M269">
        <v>0.41000045171018551</v>
      </c>
    </row>
    <row r="270" spans="1:13" x14ac:dyDescent="0.2">
      <c r="A270">
        <v>268</v>
      </c>
      <c r="B270">
        <v>600</v>
      </c>
      <c r="C270">
        <v>75.166666666666842</v>
      </c>
      <c r="D270">
        <v>60</v>
      </c>
      <c r="E270">
        <v>89.257387266238851</v>
      </c>
      <c r="F270">
        <v>37.543043088184021</v>
      </c>
      <c r="G270">
        <v>560.18975731938303</v>
      </c>
      <c r="H270">
        <v>7.4526353523642799</v>
      </c>
      <c r="I270">
        <v>3.2890246450855578</v>
      </c>
      <c r="J270">
        <v>6.1305212396748505</v>
      </c>
      <c r="K270">
        <v>569.68550207236717</v>
      </c>
      <c r="L270">
        <v>8.7470501157724136</v>
      </c>
      <c r="M270">
        <v>0.41000103887331629</v>
      </c>
    </row>
    <row r="271" spans="1:13" x14ac:dyDescent="0.2">
      <c r="A271">
        <v>269</v>
      </c>
      <c r="B271">
        <v>600</v>
      </c>
      <c r="C271">
        <v>77.916666666666728</v>
      </c>
      <c r="D271">
        <v>100</v>
      </c>
      <c r="E271">
        <v>77.624124932456098</v>
      </c>
      <c r="F271">
        <v>47.324203811018712</v>
      </c>
      <c r="G271">
        <v>654.4170628257566</v>
      </c>
      <c r="H271">
        <v>8.398935565678153</v>
      </c>
      <c r="I271">
        <v>3.9479068912518258</v>
      </c>
      <c r="J271">
        <v>7.3586335344861604</v>
      </c>
      <c r="K271">
        <v>665.50962967141891</v>
      </c>
      <c r="L271">
        <v>9.931483702372562</v>
      </c>
      <c r="M271">
        <v>0.41000066687342057</v>
      </c>
    </row>
    <row r="272" spans="1:13" x14ac:dyDescent="0.2">
      <c r="A272">
        <v>270</v>
      </c>
      <c r="B272">
        <v>600</v>
      </c>
      <c r="C272">
        <v>78.333333333333456</v>
      </c>
      <c r="D272">
        <v>100</v>
      </c>
      <c r="E272">
        <v>80.510765333851083</v>
      </c>
      <c r="F272">
        <v>50.909378062010383</v>
      </c>
      <c r="G272">
        <v>718.13576954330858</v>
      </c>
      <c r="H272">
        <v>9.1676906750209461</v>
      </c>
      <c r="I272">
        <v>4.0985714789795145</v>
      </c>
      <c r="J272">
        <v>7.6394622161780328</v>
      </c>
      <c r="K272">
        <v>730.3083340888511</v>
      </c>
      <c r="L272">
        <v>10.164395028710013</v>
      </c>
      <c r="M272">
        <v>0.41000062355366318</v>
      </c>
    </row>
    <row r="273" spans="1:13" x14ac:dyDescent="0.2">
      <c r="A273">
        <v>271</v>
      </c>
      <c r="B273">
        <v>600</v>
      </c>
      <c r="C273">
        <v>77.500000000000227</v>
      </c>
      <c r="D273">
        <v>99</v>
      </c>
      <c r="E273">
        <v>80.850387651972511</v>
      </c>
      <c r="F273">
        <v>50.826392868480681</v>
      </c>
      <c r="G273">
        <v>718.61087409197137</v>
      </c>
      <c r="H273">
        <v>9.2723983753802486</v>
      </c>
      <c r="I273">
        <v>4.0022583924679793</v>
      </c>
      <c r="J273">
        <v>7.459941085681228</v>
      </c>
      <c r="K273">
        <v>730.79160280971257</v>
      </c>
      <c r="L273">
        <v>9.9607531884972769</v>
      </c>
      <c r="M273">
        <v>0.41000071320270459</v>
      </c>
    </row>
    <row r="274" spans="1:13" x14ac:dyDescent="0.2">
      <c r="A274">
        <v>272</v>
      </c>
      <c r="B274">
        <v>600</v>
      </c>
      <c r="C274">
        <v>79.000000000000171</v>
      </c>
      <c r="D274">
        <v>99</v>
      </c>
      <c r="E274">
        <v>78.46536526570975</v>
      </c>
      <c r="F274">
        <v>47.871945511135259</v>
      </c>
      <c r="G274">
        <v>665.88978010248968</v>
      </c>
      <c r="H274">
        <v>8.4289845582593443</v>
      </c>
      <c r="I274">
        <v>3.976107384924445</v>
      </c>
      <c r="J274">
        <v>7.4111973623941187</v>
      </c>
      <c r="K274">
        <v>677.17669032727747</v>
      </c>
      <c r="L274">
        <v>9.9450216647825922</v>
      </c>
      <c r="M274">
        <v>0.41000056001868546</v>
      </c>
    </row>
    <row r="275" spans="1:13" x14ac:dyDescent="0.2">
      <c r="A275">
        <v>273</v>
      </c>
      <c r="B275">
        <v>600</v>
      </c>
      <c r="C275">
        <v>79.250000000000156</v>
      </c>
      <c r="D275">
        <v>100</v>
      </c>
      <c r="E275">
        <v>85.177983376336897</v>
      </c>
      <c r="F275">
        <v>56.982905393255315</v>
      </c>
      <c r="G275">
        <v>828.86553132640643</v>
      </c>
      <c r="H275">
        <v>10.458871057746432</v>
      </c>
      <c r="I275">
        <v>4.6010107285188671</v>
      </c>
      <c r="J275">
        <v>8.5759752628497044</v>
      </c>
      <c r="K275">
        <v>842.91486813380868</v>
      </c>
      <c r="L275">
        <v>11.634416212474648</v>
      </c>
      <c r="M275">
        <v>0.41000053789904578</v>
      </c>
    </row>
    <row r="276" spans="1:13" x14ac:dyDescent="0.2">
      <c r="A276">
        <v>274</v>
      </c>
      <c r="B276">
        <v>600</v>
      </c>
      <c r="C276">
        <v>74.500000000000355</v>
      </c>
      <c r="D276">
        <v>100</v>
      </c>
      <c r="E276">
        <v>68.900527715854025</v>
      </c>
      <c r="F276">
        <v>37.285071290419395</v>
      </c>
      <c r="G276">
        <v>483.17507812933354</v>
      </c>
      <c r="H276">
        <v>6.4855715185145133</v>
      </c>
      <c r="I276">
        <v>3.0314039381235034</v>
      </c>
      <c r="J276">
        <v>5.6503335286551781</v>
      </c>
      <c r="K276">
        <v>491.36544958856871</v>
      </c>
      <c r="L276">
        <v>7.4748705124675796</v>
      </c>
      <c r="M276">
        <v>0.41000115673508558</v>
      </c>
    </row>
    <row r="277" spans="1:13" x14ac:dyDescent="0.2">
      <c r="A277">
        <v>275</v>
      </c>
      <c r="B277">
        <v>600</v>
      </c>
      <c r="C277">
        <v>79.166666666666671</v>
      </c>
      <c r="D277">
        <v>100</v>
      </c>
      <c r="E277">
        <v>83.203906198334096</v>
      </c>
      <c r="F277">
        <v>54.372250966342392</v>
      </c>
      <c r="G277">
        <v>780.8538764611734</v>
      </c>
      <c r="H277">
        <v>9.8634173868779804</v>
      </c>
      <c r="I277">
        <v>4.4688489732571126</v>
      </c>
      <c r="J277">
        <v>8.3296346193049615</v>
      </c>
      <c r="K277">
        <v>794.0894216833301</v>
      </c>
      <c r="L277">
        <v>11.277587449094808</v>
      </c>
      <c r="M277">
        <v>0.4100005451734387</v>
      </c>
    </row>
    <row r="278" spans="1:13" x14ac:dyDescent="0.2">
      <c r="A278">
        <v>276</v>
      </c>
      <c r="B278">
        <v>600</v>
      </c>
      <c r="C278">
        <v>77.166666666666757</v>
      </c>
      <c r="D278">
        <v>100</v>
      </c>
      <c r="E278">
        <v>81.451062012009729</v>
      </c>
      <c r="F278">
        <v>52.105477954379765</v>
      </c>
      <c r="G278">
        <v>739.67146971635657</v>
      </c>
      <c r="H278">
        <v>9.5853754174905728</v>
      </c>
      <c r="I278">
        <v>4.2688252925974544</v>
      </c>
      <c r="J278">
        <v>7.956803900461237</v>
      </c>
      <c r="K278">
        <v>752.20923376641122</v>
      </c>
      <c r="L278">
        <v>10.823485437870268</v>
      </c>
      <c r="M278">
        <v>0.41000075257301194</v>
      </c>
    </row>
    <row r="279" spans="1:13" x14ac:dyDescent="0.2">
      <c r="A279">
        <v>277</v>
      </c>
      <c r="B279">
        <v>600</v>
      </c>
      <c r="C279">
        <v>74.666666666666856</v>
      </c>
      <c r="D279">
        <v>98</v>
      </c>
      <c r="E279">
        <v>71.96271982865953</v>
      </c>
      <c r="F279">
        <v>39.859431049096187</v>
      </c>
      <c r="G279">
        <v>528.91676926808475</v>
      </c>
      <c r="H279">
        <v>7.0837067312689745</v>
      </c>
      <c r="I279">
        <v>3.1697442171321288</v>
      </c>
      <c r="J279">
        <v>5.908190525875356</v>
      </c>
      <c r="K279">
        <v>537.88248687312944</v>
      </c>
      <c r="L279">
        <v>7.9305257634588804</v>
      </c>
      <c r="M279">
        <v>0.4100011260717914</v>
      </c>
    </row>
    <row r="280" spans="1:13" x14ac:dyDescent="0.2">
      <c r="A280">
        <v>278</v>
      </c>
      <c r="B280">
        <v>600</v>
      </c>
      <c r="C280">
        <v>75.58333333333357</v>
      </c>
      <c r="D280">
        <v>98</v>
      </c>
      <c r="E280">
        <v>79.033610981130153</v>
      </c>
      <c r="F280">
        <v>48.077248752869593</v>
      </c>
      <c r="G280">
        <v>671.37871756027027</v>
      </c>
      <c r="H280">
        <v>8.8826291187687083</v>
      </c>
      <c r="I280">
        <v>3.7969084005848761</v>
      </c>
      <c r="J280">
        <v>7.077182480120924</v>
      </c>
      <c r="K280">
        <v>682.7591419671752</v>
      </c>
      <c r="L280">
        <v>9.6207844364118795</v>
      </c>
      <c r="M280">
        <v>0.41000097138863545</v>
      </c>
    </row>
    <row r="281" spans="1:13" x14ac:dyDescent="0.2">
      <c r="A281">
        <v>279</v>
      </c>
      <c r="B281">
        <v>600</v>
      </c>
      <c r="C281">
        <v>79.333333333333414</v>
      </c>
      <c r="D281">
        <v>100</v>
      </c>
      <c r="E281">
        <v>83.419104641104937</v>
      </c>
      <c r="F281">
        <v>54.653871283671549</v>
      </c>
      <c r="G281">
        <v>786.0034407289096</v>
      </c>
      <c r="H281">
        <v>9.9076063957425475</v>
      </c>
      <c r="I281">
        <v>4.3517242969589089</v>
      </c>
      <c r="J281">
        <v>8.1113220819364571</v>
      </c>
      <c r="K281">
        <v>799.32625196126537</v>
      </c>
      <c r="L281">
        <v>10.873353223733149</v>
      </c>
      <c r="M281">
        <v>0.41000053072171699</v>
      </c>
    </row>
    <row r="282" spans="1:13" x14ac:dyDescent="0.2">
      <c r="A282">
        <v>280</v>
      </c>
      <c r="B282">
        <v>600</v>
      </c>
      <c r="C282">
        <v>77.250000000000242</v>
      </c>
      <c r="D282">
        <v>98</v>
      </c>
      <c r="E282">
        <v>70.383807881689663</v>
      </c>
      <c r="F282">
        <v>38.129532056733915</v>
      </c>
      <c r="G282">
        <v>499.88478460922778</v>
      </c>
      <c r="H282">
        <v>6.4710004480158734</v>
      </c>
      <c r="I282">
        <v>3.1083081853935211</v>
      </c>
      <c r="J282">
        <v>5.7936778851696564</v>
      </c>
      <c r="K282">
        <v>508.35804785976967</v>
      </c>
      <c r="L282">
        <v>7.5359002097360124</v>
      </c>
      <c r="M282">
        <v>0.41000074253123181</v>
      </c>
    </row>
    <row r="283" spans="1:13" x14ac:dyDescent="0.2">
      <c r="A283">
        <v>281</v>
      </c>
      <c r="B283">
        <v>600</v>
      </c>
      <c r="C283">
        <v>80.416666666666615</v>
      </c>
      <c r="D283">
        <v>100</v>
      </c>
      <c r="E283">
        <v>77.591405006058835</v>
      </c>
      <c r="F283">
        <v>47.28431626011519</v>
      </c>
      <c r="G283">
        <v>653.7155853998438</v>
      </c>
      <c r="H283">
        <v>8.1291057251794108</v>
      </c>
      <c r="I283">
        <v>3.7932932182672929</v>
      </c>
      <c r="J283">
        <v>7.0704440228654093</v>
      </c>
      <c r="K283">
        <v>664.7960127595245</v>
      </c>
      <c r="L283">
        <v>9.2202812670879286</v>
      </c>
      <c r="M283">
        <v>0.4100004456828974</v>
      </c>
    </row>
    <row r="284" spans="1:13" x14ac:dyDescent="0.2">
      <c r="A284">
        <v>282</v>
      </c>
      <c r="B284">
        <v>600</v>
      </c>
      <c r="C284">
        <v>78.333333333333456</v>
      </c>
      <c r="D284">
        <v>100</v>
      </c>
      <c r="E284">
        <v>80.342668396753183</v>
      </c>
      <c r="F284">
        <v>50.697014491906053</v>
      </c>
      <c r="G284">
        <v>714.32644160326333</v>
      </c>
      <c r="H284">
        <v>9.1190609566373908</v>
      </c>
      <c r="I284">
        <v>4.0693995738163018</v>
      </c>
      <c r="J284">
        <v>7.5850877424348582</v>
      </c>
      <c r="K284">
        <v>726.43443717425839</v>
      </c>
      <c r="L284">
        <v>10.083640719785922</v>
      </c>
      <c r="M284">
        <v>0.41000062355366318</v>
      </c>
    </row>
    <row r="285" spans="1:13" x14ac:dyDescent="0.2">
      <c r="A285">
        <v>283</v>
      </c>
      <c r="B285">
        <v>600</v>
      </c>
      <c r="C285">
        <v>81.416666666666572</v>
      </c>
      <c r="D285">
        <v>49</v>
      </c>
      <c r="E285">
        <v>116.05524778083078</v>
      </c>
      <c r="F285">
        <v>51.834095874968085</v>
      </c>
      <c r="G285">
        <v>892.33665482943991</v>
      </c>
      <c r="H285">
        <v>10.960122679583716</v>
      </c>
      <c r="I285">
        <v>4.4098293749816078</v>
      </c>
      <c r="J285">
        <v>8.2196260484279726</v>
      </c>
      <c r="K285">
        <v>907.46158834999437</v>
      </c>
      <c r="L285">
        <v>12.82642602587446</v>
      </c>
      <c r="M285">
        <v>0.41000037933157402</v>
      </c>
    </row>
    <row r="286" spans="1:13" x14ac:dyDescent="0.2">
      <c r="A286">
        <v>284</v>
      </c>
      <c r="B286">
        <v>600</v>
      </c>
      <c r="C286">
        <v>70.416666666667041</v>
      </c>
      <c r="D286">
        <v>4</v>
      </c>
      <c r="E286">
        <v>248.80769672034711</v>
      </c>
      <c r="F286">
        <v>19.448114128488118</v>
      </c>
      <c r="G286">
        <v>507.21658409872526</v>
      </c>
      <c r="H286">
        <v>7.2030757505144036</v>
      </c>
      <c r="I286">
        <v>2.5062200406773307</v>
      </c>
      <c r="J286">
        <v>4.6714259844871027</v>
      </c>
      <c r="K286">
        <v>515.81542851563074</v>
      </c>
      <c r="L286">
        <v>10.108760214041911</v>
      </c>
      <c r="M286">
        <v>0.41000223406459607</v>
      </c>
    </row>
    <row r="287" spans="1:13" x14ac:dyDescent="0.2">
      <c r="A287">
        <v>285</v>
      </c>
      <c r="B287">
        <v>600</v>
      </c>
      <c r="C287">
        <v>72.083333333333712</v>
      </c>
      <c r="D287">
        <v>9</v>
      </c>
      <c r="E287">
        <v>144.94153268816828</v>
      </c>
      <c r="F287">
        <v>14.849714012086055</v>
      </c>
      <c r="G287">
        <v>288.54207789546615</v>
      </c>
      <c r="H287">
        <v>4.0028958783185846</v>
      </c>
      <c r="I287">
        <v>1.8247797287894103</v>
      </c>
      <c r="J287">
        <v>3.4012669688525818</v>
      </c>
      <c r="K287">
        <v>293.43347091588726</v>
      </c>
      <c r="L287">
        <v>5.8049576184045701</v>
      </c>
      <c r="M287">
        <v>0.41000170772302241</v>
      </c>
    </row>
    <row r="288" spans="1:13" x14ac:dyDescent="0.2">
      <c r="A288">
        <v>286</v>
      </c>
      <c r="B288">
        <v>600</v>
      </c>
      <c r="C288">
        <v>82.083333333333286</v>
      </c>
      <c r="D288">
        <v>8</v>
      </c>
      <c r="E288">
        <v>251.74664467795699</v>
      </c>
      <c r="F288">
        <v>39.82054963257805</v>
      </c>
      <c r="G288">
        <v>1045.2074558209615</v>
      </c>
      <c r="H288">
        <v>12.73349184756502</v>
      </c>
      <c r="I288">
        <v>4.1549344986089762</v>
      </c>
      <c r="J288">
        <v>7.7445191027194316</v>
      </c>
      <c r="K288">
        <v>1062.9234501867843</v>
      </c>
      <c r="L288">
        <v>17.837432894300083</v>
      </c>
      <c r="M288">
        <v>0.41000034068081376</v>
      </c>
    </row>
    <row r="289" spans="1:13" x14ac:dyDescent="0.2">
      <c r="A289">
        <v>287</v>
      </c>
      <c r="B289">
        <v>600</v>
      </c>
      <c r="C289">
        <v>74.666666666666856</v>
      </c>
      <c r="D289">
        <v>95</v>
      </c>
      <c r="E289">
        <v>68.42260768331451</v>
      </c>
      <c r="F289">
        <v>34.931137651718458</v>
      </c>
      <c r="G289">
        <v>450.95760197942798</v>
      </c>
      <c r="H289">
        <v>6.0396107407958954</v>
      </c>
      <c r="I289">
        <v>2.814751532633986</v>
      </c>
      <c r="J289">
        <v>5.2465079825423784</v>
      </c>
      <c r="K289">
        <v>458.60182645124922</v>
      </c>
      <c r="L289">
        <v>6.9404605368478833</v>
      </c>
      <c r="M289">
        <v>0.4100011260717914</v>
      </c>
    </row>
    <row r="290" spans="1:13" x14ac:dyDescent="0.2">
      <c r="A290">
        <v>288</v>
      </c>
      <c r="B290">
        <v>600</v>
      </c>
      <c r="C290">
        <v>76.416666666666785</v>
      </c>
      <c r="D290">
        <v>99</v>
      </c>
      <c r="E290">
        <v>79.356167747045617</v>
      </c>
      <c r="F290">
        <v>48.965077873064708</v>
      </c>
      <c r="G290">
        <v>685.29569192758788</v>
      </c>
      <c r="H290">
        <v>8.9678825552137855</v>
      </c>
      <c r="I290">
        <v>3.8753627212383424</v>
      </c>
      <c r="J290">
        <v>7.2234160694097707</v>
      </c>
      <c r="K290">
        <v>696.91187632868719</v>
      </c>
      <c r="L290">
        <v>9.6964868507620565</v>
      </c>
      <c r="M290">
        <v>0.4100008492858177</v>
      </c>
    </row>
    <row r="291" spans="1:13" x14ac:dyDescent="0.2">
      <c r="A291">
        <v>289</v>
      </c>
      <c r="B291">
        <v>600</v>
      </c>
      <c r="C291">
        <v>76.666666666666771</v>
      </c>
      <c r="D291">
        <v>100</v>
      </c>
      <c r="E291">
        <v>74.060598917282121</v>
      </c>
      <c r="F291">
        <v>43.078871801200755</v>
      </c>
      <c r="G291">
        <v>580.65538270291859</v>
      </c>
      <c r="H291">
        <v>7.5737658613424061</v>
      </c>
      <c r="I291">
        <v>3.5263307627749243</v>
      </c>
      <c r="J291">
        <v>6.5728439194313584</v>
      </c>
      <c r="K291">
        <v>590.49781578787952</v>
      </c>
      <c r="L291">
        <v>8.6742179733480675</v>
      </c>
      <c r="M291">
        <v>0.41000081574069358</v>
      </c>
    </row>
    <row r="292" spans="1:13" x14ac:dyDescent="0.2">
      <c r="A292">
        <v>290</v>
      </c>
      <c r="B292">
        <v>600</v>
      </c>
      <c r="C292">
        <v>75.33333333333357</v>
      </c>
      <c r="D292">
        <v>66</v>
      </c>
      <c r="E292">
        <v>86.131161380732379</v>
      </c>
      <c r="F292">
        <v>38.455142352198308</v>
      </c>
      <c r="G292">
        <v>562.76369603226806</v>
      </c>
      <c r="H292">
        <v>7.4703145491008804</v>
      </c>
      <c r="I292">
        <v>3.2535198331702433</v>
      </c>
      <c r="J292">
        <v>6.0643426526938358</v>
      </c>
      <c r="K292">
        <v>572.3030447611759</v>
      </c>
      <c r="L292">
        <v>8.4694874923940837</v>
      </c>
      <c r="M292">
        <v>0.41000101133435901</v>
      </c>
    </row>
    <row r="293" spans="1:13" x14ac:dyDescent="0.2">
      <c r="A293">
        <v>291</v>
      </c>
      <c r="B293">
        <v>600</v>
      </c>
      <c r="C293">
        <v>76.916666666666771</v>
      </c>
      <c r="D293">
        <v>98</v>
      </c>
      <c r="E293">
        <v>75.675760220035912</v>
      </c>
      <c r="F293">
        <v>44.07877759051329</v>
      </c>
      <c r="G293">
        <v>601.15616780414985</v>
      </c>
      <c r="H293">
        <v>7.8156814882446248</v>
      </c>
      <c r="I293">
        <v>3.7545717786022128</v>
      </c>
      <c r="J293">
        <v>6.9982698575996505</v>
      </c>
      <c r="K293">
        <v>611.34606726218362</v>
      </c>
      <c r="L293">
        <v>9.4739892718210221</v>
      </c>
      <c r="M293">
        <v>0.41000078352053626</v>
      </c>
    </row>
    <row r="294" spans="1:13" x14ac:dyDescent="0.2">
      <c r="A294">
        <v>292</v>
      </c>
      <c r="B294">
        <v>600</v>
      </c>
      <c r="C294">
        <v>75.166666666666842</v>
      </c>
      <c r="D294">
        <v>72</v>
      </c>
      <c r="E294">
        <v>80.152379275539403</v>
      </c>
      <c r="F294">
        <v>36.329148192641725</v>
      </c>
      <c r="G294">
        <v>511.22054716158101</v>
      </c>
      <c r="H294">
        <v>6.8011602726595983</v>
      </c>
      <c r="I294">
        <v>3.1881962679250448</v>
      </c>
      <c r="J294">
        <v>5.9425839103915088</v>
      </c>
      <c r="K294">
        <v>519.88621761502986</v>
      </c>
      <c r="L294">
        <v>8.2494136243225515</v>
      </c>
      <c r="M294">
        <v>0.41000103887331629</v>
      </c>
    </row>
    <row r="295" spans="1:13" x14ac:dyDescent="0.2">
      <c r="A295">
        <v>293</v>
      </c>
      <c r="B295">
        <v>600</v>
      </c>
      <c r="C295">
        <v>78.333333333333456</v>
      </c>
      <c r="D295">
        <v>71</v>
      </c>
      <c r="E295">
        <v>99.150957702522405</v>
      </c>
      <c r="F295">
        <v>54.820381933034376</v>
      </c>
      <c r="G295">
        <v>866.19386589799433</v>
      </c>
      <c r="H295">
        <v>11.057794032740336</v>
      </c>
      <c r="I295">
        <v>4.622026077144513</v>
      </c>
      <c r="J295">
        <v>8.6151464625247201</v>
      </c>
      <c r="K295">
        <v>880.87604883437928</v>
      </c>
      <c r="L295">
        <v>12.20823838769287</v>
      </c>
      <c r="M295">
        <v>0.41000062355366318</v>
      </c>
    </row>
    <row r="296" spans="1:13" x14ac:dyDescent="0.2">
      <c r="A296">
        <v>294</v>
      </c>
      <c r="B296">
        <v>600</v>
      </c>
      <c r="C296">
        <v>78.916666666666686</v>
      </c>
      <c r="D296">
        <v>71</v>
      </c>
      <c r="E296">
        <v>96.761431791884377</v>
      </c>
      <c r="F296">
        <v>52.20989288310011</v>
      </c>
      <c r="G296">
        <v>814.05734053559559</v>
      </c>
      <c r="H296">
        <v>10.315404526322222</v>
      </c>
      <c r="I296">
        <v>4.4281044283597826</v>
      </c>
      <c r="J296">
        <v>8.2536895216398545</v>
      </c>
      <c r="K296">
        <v>827.8557189929171</v>
      </c>
      <c r="L296">
        <v>11.872865765416339</v>
      </c>
      <c r="M296">
        <v>0.41000056759221798</v>
      </c>
    </row>
    <row r="297" spans="1:13" x14ac:dyDescent="0.2">
      <c r="A297">
        <v>295</v>
      </c>
      <c r="B297">
        <v>600</v>
      </c>
      <c r="C297">
        <v>78.666666666666686</v>
      </c>
      <c r="D297">
        <v>99</v>
      </c>
      <c r="E297">
        <v>79.056832693578883</v>
      </c>
      <c r="F297">
        <v>48.596377587943437</v>
      </c>
      <c r="G297">
        <v>678.73717599835993</v>
      </c>
      <c r="H297">
        <v>8.6280149491316926</v>
      </c>
      <c r="I297">
        <v>3.8457340502395336</v>
      </c>
      <c r="J297">
        <v>7.1681902147987566</v>
      </c>
      <c r="K297">
        <v>690.2418872638342</v>
      </c>
      <c r="L297">
        <v>9.4478672616598693</v>
      </c>
      <c r="M297">
        <v>0.41000059093290886</v>
      </c>
    </row>
    <row r="298" spans="1:13" x14ac:dyDescent="0.2">
      <c r="A298">
        <v>296</v>
      </c>
      <c r="B298">
        <v>600</v>
      </c>
      <c r="C298">
        <v>76.916666666666771</v>
      </c>
      <c r="D298">
        <v>100</v>
      </c>
      <c r="E298">
        <v>71.631792694537054</v>
      </c>
      <c r="F298">
        <v>40.29967295510302</v>
      </c>
      <c r="G298">
        <v>533.41799470670003</v>
      </c>
      <c r="H298">
        <v>6.9350118488411612</v>
      </c>
      <c r="I298">
        <v>3.4056615809917505</v>
      </c>
      <c r="J298">
        <v>6.3479246616808016</v>
      </c>
      <c r="K298">
        <v>542.45969805480252</v>
      </c>
      <c r="L298">
        <v>8.4711043795617069</v>
      </c>
      <c r="M298">
        <v>0.41000078352053626</v>
      </c>
    </row>
    <row r="299" spans="1:13" x14ac:dyDescent="0.2">
      <c r="A299">
        <v>297</v>
      </c>
      <c r="B299">
        <v>600</v>
      </c>
      <c r="C299">
        <v>76.166666666666799</v>
      </c>
      <c r="D299">
        <v>91</v>
      </c>
      <c r="E299">
        <v>80.372868745977286</v>
      </c>
      <c r="F299">
        <v>46.168972932266179</v>
      </c>
      <c r="G299">
        <v>650.65874019245189</v>
      </c>
      <c r="H299">
        <v>8.5425655167499013</v>
      </c>
      <c r="I299">
        <v>3.8131659061980758</v>
      </c>
      <c r="J299">
        <v>7.1074853796795443</v>
      </c>
      <c r="K299">
        <v>661.68784607922396</v>
      </c>
      <c r="L299">
        <v>9.7452351125782197</v>
      </c>
      <c r="M299">
        <v>0.41000088421039388</v>
      </c>
    </row>
    <row r="300" spans="1:13" x14ac:dyDescent="0.2">
      <c r="A300">
        <v>298</v>
      </c>
      <c r="B300">
        <v>600</v>
      </c>
      <c r="C300">
        <v>80.333333333333371</v>
      </c>
      <c r="D300">
        <v>80</v>
      </c>
      <c r="E300">
        <v>96.476883951075877</v>
      </c>
      <c r="F300">
        <v>58.482563947354663</v>
      </c>
      <c r="G300">
        <v>910.39948449495876</v>
      </c>
      <c r="H300">
        <v>11.332773665912343</v>
      </c>
      <c r="I300">
        <v>4.6980606672653016</v>
      </c>
      <c r="J300">
        <v>8.7568698364684092</v>
      </c>
      <c r="K300">
        <v>925.83069305784625</v>
      </c>
      <c r="L300">
        <v>12.406209593686809</v>
      </c>
      <c r="M300">
        <v>0.41000045171018551</v>
      </c>
    </row>
    <row r="301" spans="1:13" x14ac:dyDescent="0.2">
      <c r="A301">
        <v>299</v>
      </c>
      <c r="B301">
        <v>600</v>
      </c>
      <c r="C301">
        <v>79.916666666666643</v>
      </c>
      <c r="D301">
        <v>83</v>
      </c>
      <c r="E301">
        <v>97.108253617897205</v>
      </c>
      <c r="F301">
        <v>61.472413078591813</v>
      </c>
      <c r="G301">
        <v>960.34859359648794</v>
      </c>
      <c r="H301">
        <v>12.016874998079103</v>
      </c>
      <c r="I301">
        <v>5.2417185161159612</v>
      </c>
      <c r="J301">
        <v>9.7702115864230397</v>
      </c>
      <c r="K301">
        <v>976.62648806426046</v>
      </c>
      <c r="L301">
        <v>14.134844148010259</v>
      </c>
      <c r="M301">
        <v>0.41000048309156739</v>
      </c>
    </row>
    <row r="302" spans="1:13" x14ac:dyDescent="0.2">
      <c r="A302">
        <v>300</v>
      </c>
      <c r="B302">
        <v>600</v>
      </c>
      <c r="C302">
        <v>76.50000000000027</v>
      </c>
      <c r="D302">
        <v>71</v>
      </c>
      <c r="E302">
        <v>90.680708135480799</v>
      </c>
      <c r="F302">
        <v>45.854085446745131</v>
      </c>
      <c r="G302">
        <v>690.12278129501829</v>
      </c>
      <c r="H302">
        <v>9.0212128273858276</v>
      </c>
      <c r="I302">
        <v>3.8999864880315389</v>
      </c>
      <c r="J302">
        <v>7.2693131184185242</v>
      </c>
      <c r="K302">
        <v>701.820774356333</v>
      </c>
      <c r="L302">
        <v>10.108194114974046</v>
      </c>
      <c r="M302">
        <v>0.41000083795357306</v>
      </c>
    </row>
    <row r="303" spans="1:13" x14ac:dyDescent="0.2">
      <c r="A303">
        <v>301</v>
      </c>
      <c r="B303">
        <v>600</v>
      </c>
      <c r="C303">
        <v>76.250000000000284</v>
      </c>
      <c r="D303">
        <v>78</v>
      </c>
      <c r="E303">
        <v>80.660857176523791</v>
      </c>
      <c r="F303">
        <v>39.857508728318678</v>
      </c>
      <c r="G303">
        <v>562.80679209158859</v>
      </c>
      <c r="H303">
        <v>7.3810726831683473</v>
      </c>
      <c r="I303">
        <v>3.4357639970706764</v>
      </c>
      <c r="J303">
        <v>6.4040335453321084</v>
      </c>
      <c r="K303">
        <v>572.34673657151745</v>
      </c>
      <c r="L303">
        <v>8.7336798622372971</v>
      </c>
      <c r="M303">
        <v>0.4100008724121415</v>
      </c>
    </row>
    <row r="304" spans="1:13" x14ac:dyDescent="0.2">
      <c r="A304">
        <v>302</v>
      </c>
      <c r="B304">
        <v>600</v>
      </c>
      <c r="C304">
        <v>80.500000000000099</v>
      </c>
      <c r="D304">
        <v>100</v>
      </c>
      <c r="E304">
        <v>84.145472209515958</v>
      </c>
      <c r="F304">
        <v>55.60980667495037</v>
      </c>
      <c r="G304">
        <v>803.53701867871439</v>
      </c>
      <c r="H304">
        <v>9.9818263189902279</v>
      </c>
      <c r="I304">
        <v>4.3759739296460447</v>
      </c>
      <c r="J304">
        <v>8.1565217700765036</v>
      </c>
      <c r="K304">
        <v>817.15689922129127</v>
      </c>
      <c r="L304">
        <v>10.959649596755682</v>
      </c>
      <c r="M304">
        <v>0.41000043973603301</v>
      </c>
    </row>
    <row r="305" spans="1:13" x14ac:dyDescent="0.2">
      <c r="A305">
        <v>303</v>
      </c>
      <c r="B305">
        <v>600</v>
      </c>
      <c r="C305">
        <v>77.000000000000256</v>
      </c>
      <c r="D305">
        <v>64</v>
      </c>
      <c r="E305">
        <v>87.320832138985722</v>
      </c>
      <c r="F305">
        <v>38.327067082257443</v>
      </c>
      <c r="G305">
        <v>565.0963425456307</v>
      </c>
      <c r="H305">
        <v>7.3389135395536211</v>
      </c>
      <c r="I305">
        <v>3.196078718708133</v>
      </c>
      <c r="J305">
        <v>5.9572762697262487</v>
      </c>
      <c r="K305">
        <v>574.67499964233139</v>
      </c>
      <c r="L305">
        <v>8.3466819008327633</v>
      </c>
      <c r="M305">
        <v>0.41000077306581523</v>
      </c>
    </row>
    <row r="306" spans="1:13" x14ac:dyDescent="0.2">
      <c r="A306">
        <v>304</v>
      </c>
      <c r="B306">
        <v>600</v>
      </c>
      <c r="C306">
        <v>77.916666666666728</v>
      </c>
      <c r="D306">
        <v>100</v>
      </c>
      <c r="E306">
        <v>85.244604751190877</v>
      </c>
      <c r="F306">
        <v>57.07207782882864</v>
      </c>
      <c r="G306">
        <v>830.51605382509297</v>
      </c>
      <c r="H306">
        <v>10.659029567808672</v>
      </c>
      <c r="I306">
        <v>4.7457966259837141</v>
      </c>
      <c r="J306">
        <v>8.8458464603610683</v>
      </c>
      <c r="K306">
        <v>844.59355174923155</v>
      </c>
      <c r="L306">
        <v>12.257033172080847</v>
      </c>
      <c r="M306">
        <v>0.41000066687342057</v>
      </c>
    </row>
    <row r="307" spans="1:13" x14ac:dyDescent="0.2">
      <c r="A307">
        <v>305</v>
      </c>
      <c r="B307">
        <v>600</v>
      </c>
      <c r="C307">
        <v>78.250000000000199</v>
      </c>
      <c r="D307">
        <v>98</v>
      </c>
      <c r="E307">
        <v>82.894932541728892</v>
      </c>
      <c r="F307">
        <v>52.889799661983851</v>
      </c>
      <c r="G307">
        <v>758.02621642194867</v>
      </c>
      <c r="H307">
        <v>9.687235992612738</v>
      </c>
      <c r="I307">
        <v>4.2412501106674254</v>
      </c>
      <c r="J307">
        <v>7.9054056116820597</v>
      </c>
      <c r="K307">
        <v>770.87494412825254</v>
      </c>
      <c r="L307">
        <v>10.663212576871617</v>
      </c>
      <c r="M307">
        <v>0.41000063198642472</v>
      </c>
    </row>
    <row r="308" spans="1:13" x14ac:dyDescent="0.2">
      <c r="A308">
        <v>306</v>
      </c>
      <c r="B308">
        <v>600</v>
      </c>
      <c r="C308">
        <v>76.000000000000298</v>
      </c>
      <c r="D308">
        <v>99</v>
      </c>
      <c r="E308">
        <v>75.560204177366728</v>
      </c>
      <c r="F308">
        <v>44.392675629217742</v>
      </c>
      <c r="G308">
        <v>604.93330305441407</v>
      </c>
      <c r="H308">
        <v>7.9596487244001537</v>
      </c>
      <c r="I308">
        <v>3.7577889021009718</v>
      </c>
      <c r="J308">
        <v>7.0042663599272537</v>
      </c>
      <c r="K308">
        <v>615.18735694876841</v>
      </c>
      <c r="L308">
        <v>9.5564983402009922</v>
      </c>
      <c r="M308">
        <v>0.41000090828772506</v>
      </c>
    </row>
    <row r="309" spans="1:13" x14ac:dyDescent="0.2">
      <c r="A309">
        <v>307</v>
      </c>
      <c r="B309">
        <v>600</v>
      </c>
      <c r="C309">
        <v>76.333333333333528</v>
      </c>
      <c r="D309">
        <v>100</v>
      </c>
      <c r="E309">
        <v>71.384883929179765</v>
      </c>
      <c r="F309">
        <v>40.022332597613506</v>
      </c>
      <c r="G309">
        <v>528.75156876952587</v>
      </c>
      <c r="H309">
        <v>6.9268764467623303</v>
      </c>
      <c r="I309">
        <v>3.3087310524466584</v>
      </c>
      <c r="J309">
        <v>6.1672526606647864</v>
      </c>
      <c r="K309">
        <v>537.71424425544626</v>
      </c>
      <c r="L309">
        <v>8.0999267370287864</v>
      </c>
      <c r="M309">
        <v>0.41000086077131626</v>
      </c>
    </row>
    <row r="310" spans="1:13" x14ac:dyDescent="0.2">
      <c r="A310">
        <v>308</v>
      </c>
      <c r="B310">
        <v>600</v>
      </c>
      <c r="C310">
        <v>77.083333333333499</v>
      </c>
      <c r="D310">
        <v>100</v>
      </c>
      <c r="E310">
        <v>74.503456014263961</v>
      </c>
      <c r="F310">
        <v>43.595606035185916</v>
      </c>
      <c r="G310">
        <v>589.53179191498157</v>
      </c>
      <c r="H310">
        <v>7.6479800032213658</v>
      </c>
      <c r="I310">
        <v>3.637091008965935</v>
      </c>
      <c r="J310">
        <v>6.7792935861434005</v>
      </c>
      <c r="K310">
        <v>599.52463124874168</v>
      </c>
      <c r="L310">
        <v>9.0562109898766234</v>
      </c>
      <c r="M310">
        <v>0.41000076275059422</v>
      </c>
    </row>
    <row r="311" spans="1:13" x14ac:dyDescent="0.2">
      <c r="A311">
        <v>309</v>
      </c>
      <c r="B311">
        <v>600</v>
      </c>
      <c r="C311">
        <v>76.000000000000298</v>
      </c>
      <c r="D311">
        <v>100</v>
      </c>
      <c r="E311">
        <v>70.385201981372376</v>
      </c>
      <c r="F311">
        <v>38.909227084908423</v>
      </c>
      <c r="G311">
        <v>510.11208195388019</v>
      </c>
      <c r="H311">
        <v>6.7120010783405029</v>
      </c>
      <c r="I311">
        <v>3.2944116101326983</v>
      </c>
      <c r="J311">
        <v>6.140562181048832</v>
      </c>
      <c r="K311">
        <v>518.75884805868145</v>
      </c>
      <c r="L311">
        <v>8.2212566300148655</v>
      </c>
      <c r="M311">
        <v>0.41000090828772506</v>
      </c>
    </row>
    <row r="312" spans="1:13" x14ac:dyDescent="0.2">
      <c r="A312">
        <v>310</v>
      </c>
      <c r="B312">
        <v>600</v>
      </c>
      <c r="C312">
        <v>77.666666666666728</v>
      </c>
      <c r="D312">
        <v>100</v>
      </c>
      <c r="E312">
        <v>78.825057041683479</v>
      </c>
      <c r="F312">
        <v>48.799847941551768</v>
      </c>
      <c r="G312">
        <v>680.48973073341085</v>
      </c>
      <c r="H312">
        <v>8.7616703527906914</v>
      </c>
      <c r="I312">
        <v>3.93878333698449</v>
      </c>
      <c r="J312">
        <v>7.341627841536793</v>
      </c>
      <c r="K312">
        <v>692.02426933943991</v>
      </c>
      <c r="L312">
        <v>9.7396292180745245</v>
      </c>
      <c r="M312">
        <v>0.41000069429678165</v>
      </c>
    </row>
    <row r="313" spans="1:13" x14ac:dyDescent="0.2">
      <c r="A313">
        <v>311</v>
      </c>
      <c r="B313">
        <v>600</v>
      </c>
      <c r="C313">
        <v>76.000000000000298</v>
      </c>
      <c r="D313">
        <v>100</v>
      </c>
      <c r="E313">
        <v>74.4889424577471</v>
      </c>
      <c r="F313">
        <v>43.578622509935336</v>
      </c>
      <c r="G313">
        <v>589.23944946304221</v>
      </c>
      <c r="H313">
        <v>7.7531506508294719</v>
      </c>
      <c r="I313">
        <v>3.6528687493081096</v>
      </c>
      <c r="J313">
        <v>6.8087022354298403</v>
      </c>
      <c r="K313">
        <v>599.22748126913734</v>
      </c>
      <c r="L313">
        <v>9.2548319929775271</v>
      </c>
      <c r="M313">
        <v>0.41000090828772506</v>
      </c>
    </row>
    <row r="314" spans="1:13" x14ac:dyDescent="0.2">
      <c r="A314">
        <v>312</v>
      </c>
      <c r="B314">
        <v>600</v>
      </c>
      <c r="C314">
        <v>76.50000000000027</v>
      </c>
      <c r="D314">
        <v>100</v>
      </c>
      <c r="E314">
        <v>79.071915177238836</v>
      </c>
      <c r="F314">
        <v>49.105981632835352</v>
      </c>
      <c r="G314">
        <v>685.92570967599727</v>
      </c>
      <c r="H314">
        <v>8.9663491460914351</v>
      </c>
      <c r="I314">
        <v>3.9579246677111297</v>
      </c>
      <c r="J314">
        <v>7.3773059975976309</v>
      </c>
      <c r="K314">
        <v>697.55255986823443</v>
      </c>
      <c r="L314">
        <v>9.8929411927382915</v>
      </c>
      <c r="M314">
        <v>0.41000083795357306</v>
      </c>
    </row>
    <row r="315" spans="1:13" x14ac:dyDescent="0.2">
      <c r="A315">
        <v>313</v>
      </c>
      <c r="B315">
        <v>600</v>
      </c>
      <c r="C315">
        <v>76.50000000000027</v>
      </c>
      <c r="D315">
        <v>99</v>
      </c>
      <c r="E315">
        <v>72.373391441185746</v>
      </c>
      <c r="F315">
        <v>40.727047257165658</v>
      </c>
      <c r="G315">
        <v>542.10763634317743</v>
      </c>
      <c r="H315">
        <v>7.0863743312833405</v>
      </c>
      <c r="I315">
        <v>3.2379380668743276</v>
      </c>
      <c r="J315">
        <v>6.0352992858794536</v>
      </c>
      <c r="K315">
        <v>551.29668435073381</v>
      </c>
      <c r="L315">
        <v>7.9073565966933659</v>
      </c>
      <c r="M315">
        <v>0.41000083795357306</v>
      </c>
    </row>
    <row r="316" spans="1:13" x14ac:dyDescent="0.2">
      <c r="A316">
        <v>314</v>
      </c>
      <c r="B316">
        <v>600</v>
      </c>
      <c r="C316">
        <v>76.250000000000284</v>
      </c>
      <c r="D316">
        <v>100</v>
      </c>
      <c r="E316">
        <v>74.818646706942602</v>
      </c>
      <c r="F316">
        <v>43.965253185901148</v>
      </c>
      <c r="G316">
        <v>595.89902937333181</v>
      </c>
      <c r="H316">
        <v>7.8150692376830113</v>
      </c>
      <c r="I316">
        <v>3.6087700595701655</v>
      </c>
      <c r="J316">
        <v>6.7265052368502616</v>
      </c>
      <c r="K316">
        <v>605.99990899267357</v>
      </c>
      <c r="L316">
        <v>8.998171143194357</v>
      </c>
      <c r="M316">
        <v>0.4100008724121415</v>
      </c>
    </row>
    <row r="317" spans="1:13" x14ac:dyDescent="0.2">
      <c r="A317">
        <v>315</v>
      </c>
      <c r="B317">
        <v>600</v>
      </c>
      <c r="C317">
        <v>77.500000000000227</v>
      </c>
      <c r="D317">
        <v>99</v>
      </c>
      <c r="E317">
        <v>84.642727481249295</v>
      </c>
      <c r="F317">
        <v>55.706307832165976</v>
      </c>
      <c r="G317">
        <v>807.51855259522858</v>
      </c>
      <c r="H317">
        <v>10.419594227035176</v>
      </c>
      <c r="I317">
        <v>4.3895956583126488</v>
      </c>
      <c r="J317">
        <v>8.1819117582714789</v>
      </c>
      <c r="K317">
        <v>821.20630041303673</v>
      </c>
      <c r="L317">
        <v>11.063627528339181</v>
      </c>
      <c r="M317">
        <v>0.41000071320270459</v>
      </c>
    </row>
    <row r="318" spans="1:13" x14ac:dyDescent="0.2">
      <c r="A318">
        <v>316</v>
      </c>
      <c r="B318">
        <v>600</v>
      </c>
      <c r="C318">
        <v>77.166666666666757</v>
      </c>
      <c r="D318">
        <v>99</v>
      </c>
      <c r="E318">
        <v>76.172030570539903</v>
      </c>
      <c r="F318">
        <v>45.114499330302166</v>
      </c>
      <c r="G318">
        <v>617.47615633885744</v>
      </c>
      <c r="H318">
        <v>8.0018508380845361</v>
      </c>
      <c r="I318">
        <v>3.701630339984741</v>
      </c>
      <c r="J318">
        <v>6.8995905684710905</v>
      </c>
      <c r="K318">
        <v>627.94265487459245</v>
      </c>
      <c r="L318">
        <v>9.2185104794885273</v>
      </c>
      <c r="M318">
        <v>0.41000075257301194</v>
      </c>
    </row>
    <row r="319" spans="1:13" x14ac:dyDescent="0.2">
      <c r="A319">
        <v>317</v>
      </c>
      <c r="B319">
        <v>600</v>
      </c>
      <c r="C319">
        <v>78.166666666666714</v>
      </c>
      <c r="D319">
        <v>46</v>
      </c>
      <c r="E319">
        <v>95.491232617992281</v>
      </c>
      <c r="F319">
        <v>32.943877297245685</v>
      </c>
      <c r="G319">
        <v>509.97740588834853</v>
      </c>
      <c r="H319">
        <v>6.5242312053946465</v>
      </c>
      <c r="I319">
        <v>2.9121942039068904</v>
      </c>
      <c r="J319">
        <v>5.4281345832374468</v>
      </c>
      <c r="K319">
        <v>518.62165377527344</v>
      </c>
      <c r="L319">
        <v>7.6815547586392787</v>
      </c>
      <c r="M319">
        <v>0.41000064053322849</v>
      </c>
    </row>
    <row r="320" spans="1:13" x14ac:dyDescent="0.2">
      <c r="A320">
        <v>318</v>
      </c>
      <c r="B320">
        <v>600</v>
      </c>
      <c r="C320">
        <v>83.666666666666401</v>
      </c>
      <c r="D320">
        <v>5</v>
      </c>
      <c r="E320">
        <v>245.13561566712963</v>
      </c>
      <c r="F320">
        <v>23.597865113827375</v>
      </c>
      <c r="G320">
        <v>610.48187039980337</v>
      </c>
      <c r="H320">
        <v>7.2965960605554416</v>
      </c>
      <c r="I320">
        <v>3.1185438741489491</v>
      </c>
      <c r="J320">
        <v>5.8127565221788418</v>
      </c>
      <c r="K320">
        <v>620.82929847600781</v>
      </c>
      <c r="L320">
        <v>12.808784807163279</v>
      </c>
      <c r="M320">
        <v>0.41000026393883637</v>
      </c>
    </row>
    <row r="321" spans="1:13" x14ac:dyDescent="0.2">
      <c r="A321">
        <v>319</v>
      </c>
      <c r="B321">
        <v>600</v>
      </c>
      <c r="C321">
        <v>79.250000000000156</v>
      </c>
      <c r="D321">
        <v>9</v>
      </c>
      <c r="E321">
        <v>205.87488313442401</v>
      </c>
      <c r="F321">
        <v>29.959814641938351</v>
      </c>
      <c r="G321">
        <v>704.77267349593626</v>
      </c>
      <c r="H321">
        <v>8.8930305803903451</v>
      </c>
      <c r="I321">
        <v>3.2568918977247918</v>
      </c>
      <c r="J321">
        <v>6.0706279547526405</v>
      </c>
      <c r="K321">
        <v>716.71862647428304</v>
      </c>
      <c r="L321">
        <v>12.627235456005833</v>
      </c>
      <c r="M321">
        <v>0.41000053789904578</v>
      </c>
    </row>
    <row r="322" spans="1:13" x14ac:dyDescent="0.2">
      <c r="A322">
        <v>320</v>
      </c>
      <c r="B322">
        <v>600</v>
      </c>
      <c r="C322">
        <v>77.333333333333499</v>
      </c>
      <c r="D322">
        <v>94</v>
      </c>
      <c r="E322">
        <v>81.886366111177367</v>
      </c>
      <c r="F322">
        <v>49.504073005454778</v>
      </c>
      <c r="G322">
        <v>704.78609681224634</v>
      </c>
      <c r="H322">
        <v>9.1136133208479944</v>
      </c>
      <c r="I322">
        <v>4.0007829967264277</v>
      </c>
      <c r="J322">
        <v>7.4571910470203671</v>
      </c>
      <c r="K322">
        <v>716.73251386845584</v>
      </c>
      <c r="L322">
        <v>10.039264971279788</v>
      </c>
      <c r="M322">
        <v>0.41000073262344178</v>
      </c>
    </row>
    <row r="323" spans="1:13" x14ac:dyDescent="0.2">
      <c r="A323">
        <v>321</v>
      </c>
      <c r="B323">
        <v>600</v>
      </c>
      <c r="C323">
        <v>77.083333333333499</v>
      </c>
      <c r="D323">
        <v>99</v>
      </c>
      <c r="E323">
        <v>77.377751470750709</v>
      </c>
      <c r="F323">
        <v>46.554030488233828</v>
      </c>
      <c r="G323">
        <v>642.65293452380422</v>
      </c>
      <c r="H323">
        <v>8.3371191505790634</v>
      </c>
      <c r="I323">
        <v>3.8317692545787674</v>
      </c>
      <c r="J323">
        <v>7.1421607727470029</v>
      </c>
      <c r="K323">
        <v>653.54620204582454</v>
      </c>
      <c r="L323">
        <v>9.6390641090203104</v>
      </c>
      <c r="M323">
        <v>0.41000076275059422</v>
      </c>
    </row>
    <row r="324" spans="1:13" x14ac:dyDescent="0.2">
      <c r="A324">
        <v>322</v>
      </c>
      <c r="B324">
        <v>600</v>
      </c>
      <c r="C324">
        <v>78.166666666666714</v>
      </c>
      <c r="D324">
        <v>79</v>
      </c>
      <c r="E324">
        <v>90.868674658460861</v>
      </c>
      <c r="F324">
        <v>51.23247776884859</v>
      </c>
      <c r="G324">
        <v>771.94023421028749</v>
      </c>
      <c r="H324">
        <v>9.8755680282765912</v>
      </c>
      <c r="I324">
        <v>4.1812860459976902</v>
      </c>
      <c r="J324">
        <v>7.7936366188214166</v>
      </c>
      <c r="K324">
        <v>785.02481925534653</v>
      </c>
      <c r="L324">
        <v>10.865597354150658</v>
      </c>
      <c r="M324">
        <v>0.41000064053322849</v>
      </c>
    </row>
    <row r="325" spans="1:13" x14ac:dyDescent="0.2">
      <c r="A325">
        <v>323</v>
      </c>
      <c r="B325">
        <v>600</v>
      </c>
      <c r="C325">
        <v>76.583333333333528</v>
      </c>
      <c r="D325">
        <v>50</v>
      </c>
      <c r="E325">
        <v>99.430820005974965</v>
      </c>
      <c r="F325">
        <v>38.824147458901791</v>
      </c>
      <c r="G325">
        <v>614.38640418469413</v>
      </c>
      <c r="H325">
        <v>8.0224557673735699</v>
      </c>
      <c r="I325">
        <v>3.3794819052452647</v>
      </c>
      <c r="J325">
        <v>6.2991275027870728</v>
      </c>
      <c r="K325">
        <v>624.80060860813762</v>
      </c>
      <c r="L325">
        <v>8.9789023137817026</v>
      </c>
      <c r="M325">
        <v>0.41000082677253757</v>
      </c>
    </row>
    <row r="326" spans="1:13" x14ac:dyDescent="0.2">
      <c r="A326">
        <v>324</v>
      </c>
      <c r="B326">
        <v>600</v>
      </c>
      <c r="C326">
        <v>75.916666666666814</v>
      </c>
      <c r="D326">
        <v>97</v>
      </c>
      <c r="E326">
        <v>63.750983183652451</v>
      </c>
      <c r="F326">
        <v>30.962455081426707</v>
      </c>
      <c r="G326">
        <v>384.6177265268721</v>
      </c>
      <c r="H326">
        <v>5.0663147292233326</v>
      </c>
      <c r="I326">
        <v>2.6826032595102518</v>
      </c>
      <c r="J326">
        <v>5.0001924687982324</v>
      </c>
      <c r="K326">
        <v>391.13728133189761</v>
      </c>
      <c r="L326">
        <v>6.5506596118171174</v>
      </c>
      <c r="M326">
        <v>0.41000092057114862</v>
      </c>
    </row>
    <row r="327" spans="1:13" x14ac:dyDescent="0.2">
      <c r="A327">
        <v>325</v>
      </c>
      <c r="B327">
        <v>600</v>
      </c>
      <c r="C327">
        <v>75.250000000000327</v>
      </c>
      <c r="D327">
        <v>99</v>
      </c>
      <c r="E327">
        <v>69.921707156350493</v>
      </c>
      <c r="F327">
        <v>38.014485965000524</v>
      </c>
      <c r="G327">
        <v>496.59130835303216</v>
      </c>
      <c r="H327">
        <v>6.5992200445585381</v>
      </c>
      <c r="I327">
        <v>3.1327641600849754</v>
      </c>
      <c r="J327">
        <v>5.8392621809598788</v>
      </c>
      <c r="K327">
        <v>505.00898754536655</v>
      </c>
      <c r="L327">
        <v>7.7679360400926241</v>
      </c>
      <c r="M327">
        <v>0.41000102501135577</v>
      </c>
    </row>
    <row r="328" spans="1:13" x14ac:dyDescent="0.2">
      <c r="A328">
        <v>326</v>
      </c>
      <c r="B328">
        <v>600</v>
      </c>
      <c r="C328">
        <v>77.250000000000242</v>
      </c>
      <c r="D328">
        <v>98</v>
      </c>
      <c r="E328">
        <v>76.012652946007506</v>
      </c>
      <c r="F328">
        <v>44.472110241519147</v>
      </c>
      <c r="G328">
        <v>607.98982700855754</v>
      </c>
      <c r="H328">
        <v>7.8704184726026618</v>
      </c>
      <c r="I328">
        <v>3.6338830186220257</v>
      </c>
      <c r="J328">
        <v>6.7733141074035883</v>
      </c>
      <c r="K328">
        <v>618.29551747265543</v>
      </c>
      <c r="L328">
        <v>8.9947095470784042</v>
      </c>
      <c r="M328">
        <v>0.41000074253123181</v>
      </c>
    </row>
    <row r="329" spans="1:13" x14ac:dyDescent="0.2">
      <c r="A329">
        <v>327</v>
      </c>
      <c r="B329">
        <v>600</v>
      </c>
      <c r="C329">
        <v>76.250000000000284</v>
      </c>
      <c r="D329">
        <v>100</v>
      </c>
      <c r="E329">
        <v>73.781589201960912</v>
      </c>
      <c r="F329">
        <v>42.754899717627168</v>
      </c>
      <c r="G329">
        <v>575.10495003055314</v>
      </c>
      <c r="H329">
        <v>7.5423600004006692</v>
      </c>
      <c r="I329">
        <v>3.4917111936537562</v>
      </c>
      <c r="J329">
        <v>6.5083153656174382</v>
      </c>
      <c r="K329">
        <v>584.85335635847628</v>
      </c>
      <c r="L329">
        <v>8.6726837981848313</v>
      </c>
      <c r="M329">
        <v>0.4100008724121415</v>
      </c>
    </row>
    <row r="330" spans="1:13" x14ac:dyDescent="0.2">
      <c r="A330">
        <v>328</v>
      </c>
      <c r="B330">
        <v>600</v>
      </c>
      <c r="C330">
        <v>77.083333333333499</v>
      </c>
      <c r="D330">
        <v>100</v>
      </c>
      <c r="E330">
        <v>75.084985285249445</v>
      </c>
      <c r="F330">
        <v>44.278824346904763</v>
      </c>
      <c r="G330">
        <v>601.31199968322233</v>
      </c>
      <c r="H330">
        <v>7.800804320214759</v>
      </c>
      <c r="I330">
        <v>3.6670878002980478</v>
      </c>
      <c r="J330">
        <v>6.835205592354237</v>
      </c>
      <c r="K330">
        <v>611.50451904299769</v>
      </c>
      <c r="L330">
        <v>9.1503434897890283</v>
      </c>
      <c r="M330">
        <v>0.41000076275059422</v>
      </c>
    </row>
    <row r="331" spans="1:13" x14ac:dyDescent="0.2">
      <c r="A331">
        <v>329</v>
      </c>
      <c r="B331">
        <v>600</v>
      </c>
      <c r="C331">
        <v>80.9166666666666</v>
      </c>
      <c r="D331">
        <v>98.64164789470874</v>
      </c>
      <c r="E331">
        <v>89.950350608161642</v>
      </c>
      <c r="F331">
        <v>62.683887316892651</v>
      </c>
      <c r="G331">
        <v>939.27238451304561</v>
      </c>
      <c r="H331">
        <v>11.607897645887286</v>
      </c>
      <c r="I331">
        <v>5.0700023576608997</v>
      </c>
      <c r="J331">
        <v>9.4501441894890963</v>
      </c>
      <c r="K331">
        <v>955.19292111094921</v>
      </c>
      <c r="L331">
        <v>13.355497746702245</v>
      </c>
      <c r="M331">
        <v>0.41000041117100455</v>
      </c>
    </row>
    <row r="332" spans="1:13" x14ac:dyDescent="0.2">
      <c r="A332">
        <v>330</v>
      </c>
      <c r="B332">
        <v>600</v>
      </c>
      <c r="C332">
        <v>75.166666666666842</v>
      </c>
      <c r="D332">
        <v>99</v>
      </c>
      <c r="E332">
        <v>69.158235009710012</v>
      </c>
      <c r="F332">
        <v>37.188861079134931</v>
      </c>
      <c r="G332">
        <v>482.90940487081571</v>
      </c>
      <c r="H332">
        <v>6.4245153641350043</v>
      </c>
      <c r="I332">
        <v>3.0572702167728458</v>
      </c>
      <c r="J332">
        <v>5.6985465363892738</v>
      </c>
      <c r="K332">
        <v>491.09517475959706</v>
      </c>
      <c r="L332">
        <v>7.6026562593990556</v>
      </c>
      <c r="M332">
        <v>0.41000103887331629</v>
      </c>
    </row>
    <row r="333" spans="1:13" x14ac:dyDescent="0.2">
      <c r="A333">
        <v>331</v>
      </c>
      <c r="B333">
        <v>600</v>
      </c>
      <c r="C333">
        <v>75.33333333333357</v>
      </c>
      <c r="D333">
        <v>99</v>
      </c>
      <c r="E333">
        <v>72.494023458709037</v>
      </c>
      <c r="F333">
        <v>40.862928145557554</v>
      </c>
      <c r="G333">
        <v>544.40979103439099</v>
      </c>
      <c r="H333">
        <v>7.2266786420494151</v>
      </c>
      <c r="I333">
        <v>3.3231544416141574</v>
      </c>
      <c r="J333">
        <v>6.1941368902407401</v>
      </c>
      <c r="K333">
        <v>553.63802463354466</v>
      </c>
      <c r="L333">
        <v>8.2730586364200303</v>
      </c>
      <c r="M333">
        <v>0.41000101133435901</v>
      </c>
    </row>
    <row r="334" spans="1:13" x14ac:dyDescent="0.2">
      <c r="A334">
        <v>332</v>
      </c>
      <c r="B334">
        <v>600</v>
      </c>
      <c r="C334">
        <v>77.333333333333499</v>
      </c>
      <c r="D334">
        <v>98</v>
      </c>
      <c r="E334">
        <v>80.179791033278704</v>
      </c>
      <c r="F334">
        <v>49.481835043443439</v>
      </c>
      <c r="G334">
        <v>696.43405087838198</v>
      </c>
      <c r="H334">
        <v>9.0056127268756097</v>
      </c>
      <c r="I334">
        <v>3.9401668222886381</v>
      </c>
      <c r="J334">
        <v>7.3442065653096691</v>
      </c>
      <c r="K334">
        <v>708.23889728719951</v>
      </c>
      <c r="L334">
        <v>9.8335924882401677</v>
      </c>
      <c r="M334">
        <v>0.41000073262344178</v>
      </c>
    </row>
    <row r="335" spans="1:13" x14ac:dyDescent="0.2">
      <c r="A335">
        <v>333</v>
      </c>
      <c r="B335">
        <v>600</v>
      </c>
      <c r="C335">
        <v>77.000000000000256</v>
      </c>
      <c r="D335">
        <v>99</v>
      </c>
      <c r="E335">
        <v>74.667540838647668</v>
      </c>
      <c r="F335">
        <v>43.349967106859495</v>
      </c>
      <c r="G335">
        <v>586.91295804178924</v>
      </c>
      <c r="H335">
        <v>7.6222462083349001</v>
      </c>
      <c r="I335">
        <v>3.6312161563716128</v>
      </c>
      <c r="J335">
        <v>6.7683432551195013</v>
      </c>
      <c r="K335">
        <v>596.86141735293506</v>
      </c>
      <c r="L335">
        <v>9.0930627087227354</v>
      </c>
      <c r="M335">
        <v>0.41000077306581523</v>
      </c>
    </row>
    <row r="336" spans="1:13" x14ac:dyDescent="0.2">
      <c r="A336">
        <v>334</v>
      </c>
      <c r="B336">
        <v>600</v>
      </c>
      <c r="C336">
        <v>77.416666666666742</v>
      </c>
      <c r="D336">
        <v>100</v>
      </c>
      <c r="E336">
        <v>83.819541812764243</v>
      </c>
      <c r="F336">
        <v>55.179841207045612</v>
      </c>
      <c r="G336">
        <v>795.64010647408838</v>
      </c>
      <c r="H336">
        <v>10.277374895251938</v>
      </c>
      <c r="I336">
        <v>4.3889715140596186</v>
      </c>
      <c r="J336">
        <v>8.1807483952648976</v>
      </c>
      <c r="K336">
        <v>809.1265233217357</v>
      </c>
      <c r="L336">
        <v>11.02089623933918</v>
      </c>
      <c r="M336">
        <v>0.4100007228478541</v>
      </c>
    </row>
    <row r="337" spans="1:13" x14ac:dyDescent="0.2">
      <c r="A337">
        <v>335</v>
      </c>
      <c r="B337">
        <v>600</v>
      </c>
      <c r="C337">
        <v>78.666666666666686</v>
      </c>
      <c r="D337">
        <v>69</v>
      </c>
      <c r="E337">
        <v>95.323038220235745</v>
      </c>
      <c r="F337">
        <v>49.241891210850746</v>
      </c>
      <c r="G337">
        <v>761.54215681787764</v>
      </c>
      <c r="H337">
        <v>9.6806206375153927</v>
      </c>
      <c r="I337">
        <v>4.1130959895702661</v>
      </c>
      <c r="J337">
        <v>7.6665349293015206</v>
      </c>
      <c r="K337">
        <v>774.45042667622033</v>
      </c>
      <c r="L337">
        <v>10.691729989893952</v>
      </c>
      <c r="M337">
        <v>0.41000059093290886</v>
      </c>
    </row>
    <row r="338" spans="1:13" x14ac:dyDescent="0.2">
      <c r="A338">
        <v>336</v>
      </c>
      <c r="B338">
        <v>600</v>
      </c>
      <c r="C338">
        <v>80.000000000000128</v>
      </c>
      <c r="D338">
        <v>84.920935773187182</v>
      </c>
      <c r="E338">
        <v>98.252732679853082</v>
      </c>
      <c r="F338">
        <v>64.386368200002266</v>
      </c>
      <c r="G338">
        <v>1012.3117541174636</v>
      </c>
      <c r="H338">
        <v>12.653896926468274</v>
      </c>
      <c r="I338">
        <v>5.5136588959324753</v>
      </c>
      <c r="J338">
        <v>10.277090206770689</v>
      </c>
      <c r="K338">
        <v>1029.4704121406239</v>
      </c>
      <c r="L338">
        <v>14.647685061021964</v>
      </c>
      <c r="M338">
        <v>0.41000047664554917</v>
      </c>
    </row>
    <row r="339" spans="1:13" x14ac:dyDescent="0.2">
      <c r="A339">
        <v>337</v>
      </c>
      <c r="B339">
        <v>600</v>
      </c>
      <c r="C339">
        <v>77.500000000000227</v>
      </c>
      <c r="D339">
        <v>100</v>
      </c>
      <c r="E339">
        <v>72.266576901299956</v>
      </c>
      <c r="F339">
        <v>41.017090292446007</v>
      </c>
      <c r="G339">
        <v>545.52938429895983</v>
      </c>
      <c r="H339">
        <v>7.0390888296639771</v>
      </c>
      <c r="I339">
        <v>3.3690641264201959</v>
      </c>
      <c r="J339">
        <v>6.2797094621066085</v>
      </c>
      <c r="K339">
        <v>554.77631567346555</v>
      </c>
      <c r="L339">
        <v>8.1321115468004805</v>
      </c>
      <c r="M339">
        <v>0.41000071320270459</v>
      </c>
    </row>
    <row r="340" spans="1:13" x14ac:dyDescent="0.2">
      <c r="A340">
        <v>338</v>
      </c>
      <c r="B340">
        <v>600</v>
      </c>
      <c r="C340">
        <v>75.000000000000341</v>
      </c>
      <c r="D340">
        <v>100</v>
      </c>
      <c r="E340">
        <v>66.909923744325383</v>
      </c>
      <c r="F340">
        <v>35.161788007477043</v>
      </c>
      <c r="G340">
        <v>448.44112895709026</v>
      </c>
      <c r="H340">
        <v>5.9792150527611758</v>
      </c>
      <c r="I340">
        <v>3.0098190898339077</v>
      </c>
      <c r="J340">
        <v>5.6101008198208895</v>
      </c>
      <c r="K340">
        <v>456.04265092494626</v>
      </c>
      <c r="L340">
        <v>7.5031042842078888</v>
      </c>
      <c r="M340">
        <v>0.41000106716216822</v>
      </c>
    </row>
    <row r="341" spans="1:13" x14ac:dyDescent="0.2">
      <c r="A341">
        <v>339</v>
      </c>
      <c r="B341">
        <v>600</v>
      </c>
      <c r="C341">
        <v>74.166666666666885</v>
      </c>
      <c r="D341">
        <v>99</v>
      </c>
      <c r="E341">
        <v>70.323825715440435</v>
      </c>
      <c r="F341">
        <v>38.452984584620822</v>
      </c>
      <c r="G341">
        <v>503.89083385270737</v>
      </c>
      <c r="H341">
        <v>6.7940337148679451</v>
      </c>
      <c r="I341">
        <v>3.1472217163374943</v>
      </c>
      <c r="J341">
        <v>5.8662100956896444</v>
      </c>
      <c r="K341">
        <v>512.43241657824001</v>
      </c>
      <c r="L341">
        <v>7.9482597870843676</v>
      </c>
      <c r="M341">
        <v>0.41000122058932448</v>
      </c>
    </row>
    <row r="342" spans="1:13" x14ac:dyDescent="0.2">
      <c r="A342">
        <v>340</v>
      </c>
      <c r="B342">
        <v>600</v>
      </c>
      <c r="C342">
        <v>74.666666666666856</v>
      </c>
      <c r="D342">
        <v>100</v>
      </c>
      <c r="E342">
        <v>69.391548365703628</v>
      </c>
      <c r="F342">
        <v>37.818390141121142</v>
      </c>
      <c r="G342">
        <v>491.98569935990321</v>
      </c>
      <c r="H342">
        <v>6.5890941878558298</v>
      </c>
      <c r="I342">
        <v>3.0791346354674793</v>
      </c>
      <c r="J342">
        <v>5.7393003456989362</v>
      </c>
      <c r="K342">
        <v>500.32539494619613</v>
      </c>
      <c r="L342">
        <v>7.6218452810753119</v>
      </c>
      <c r="M342">
        <v>0.4100011260717914</v>
      </c>
    </row>
    <row r="343" spans="1:13" x14ac:dyDescent="0.2">
      <c r="A343">
        <v>341</v>
      </c>
      <c r="B343">
        <v>600</v>
      </c>
      <c r="C343">
        <v>78.000000000000213</v>
      </c>
      <c r="D343">
        <v>99</v>
      </c>
      <c r="E343">
        <v>76.603102120670499</v>
      </c>
      <c r="F343">
        <v>45.626566705270967</v>
      </c>
      <c r="G343">
        <v>626.4073918861352</v>
      </c>
      <c r="H343">
        <v>8.0308639985401733</v>
      </c>
      <c r="I343">
        <v>3.7817951026217353</v>
      </c>
      <c r="J343">
        <v>7.049012306843867</v>
      </c>
      <c r="K343">
        <v>637.02517674308319</v>
      </c>
      <c r="L343">
        <v>9.445755539485738</v>
      </c>
      <c r="M343">
        <v>0.41000065797515273</v>
      </c>
    </row>
    <row r="344" spans="1:13" x14ac:dyDescent="0.2">
      <c r="A344">
        <v>342</v>
      </c>
      <c r="B344">
        <v>600</v>
      </c>
      <c r="C344">
        <v>78.4166666666667</v>
      </c>
      <c r="D344">
        <v>100</v>
      </c>
      <c r="E344">
        <v>82.534449027790245</v>
      </c>
      <c r="F344">
        <v>53.500814552047295</v>
      </c>
      <c r="G344">
        <v>764.96531299444075</v>
      </c>
      <c r="H344">
        <v>9.7551368288345195</v>
      </c>
      <c r="I344">
        <v>4.3034677082191717</v>
      </c>
      <c r="J344">
        <v>8.0213750386191442</v>
      </c>
      <c r="K344">
        <v>777.93163797662442</v>
      </c>
      <c r="L344">
        <v>10.690954597547362</v>
      </c>
      <c r="M344">
        <v>0.41000061523342229</v>
      </c>
    </row>
    <row r="345" spans="1:13" x14ac:dyDescent="0.2">
      <c r="A345">
        <v>343</v>
      </c>
      <c r="B345">
        <v>600</v>
      </c>
      <c r="C345">
        <v>75.58333333333357</v>
      </c>
      <c r="D345">
        <v>100</v>
      </c>
      <c r="E345">
        <v>76.569218094285972</v>
      </c>
      <c r="F345">
        <v>46.046678206101568</v>
      </c>
      <c r="G345">
        <v>632.0224387141983</v>
      </c>
      <c r="H345">
        <v>8.3619286268691901</v>
      </c>
      <c r="I345">
        <v>3.68250665659833</v>
      </c>
      <c r="J345">
        <v>6.8639453058682749</v>
      </c>
      <c r="K345">
        <v>642.73574165205764</v>
      </c>
      <c r="L345">
        <v>9.2485115613440207</v>
      </c>
      <c r="M345">
        <v>0.41000097138863545</v>
      </c>
    </row>
    <row r="346" spans="1:13" x14ac:dyDescent="0.2">
      <c r="A346">
        <v>344</v>
      </c>
      <c r="B346">
        <v>600</v>
      </c>
      <c r="C346">
        <v>78.666666666666686</v>
      </c>
      <c r="D346">
        <v>100</v>
      </c>
      <c r="E346">
        <v>80.46401357667348</v>
      </c>
      <c r="F346">
        <v>50.850270144678852</v>
      </c>
      <c r="G346">
        <v>717.07510977325671</v>
      </c>
      <c r="H346">
        <v>9.1153615649142754</v>
      </c>
      <c r="I346">
        <v>4.0594372659900984</v>
      </c>
      <c r="J346">
        <v>7.5665186691334538</v>
      </c>
      <c r="K346">
        <v>729.2296555758569</v>
      </c>
      <c r="L346">
        <v>10.019907115756247</v>
      </c>
      <c r="M346">
        <v>0.41000059093290886</v>
      </c>
    </row>
    <row r="347" spans="1:13" x14ac:dyDescent="0.2">
      <c r="A347">
        <v>345</v>
      </c>
      <c r="B347">
        <v>600</v>
      </c>
      <c r="C347">
        <v>78.666666666666686</v>
      </c>
      <c r="D347">
        <v>99</v>
      </c>
      <c r="E347">
        <v>77.653200678438253</v>
      </c>
      <c r="F347">
        <v>46.886066369321433</v>
      </c>
      <c r="G347">
        <v>648.49068786694124</v>
      </c>
      <c r="H347">
        <v>8.2435256932238268</v>
      </c>
      <c r="I347">
        <v>3.753128833389785</v>
      </c>
      <c r="J347">
        <v>6.9955803045475955</v>
      </c>
      <c r="K347">
        <v>659.48271598339727</v>
      </c>
      <c r="L347">
        <v>9.1705006509285507</v>
      </c>
      <c r="M347">
        <v>0.41000059093290886</v>
      </c>
    </row>
    <row r="348" spans="1:13" x14ac:dyDescent="0.2">
      <c r="A348">
        <v>346</v>
      </c>
      <c r="B348">
        <v>600</v>
      </c>
      <c r="C348">
        <v>78.500000000000185</v>
      </c>
      <c r="D348">
        <v>100</v>
      </c>
      <c r="E348">
        <v>81.449449624004686</v>
      </c>
      <c r="F348">
        <v>52.103415036745268</v>
      </c>
      <c r="G348">
        <v>739.63439228426853</v>
      </c>
      <c r="H348">
        <v>9.4220941692263285</v>
      </c>
      <c r="I348">
        <v>4.1206198633038031</v>
      </c>
      <c r="J348">
        <v>7.6805589250769852</v>
      </c>
      <c r="K348">
        <v>752.17134229960823</v>
      </c>
      <c r="L348">
        <v>10.209470834247258</v>
      </c>
      <c r="M348">
        <v>0.41000060702420055</v>
      </c>
    </row>
    <row r="349" spans="1:13" x14ac:dyDescent="0.2">
      <c r="A349">
        <v>347</v>
      </c>
      <c r="B349">
        <v>600</v>
      </c>
      <c r="C349">
        <v>77.083333333333499</v>
      </c>
      <c r="D349">
        <v>100</v>
      </c>
      <c r="E349">
        <v>80.511222932169218</v>
      </c>
      <c r="F349">
        <v>50.909956770010126</v>
      </c>
      <c r="G349">
        <v>718.14598676359526</v>
      </c>
      <c r="H349">
        <v>9.3164884769331078</v>
      </c>
      <c r="I349">
        <v>4.2000630028172798</v>
      </c>
      <c r="J349">
        <v>7.8286356063695797</v>
      </c>
      <c r="K349">
        <v>730.31889679547396</v>
      </c>
      <c r="L349">
        <v>10.676416227064356</v>
      </c>
      <c r="M349">
        <v>0.41000076275059422</v>
      </c>
    </row>
    <row r="350" spans="1:13" x14ac:dyDescent="0.2">
      <c r="A350">
        <v>348</v>
      </c>
      <c r="B350">
        <v>600</v>
      </c>
      <c r="C350">
        <v>75.33333333333357</v>
      </c>
      <c r="D350">
        <v>100</v>
      </c>
      <c r="E350">
        <v>71.994674844694998</v>
      </c>
      <c r="F350">
        <v>40.709018404478513</v>
      </c>
      <c r="G350">
        <v>540.32116213783172</v>
      </c>
      <c r="H350">
        <v>7.1724048071393369</v>
      </c>
      <c r="I350">
        <v>3.3288294618098089</v>
      </c>
      <c r="J350">
        <v>6.2047147470825879</v>
      </c>
      <c r="K350">
        <v>549.4800898149042</v>
      </c>
      <c r="L350">
        <v>8.2709178405848647</v>
      </c>
      <c r="M350">
        <v>0.41000101133435901</v>
      </c>
    </row>
    <row r="351" spans="1:13" x14ac:dyDescent="0.2">
      <c r="A351">
        <v>349</v>
      </c>
      <c r="B351">
        <v>600</v>
      </c>
      <c r="C351">
        <v>77.083333333333499</v>
      </c>
      <c r="D351">
        <v>96</v>
      </c>
      <c r="E351">
        <v>78.904217993227476</v>
      </c>
      <c r="F351">
        <v>46.941996242200062</v>
      </c>
      <c r="G351">
        <v>654.94082101077743</v>
      </c>
      <c r="H351">
        <v>8.4965295698695265</v>
      </c>
      <c r="I351">
        <v>3.9299699907702781</v>
      </c>
      <c r="J351">
        <v>7.3252003555829965</v>
      </c>
      <c r="K351">
        <v>666.04237395030998</v>
      </c>
      <c r="L351">
        <v>9.9348642973595318</v>
      </c>
      <c r="M351">
        <v>0.41000076275059422</v>
      </c>
    </row>
    <row r="352" spans="1:13" x14ac:dyDescent="0.2">
      <c r="A352">
        <v>350</v>
      </c>
      <c r="B352">
        <v>600</v>
      </c>
      <c r="C352">
        <v>77.416666666666742</v>
      </c>
      <c r="D352">
        <v>39</v>
      </c>
      <c r="E352">
        <v>119.40232067644619</v>
      </c>
      <c r="F352">
        <v>43.669681438426295</v>
      </c>
      <c r="G352">
        <v>763.51737321521489</v>
      </c>
      <c r="H352">
        <v>9.862441849927416</v>
      </c>
      <c r="I352">
        <v>3.8192177672387326</v>
      </c>
      <c r="J352">
        <v>7.1187656425698638</v>
      </c>
      <c r="K352">
        <v>776.45929693400922</v>
      </c>
      <c r="L352">
        <v>10.709900751084133</v>
      </c>
      <c r="M352">
        <v>0.4100007228478541</v>
      </c>
    </row>
    <row r="353" spans="1:13" x14ac:dyDescent="0.2">
      <c r="A353">
        <v>351</v>
      </c>
      <c r="B353">
        <v>600</v>
      </c>
      <c r="C353">
        <v>75.916666666666814</v>
      </c>
      <c r="D353">
        <v>89</v>
      </c>
      <c r="E353">
        <v>83.188352942252934</v>
      </c>
      <c r="F353">
        <v>48.373213536569914</v>
      </c>
      <c r="G353">
        <v>694.62897778569891</v>
      </c>
      <c r="H353">
        <v>9.1498877425119325</v>
      </c>
      <c r="I353">
        <v>4.1308371955771639</v>
      </c>
      <c r="J353">
        <v>7.6996033468353478</v>
      </c>
      <c r="K353">
        <v>706.40345248484221</v>
      </c>
      <c r="L353">
        <v>10.819569911510021</v>
      </c>
      <c r="M353">
        <v>0.41000092057114862</v>
      </c>
    </row>
    <row r="354" spans="1:13" x14ac:dyDescent="0.2">
      <c r="A354">
        <v>352</v>
      </c>
      <c r="B354">
        <v>600</v>
      </c>
      <c r="C354">
        <v>76.000000000000298</v>
      </c>
      <c r="D354">
        <v>89</v>
      </c>
      <c r="E354">
        <v>79.445368559029504</v>
      </c>
      <c r="F354">
        <v>44.118125959130829</v>
      </c>
      <c r="G354">
        <v>617.83758272339651</v>
      </c>
      <c r="H354">
        <v>8.1294418779393958</v>
      </c>
      <c r="I354">
        <v>3.7306442597402154</v>
      </c>
      <c r="J354">
        <v>6.9536705680153128</v>
      </c>
      <c r="K354">
        <v>628.31037342480954</v>
      </c>
      <c r="L354">
        <v>9.6124456058273768</v>
      </c>
      <c r="M354">
        <v>0.41000090828772506</v>
      </c>
    </row>
    <row r="355" spans="1:13" x14ac:dyDescent="0.2">
      <c r="A355">
        <v>353</v>
      </c>
      <c r="B355">
        <v>600</v>
      </c>
      <c r="C355">
        <v>78.500000000000185</v>
      </c>
      <c r="D355">
        <v>5</v>
      </c>
      <c r="E355">
        <v>352.22896358137524</v>
      </c>
      <c r="F355">
        <v>48.720306912638222</v>
      </c>
      <c r="G355">
        <v>1535.5209942341471</v>
      </c>
      <c r="H355">
        <v>19.560776996613296</v>
      </c>
      <c r="I355">
        <v>6.3361983008924421</v>
      </c>
      <c r="J355">
        <v>11.810248463918811</v>
      </c>
      <c r="K355">
        <v>1561.5483804036369</v>
      </c>
      <c r="L355">
        <v>31.028074326859603</v>
      </c>
      <c r="M355">
        <v>0.41000060702420055</v>
      </c>
    </row>
    <row r="356" spans="1:13" x14ac:dyDescent="0.2">
      <c r="A356">
        <v>354</v>
      </c>
      <c r="B356">
        <v>600</v>
      </c>
      <c r="C356">
        <v>76.416666666666785</v>
      </c>
      <c r="D356">
        <v>95</v>
      </c>
      <c r="E356">
        <v>84.048221091385756</v>
      </c>
      <c r="F356">
        <v>52.70727195793328</v>
      </c>
      <c r="G356">
        <v>761.11657278572864</v>
      </c>
      <c r="H356">
        <v>9.9600860124631723</v>
      </c>
      <c r="I356">
        <v>4.2465345170864621</v>
      </c>
      <c r="J356">
        <v>7.9152553906551022</v>
      </c>
      <c r="K356">
        <v>774.01796785410147</v>
      </c>
      <c r="L356">
        <v>10.779423659346094</v>
      </c>
      <c r="M356">
        <v>0.4100008492858177</v>
      </c>
    </row>
    <row r="357" spans="1:13" x14ac:dyDescent="0.2">
      <c r="A357">
        <v>355</v>
      </c>
      <c r="B357">
        <v>600</v>
      </c>
      <c r="C357">
        <v>78.000000000000213</v>
      </c>
      <c r="D357">
        <v>96</v>
      </c>
      <c r="E357">
        <v>84.76677053029681</v>
      </c>
      <c r="F357">
        <v>54.176680257958495</v>
      </c>
      <c r="G357">
        <v>785.97184169020841</v>
      </c>
      <c r="H357">
        <v>10.07656207295136</v>
      </c>
      <c r="I357">
        <v>4.5325698432481545</v>
      </c>
      <c r="J357">
        <v>8.4484060451969327</v>
      </c>
      <c r="K357">
        <v>799.29428971170739</v>
      </c>
      <c r="L357">
        <v>11.648894048575634</v>
      </c>
      <c r="M357">
        <v>0.41000065797515273</v>
      </c>
    </row>
    <row r="358" spans="1:13" x14ac:dyDescent="0.2">
      <c r="A358">
        <v>356</v>
      </c>
      <c r="B358">
        <v>600</v>
      </c>
      <c r="C358">
        <v>79.000000000000171</v>
      </c>
      <c r="D358">
        <v>79</v>
      </c>
      <c r="E358">
        <v>89.705631183072967</v>
      </c>
      <c r="F358">
        <v>49.929404379484552</v>
      </c>
      <c r="G358">
        <v>747.04617126909659</v>
      </c>
      <c r="H358">
        <v>9.4562806489758859</v>
      </c>
      <c r="I358">
        <v>4.2392436774717934</v>
      </c>
      <c r="J358">
        <v>7.9016657548402494</v>
      </c>
      <c r="K358">
        <v>759.70869188562858</v>
      </c>
      <c r="L358">
        <v>11.05761325788202</v>
      </c>
      <c r="M358">
        <v>0.41000056001868546</v>
      </c>
    </row>
    <row r="359" spans="1:13" x14ac:dyDescent="0.2">
      <c r="A359">
        <v>357</v>
      </c>
      <c r="B359">
        <v>600</v>
      </c>
      <c r="C359">
        <v>77.000000000000256</v>
      </c>
      <c r="D359">
        <v>77</v>
      </c>
      <c r="E359">
        <v>81.138918482125789</v>
      </c>
      <c r="F359">
        <v>39.81429552787101</v>
      </c>
      <c r="G359">
        <v>564.00921157610071</v>
      </c>
      <c r="H359">
        <v>7.3247949555337524</v>
      </c>
      <c r="I359">
        <v>3.4522536583694539</v>
      </c>
      <c r="J359">
        <v>6.4347691675106313</v>
      </c>
      <c r="K359">
        <v>573.56944127557301</v>
      </c>
      <c r="L359">
        <v>8.8360556938686781</v>
      </c>
      <c r="M359">
        <v>0.41000077306581523</v>
      </c>
    </row>
    <row r="360" spans="1:13" x14ac:dyDescent="0.2">
      <c r="A360">
        <v>358</v>
      </c>
      <c r="B360">
        <v>600</v>
      </c>
      <c r="C360">
        <v>78.916666666666686</v>
      </c>
      <c r="D360">
        <v>100</v>
      </c>
      <c r="E360">
        <v>79.776329414770785</v>
      </c>
      <c r="F360">
        <v>49.98480263364587</v>
      </c>
      <c r="G360">
        <v>701.58280449897222</v>
      </c>
      <c r="H360">
        <v>8.8901728130809552</v>
      </c>
      <c r="I360">
        <v>4.1630206352714314</v>
      </c>
      <c r="J360">
        <v>7.7595911188656679</v>
      </c>
      <c r="K360">
        <v>713.47472485099138</v>
      </c>
      <c r="L360">
        <v>10.493881077746876</v>
      </c>
      <c r="M360">
        <v>0.41000056759221798</v>
      </c>
    </row>
    <row r="361" spans="1:13" x14ac:dyDescent="0.2">
      <c r="A361">
        <v>359</v>
      </c>
      <c r="B361">
        <v>600</v>
      </c>
      <c r="C361">
        <v>78.083333333333456</v>
      </c>
      <c r="D361">
        <v>99</v>
      </c>
      <c r="E361">
        <v>77.811992357707567</v>
      </c>
      <c r="F361">
        <v>47.078015428557741</v>
      </c>
      <c r="G361">
        <v>651.87044945228922</v>
      </c>
      <c r="H361">
        <v>8.3483942299119089</v>
      </c>
      <c r="I361">
        <v>3.8227600614095198</v>
      </c>
      <c r="J361">
        <v>7.1253682412106603</v>
      </c>
      <c r="K361">
        <v>662.91983056952847</v>
      </c>
      <c r="L361">
        <v>9.5469508916202592</v>
      </c>
      <c r="M361">
        <v>0.41000064919561674</v>
      </c>
    </row>
    <row r="362" spans="1:13" x14ac:dyDescent="0.2">
      <c r="A362">
        <v>360</v>
      </c>
      <c r="B362">
        <v>600</v>
      </c>
      <c r="C362">
        <v>77.583333333333485</v>
      </c>
      <c r="D362">
        <v>98</v>
      </c>
      <c r="E362">
        <v>72.758913664350672</v>
      </c>
      <c r="F362">
        <v>40.746317915716496</v>
      </c>
      <c r="G362">
        <v>543.93605240350053</v>
      </c>
      <c r="H362">
        <v>7.0109910084231943</v>
      </c>
      <c r="I362">
        <v>3.2599602472228861</v>
      </c>
      <c r="J362">
        <v>6.076347152325976</v>
      </c>
      <c r="K362">
        <v>553.1559672717799</v>
      </c>
      <c r="L362">
        <v>7.8894684758562592</v>
      </c>
      <c r="M362">
        <v>0.41000070368625285</v>
      </c>
    </row>
    <row r="363" spans="1:13" x14ac:dyDescent="0.2">
      <c r="A363">
        <v>361</v>
      </c>
      <c r="B363">
        <v>600</v>
      </c>
      <c r="C363">
        <v>76.916666666666771</v>
      </c>
      <c r="D363">
        <v>100</v>
      </c>
      <c r="E363">
        <v>77.096950133795175</v>
      </c>
      <c r="F363">
        <v>46.683593393804422</v>
      </c>
      <c r="G363">
        <v>643.16653617429381</v>
      </c>
      <c r="H363">
        <v>8.3618617920818146</v>
      </c>
      <c r="I363">
        <v>3.9194043400573912</v>
      </c>
      <c r="J363">
        <v>7.3055066916260785</v>
      </c>
      <c r="K363">
        <v>654.06853250966719</v>
      </c>
      <c r="L363">
        <v>9.9378652098783107</v>
      </c>
      <c r="M363">
        <v>0.41000078352053626</v>
      </c>
    </row>
    <row r="364" spans="1:13" x14ac:dyDescent="0.2">
      <c r="A364">
        <v>362</v>
      </c>
      <c r="B364">
        <v>600</v>
      </c>
      <c r="C364">
        <v>78.4166666666667</v>
      </c>
      <c r="D364">
        <v>100</v>
      </c>
      <c r="E364">
        <v>77.195003802631007</v>
      </c>
      <c r="F364">
        <v>46.802415434934652</v>
      </c>
      <c r="G364">
        <v>645.25031457992873</v>
      </c>
      <c r="H364">
        <v>8.2284843517100335</v>
      </c>
      <c r="I364">
        <v>3.7602038948775625</v>
      </c>
      <c r="J364">
        <v>7.0087677444129772</v>
      </c>
      <c r="K364">
        <v>656.18744484136369</v>
      </c>
      <c r="L364">
        <v>9.1663575514561</v>
      </c>
      <c r="M364">
        <v>0.41000061523342229</v>
      </c>
    </row>
    <row r="365" spans="1:13" x14ac:dyDescent="0.2">
      <c r="A365">
        <v>363</v>
      </c>
      <c r="B365">
        <v>600</v>
      </c>
      <c r="C365">
        <v>76.50000000000027</v>
      </c>
      <c r="D365">
        <v>100</v>
      </c>
      <c r="E365">
        <v>73.146740059861401</v>
      </c>
      <c r="F365">
        <v>42.022301329777186</v>
      </c>
      <c r="G365">
        <v>562.5962023260995</v>
      </c>
      <c r="H365">
        <v>7.3541987232169612</v>
      </c>
      <c r="I365">
        <v>3.375164360477974</v>
      </c>
      <c r="J365">
        <v>6.2910798890549371</v>
      </c>
      <c r="K365">
        <v>572.13254375621875</v>
      </c>
      <c r="L365">
        <v>8.2653637855197548</v>
      </c>
      <c r="M365">
        <v>0.41000083795357306</v>
      </c>
    </row>
    <row r="366" spans="1:13" x14ac:dyDescent="0.2">
      <c r="A366">
        <v>364</v>
      </c>
      <c r="B366">
        <v>600</v>
      </c>
      <c r="C366">
        <v>77.250000000000242</v>
      </c>
      <c r="D366">
        <v>100</v>
      </c>
      <c r="E366">
        <v>80.55356522269463</v>
      </c>
      <c r="F366">
        <v>50.963519762784479</v>
      </c>
      <c r="G366">
        <v>719.10749890229533</v>
      </c>
      <c r="H366">
        <v>9.3088349372465125</v>
      </c>
      <c r="I366">
        <v>4.1072085937519986</v>
      </c>
      <c r="J366">
        <v>7.6555612185498578</v>
      </c>
      <c r="K366">
        <v>731.29668195254783</v>
      </c>
      <c r="L366">
        <v>10.321033761664916</v>
      </c>
      <c r="M366">
        <v>0.41000074253123181</v>
      </c>
    </row>
    <row r="367" spans="1:13" x14ac:dyDescent="0.2">
      <c r="A367">
        <v>365</v>
      </c>
      <c r="B367">
        <v>600</v>
      </c>
      <c r="C367">
        <v>76.333333333333528</v>
      </c>
      <c r="D367">
        <v>99</v>
      </c>
      <c r="E367">
        <v>74.917543454677215</v>
      </c>
      <c r="F367">
        <v>43.6407426794648</v>
      </c>
      <c r="G367">
        <v>591.92641952703548</v>
      </c>
      <c r="H367">
        <v>7.754494578956777</v>
      </c>
      <c r="I367">
        <v>3.5413640887153051</v>
      </c>
      <c r="J367">
        <v>6.6008650302242398</v>
      </c>
      <c r="K367">
        <v>601.95994892555734</v>
      </c>
      <c r="L367">
        <v>8.7811510684568077</v>
      </c>
      <c r="M367">
        <v>0.41000086077131626</v>
      </c>
    </row>
    <row r="368" spans="1:13" x14ac:dyDescent="0.2">
      <c r="A368">
        <v>366</v>
      </c>
      <c r="B368">
        <v>600</v>
      </c>
      <c r="C368">
        <v>77.166666666666757</v>
      </c>
      <c r="D368">
        <v>98</v>
      </c>
      <c r="E368">
        <v>79.100375400459981</v>
      </c>
      <c r="F368">
        <v>48.158510518138492</v>
      </c>
      <c r="G368">
        <v>672.82314506958471</v>
      </c>
      <c r="H368">
        <v>8.7190904328671781</v>
      </c>
      <c r="I368">
        <v>3.9100793023181546</v>
      </c>
      <c r="J368">
        <v>7.2881254470049477</v>
      </c>
      <c r="K368">
        <v>684.22779995445273</v>
      </c>
      <c r="L368">
        <v>9.8383200474227461</v>
      </c>
      <c r="M368">
        <v>0.41000075257301194</v>
      </c>
    </row>
    <row r="369" spans="1:13" x14ac:dyDescent="0.2">
      <c r="A369">
        <v>367</v>
      </c>
      <c r="B369">
        <v>600</v>
      </c>
      <c r="C369">
        <v>76.000000000000298</v>
      </c>
      <c r="D369">
        <v>100</v>
      </c>
      <c r="E369">
        <v>72.418635794882107</v>
      </c>
      <c r="F369">
        <v>41.189883176952698</v>
      </c>
      <c r="G369">
        <v>548.45493508969219</v>
      </c>
      <c r="H369">
        <v>7.2165123038117107</v>
      </c>
      <c r="I369">
        <v>3.5001213932322983</v>
      </c>
      <c r="J369">
        <v>6.5239914132941248</v>
      </c>
      <c r="K369">
        <v>557.75164008946376</v>
      </c>
      <c r="L369">
        <v>8.8027002242252674</v>
      </c>
      <c r="M369">
        <v>0.41000090828772506</v>
      </c>
    </row>
    <row r="370" spans="1:13" x14ac:dyDescent="0.2">
      <c r="A370">
        <v>368</v>
      </c>
      <c r="B370">
        <v>600</v>
      </c>
      <c r="C370">
        <v>75.666666666666814</v>
      </c>
      <c r="D370">
        <v>98</v>
      </c>
      <c r="E370">
        <v>71.765365219818591</v>
      </c>
      <c r="F370">
        <v>39.64110534503633</v>
      </c>
      <c r="G370">
        <v>525.23356655524344</v>
      </c>
      <c r="H370">
        <v>6.9414127738578291</v>
      </c>
      <c r="I370">
        <v>3.1711880522652489</v>
      </c>
      <c r="J370">
        <v>5.9108817376798664</v>
      </c>
      <c r="K370">
        <v>534.13669807500742</v>
      </c>
      <c r="L370">
        <v>7.8292101454115661</v>
      </c>
      <c r="M370">
        <v>0.41000095842714079</v>
      </c>
    </row>
    <row r="371" spans="1:13" x14ac:dyDescent="0.2">
      <c r="A371">
        <v>369</v>
      </c>
      <c r="B371">
        <v>600</v>
      </c>
      <c r="C371">
        <v>76.250000000000284</v>
      </c>
      <c r="D371">
        <v>99</v>
      </c>
      <c r="E371">
        <v>73.19657225774904</v>
      </c>
      <c r="F371">
        <v>41.658781572671913</v>
      </c>
      <c r="G371">
        <v>557.93628557844158</v>
      </c>
      <c r="H371">
        <v>7.317197187913961</v>
      </c>
      <c r="I371">
        <v>3.4372852562382898</v>
      </c>
      <c r="J371">
        <v>6.4068690703416387</v>
      </c>
      <c r="K371">
        <v>567.39367177659869</v>
      </c>
      <c r="L371">
        <v>8.5209063531389706</v>
      </c>
      <c r="M371">
        <v>0.4100008724121415</v>
      </c>
    </row>
    <row r="372" spans="1:13" x14ac:dyDescent="0.2">
      <c r="A372">
        <v>370</v>
      </c>
      <c r="B372">
        <v>600</v>
      </c>
      <c r="C372">
        <v>79.5833333333334</v>
      </c>
      <c r="D372">
        <v>68</v>
      </c>
      <c r="E372">
        <v>93.994705799484194</v>
      </c>
      <c r="F372">
        <v>47.185176059820847</v>
      </c>
      <c r="G372">
        <v>724.17778786079828</v>
      </c>
      <c r="H372">
        <v>9.0996161825440538</v>
      </c>
      <c r="I372">
        <v>3.8689633741232932</v>
      </c>
      <c r="J372">
        <v>7.2114881157936495</v>
      </c>
      <c r="K372">
        <v>736.45262394918018</v>
      </c>
      <c r="L372">
        <v>10.021837591548588</v>
      </c>
      <c r="M372">
        <v>0.41000050975925018</v>
      </c>
    </row>
    <row r="373" spans="1:13" x14ac:dyDescent="0.2">
      <c r="A373">
        <v>371</v>
      </c>
      <c r="B373">
        <v>600</v>
      </c>
      <c r="C373">
        <v>77.166666666666757</v>
      </c>
      <c r="D373">
        <v>100</v>
      </c>
      <c r="E373">
        <v>74.359654242538838</v>
      </c>
      <c r="F373">
        <v>43.427477586081778</v>
      </c>
      <c r="G373">
        <v>586.64056324341516</v>
      </c>
      <c r="H373">
        <v>7.6022535193531029</v>
      </c>
      <c r="I373">
        <v>3.5916928155971251</v>
      </c>
      <c r="J373">
        <v>6.694674399994641</v>
      </c>
      <c r="K373">
        <v>596.58438460907848</v>
      </c>
      <c r="L373">
        <v>8.8898794403593602</v>
      </c>
      <c r="M373">
        <v>0.41000075257301194</v>
      </c>
    </row>
    <row r="374" spans="1:13" x14ac:dyDescent="0.2">
      <c r="A374">
        <v>372</v>
      </c>
      <c r="B374">
        <v>600</v>
      </c>
      <c r="C374">
        <v>74.333333333333613</v>
      </c>
      <c r="D374">
        <v>100</v>
      </c>
      <c r="E374">
        <v>66.79697148762115</v>
      </c>
      <c r="F374">
        <v>35.043173284773729</v>
      </c>
      <c r="G374">
        <v>446.51714853210234</v>
      </c>
      <c r="H374">
        <v>6.006957155140368</v>
      </c>
      <c r="I374">
        <v>2.9138562593345561</v>
      </c>
      <c r="J374">
        <v>5.431232543028063</v>
      </c>
      <c r="K374">
        <v>454.0861503043551</v>
      </c>
      <c r="L374">
        <v>7.1676091567316123</v>
      </c>
      <c r="M374">
        <v>0.41000118823335113</v>
      </c>
    </row>
    <row r="375" spans="1:13" x14ac:dyDescent="0.2">
      <c r="A375">
        <v>373</v>
      </c>
      <c r="B375">
        <v>600</v>
      </c>
      <c r="C375">
        <v>76.583333333333528</v>
      </c>
      <c r="D375">
        <v>100</v>
      </c>
      <c r="E375">
        <v>75.657905404766794</v>
      </c>
      <c r="F375">
        <v>44.957122749649379</v>
      </c>
      <c r="G375">
        <v>613.05638771178815</v>
      </c>
      <c r="H375">
        <v>8.0050888493378007</v>
      </c>
      <c r="I375">
        <v>3.6260877387896961</v>
      </c>
      <c r="J375">
        <v>6.7587842288717521</v>
      </c>
      <c r="K375">
        <v>623.44804758779196</v>
      </c>
      <c r="L375">
        <v>8.9675553713756138</v>
      </c>
      <c r="M375">
        <v>0.41000082677253757</v>
      </c>
    </row>
    <row r="376" spans="1:13" x14ac:dyDescent="0.2">
      <c r="A376">
        <v>374</v>
      </c>
      <c r="B376">
        <v>600</v>
      </c>
      <c r="C376">
        <v>77.250000000000242</v>
      </c>
      <c r="D376">
        <v>100</v>
      </c>
      <c r="E376">
        <v>75.016271951942656</v>
      </c>
      <c r="F376">
        <v>44.197818712411589</v>
      </c>
      <c r="G376">
        <v>599.91269922689742</v>
      </c>
      <c r="H376">
        <v>7.7658601841669324</v>
      </c>
      <c r="I376">
        <v>3.6504404041457224</v>
      </c>
      <c r="J376">
        <v>6.8041759629929581</v>
      </c>
      <c r="K376">
        <v>610.0814788825262</v>
      </c>
      <c r="L376">
        <v>9.0031019776296404</v>
      </c>
      <c r="M376">
        <v>0.41000074253123181</v>
      </c>
    </row>
    <row r="377" spans="1:13" x14ac:dyDescent="0.2">
      <c r="A377">
        <v>375</v>
      </c>
      <c r="B377">
        <v>600</v>
      </c>
      <c r="C377">
        <v>77.000000000000256</v>
      </c>
      <c r="D377">
        <v>100</v>
      </c>
      <c r="E377">
        <v>75.780475782274252</v>
      </c>
      <c r="F377">
        <v>45.10290725365703</v>
      </c>
      <c r="G377">
        <v>615.58697353742446</v>
      </c>
      <c r="H377">
        <v>7.9946360199665252</v>
      </c>
      <c r="I377">
        <v>3.7755374142569722</v>
      </c>
      <c r="J377">
        <v>7.0373483956327521</v>
      </c>
      <c r="K377">
        <v>626.02147131907407</v>
      </c>
      <c r="L377">
        <v>9.4870768937479593</v>
      </c>
      <c r="M377">
        <v>0.41000077306581523</v>
      </c>
    </row>
    <row r="378" spans="1:13" x14ac:dyDescent="0.2">
      <c r="A378">
        <v>376</v>
      </c>
      <c r="B378">
        <v>600</v>
      </c>
      <c r="C378">
        <v>74.916666666666856</v>
      </c>
      <c r="D378">
        <v>99</v>
      </c>
      <c r="E378">
        <v>64.321125166969679</v>
      </c>
      <c r="F378">
        <v>32.168613425916455</v>
      </c>
      <c r="G378">
        <v>401.54326561801878</v>
      </c>
      <c r="H378">
        <v>5.3598656144785464</v>
      </c>
      <c r="I378">
        <v>2.7914204967179264</v>
      </c>
      <c r="J378">
        <v>5.2030204971443172</v>
      </c>
      <c r="K378">
        <v>408.3498322705201</v>
      </c>
      <c r="L378">
        <v>6.9075891719420897</v>
      </c>
      <c r="M378">
        <v>0.41000108159416432</v>
      </c>
    </row>
    <row r="379" spans="1:13" x14ac:dyDescent="0.2">
      <c r="A379">
        <v>377</v>
      </c>
      <c r="B379">
        <v>600</v>
      </c>
      <c r="C379">
        <v>78.500000000000185</v>
      </c>
      <c r="D379">
        <v>99</v>
      </c>
      <c r="E379">
        <v>85.141949181491782</v>
      </c>
      <c r="F379">
        <v>56.365355796518685</v>
      </c>
      <c r="G379">
        <v>819.69369718995597</v>
      </c>
      <c r="H379">
        <v>10.441957925986676</v>
      </c>
      <c r="I379">
        <v>4.4123933980797156</v>
      </c>
      <c r="J379">
        <v>8.2244052154328333</v>
      </c>
      <c r="K379">
        <v>833.58766834213827</v>
      </c>
      <c r="L379">
        <v>11.078975834548489</v>
      </c>
      <c r="M379">
        <v>0.41000060702420055</v>
      </c>
    </row>
    <row r="380" spans="1:13" x14ac:dyDescent="0.2">
      <c r="A380">
        <v>378</v>
      </c>
      <c r="B380">
        <v>600</v>
      </c>
      <c r="C380">
        <v>78.000000000000213</v>
      </c>
      <c r="D380">
        <v>100</v>
      </c>
      <c r="E380">
        <v>78.194928056883739</v>
      </c>
      <c r="F380">
        <v>48.022752663506417</v>
      </c>
      <c r="G380">
        <v>666.73233506105089</v>
      </c>
      <c r="H380">
        <v>8.5478504495006291</v>
      </c>
      <c r="I380">
        <v>3.9620821346760442</v>
      </c>
      <c r="J380">
        <v>7.3850552370476112</v>
      </c>
      <c r="K380">
        <v>678.03363926426755</v>
      </c>
      <c r="L380">
        <v>9.9532435566814996</v>
      </c>
      <c r="M380">
        <v>0.41000065797515273</v>
      </c>
    </row>
    <row r="381" spans="1:13" x14ac:dyDescent="0.2">
      <c r="A381">
        <v>379</v>
      </c>
      <c r="B381">
        <v>600</v>
      </c>
      <c r="C381">
        <v>78.666666666666686</v>
      </c>
      <c r="D381">
        <v>100</v>
      </c>
      <c r="E381">
        <v>81.911251028455396</v>
      </c>
      <c r="F381">
        <v>52.695920989810453</v>
      </c>
      <c r="G381">
        <v>750.35257634531661</v>
      </c>
      <c r="H381">
        <v>9.5383802077794435</v>
      </c>
      <c r="I381">
        <v>4.1945351715984831</v>
      </c>
      <c r="J381">
        <v>7.8183320999039756</v>
      </c>
      <c r="K381">
        <v>763.07118090010601</v>
      </c>
      <c r="L381">
        <v>10.410327890924146</v>
      </c>
      <c r="M381">
        <v>0.41000059093290886</v>
      </c>
    </row>
    <row r="382" spans="1:13" x14ac:dyDescent="0.2">
      <c r="A382">
        <v>380</v>
      </c>
      <c r="B382">
        <v>600</v>
      </c>
      <c r="C382">
        <v>76.916666666666771</v>
      </c>
      <c r="D382">
        <v>100</v>
      </c>
      <c r="E382">
        <v>76.449637162585503</v>
      </c>
      <c r="F382">
        <v>45.902964971973567</v>
      </c>
      <c r="G382">
        <v>629.51391570358987</v>
      </c>
      <c r="H382">
        <v>8.1843629343911903</v>
      </c>
      <c r="I382">
        <v>3.8539400249299214</v>
      </c>
      <c r="J382">
        <v>7.183485600987737</v>
      </c>
      <c r="K382">
        <v>640.18449325398535</v>
      </c>
      <c r="L382">
        <v>9.7533992815768205</v>
      </c>
      <c r="M382">
        <v>0.41000078352053626</v>
      </c>
    </row>
    <row r="383" spans="1:13" x14ac:dyDescent="0.2">
      <c r="A383">
        <v>381</v>
      </c>
      <c r="B383">
        <v>600</v>
      </c>
      <c r="C383">
        <v>75.916666666666814</v>
      </c>
      <c r="D383">
        <v>99</v>
      </c>
      <c r="E383">
        <v>71.977425103793976</v>
      </c>
      <c r="F383">
        <v>40.282618055138897</v>
      </c>
      <c r="G383">
        <v>534.59195168270992</v>
      </c>
      <c r="H383">
        <v>7.0418259277634538</v>
      </c>
      <c r="I383">
        <v>3.4046966919975334</v>
      </c>
      <c r="J383">
        <v>6.3461261733411618</v>
      </c>
      <c r="K383">
        <v>543.65368047715083</v>
      </c>
      <c r="L383">
        <v>8.58911394870902</v>
      </c>
      <c r="M383">
        <v>0.41000092057114862</v>
      </c>
    </row>
    <row r="384" spans="1:13" x14ac:dyDescent="0.2">
      <c r="A384">
        <v>382</v>
      </c>
      <c r="B384">
        <v>600</v>
      </c>
      <c r="C384">
        <v>76.166666666666799</v>
      </c>
      <c r="D384">
        <v>100</v>
      </c>
      <c r="E384">
        <v>73.188914393547023</v>
      </c>
      <c r="F384">
        <v>42.070773031324165</v>
      </c>
      <c r="G384">
        <v>563.42196792054881</v>
      </c>
      <c r="H384">
        <v>7.3972249617577397</v>
      </c>
      <c r="I384">
        <v>3.4840522873298188</v>
      </c>
      <c r="J384">
        <v>6.4940396781543672</v>
      </c>
      <c r="K384">
        <v>572.97235149226753</v>
      </c>
      <c r="L384">
        <v>8.6904118563267119</v>
      </c>
      <c r="M384">
        <v>0.41000088421039388</v>
      </c>
    </row>
    <row r="385" spans="1:13" x14ac:dyDescent="0.2">
      <c r="A385">
        <v>383</v>
      </c>
      <c r="B385">
        <v>600</v>
      </c>
      <c r="C385">
        <v>78.4166666666667</v>
      </c>
      <c r="D385">
        <v>99</v>
      </c>
      <c r="E385">
        <v>83.853974226155941</v>
      </c>
      <c r="F385">
        <v>54.672933560460208</v>
      </c>
      <c r="G385">
        <v>788.50751005869802</v>
      </c>
      <c r="H385">
        <v>10.055356132523244</v>
      </c>
      <c r="I385">
        <v>4.3420375052310192</v>
      </c>
      <c r="J385">
        <v>8.0932665521547413</v>
      </c>
      <c r="K385">
        <v>801.87288029527997</v>
      </c>
      <c r="L385">
        <v>10.835959319187481</v>
      </c>
      <c r="M385">
        <v>0.41000061523342229</v>
      </c>
    </row>
    <row r="386" spans="1:13" x14ac:dyDescent="0.2">
      <c r="A386">
        <v>384</v>
      </c>
      <c r="B386">
        <v>600</v>
      </c>
      <c r="C386">
        <v>76.166666666666799</v>
      </c>
      <c r="D386">
        <v>44</v>
      </c>
      <c r="E386">
        <v>118.72314382249796</v>
      </c>
      <c r="F386">
        <v>48.709462193879027</v>
      </c>
      <c r="G386">
        <v>848.99021895492285</v>
      </c>
      <c r="H386">
        <v>11.146479898751704</v>
      </c>
      <c r="I386">
        <v>4.3425510634641746</v>
      </c>
      <c r="J386">
        <v>8.0942237902407719</v>
      </c>
      <c r="K386">
        <v>863.3811775992624</v>
      </c>
      <c r="L386">
        <v>12.33130620044893</v>
      </c>
      <c r="M386">
        <v>0.41000088421039388</v>
      </c>
    </row>
    <row r="387" spans="1:13" x14ac:dyDescent="0.2">
      <c r="A387">
        <v>385</v>
      </c>
      <c r="B387">
        <v>600</v>
      </c>
      <c r="C387">
        <v>78.166666666666714</v>
      </c>
      <c r="D387">
        <v>96</v>
      </c>
      <c r="E387">
        <v>80.296194777776932</v>
      </c>
      <c r="F387">
        <v>48.612845599659039</v>
      </c>
      <c r="G387">
        <v>684.74441168349676</v>
      </c>
      <c r="H387">
        <v>8.7600564394477143</v>
      </c>
      <c r="I387">
        <v>3.9280479543064311</v>
      </c>
      <c r="J387">
        <v>7.3216178085860779</v>
      </c>
      <c r="K387">
        <v>696.35100516280602</v>
      </c>
      <c r="L387">
        <v>9.8437372882978327</v>
      </c>
      <c r="M387">
        <v>0.41000064053322849</v>
      </c>
    </row>
    <row r="388" spans="1:13" x14ac:dyDescent="0.2">
      <c r="A388">
        <v>386</v>
      </c>
      <c r="B388">
        <v>600</v>
      </c>
      <c r="C388">
        <v>78.000000000000213</v>
      </c>
      <c r="D388">
        <v>100</v>
      </c>
      <c r="E388">
        <v>83.419072599131184</v>
      </c>
      <c r="F388">
        <v>54.653829297664146</v>
      </c>
      <c r="G388">
        <v>786.00250292936084</v>
      </c>
      <c r="H388">
        <v>10.076955165761008</v>
      </c>
      <c r="I388">
        <v>4.5268406870020659</v>
      </c>
      <c r="J388">
        <v>8.4377272823896838</v>
      </c>
      <c r="K388">
        <v>799.32547066765278</v>
      </c>
      <c r="L388">
        <v>11.579228856056858</v>
      </c>
      <c r="M388">
        <v>0.41000065797515273</v>
      </c>
    </row>
    <row r="389" spans="1:13" x14ac:dyDescent="0.2">
      <c r="A389">
        <v>387</v>
      </c>
      <c r="B389">
        <v>600</v>
      </c>
      <c r="C389">
        <v>76.166666666666799</v>
      </c>
      <c r="D389">
        <v>90</v>
      </c>
      <c r="E389">
        <v>75.178263120965056</v>
      </c>
      <c r="F389">
        <v>39.950016808145683</v>
      </c>
      <c r="G389">
        <v>542.89314988133754</v>
      </c>
      <c r="H389">
        <v>7.1276999984420559</v>
      </c>
      <c r="I389">
        <v>3.3239235041907165</v>
      </c>
      <c r="J389">
        <v>6.1955703712781292</v>
      </c>
      <c r="K389">
        <v>552.09555609734184</v>
      </c>
      <c r="L389">
        <v>8.3465489096290195</v>
      </c>
      <c r="M389">
        <v>0.41000088421039388</v>
      </c>
    </row>
    <row r="390" spans="1:13" x14ac:dyDescent="0.2">
      <c r="A390">
        <v>388</v>
      </c>
      <c r="B390">
        <v>600</v>
      </c>
      <c r="C390">
        <v>77.166666666666757</v>
      </c>
      <c r="D390">
        <v>97</v>
      </c>
      <c r="E390">
        <v>78.187580983612193</v>
      </c>
      <c r="F390">
        <v>46.573316937782373</v>
      </c>
      <c r="G390">
        <v>646.57564189451944</v>
      </c>
      <c r="H390">
        <v>8.3789500029527257</v>
      </c>
      <c r="I390">
        <v>3.7789217604498209</v>
      </c>
      <c r="J390">
        <v>7.0436565898412313</v>
      </c>
      <c r="K390">
        <v>657.53538979678035</v>
      </c>
      <c r="L390">
        <v>9.4796183636246845</v>
      </c>
      <c r="M390">
        <v>0.41000075257301194</v>
      </c>
    </row>
    <row r="391" spans="1:13" x14ac:dyDescent="0.2">
      <c r="A391">
        <v>389</v>
      </c>
      <c r="B391">
        <v>600</v>
      </c>
      <c r="C391">
        <v>78.916666666666686</v>
      </c>
      <c r="D391">
        <v>72</v>
      </c>
      <c r="E391">
        <v>93.276710525131776</v>
      </c>
      <c r="F391">
        <v>49.200421310376875</v>
      </c>
      <c r="G391">
        <v>751.95950807038776</v>
      </c>
      <c r="H391">
        <v>9.5285259734368015</v>
      </c>
      <c r="I391">
        <v>4.2730358608122208</v>
      </c>
      <c r="J391">
        <v>7.9646521170777635</v>
      </c>
      <c r="K391">
        <v>764.70532014071432</v>
      </c>
      <c r="L391">
        <v>11.317024083842265</v>
      </c>
      <c r="M391">
        <v>0.41000056759221798</v>
      </c>
    </row>
    <row r="392" spans="1:13" x14ac:dyDescent="0.2">
      <c r="A392">
        <v>390</v>
      </c>
      <c r="B392">
        <v>600</v>
      </c>
      <c r="C392">
        <v>76.333333333333528</v>
      </c>
      <c r="D392">
        <v>82</v>
      </c>
      <c r="E392">
        <v>78.62643920217684</v>
      </c>
      <c r="F392">
        <v>39.814470993182965</v>
      </c>
      <c r="G392">
        <v>554.43050083302705</v>
      </c>
      <c r="H392">
        <v>7.2632816703016463</v>
      </c>
      <c r="I392">
        <v>3.3737057528313956</v>
      </c>
      <c r="J392">
        <v>6.2883611422765995</v>
      </c>
      <c r="K392">
        <v>563.82845055453174</v>
      </c>
      <c r="L392">
        <v>8.4685117910816885</v>
      </c>
      <c r="M392">
        <v>0.41000086077131626</v>
      </c>
    </row>
    <row r="393" spans="1:13" x14ac:dyDescent="0.2">
      <c r="A393">
        <v>391</v>
      </c>
      <c r="B393">
        <v>600</v>
      </c>
      <c r="C393">
        <v>80.000000000000128</v>
      </c>
      <c r="D393">
        <v>100</v>
      </c>
      <c r="E393">
        <v>84.873553963220047</v>
      </c>
      <c r="F393">
        <v>56.576315055043139</v>
      </c>
      <c r="G393">
        <v>821.34799920574869</v>
      </c>
      <c r="H393">
        <v>10.266849990071842</v>
      </c>
      <c r="I393">
        <v>4.6499994642696381</v>
      </c>
      <c r="J393">
        <v>8.6672869790673577</v>
      </c>
      <c r="K393">
        <v>835.26982652727861</v>
      </c>
      <c r="L393">
        <v>11.925056292716429</v>
      </c>
      <c r="M393">
        <v>0.41000047664554917</v>
      </c>
    </row>
    <row r="394" spans="1:13" x14ac:dyDescent="0.2">
      <c r="A394">
        <v>392</v>
      </c>
      <c r="B394">
        <v>600</v>
      </c>
      <c r="C394">
        <v>76.416666666666785</v>
      </c>
      <c r="D394">
        <v>100</v>
      </c>
      <c r="E394">
        <v>73.862129299488913</v>
      </c>
      <c r="F394">
        <v>42.848293294167206</v>
      </c>
      <c r="G394">
        <v>576.7038454288803</v>
      </c>
      <c r="H394">
        <v>7.546833309865379</v>
      </c>
      <c r="I394">
        <v>3.505789464079657</v>
      </c>
      <c r="J394">
        <v>6.5345563170170671</v>
      </c>
      <c r="K394">
        <v>586.47933109475662</v>
      </c>
      <c r="L394">
        <v>8.6100687236318905</v>
      </c>
      <c r="M394">
        <v>0.4100008492858177</v>
      </c>
    </row>
    <row r="395" spans="1:13" x14ac:dyDescent="0.2">
      <c r="A395">
        <v>393</v>
      </c>
      <c r="B395">
        <v>600</v>
      </c>
      <c r="C395">
        <v>76.333333333333528</v>
      </c>
      <c r="D395">
        <v>100</v>
      </c>
      <c r="E395">
        <v>77.887847262926101</v>
      </c>
      <c r="F395">
        <v>47.646311146538864</v>
      </c>
      <c r="G395">
        <v>660.08942015396417</v>
      </c>
      <c r="H395">
        <v>8.6474596526719978</v>
      </c>
      <c r="I395">
        <v>3.8611064455331103</v>
      </c>
      <c r="J395">
        <v>7.1968433281139053</v>
      </c>
      <c r="K395">
        <v>671.27835577886844</v>
      </c>
      <c r="L395">
        <v>9.6702311793645528</v>
      </c>
      <c r="M395">
        <v>0.41000086077131626</v>
      </c>
    </row>
    <row r="396" spans="1:13" x14ac:dyDescent="0.2">
      <c r="A396">
        <v>394</v>
      </c>
      <c r="B396">
        <v>600</v>
      </c>
      <c r="C396">
        <v>76.416666666666785</v>
      </c>
      <c r="D396">
        <v>99</v>
      </c>
      <c r="E396">
        <v>77.528153246896551</v>
      </c>
      <c r="F396">
        <v>46.735183689674471</v>
      </c>
      <c r="G396">
        <v>645.83631643469391</v>
      </c>
      <c r="H396">
        <v>8.4515112292435273</v>
      </c>
      <c r="I396">
        <v>3.7205868898148342</v>
      </c>
      <c r="J396">
        <v>6.9349243053398597</v>
      </c>
      <c r="K396">
        <v>656.78364009804591</v>
      </c>
      <c r="L396">
        <v>9.2523930613472007</v>
      </c>
      <c r="M396">
        <v>0.4100008492858177</v>
      </c>
    </row>
    <row r="397" spans="1:13" x14ac:dyDescent="0.2">
      <c r="A397">
        <v>395</v>
      </c>
      <c r="B397">
        <v>600</v>
      </c>
      <c r="C397">
        <v>78.000000000000213</v>
      </c>
      <c r="D397">
        <v>100</v>
      </c>
      <c r="E397">
        <v>79.512999836597629</v>
      </c>
      <c r="F397">
        <v>49.655362725400067</v>
      </c>
      <c r="G397">
        <v>695.7046492737295</v>
      </c>
      <c r="H397">
        <v>8.9192903753042003</v>
      </c>
      <c r="I397">
        <v>4.1451687012684175</v>
      </c>
      <c r="J397">
        <v>7.7263163117771061</v>
      </c>
      <c r="K397">
        <v>707.49704250798698</v>
      </c>
      <c r="L397">
        <v>10.461406004635132</v>
      </c>
      <c r="M397">
        <v>0.41000065797515273</v>
      </c>
    </row>
    <row r="398" spans="1:13" x14ac:dyDescent="0.2">
      <c r="A398">
        <v>396</v>
      </c>
      <c r="B398">
        <v>600</v>
      </c>
      <c r="C398">
        <v>76.333333333333528</v>
      </c>
      <c r="D398">
        <v>99</v>
      </c>
      <c r="E398">
        <v>83.384176215958917</v>
      </c>
      <c r="F398">
        <v>54.062031479031006</v>
      </c>
      <c r="G398">
        <v>777.31413425188305</v>
      </c>
      <c r="H398">
        <v>10.183154597186215</v>
      </c>
      <c r="I398">
        <v>4.3609442512852237</v>
      </c>
      <c r="J398">
        <v>8.1285074581271637</v>
      </c>
      <c r="K398">
        <v>790.49010335989249</v>
      </c>
      <c r="L398">
        <v>11.113381006569208</v>
      </c>
      <c r="M398">
        <v>0.41000086077131626</v>
      </c>
    </row>
    <row r="399" spans="1:13" x14ac:dyDescent="0.2">
      <c r="A399">
        <v>397</v>
      </c>
      <c r="B399">
        <v>600</v>
      </c>
      <c r="C399">
        <v>77.583333333333485</v>
      </c>
      <c r="D399">
        <v>99</v>
      </c>
      <c r="E399">
        <v>81.257586575544025</v>
      </c>
      <c r="F399">
        <v>51.339651280473525</v>
      </c>
      <c r="G399">
        <v>727.8566436407076</v>
      </c>
      <c r="H399">
        <v>9.3816108739940631</v>
      </c>
      <c r="I399">
        <v>4.0557762392563044</v>
      </c>
      <c r="J399">
        <v>7.5596947609623566</v>
      </c>
      <c r="K399">
        <v>740.19407974376759</v>
      </c>
      <c r="L399">
        <v>10.110122191869628</v>
      </c>
      <c r="M399">
        <v>0.41000070368625285</v>
      </c>
    </row>
    <row r="400" spans="1:13" x14ac:dyDescent="0.2">
      <c r="A400">
        <v>398</v>
      </c>
      <c r="B400">
        <v>600</v>
      </c>
      <c r="C400">
        <v>76.333333333333528</v>
      </c>
      <c r="D400">
        <v>99</v>
      </c>
      <c r="E400">
        <v>69.936831146404344</v>
      </c>
      <c r="F400">
        <v>38.030932728372548</v>
      </c>
      <c r="G400">
        <v>496.86482406967571</v>
      </c>
      <c r="H400">
        <v>6.5091461668516297</v>
      </c>
      <c r="I400">
        <v>3.0965589075441624</v>
      </c>
      <c r="J400">
        <v>5.7717780196536106</v>
      </c>
      <c r="K400">
        <v>505.28699894637379</v>
      </c>
      <c r="L400">
        <v>7.5396400126556111</v>
      </c>
      <c r="M400">
        <v>0.41000086077131626</v>
      </c>
    </row>
    <row r="401" spans="1:13" x14ac:dyDescent="0.2">
      <c r="A401">
        <v>399</v>
      </c>
      <c r="B401">
        <v>600</v>
      </c>
      <c r="C401">
        <v>79.416666666666657</v>
      </c>
      <c r="D401">
        <v>100</v>
      </c>
      <c r="E401">
        <v>87.729709816698232</v>
      </c>
      <c r="F401">
        <v>60.448185232284558</v>
      </c>
      <c r="G401">
        <v>893.52243691444778</v>
      </c>
      <c r="H401">
        <v>11.251069509940582</v>
      </c>
      <c r="I401">
        <v>4.8017950669117049</v>
      </c>
      <c r="J401">
        <v>8.9502237966667373</v>
      </c>
      <c r="K401">
        <v>908.66769146366357</v>
      </c>
      <c r="L401">
        <v>12.134695024169726</v>
      </c>
      <c r="M401">
        <v>0.41000052364015721</v>
      </c>
    </row>
    <row r="402" spans="1:13" x14ac:dyDescent="0.2">
      <c r="A402">
        <v>400</v>
      </c>
      <c r="B402">
        <v>600</v>
      </c>
      <c r="C402">
        <v>77.250000000000242</v>
      </c>
      <c r="D402">
        <v>100</v>
      </c>
      <c r="E402">
        <v>78.003041198214348</v>
      </c>
      <c r="F402">
        <v>47.78735047406898</v>
      </c>
      <c r="G402">
        <v>662.57666419942075</v>
      </c>
      <c r="H402">
        <v>8.5770441967562281</v>
      </c>
      <c r="I402">
        <v>3.9233759606789849</v>
      </c>
      <c r="J402">
        <v>7.3129095259626924</v>
      </c>
      <c r="K402">
        <v>673.80762515738695</v>
      </c>
      <c r="L402">
        <v>9.7775852248601005</v>
      </c>
      <c r="M402">
        <v>0.41000074253123181</v>
      </c>
    </row>
    <row r="403" spans="1:13" x14ac:dyDescent="0.2">
      <c r="A403">
        <v>401</v>
      </c>
      <c r="B403">
        <v>600</v>
      </c>
      <c r="C403">
        <v>79.500000000000142</v>
      </c>
      <c r="D403">
        <v>100</v>
      </c>
      <c r="E403">
        <v>86.936756927184916</v>
      </c>
      <c r="F403">
        <v>59.36039087278364</v>
      </c>
      <c r="G403">
        <v>873.11421731623648</v>
      </c>
      <c r="H403">
        <v>10.982568771273396</v>
      </c>
      <c r="I403">
        <v>4.6800571400939495</v>
      </c>
      <c r="J403">
        <v>8.7233124698862063</v>
      </c>
      <c r="K403">
        <v>887.91354090341554</v>
      </c>
      <c r="L403">
        <v>11.81520716422764</v>
      </c>
      <c r="M403">
        <v>0.41000051665308856</v>
      </c>
    </row>
    <row r="404" spans="1:13" x14ac:dyDescent="0.2">
      <c r="A404">
        <v>402</v>
      </c>
      <c r="B404">
        <v>600</v>
      </c>
      <c r="C404">
        <v>75.33333333333357</v>
      </c>
      <c r="D404">
        <v>100</v>
      </c>
      <c r="E404">
        <v>67.77136108286642</v>
      </c>
      <c r="F404">
        <v>36.073002931900056</v>
      </c>
      <c r="G404">
        <v>463.27941044365127</v>
      </c>
      <c r="H404">
        <v>6.149726687305086</v>
      </c>
      <c r="I404">
        <v>3.019711505974922</v>
      </c>
      <c r="J404">
        <v>5.6285396197109447</v>
      </c>
      <c r="K404">
        <v>471.13241142133234</v>
      </c>
      <c r="L404">
        <v>7.3802613689469947</v>
      </c>
      <c r="M404">
        <v>0.41000101133435901</v>
      </c>
    </row>
    <row r="405" spans="1:13" x14ac:dyDescent="0.2">
      <c r="A405">
        <v>403</v>
      </c>
      <c r="B405">
        <v>600</v>
      </c>
      <c r="C405">
        <v>79.666666666666643</v>
      </c>
      <c r="D405">
        <v>89.949097737581468</v>
      </c>
      <c r="E405">
        <v>94.97705816521632</v>
      </c>
      <c r="F405">
        <v>63.727094739167882</v>
      </c>
      <c r="G405">
        <v>983.6106900201064</v>
      </c>
      <c r="H405">
        <v>12.346577698997155</v>
      </c>
      <c r="I405">
        <v>5.2123640813692971</v>
      </c>
      <c r="J405">
        <v>9.7154968897843368</v>
      </c>
      <c r="K405">
        <v>1000.2829103589048</v>
      </c>
      <c r="L405">
        <v>13.343156516941953</v>
      </c>
      <c r="M405">
        <v>0.41000050295739809</v>
      </c>
    </row>
    <row r="406" spans="1:13" x14ac:dyDescent="0.2">
      <c r="A406">
        <v>404</v>
      </c>
      <c r="B406">
        <v>600</v>
      </c>
      <c r="C406">
        <v>78.166666666666714</v>
      </c>
      <c r="D406">
        <v>71</v>
      </c>
      <c r="E406">
        <v>89.462289193873787</v>
      </c>
      <c r="F406">
        <v>44.630139448942977</v>
      </c>
      <c r="G406">
        <v>666.77093633778975</v>
      </c>
      <c r="H406">
        <v>8.5301185885431465</v>
      </c>
      <c r="I406">
        <v>3.9306866906395861</v>
      </c>
      <c r="J406">
        <v>7.3265362360476907</v>
      </c>
      <c r="K406">
        <v>678.07287479810418</v>
      </c>
      <c r="L406">
        <v>10.16291933010249</v>
      </c>
      <c r="M406">
        <v>0.41000064053322849</v>
      </c>
    </row>
    <row r="407" spans="1:13" x14ac:dyDescent="0.2">
      <c r="A407">
        <v>405</v>
      </c>
      <c r="B407">
        <v>600</v>
      </c>
      <c r="C407">
        <v>78.333333333333456</v>
      </c>
      <c r="D407">
        <v>98</v>
      </c>
      <c r="E407">
        <v>79.46814275595743</v>
      </c>
      <c r="F407">
        <v>48.607365553564463</v>
      </c>
      <c r="G407">
        <v>680.81225290928592</v>
      </c>
      <c r="H407">
        <v>8.6912202499057631</v>
      </c>
      <c r="I407">
        <v>3.8845257353015969</v>
      </c>
      <c r="J407">
        <v>7.240495312770916</v>
      </c>
      <c r="K407">
        <v>692.35217536323182</v>
      </c>
      <c r="L407">
        <v>9.5983509712541117</v>
      </c>
      <c r="M407">
        <v>0.41000062355366318</v>
      </c>
    </row>
    <row r="408" spans="1:13" x14ac:dyDescent="0.2">
      <c r="A408">
        <v>406</v>
      </c>
      <c r="B408">
        <v>600</v>
      </c>
      <c r="C408">
        <v>78.666666666666686</v>
      </c>
      <c r="D408">
        <v>98</v>
      </c>
      <c r="E408">
        <v>78.423671806463574</v>
      </c>
      <c r="F408">
        <v>47.338043171361271</v>
      </c>
      <c r="G408">
        <v>658.27266049628838</v>
      </c>
      <c r="H408">
        <v>8.3678728029189173</v>
      </c>
      <c r="I408">
        <v>3.766102296883981</v>
      </c>
      <c r="J408">
        <v>7.0197619699608209</v>
      </c>
      <c r="K408">
        <v>669.43049472251278</v>
      </c>
      <c r="L408">
        <v>9.2292434739071059</v>
      </c>
      <c r="M408">
        <v>0.41000059093290886</v>
      </c>
    </row>
    <row r="409" spans="1:13" x14ac:dyDescent="0.2">
      <c r="A409">
        <v>407</v>
      </c>
      <c r="B409">
        <v>600</v>
      </c>
      <c r="C409">
        <v>75.416666666666828</v>
      </c>
      <c r="D409">
        <v>100</v>
      </c>
      <c r="E409">
        <v>72.027494095984594</v>
      </c>
      <c r="F409">
        <v>40.746141817533669</v>
      </c>
      <c r="G409">
        <v>540.94817770609518</v>
      </c>
      <c r="H409">
        <v>7.1727935165448935</v>
      </c>
      <c r="I409">
        <v>3.2713357675267711</v>
      </c>
      <c r="J409">
        <v>6.0975503588569815</v>
      </c>
      <c r="K409">
        <v>550.11772127634913</v>
      </c>
      <c r="L409">
        <v>8.0791532720877299</v>
      </c>
      <c r="M409">
        <v>0.41000099783985799</v>
      </c>
    </row>
    <row r="410" spans="1:13" x14ac:dyDescent="0.2">
      <c r="A410">
        <v>408</v>
      </c>
      <c r="B410">
        <v>600</v>
      </c>
      <c r="C410">
        <v>77.583333333333485</v>
      </c>
      <c r="D410">
        <v>100</v>
      </c>
      <c r="E410">
        <v>77.664628848169258</v>
      </c>
      <c r="F410">
        <v>47.373603805075923</v>
      </c>
      <c r="G410">
        <v>655.28631558128825</v>
      </c>
      <c r="H410">
        <v>8.4462253350971466</v>
      </c>
      <c r="I410">
        <v>3.7974050453624701</v>
      </c>
      <c r="J410">
        <v>7.0781081926607072</v>
      </c>
      <c r="K410">
        <v>666.39365810310028</v>
      </c>
      <c r="L410">
        <v>9.3500664725822293</v>
      </c>
      <c r="M410">
        <v>0.41000070368625285</v>
      </c>
    </row>
    <row r="411" spans="1:13" x14ac:dyDescent="0.2">
      <c r="A411">
        <v>409</v>
      </c>
      <c r="B411">
        <v>600</v>
      </c>
      <c r="C411">
        <v>77.333333333333499</v>
      </c>
      <c r="D411">
        <v>100</v>
      </c>
      <c r="E411">
        <v>76.952238603157795</v>
      </c>
      <c r="F411">
        <v>46.508506985376798</v>
      </c>
      <c r="G411">
        <v>640.09900977007305</v>
      </c>
      <c r="H411">
        <v>8.2771423677164435</v>
      </c>
      <c r="I411">
        <v>3.7976717882340911</v>
      </c>
      <c r="J411">
        <v>7.0786053834745415</v>
      </c>
      <c r="K411">
        <v>650.94895383475739</v>
      </c>
      <c r="L411">
        <v>9.3751686340999836</v>
      </c>
      <c r="M411">
        <v>0.41000073262344178</v>
      </c>
    </row>
    <row r="412" spans="1:13" x14ac:dyDescent="0.2">
      <c r="A412">
        <v>410</v>
      </c>
      <c r="B412">
        <v>600</v>
      </c>
      <c r="C412">
        <v>78.083333333333456</v>
      </c>
      <c r="D412">
        <v>99</v>
      </c>
      <c r="E412">
        <v>82.156389469683106</v>
      </c>
      <c r="F412">
        <v>52.481684495412253</v>
      </c>
      <c r="G412">
        <v>748.51930560772121</v>
      </c>
      <c r="H412">
        <v>9.5861597303016435</v>
      </c>
      <c r="I412">
        <v>4.2644406329624971</v>
      </c>
      <c r="J412">
        <v>7.9486311891192853</v>
      </c>
      <c r="K412">
        <v>761.20691107936068</v>
      </c>
      <c r="L412">
        <v>10.813029202488201</v>
      </c>
      <c r="M412">
        <v>0.41000064919561674</v>
      </c>
    </row>
    <row r="413" spans="1:13" x14ac:dyDescent="0.2">
      <c r="A413">
        <v>411</v>
      </c>
      <c r="B413">
        <v>600</v>
      </c>
      <c r="C413">
        <v>78.666666666666686</v>
      </c>
      <c r="D413">
        <v>100</v>
      </c>
      <c r="E413">
        <v>85.253848131745286</v>
      </c>
      <c r="F413">
        <v>57.084455563171332</v>
      </c>
      <c r="G413">
        <v>830.74534508486715</v>
      </c>
      <c r="H413">
        <v>10.560322183282208</v>
      </c>
      <c r="I413">
        <v>4.5525768921347893</v>
      </c>
      <c r="J413">
        <v>8.4856978418169415</v>
      </c>
      <c r="K413">
        <v>844.82662082503862</v>
      </c>
      <c r="L413">
        <v>11.432628048768112</v>
      </c>
      <c r="M413">
        <v>0.41000059093290886</v>
      </c>
    </row>
    <row r="414" spans="1:13" x14ac:dyDescent="0.2">
      <c r="A414">
        <v>412</v>
      </c>
      <c r="B414">
        <v>600</v>
      </c>
      <c r="C414">
        <v>76.666666666666771</v>
      </c>
      <c r="D414">
        <v>99</v>
      </c>
      <c r="E414">
        <v>78.138422635193763</v>
      </c>
      <c r="F414">
        <v>47.473839357183046</v>
      </c>
      <c r="G414">
        <v>658.85174723091848</v>
      </c>
      <c r="H414">
        <v>8.5937184421424035</v>
      </c>
      <c r="I414">
        <v>3.8130489036894288</v>
      </c>
      <c r="J414">
        <v>7.1072672948544797</v>
      </c>
      <c r="K414">
        <v>670.01965237431693</v>
      </c>
      <c r="L414">
        <v>9.5085091523025103</v>
      </c>
      <c r="M414">
        <v>0.41000081574069358</v>
      </c>
    </row>
    <row r="415" spans="1:13" x14ac:dyDescent="0.2">
      <c r="A415">
        <v>413</v>
      </c>
      <c r="B415">
        <v>600</v>
      </c>
      <c r="C415">
        <v>78.500000000000185</v>
      </c>
      <c r="D415">
        <v>96</v>
      </c>
      <c r="E415">
        <v>82.671863259488489</v>
      </c>
      <c r="F415">
        <v>51.53194874393018</v>
      </c>
      <c r="G415">
        <v>737.48204245272052</v>
      </c>
      <c r="H415">
        <v>9.3946757000346341</v>
      </c>
      <c r="I415">
        <v>4.0022374970187586</v>
      </c>
      <c r="J415">
        <v>7.4599021379659982</v>
      </c>
      <c r="K415">
        <v>749.98250971045036</v>
      </c>
      <c r="L415">
        <v>9.9618272265062409</v>
      </c>
      <c r="M415">
        <v>0.41000060702420055</v>
      </c>
    </row>
    <row r="416" spans="1:13" x14ac:dyDescent="0.2">
      <c r="A416">
        <v>414</v>
      </c>
      <c r="B416">
        <v>600</v>
      </c>
      <c r="C416">
        <v>75.58333333333357</v>
      </c>
      <c r="D416">
        <v>100</v>
      </c>
      <c r="E416">
        <v>72.561584177920039</v>
      </c>
      <c r="F416">
        <v>41.352654496012747</v>
      </c>
      <c r="G416">
        <v>551.21398149581682</v>
      </c>
      <c r="H416">
        <v>7.2927979911243455</v>
      </c>
      <c r="I416">
        <v>3.3196183168526106</v>
      </c>
      <c r="J416">
        <v>6.1875457909647906</v>
      </c>
      <c r="K416">
        <v>560.55751426557447</v>
      </c>
      <c r="L416">
        <v>8.2239852170717676</v>
      </c>
      <c r="M416">
        <v>0.41000097138863545</v>
      </c>
    </row>
    <row r="417" spans="1:13" x14ac:dyDescent="0.2">
      <c r="A417">
        <v>415</v>
      </c>
      <c r="B417">
        <v>600</v>
      </c>
      <c r="C417">
        <v>78.083333333333456</v>
      </c>
      <c r="D417">
        <v>99</v>
      </c>
      <c r="E417">
        <v>80.453593204170687</v>
      </c>
      <c r="F417">
        <v>50.328729415959593</v>
      </c>
      <c r="G417">
        <v>709.67036472270888</v>
      </c>
      <c r="H417">
        <v>9.0886279366835581</v>
      </c>
      <c r="I417">
        <v>4.137741608542119</v>
      </c>
      <c r="J417">
        <v>7.7124727093049739</v>
      </c>
      <c r="K417">
        <v>721.69947009789473</v>
      </c>
      <c r="L417">
        <v>10.429205847484765</v>
      </c>
      <c r="M417">
        <v>0.41000064919561674</v>
      </c>
    </row>
    <row r="418" spans="1:13" x14ac:dyDescent="0.2">
      <c r="A418">
        <v>416</v>
      </c>
      <c r="B418">
        <v>600</v>
      </c>
      <c r="C418">
        <v>76.250000000000284</v>
      </c>
      <c r="D418">
        <v>50</v>
      </c>
      <c r="E418">
        <v>98.6356953469042</v>
      </c>
      <c r="F418">
        <v>38.205695215785006</v>
      </c>
      <c r="G418">
        <v>601.96109263086737</v>
      </c>
      <c r="H418">
        <v>7.8945717066342969</v>
      </c>
      <c r="I418">
        <v>3.4630036554693548</v>
      </c>
      <c r="J418">
        <v>6.4548064407630097</v>
      </c>
      <c r="K418">
        <v>612.16472820078297</v>
      </c>
      <c r="L418">
        <v>9.2415937942609876</v>
      </c>
      <c r="M418">
        <v>0.4100008724121415</v>
      </c>
    </row>
    <row r="419" spans="1:13" x14ac:dyDescent="0.2">
      <c r="A419">
        <v>417</v>
      </c>
      <c r="B419">
        <v>600</v>
      </c>
      <c r="C419">
        <v>79.083333333333414</v>
      </c>
      <c r="D419">
        <v>4</v>
      </c>
      <c r="E419">
        <v>331.24669170989938</v>
      </c>
      <c r="F419">
        <v>34.470927712687747</v>
      </c>
      <c r="G419">
        <v>1050.6781268632496</v>
      </c>
      <c r="H419">
        <v>13.285708664234964</v>
      </c>
      <c r="I419">
        <v>3.7334263306621951</v>
      </c>
      <c r="J419">
        <v>6.9588561615325153</v>
      </c>
      <c r="K419">
        <v>1068.48723136698</v>
      </c>
      <c r="L419">
        <v>18.177540600049181</v>
      </c>
      <c r="M419">
        <v>0.41000055254620849</v>
      </c>
    </row>
    <row r="420" spans="1:13" x14ac:dyDescent="0.2">
      <c r="A420">
        <v>418</v>
      </c>
      <c r="B420">
        <v>600</v>
      </c>
      <c r="C420">
        <v>76.666666666666771</v>
      </c>
      <c r="D420">
        <v>99</v>
      </c>
      <c r="E420">
        <v>76.996147711955572</v>
      </c>
      <c r="F420">
        <v>46.095981852945528</v>
      </c>
      <c r="G420">
        <v>634.61847241563612</v>
      </c>
      <c r="H420">
        <v>8.2776322488995895</v>
      </c>
      <c r="I420">
        <v>3.7125859551220728</v>
      </c>
      <c r="J420">
        <v>6.9200110999479447</v>
      </c>
      <c r="K420">
        <v>645.37561001445658</v>
      </c>
      <c r="L420">
        <v>9.2247482569323047</v>
      </c>
      <c r="M420">
        <v>0.41000081574069358</v>
      </c>
    </row>
    <row r="421" spans="1:13" x14ac:dyDescent="0.2">
      <c r="A421">
        <v>419</v>
      </c>
      <c r="B421">
        <v>600</v>
      </c>
      <c r="C421">
        <v>76.50000000000027</v>
      </c>
      <c r="D421">
        <v>97</v>
      </c>
      <c r="E421">
        <v>75.702002181767313</v>
      </c>
      <c r="F421">
        <v>43.65925770436791</v>
      </c>
      <c r="G421">
        <v>595.54706703623413</v>
      </c>
      <c r="H421">
        <v>7.7849289808657778</v>
      </c>
      <c r="I421">
        <v>3.4179698848257405</v>
      </c>
      <c r="J421">
        <v>6.3708665141206717</v>
      </c>
      <c r="K421">
        <v>605.64194529080089</v>
      </c>
      <c r="L421">
        <v>8.4479401088037722</v>
      </c>
      <c r="M421">
        <v>0.41000083795357306</v>
      </c>
    </row>
    <row r="422" spans="1:13" x14ac:dyDescent="0.2">
      <c r="A422">
        <v>420</v>
      </c>
      <c r="B422">
        <v>600</v>
      </c>
      <c r="C422">
        <v>75.166666666666842</v>
      </c>
      <c r="D422">
        <v>100</v>
      </c>
      <c r="E422">
        <v>72.847877016136053</v>
      </c>
      <c r="F422">
        <v>41.679613295877601</v>
      </c>
      <c r="G422">
        <v>556.76506712619721</v>
      </c>
      <c r="H422">
        <v>7.4070740637631394</v>
      </c>
      <c r="I422">
        <v>3.4479385757393199</v>
      </c>
      <c r="J422">
        <v>6.4267261430369427</v>
      </c>
      <c r="K422">
        <v>566.20276015026695</v>
      </c>
      <c r="L422">
        <v>8.6970066993007329</v>
      </c>
      <c r="M422">
        <v>0.41000103887331629</v>
      </c>
    </row>
    <row r="423" spans="1:13" x14ac:dyDescent="0.2">
      <c r="A423">
        <v>421</v>
      </c>
      <c r="B423">
        <v>600</v>
      </c>
      <c r="C423">
        <v>75.33333333333357</v>
      </c>
      <c r="D423">
        <v>100</v>
      </c>
      <c r="E423">
        <v>69.819568805936058</v>
      </c>
      <c r="F423">
        <v>38.286371236300283</v>
      </c>
      <c r="G423">
        <v>499.74493269458645</v>
      </c>
      <c r="H423">
        <v>6.6337822924059937</v>
      </c>
      <c r="I423">
        <v>3.1099231862309482</v>
      </c>
      <c r="J423">
        <v>5.7966881383615059</v>
      </c>
      <c r="K423">
        <v>508.21605693747819</v>
      </c>
      <c r="L423">
        <v>7.6577814794239156</v>
      </c>
      <c r="M423">
        <v>0.41000101133435901</v>
      </c>
    </row>
    <row r="424" spans="1:13" x14ac:dyDescent="0.2">
      <c r="A424">
        <v>422</v>
      </c>
      <c r="B424">
        <v>600</v>
      </c>
      <c r="C424">
        <v>78.916666666666686</v>
      </c>
      <c r="D424">
        <v>100</v>
      </c>
      <c r="E424">
        <v>81.383993413138143</v>
      </c>
      <c r="F424">
        <v>52.019703686217099</v>
      </c>
      <c r="G424">
        <v>738.12280714680685</v>
      </c>
      <c r="H424">
        <v>9.3531929099912166</v>
      </c>
      <c r="I424">
        <v>4.3142417122973731</v>
      </c>
      <c r="J424">
        <v>8.0414570592681685</v>
      </c>
      <c r="K424">
        <v>750.63408532567712</v>
      </c>
      <c r="L424">
        <v>10.940926843875843</v>
      </c>
      <c r="M424">
        <v>0.41000056759221798</v>
      </c>
    </row>
    <row r="425" spans="1:13" x14ac:dyDescent="0.2">
      <c r="A425">
        <v>423</v>
      </c>
      <c r="B425">
        <v>600</v>
      </c>
      <c r="C425">
        <v>77.083333333333499</v>
      </c>
      <c r="D425">
        <v>100</v>
      </c>
      <c r="E425">
        <v>82.906246286416547</v>
      </c>
      <c r="F425">
        <v>53.983916080250658</v>
      </c>
      <c r="G425">
        <v>773.76463754931387</v>
      </c>
      <c r="H425">
        <v>10.038027730369455</v>
      </c>
      <c r="I425">
        <v>4.4813335544030961</v>
      </c>
      <c r="J425">
        <v>8.3529050408259007</v>
      </c>
      <c r="K425">
        <v>786.88030970002046</v>
      </c>
      <c r="L425">
        <v>11.481054848094969</v>
      </c>
      <c r="M425">
        <v>0.41000076275059422</v>
      </c>
    </row>
    <row r="426" spans="1:13" x14ac:dyDescent="0.2">
      <c r="A426">
        <v>424</v>
      </c>
      <c r="B426">
        <v>600</v>
      </c>
      <c r="C426">
        <v>78.333333333333456</v>
      </c>
      <c r="D426">
        <v>99</v>
      </c>
      <c r="E426">
        <v>84.472564993467245</v>
      </c>
      <c r="F426">
        <v>55.482553329579297</v>
      </c>
      <c r="G426">
        <v>803.39400979714401</v>
      </c>
      <c r="H426">
        <v>10.256093742091185</v>
      </c>
      <c r="I426">
        <v>4.4319362572640264</v>
      </c>
      <c r="J426">
        <v>8.2608317935955746</v>
      </c>
      <c r="K426">
        <v>817.01172089650493</v>
      </c>
      <c r="L426">
        <v>11.143306238649526</v>
      </c>
      <c r="M426">
        <v>0.41000062355366318</v>
      </c>
    </row>
    <row r="427" spans="1:13" x14ac:dyDescent="0.2">
      <c r="A427">
        <v>425</v>
      </c>
      <c r="B427">
        <v>600</v>
      </c>
      <c r="C427">
        <v>78.333333333333456</v>
      </c>
      <c r="D427">
        <v>100</v>
      </c>
      <c r="E427">
        <v>77.778245465843625</v>
      </c>
      <c r="F427">
        <v>47.512312139215936</v>
      </c>
      <c r="G427">
        <v>657.72858017573583</v>
      </c>
      <c r="H427">
        <v>8.396535066073211</v>
      </c>
      <c r="I427">
        <v>3.8433403705292424</v>
      </c>
      <c r="J427">
        <v>7.1637285564384747</v>
      </c>
      <c r="K427">
        <v>668.87722912930167</v>
      </c>
      <c r="L427">
        <v>9.4396287086480122</v>
      </c>
      <c r="M427">
        <v>0.41000062355366318</v>
      </c>
    </row>
    <row r="428" spans="1:13" x14ac:dyDescent="0.2">
      <c r="A428">
        <v>426</v>
      </c>
      <c r="B428">
        <v>600</v>
      </c>
      <c r="C428">
        <v>76.166666666666799</v>
      </c>
      <c r="D428">
        <v>99</v>
      </c>
      <c r="E428">
        <v>77.144172709884216</v>
      </c>
      <c r="F428">
        <v>46.273391158982669</v>
      </c>
      <c r="G428">
        <v>637.72767939205028</v>
      </c>
      <c r="H428">
        <v>8.372792289611148</v>
      </c>
      <c r="I428">
        <v>3.7700512326663822</v>
      </c>
      <c r="J428">
        <v>7.0271225212793693</v>
      </c>
      <c r="K428">
        <v>648.53759504900438</v>
      </c>
      <c r="L428">
        <v>9.529996420347068</v>
      </c>
      <c r="M428">
        <v>0.41000088421039388</v>
      </c>
    </row>
    <row r="429" spans="1:13" x14ac:dyDescent="0.2">
      <c r="A429">
        <v>427</v>
      </c>
      <c r="B429">
        <v>600</v>
      </c>
      <c r="C429">
        <v>78.4166666666667</v>
      </c>
      <c r="D429">
        <v>98</v>
      </c>
      <c r="E429">
        <v>86.381355795281138</v>
      </c>
      <c r="F429">
        <v>57.432270986928472</v>
      </c>
      <c r="G429">
        <v>841.81003129148098</v>
      </c>
      <c r="H429">
        <v>10.735090728477967</v>
      </c>
      <c r="I429">
        <v>4.5008130264561306</v>
      </c>
      <c r="J429">
        <v>8.3892134696293201</v>
      </c>
      <c r="K429">
        <v>856.07889061565118</v>
      </c>
      <c r="L429">
        <v>11.332839292744929</v>
      </c>
      <c r="M429">
        <v>0.41000061523342229</v>
      </c>
    </row>
    <row r="430" spans="1:13" x14ac:dyDescent="0.2">
      <c r="A430">
        <v>428</v>
      </c>
      <c r="B430">
        <v>600</v>
      </c>
      <c r="C430">
        <v>76.416666666666785</v>
      </c>
      <c r="D430">
        <v>100</v>
      </c>
      <c r="E430">
        <v>75.992773541102721</v>
      </c>
      <c r="F430">
        <v>45.355971343715346</v>
      </c>
      <c r="G430">
        <v>619.98487342889746</v>
      </c>
      <c r="H430">
        <v>8.1132153556671298</v>
      </c>
      <c r="I430">
        <v>3.6599710479199148</v>
      </c>
      <c r="J430">
        <v>6.8219404434667563</v>
      </c>
      <c r="K430">
        <v>630.49399919822042</v>
      </c>
      <c r="L430">
        <v>9.0568495263189046</v>
      </c>
      <c r="M430">
        <v>0.4100008492858177</v>
      </c>
    </row>
    <row r="431" spans="1:13" x14ac:dyDescent="0.2">
      <c r="A431">
        <v>429</v>
      </c>
      <c r="B431">
        <v>600</v>
      </c>
      <c r="C431">
        <v>79.500000000000142</v>
      </c>
      <c r="D431">
        <v>100</v>
      </c>
      <c r="E431">
        <v>85.537888612440099</v>
      </c>
      <c r="F431">
        <v>57.465466090248619</v>
      </c>
      <c r="G431">
        <v>837.80679729488406</v>
      </c>
      <c r="H431">
        <v>10.538450280438774</v>
      </c>
      <c r="I431">
        <v>4.5687511734280299</v>
      </c>
      <c r="J431">
        <v>8.515845616827642</v>
      </c>
      <c r="K431">
        <v>852.00765859206558</v>
      </c>
      <c r="L431">
        <v>11.47284941624878</v>
      </c>
      <c r="M431">
        <v>0.41000051665308856</v>
      </c>
    </row>
    <row r="432" spans="1:13" x14ac:dyDescent="0.2">
      <c r="A432">
        <v>430</v>
      </c>
      <c r="B432">
        <v>600</v>
      </c>
      <c r="C432">
        <v>75.666666666666814</v>
      </c>
      <c r="D432">
        <v>100</v>
      </c>
      <c r="E432">
        <v>72.332049923573976</v>
      </c>
      <c r="F432">
        <v>41.091446364357552</v>
      </c>
      <c r="G432">
        <v>546.78774473037709</v>
      </c>
      <c r="H432">
        <v>7.2262697541459389</v>
      </c>
      <c r="I432">
        <v>3.335308994654699</v>
      </c>
      <c r="J432">
        <v>6.2167921615185451</v>
      </c>
      <c r="K432">
        <v>556.05623691121275</v>
      </c>
      <c r="L432">
        <v>8.2550100640531667</v>
      </c>
      <c r="M432">
        <v>0.41000095842714079</v>
      </c>
    </row>
    <row r="433" spans="1:13" x14ac:dyDescent="0.2">
      <c r="A433">
        <v>431</v>
      </c>
      <c r="B433">
        <v>600</v>
      </c>
      <c r="C433">
        <v>77.916666666666728</v>
      </c>
      <c r="D433">
        <v>99</v>
      </c>
      <c r="E433">
        <v>81.002894524674488</v>
      </c>
      <c r="F433">
        <v>51.018319836374069</v>
      </c>
      <c r="G433">
        <v>722.06531111315076</v>
      </c>
      <c r="H433">
        <v>9.2671483779227835</v>
      </c>
      <c r="I433">
        <v>4.2139145635994453</v>
      </c>
      <c r="J433">
        <v>7.8544539862058622</v>
      </c>
      <c r="K433">
        <v>734.30453619672596</v>
      </c>
      <c r="L433">
        <v>10.729078129340349</v>
      </c>
      <c r="M433">
        <v>0.41000066687342057</v>
      </c>
    </row>
    <row r="434" spans="1:13" x14ac:dyDescent="0.2">
      <c r="A434">
        <v>432</v>
      </c>
      <c r="B434">
        <v>600</v>
      </c>
      <c r="C434">
        <v>75.416666666666828</v>
      </c>
      <c r="D434">
        <v>100</v>
      </c>
      <c r="E434">
        <v>66.472728858931887</v>
      </c>
      <c r="F434">
        <v>34.703789245504161</v>
      </c>
      <c r="G434">
        <v>441.02241052929935</v>
      </c>
      <c r="H434">
        <v>5.8478109683442883</v>
      </c>
      <c r="I434">
        <v>2.8603530519557623</v>
      </c>
      <c r="J434">
        <v>5.3315061546239741</v>
      </c>
      <c r="K434">
        <v>448.49812516421207</v>
      </c>
      <c r="L434">
        <v>6.9141523137980672</v>
      </c>
      <c r="M434">
        <v>0.41000099783985799</v>
      </c>
    </row>
    <row r="435" spans="1:13" x14ac:dyDescent="0.2">
      <c r="A435">
        <v>433</v>
      </c>
      <c r="B435">
        <v>600</v>
      </c>
      <c r="C435">
        <v>76.50000000000027</v>
      </c>
      <c r="D435">
        <v>100</v>
      </c>
      <c r="E435">
        <v>76.873440777727353</v>
      </c>
      <c r="F435">
        <v>46.413307860587629</v>
      </c>
      <c r="G435">
        <v>638.43228889437989</v>
      </c>
      <c r="H435">
        <v>8.3455201162663748</v>
      </c>
      <c r="I435">
        <v>3.6918186077491262</v>
      </c>
      <c r="J435">
        <v>6.8813021579666849</v>
      </c>
      <c r="K435">
        <v>649.25409725664167</v>
      </c>
      <c r="L435">
        <v>9.1603122404657782</v>
      </c>
      <c r="M435">
        <v>0.41000083795357306</v>
      </c>
    </row>
    <row r="436" spans="1:13" x14ac:dyDescent="0.2">
      <c r="A436">
        <v>434</v>
      </c>
      <c r="B436">
        <v>600</v>
      </c>
      <c r="C436">
        <v>76.000000000000298</v>
      </c>
      <c r="D436">
        <v>100</v>
      </c>
      <c r="E436">
        <v>69.315231689086971</v>
      </c>
      <c r="F436">
        <v>37.735250715223252</v>
      </c>
      <c r="G436">
        <v>490.61015125703199</v>
      </c>
      <c r="H436">
        <v>6.4553967270661854</v>
      </c>
      <c r="I436">
        <v>3.207235781901232</v>
      </c>
      <c r="J436">
        <v>5.9780722868615692</v>
      </c>
      <c r="K436">
        <v>498.92634563202478</v>
      </c>
      <c r="L436">
        <v>7.972024471199779</v>
      </c>
      <c r="M436">
        <v>0.41000090828772506</v>
      </c>
    </row>
    <row r="437" spans="1:13" x14ac:dyDescent="0.2">
      <c r="A437">
        <v>435</v>
      </c>
      <c r="B437">
        <v>600</v>
      </c>
      <c r="C437">
        <v>75.58333333333357</v>
      </c>
      <c r="D437">
        <v>100</v>
      </c>
      <c r="E437">
        <v>71.357141084315401</v>
      </c>
      <c r="F437">
        <v>39.991230281698563</v>
      </c>
      <c r="G437">
        <v>528.22870940227858</v>
      </c>
      <c r="H437">
        <v>6.9886929579132557</v>
      </c>
      <c r="I437">
        <v>3.2581423198554624</v>
      </c>
      <c r="J437">
        <v>6.072958657698905</v>
      </c>
      <c r="K437">
        <v>537.18262280417309</v>
      </c>
      <c r="L437">
        <v>8.0338382778077602</v>
      </c>
      <c r="M437">
        <v>0.41000097138863545</v>
      </c>
    </row>
    <row r="438" spans="1:13" x14ac:dyDescent="0.2">
      <c r="A438">
        <v>436</v>
      </c>
      <c r="B438">
        <v>600</v>
      </c>
      <c r="C438">
        <v>74.333333333333613</v>
      </c>
      <c r="D438">
        <v>100</v>
      </c>
      <c r="E438">
        <v>73.011892618651657</v>
      </c>
      <c r="F438">
        <v>41.867506281909641</v>
      </c>
      <c r="G438">
        <v>559.96037291655318</v>
      </c>
      <c r="H438">
        <v>7.5330991872181761</v>
      </c>
      <c r="I438">
        <v>3.3847331419281517</v>
      </c>
      <c r="J438">
        <v>6.3089154555976732</v>
      </c>
      <c r="K438">
        <v>569.45237354615938</v>
      </c>
      <c r="L438">
        <v>8.5466818258764619</v>
      </c>
      <c r="M438">
        <v>0.41000118823335113</v>
      </c>
    </row>
    <row r="439" spans="1:13" x14ac:dyDescent="0.2">
      <c r="A439">
        <v>437</v>
      </c>
      <c r="B439">
        <v>600</v>
      </c>
      <c r="C439">
        <v>79.000000000000171</v>
      </c>
      <c r="D439">
        <v>67</v>
      </c>
      <c r="E439">
        <v>98.047982752176694</v>
      </c>
      <c r="F439">
        <v>50.587359340354176</v>
      </c>
      <c r="G439">
        <v>794.45410692356472</v>
      </c>
      <c r="H439">
        <v>10.056381100298266</v>
      </c>
      <c r="I439">
        <v>4.2908042475035755</v>
      </c>
      <c r="J439">
        <v>7.9977711975835497</v>
      </c>
      <c r="K439">
        <v>807.92019763482347</v>
      </c>
      <c r="L439">
        <v>11.534105443140181</v>
      </c>
      <c r="M439">
        <v>0.41000056001868546</v>
      </c>
    </row>
    <row r="440" spans="1:13" x14ac:dyDescent="0.2">
      <c r="A440">
        <v>438</v>
      </c>
      <c r="B440">
        <v>600</v>
      </c>
      <c r="C440">
        <v>77.333333333333499</v>
      </c>
      <c r="D440">
        <v>99</v>
      </c>
      <c r="E440">
        <v>73.217184311363425</v>
      </c>
      <c r="F440">
        <v>41.682246986785366</v>
      </c>
      <c r="G440">
        <v>558.33631304257483</v>
      </c>
      <c r="H440">
        <v>7.2198661169298317</v>
      </c>
      <c r="I440">
        <v>3.4264715281810023</v>
      </c>
      <c r="J440">
        <v>6.3867130068611404</v>
      </c>
      <c r="K440">
        <v>567.80034543964109</v>
      </c>
      <c r="L440">
        <v>8.3470178553478611</v>
      </c>
      <c r="M440">
        <v>0.41000073262344178</v>
      </c>
    </row>
    <row r="441" spans="1:13" x14ac:dyDescent="0.2">
      <c r="A441">
        <v>439</v>
      </c>
      <c r="B441">
        <v>600</v>
      </c>
      <c r="C441">
        <v>76.333333333333528</v>
      </c>
      <c r="D441">
        <v>100</v>
      </c>
      <c r="E441">
        <v>81.015273377089699</v>
      </c>
      <c r="F441">
        <v>51.549408338002891</v>
      </c>
      <c r="G441">
        <v>729.64232743263995</v>
      </c>
      <c r="H441">
        <v>9.5586331104712396</v>
      </c>
      <c r="I441">
        <v>4.1706517846218372</v>
      </c>
      <c r="J441">
        <v>7.7738150691926124</v>
      </c>
      <c r="K441">
        <v>742.01022908594155</v>
      </c>
      <c r="L441">
        <v>10.548010629501777</v>
      </c>
      <c r="M441">
        <v>0.41000086077131626</v>
      </c>
    </row>
    <row r="442" spans="1:13" x14ac:dyDescent="0.2">
      <c r="A442">
        <v>440</v>
      </c>
      <c r="B442">
        <v>600</v>
      </c>
      <c r="C442">
        <v>77.250000000000242</v>
      </c>
      <c r="D442">
        <v>100</v>
      </c>
      <c r="E442">
        <v>79.136432763741993</v>
      </c>
      <c r="F442">
        <v>49.186148957326722</v>
      </c>
      <c r="G442">
        <v>687.35091371393037</v>
      </c>
      <c r="H442">
        <v>8.8977464558437305</v>
      </c>
      <c r="I442">
        <v>4.0089058194636591</v>
      </c>
      <c r="J442">
        <v>7.472331443548291</v>
      </c>
      <c r="K442">
        <v>699.00180891361424</v>
      </c>
      <c r="L442">
        <v>10.02911374112413</v>
      </c>
      <c r="M442">
        <v>0.41000074253123181</v>
      </c>
    </row>
    <row r="443" spans="1:13" x14ac:dyDescent="0.2">
      <c r="A443">
        <v>441</v>
      </c>
      <c r="B443">
        <v>600</v>
      </c>
      <c r="C443">
        <v>76.916666666666771</v>
      </c>
      <c r="D443">
        <v>100</v>
      </c>
      <c r="E443">
        <v>78.1309548727464</v>
      </c>
      <c r="F443">
        <v>47.94420762824231</v>
      </c>
      <c r="G443">
        <v>665.34501282854148</v>
      </c>
      <c r="H443">
        <v>8.6502060172724669</v>
      </c>
      <c r="I443">
        <v>4.0455337231705011</v>
      </c>
      <c r="J443">
        <v>7.5406033982674758</v>
      </c>
      <c r="K443">
        <v>676.62294550016611</v>
      </c>
      <c r="L443">
        <v>10.297356924303999</v>
      </c>
      <c r="M443">
        <v>0.41000078352053626</v>
      </c>
    </row>
    <row r="444" spans="1:13" x14ac:dyDescent="0.2">
      <c r="A444">
        <v>442</v>
      </c>
      <c r="B444">
        <v>600</v>
      </c>
      <c r="C444">
        <v>77.083333333333499</v>
      </c>
      <c r="D444">
        <v>99</v>
      </c>
      <c r="E444">
        <v>76.673605966033094</v>
      </c>
      <c r="F444">
        <v>45.710592774015261</v>
      </c>
      <c r="G444">
        <v>627.87542410900653</v>
      </c>
      <c r="H444">
        <v>8.145410907360068</v>
      </c>
      <c r="I444">
        <v>3.8061962822688411</v>
      </c>
      <c r="J444">
        <v>7.0944944683482589</v>
      </c>
      <c r="K444">
        <v>638.51820592465231</v>
      </c>
      <c r="L444">
        <v>9.5513095438850169</v>
      </c>
      <c r="M444">
        <v>0.41000076275059422</v>
      </c>
    </row>
    <row r="445" spans="1:13" x14ac:dyDescent="0.2">
      <c r="A445">
        <v>443</v>
      </c>
      <c r="B445">
        <v>600</v>
      </c>
      <c r="C445">
        <v>78.166666666666714</v>
      </c>
      <c r="D445">
        <v>100</v>
      </c>
      <c r="E445">
        <v>83.703973387981918</v>
      </c>
      <c r="F445">
        <v>55.02778475509357</v>
      </c>
      <c r="G445">
        <v>792.85162778061147</v>
      </c>
      <c r="H445">
        <v>10.143091186958776</v>
      </c>
      <c r="I445">
        <v>4.4995316138129109</v>
      </c>
      <c r="J445">
        <v>8.3868250024471767</v>
      </c>
      <c r="K445">
        <v>806.29066631242449</v>
      </c>
      <c r="L445">
        <v>11.41025450613869</v>
      </c>
      <c r="M445">
        <v>0.41000064053322849</v>
      </c>
    </row>
    <row r="446" spans="1:13" x14ac:dyDescent="0.2">
      <c r="A446">
        <v>444</v>
      </c>
      <c r="B446">
        <v>600</v>
      </c>
      <c r="C446">
        <v>78.333333333333456</v>
      </c>
      <c r="D446">
        <v>100</v>
      </c>
      <c r="E446">
        <v>80.531576935077737</v>
      </c>
      <c r="F446">
        <v>50.935701066363848</v>
      </c>
      <c r="G446">
        <v>718.60824732551589</v>
      </c>
      <c r="H446">
        <v>9.1737223062831674</v>
      </c>
      <c r="I446">
        <v>4.0924518134379237</v>
      </c>
      <c r="J446">
        <v>7.6280555702477599</v>
      </c>
      <c r="K446">
        <v>730.78882047687398</v>
      </c>
      <c r="L446">
        <v>10.147556300006666</v>
      </c>
      <c r="M446">
        <v>0.41000062355366318</v>
      </c>
    </row>
    <row r="447" spans="1:13" x14ac:dyDescent="0.2">
      <c r="A447">
        <v>445</v>
      </c>
      <c r="B447">
        <v>600</v>
      </c>
      <c r="C447">
        <v>75.58333333333357</v>
      </c>
      <c r="D447">
        <v>100</v>
      </c>
      <c r="E447">
        <v>77.827034909716801</v>
      </c>
      <c r="F447">
        <v>47.571938743845408</v>
      </c>
      <c r="G447">
        <v>658.7786079942631</v>
      </c>
      <c r="H447">
        <v>8.7159242513022406</v>
      </c>
      <c r="I447">
        <v>3.7933746457527131</v>
      </c>
      <c r="J447">
        <v>7.0705957982343204</v>
      </c>
      <c r="K447">
        <v>669.9454501253465</v>
      </c>
      <c r="L447">
        <v>9.5715436069642141</v>
      </c>
      <c r="M447">
        <v>0.41000097138863545</v>
      </c>
    </row>
    <row r="448" spans="1:13" x14ac:dyDescent="0.2">
      <c r="A448">
        <v>446</v>
      </c>
      <c r="B448">
        <v>600</v>
      </c>
      <c r="C448">
        <v>77.166666666666757</v>
      </c>
      <c r="D448">
        <v>100</v>
      </c>
      <c r="E448">
        <v>76.492015831600639</v>
      </c>
      <c r="F448">
        <v>45.953870268762905</v>
      </c>
      <c r="G448">
        <v>630.40233072167507</v>
      </c>
      <c r="H448">
        <v>8.1693606573003148</v>
      </c>
      <c r="I448">
        <v>3.7677600965941971</v>
      </c>
      <c r="J448">
        <v>7.0228519973796768</v>
      </c>
      <c r="K448">
        <v>641.08793372624109</v>
      </c>
      <c r="L448">
        <v>9.3954751567431636</v>
      </c>
      <c r="M448">
        <v>0.41000075257301194</v>
      </c>
    </row>
    <row r="449" spans="1:13" x14ac:dyDescent="0.2">
      <c r="A449">
        <v>447</v>
      </c>
      <c r="B449">
        <v>600</v>
      </c>
      <c r="C449">
        <v>77.666666666666728</v>
      </c>
      <c r="D449">
        <v>99</v>
      </c>
      <c r="E449">
        <v>83.875912117287953</v>
      </c>
      <c r="F449">
        <v>54.701544387082663</v>
      </c>
      <c r="G449">
        <v>789.03245521501901</v>
      </c>
      <c r="H449">
        <v>10.159216161566761</v>
      </c>
      <c r="I449">
        <v>4.3390645030465222</v>
      </c>
      <c r="J449">
        <v>8.087725075575996</v>
      </c>
      <c r="K449">
        <v>802.40683091100288</v>
      </c>
      <c r="L449">
        <v>10.913590558411936</v>
      </c>
      <c r="M449">
        <v>0.41000069429678165</v>
      </c>
    </row>
    <row r="450" spans="1:13" x14ac:dyDescent="0.2">
      <c r="A450">
        <v>448</v>
      </c>
      <c r="B450">
        <v>600</v>
      </c>
      <c r="C450">
        <v>75.58333333333357</v>
      </c>
      <c r="D450">
        <v>100</v>
      </c>
      <c r="E450">
        <v>75.018928056118966</v>
      </c>
      <c r="F450">
        <v>44.200948595731518</v>
      </c>
      <c r="G450">
        <v>599.96652029300856</v>
      </c>
      <c r="H450">
        <v>7.9378150424653589</v>
      </c>
      <c r="I450">
        <v>3.5856580033680525</v>
      </c>
      <c r="J450">
        <v>6.6834259149451105</v>
      </c>
      <c r="K450">
        <v>610.13644890748753</v>
      </c>
      <c r="L450">
        <v>8.9621340951169906</v>
      </c>
      <c r="M450">
        <v>0.41000097138863545</v>
      </c>
    </row>
    <row r="451" spans="1:13" x14ac:dyDescent="0.2">
      <c r="A451">
        <v>449</v>
      </c>
      <c r="B451">
        <v>600</v>
      </c>
      <c r="C451">
        <v>79.166666666666671</v>
      </c>
      <c r="D451">
        <v>43</v>
      </c>
      <c r="E451">
        <v>121.2868558714332</v>
      </c>
      <c r="F451">
        <v>49.680483387768035</v>
      </c>
      <c r="G451">
        <v>876.05088318887738</v>
      </c>
      <c r="H451">
        <v>11.065905892912134</v>
      </c>
      <c r="I451">
        <v>4.3733504536496914</v>
      </c>
      <c r="J451">
        <v>8.1516317868586974</v>
      </c>
      <c r="K451">
        <v>890.9000264548431</v>
      </c>
      <c r="L451">
        <v>12.814335729648096</v>
      </c>
      <c r="M451">
        <v>0.4100005451734387</v>
      </c>
    </row>
    <row r="452" spans="1:13" x14ac:dyDescent="0.2">
      <c r="A452">
        <v>450</v>
      </c>
      <c r="B452">
        <v>600</v>
      </c>
      <c r="C452">
        <v>71.083333333333755</v>
      </c>
      <c r="D452">
        <v>11</v>
      </c>
      <c r="E452">
        <v>134.22848427512781</v>
      </c>
      <c r="F452">
        <v>15.56581765923746</v>
      </c>
      <c r="G452">
        <v>290.06681045774349</v>
      </c>
      <c r="H452">
        <v>4.0806585293000017</v>
      </c>
      <c r="I452">
        <v>1.7585452616492434</v>
      </c>
      <c r="J452">
        <v>3.2778103665409937</v>
      </c>
      <c r="K452">
        <v>294.9842002378561</v>
      </c>
      <c r="L452">
        <v>5.5551315240710402</v>
      </c>
      <c r="M452">
        <v>0.41000200643183099</v>
      </c>
    </row>
    <row r="453" spans="1:13" x14ac:dyDescent="0.2">
      <c r="A453">
        <v>451</v>
      </c>
      <c r="B453">
        <v>600</v>
      </c>
      <c r="C453">
        <v>87.166666666666103</v>
      </c>
      <c r="D453">
        <v>10</v>
      </c>
      <c r="E453">
        <v>265.17224179577119</v>
      </c>
      <c r="F453">
        <v>55.226306871909898</v>
      </c>
      <c r="G453">
        <v>1491.1873225964978</v>
      </c>
      <c r="H453">
        <v>17.107311540304099</v>
      </c>
      <c r="I453">
        <v>5.1447263433171955</v>
      </c>
      <c r="J453">
        <v>9.5894246846546043</v>
      </c>
      <c r="K453">
        <v>1516.4620698819056</v>
      </c>
      <c r="L453">
        <v>21.457622010418177</v>
      </c>
      <c r="M453">
        <v>0.4100001501339402</v>
      </c>
    </row>
    <row r="454" spans="1:13" x14ac:dyDescent="0.2">
      <c r="A454">
        <v>452</v>
      </c>
      <c r="B454">
        <v>600</v>
      </c>
      <c r="C454">
        <v>77.333333333333499</v>
      </c>
      <c r="D454">
        <v>99</v>
      </c>
      <c r="E454">
        <v>75.515235585864147</v>
      </c>
      <c r="F454">
        <v>44.339852000959972</v>
      </c>
      <c r="G454">
        <v>604.01776732615838</v>
      </c>
      <c r="H454">
        <v>7.8105745774934103</v>
      </c>
      <c r="I454">
        <v>3.6720018428566696</v>
      </c>
      <c r="J454">
        <v>6.844365037943466</v>
      </c>
      <c r="K454">
        <v>614.2561193459785</v>
      </c>
      <c r="L454">
        <v>9.02047694925988</v>
      </c>
      <c r="M454">
        <v>0.41000073262344178</v>
      </c>
    </row>
    <row r="455" spans="1:13" x14ac:dyDescent="0.2">
      <c r="A455">
        <v>453</v>
      </c>
      <c r="B455">
        <v>600</v>
      </c>
      <c r="C455">
        <v>77.083333333333499</v>
      </c>
      <c r="D455">
        <v>99</v>
      </c>
      <c r="E455">
        <v>78.29514230260483</v>
      </c>
      <c r="F455">
        <v>47.664463770371043</v>
      </c>
      <c r="G455">
        <v>662.2196791380785</v>
      </c>
      <c r="H455">
        <v>8.5909579996291079</v>
      </c>
      <c r="I455">
        <v>3.9133353499308487</v>
      </c>
      <c r="J455">
        <v>7.2941945012690548</v>
      </c>
      <c r="K455">
        <v>673.44461212394083</v>
      </c>
      <c r="L455">
        <v>9.8734808842157218</v>
      </c>
      <c r="M455">
        <v>0.41000076275059422</v>
      </c>
    </row>
    <row r="456" spans="1:13" x14ac:dyDescent="0.2">
      <c r="A456">
        <v>454</v>
      </c>
      <c r="B456">
        <v>600</v>
      </c>
      <c r="C456">
        <v>78.500000000000185</v>
      </c>
      <c r="D456">
        <v>97</v>
      </c>
      <c r="E456">
        <v>81.284270929789457</v>
      </c>
      <c r="F456">
        <v>50.335529917136419</v>
      </c>
      <c r="G456">
        <v>713.74868977473272</v>
      </c>
      <c r="H456">
        <v>9.0923399971303311</v>
      </c>
      <c r="I456">
        <v>3.9351587004359474</v>
      </c>
      <c r="J456">
        <v>7.3348717622291657</v>
      </c>
      <c r="K456">
        <v>725.84687198552012</v>
      </c>
      <c r="L456">
        <v>9.7460994999120398</v>
      </c>
      <c r="M456">
        <v>0.41000060702420055</v>
      </c>
    </row>
    <row r="457" spans="1:13" x14ac:dyDescent="0.2">
      <c r="A457">
        <v>455</v>
      </c>
      <c r="B457">
        <v>600</v>
      </c>
      <c r="C457">
        <v>81.166666666666586</v>
      </c>
      <c r="D457">
        <v>99</v>
      </c>
      <c r="E457">
        <v>85.436571657829504</v>
      </c>
      <c r="F457">
        <v>56.756120470481584</v>
      </c>
      <c r="G457">
        <v>826.93119077095821</v>
      </c>
      <c r="H457">
        <v>10.188063952003604</v>
      </c>
      <c r="I457">
        <v>4.5638806834485077</v>
      </c>
      <c r="J457">
        <v>8.5067673503234058</v>
      </c>
      <c r="K457">
        <v>840.94753657364981</v>
      </c>
      <c r="L457">
        <v>11.695323051697894</v>
      </c>
      <c r="M457">
        <v>0.41000039493055634</v>
      </c>
    </row>
    <row r="458" spans="1:13" x14ac:dyDescent="0.2">
      <c r="A458">
        <v>456</v>
      </c>
      <c r="B458">
        <v>600</v>
      </c>
      <c r="C458">
        <v>75.500000000000313</v>
      </c>
      <c r="D458">
        <v>100</v>
      </c>
      <c r="E458">
        <v>70.810630298057021</v>
      </c>
      <c r="F458">
        <v>39.381005592714821</v>
      </c>
      <c r="G458">
        <v>517.99466324986031</v>
      </c>
      <c r="H458">
        <v>6.8608564668855383</v>
      </c>
      <c r="I458">
        <v>3.1950774405044169</v>
      </c>
      <c r="J458">
        <v>5.9554099543418761</v>
      </c>
      <c r="K458">
        <v>526.77511283627825</v>
      </c>
      <c r="L458">
        <v>7.8506404666969933</v>
      </c>
      <c r="M458">
        <v>0.41000098452541767</v>
      </c>
    </row>
    <row r="459" spans="1:13" x14ac:dyDescent="0.2">
      <c r="A459">
        <v>457</v>
      </c>
      <c r="B459">
        <v>600</v>
      </c>
      <c r="C459">
        <v>76.000000000000298</v>
      </c>
      <c r="D459">
        <v>100</v>
      </c>
      <c r="E459">
        <v>72.018333242683084</v>
      </c>
      <c r="F459">
        <v>40.735777839298784</v>
      </c>
      <c r="G459">
        <v>540.77319967036635</v>
      </c>
      <c r="H459">
        <v>7.11543683776795</v>
      </c>
      <c r="I459">
        <v>3.4630449917072519</v>
      </c>
      <c r="J459">
        <v>6.4548834887367219</v>
      </c>
      <c r="K459">
        <v>549.93969373846289</v>
      </c>
      <c r="L459">
        <v>8.6970405833151005</v>
      </c>
      <c r="M459">
        <v>0.41000090828772506</v>
      </c>
    </row>
    <row r="460" spans="1:13" x14ac:dyDescent="0.2">
      <c r="A460">
        <v>458</v>
      </c>
      <c r="B460">
        <v>600</v>
      </c>
      <c r="C460">
        <v>78.4166666666667</v>
      </c>
      <c r="D460">
        <v>100</v>
      </c>
      <c r="E460">
        <v>85.080516587133488</v>
      </c>
      <c r="F460">
        <v>56.85257210762461</v>
      </c>
      <c r="G460">
        <v>826.45404071797589</v>
      </c>
      <c r="H460">
        <v>10.539265131366321</v>
      </c>
      <c r="I460">
        <v>4.5209990890319149</v>
      </c>
      <c r="J460">
        <v>8.4268389357538016</v>
      </c>
      <c r="K460">
        <v>840.46261273131381</v>
      </c>
      <c r="L460">
        <v>11.329218078084471</v>
      </c>
      <c r="M460">
        <v>0.41000061523342229</v>
      </c>
    </row>
    <row r="461" spans="1:13" x14ac:dyDescent="0.2">
      <c r="A461">
        <v>459</v>
      </c>
      <c r="B461">
        <v>600</v>
      </c>
      <c r="C461">
        <v>78.000000000000213</v>
      </c>
      <c r="D461">
        <v>99</v>
      </c>
      <c r="E461">
        <v>74.96742336339554</v>
      </c>
      <c r="F461">
        <v>43.698873814404074</v>
      </c>
      <c r="G461">
        <v>592.93001324631791</v>
      </c>
      <c r="H461">
        <v>7.6016668364912343</v>
      </c>
      <c r="I461">
        <v>3.6509909932949451</v>
      </c>
      <c r="J461">
        <v>6.8052022242217047</v>
      </c>
      <c r="K461">
        <v>602.98034693877389</v>
      </c>
      <c r="L461">
        <v>9.0615998468034107</v>
      </c>
      <c r="M461">
        <v>0.41000065797515273</v>
      </c>
    </row>
    <row r="462" spans="1:13" x14ac:dyDescent="0.2">
      <c r="A462">
        <v>460</v>
      </c>
      <c r="B462">
        <v>600</v>
      </c>
      <c r="C462">
        <v>81.333333333333329</v>
      </c>
      <c r="D462">
        <v>99</v>
      </c>
      <c r="E462">
        <v>86.575125145419889</v>
      </c>
      <c r="F462">
        <v>58.278898120063538</v>
      </c>
      <c r="G462">
        <v>855.26295822097154</v>
      </c>
      <c r="H462">
        <v>10.515528174848011</v>
      </c>
      <c r="I462">
        <v>4.5692107001154145</v>
      </c>
      <c r="J462">
        <v>8.5167021437379571</v>
      </c>
      <c r="K462">
        <v>869.75950732486035</v>
      </c>
      <c r="L462">
        <v>11.652857589793072</v>
      </c>
      <c r="M462">
        <v>0.4100003844615458</v>
      </c>
    </row>
    <row r="463" spans="1:13" x14ac:dyDescent="0.2">
      <c r="A463">
        <v>461</v>
      </c>
      <c r="B463">
        <v>600</v>
      </c>
      <c r="C463">
        <v>77.666666666666728</v>
      </c>
      <c r="D463">
        <v>100</v>
      </c>
      <c r="E463">
        <v>79.729659275511551</v>
      </c>
      <c r="F463">
        <v>49.926336285065673</v>
      </c>
      <c r="G463">
        <v>700.5386929469679</v>
      </c>
      <c r="H463">
        <v>9.0198114971712542</v>
      </c>
      <c r="I463">
        <v>3.9891112274141971</v>
      </c>
      <c r="J463">
        <v>7.4354356522165821</v>
      </c>
      <c r="K463">
        <v>712.41306846488362</v>
      </c>
      <c r="L463">
        <v>9.8972488370443354</v>
      </c>
      <c r="M463">
        <v>0.41000069429678165</v>
      </c>
    </row>
    <row r="464" spans="1:13" x14ac:dyDescent="0.2">
      <c r="A464">
        <v>462</v>
      </c>
      <c r="B464">
        <v>600</v>
      </c>
      <c r="C464">
        <v>79.333333333333414</v>
      </c>
      <c r="D464">
        <v>100</v>
      </c>
      <c r="E464">
        <v>85.691753099060392</v>
      </c>
      <c r="F464">
        <v>57.672388354209545</v>
      </c>
      <c r="G464">
        <v>841.64706240225962</v>
      </c>
      <c r="H464">
        <v>10.608996584902419</v>
      </c>
      <c r="I464">
        <v>4.6210932802403866</v>
      </c>
      <c r="J464">
        <v>8.61340779168758</v>
      </c>
      <c r="K464">
        <v>855.9130367677833</v>
      </c>
      <c r="L464">
        <v>11.645857998886072</v>
      </c>
      <c r="M464">
        <v>0.41000053072171699</v>
      </c>
    </row>
    <row r="465" spans="1:13" x14ac:dyDescent="0.2">
      <c r="A465">
        <v>463</v>
      </c>
      <c r="B465">
        <v>600</v>
      </c>
      <c r="C465">
        <v>78.166666666666714</v>
      </c>
      <c r="D465">
        <v>100</v>
      </c>
      <c r="E465">
        <v>78.947175631562033</v>
      </c>
      <c r="F465">
        <v>48.951169997607252</v>
      </c>
      <c r="G465">
        <v>683.1757257946449</v>
      </c>
      <c r="H465">
        <v>8.7399879632577129</v>
      </c>
      <c r="I465">
        <v>4.0630825951268852</v>
      </c>
      <c r="J465">
        <v>7.5733133180370649</v>
      </c>
      <c r="K465">
        <v>694.75572964562275</v>
      </c>
      <c r="L465">
        <v>10.131361614855049</v>
      </c>
      <c r="M465">
        <v>0.41000064053322849</v>
      </c>
    </row>
    <row r="466" spans="1:13" x14ac:dyDescent="0.2">
      <c r="A466">
        <v>464</v>
      </c>
      <c r="B466">
        <v>600</v>
      </c>
      <c r="C466">
        <v>77.166666666666757</v>
      </c>
      <c r="D466">
        <v>100</v>
      </c>
      <c r="E466">
        <v>75.91342312844948</v>
      </c>
      <c r="F466">
        <v>45.261300867604582</v>
      </c>
      <c r="G466">
        <v>618.33892011816818</v>
      </c>
      <c r="H466">
        <v>8.0130313622224723</v>
      </c>
      <c r="I466">
        <v>3.7251471539893526</v>
      </c>
      <c r="J466">
        <v>6.9434243317602089</v>
      </c>
      <c r="K466">
        <v>628.82004288795679</v>
      </c>
      <c r="L466">
        <v>9.2719781261224234</v>
      </c>
      <c r="M466">
        <v>0.41000075257301194</v>
      </c>
    </row>
    <row r="467" spans="1:13" x14ac:dyDescent="0.2">
      <c r="A467">
        <v>465</v>
      </c>
      <c r="B467">
        <v>600</v>
      </c>
      <c r="C467">
        <v>78.4166666666667</v>
      </c>
      <c r="D467">
        <v>100</v>
      </c>
      <c r="E467">
        <v>86.845850476795803</v>
      </c>
      <c r="F467">
        <v>59.236313985258548</v>
      </c>
      <c r="G467">
        <v>870.79268188921844</v>
      </c>
      <c r="H467">
        <v>11.104688823241888</v>
      </c>
      <c r="I467">
        <v>4.7053055031778026</v>
      </c>
      <c r="J467">
        <v>8.7703737244693425</v>
      </c>
      <c r="K467">
        <v>885.55280331392021</v>
      </c>
      <c r="L467">
        <v>11.865552427951007</v>
      </c>
      <c r="M467">
        <v>0.41000061523342229</v>
      </c>
    </row>
    <row r="468" spans="1:13" x14ac:dyDescent="0.2">
      <c r="A468">
        <v>466</v>
      </c>
      <c r="B468">
        <v>600</v>
      </c>
      <c r="C468">
        <v>77.500000000000227</v>
      </c>
      <c r="D468">
        <v>99</v>
      </c>
      <c r="E468">
        <v>79.145998099416104</v>
      </c>
      <c r="F468">
        <v>48.706059677805307</v>
      </c>
      <c r="G468">
        <v>680.68676027417291</v>
      </c>
      <c r="H468">
        <v>8.7830549712796255</v>
      </c>
      <c r="I468">
        <v>3.8609788880964362</v>
      </c>
      <c r="J468">
        <v>7.1966055696112496</v>
      </c>
      <c r="K468">
        <v>692.22466078136267</v>
      </c>
      <c r="L468">
        <v>9.5554437324733996</v>
      </c>
      <c r="M468">
        <v>0.41000071320270459</v>
      </c>
    </row>
    <row r="469" spans="1:13" x14ac:dyDescent="0.2">
      <c r="A469">
        <v>467</v>
      </c>
      <c r="B469">
        <v>600</v>
      </c>
      <c r="C469">
        <v>77.000000000000256</v>
      </c>
      <c r="D469">
        <v>99</v>
      </c>
      <c r="E469">
        <v>77.989232944380902</v>
      </c>
      <c r="F469">
        <v>47.292728816028614</v>
      </c>
      <c r="G469">
        <v>655.65541922195905</v>
      </c>
      <c r="H469">
        <v>8.5150054444409982</v>
      </c>
      <c r="I469">
        <v>3.9174412387351158</v>
      </c>
      <c r="J469">
        <v>7.3018476024885661</v>
      </c>
      <c r="K469">
        <v>666.76909659249259</v>
      </c>
      <c r="L469">
        <v>9.9252838119307754</v>
      </c>
      <c r="M469">
        <v>0.41000077306581523</v>
      </c>
    </row>
    <row r="470" spans="1:13" x14ac:dyDescent="0.2">
      <c r="A470">
        <v>468</v>
      </c>
      <c r="B470">
        <v>600</v>
      </c>
      <c r="C470">
        <v>78.583333333333442</v>
      </c>
      <c r="D470">
        <v>99</v>
      </c>
      <c r="E470">
        <v>81.385643911300988</v>
      </c>
      <c r="F470">
        <v>51.501595529476482</v>
      </c>
      <c r="G470">
        <v>730.77925258773098</v>
      </c>
      <c r="H470">
        <v>9.2994178484122578</v>
      </c>
      <c r="I470">
        <v>4.0906766583301719</v>
      </c>
      <c r="J470">
        <v>7.6247468002426313</v>
      </c>
      <c r="K470">
        <v>743.16609602209041</v>
      </c>
      <c r="L470">
        <v>10.130776395652267</v>
      </c>
      <c r="M470">
        <v>0.41000059892451662</v>
      </c>
    </row>
    <row r="471" spans="1:13" x14ac:dyDescent="0.2">
      <c r="A471">
        <v>469</v>
      </c>
      <c r="B471">
        <v>600</v>
      </c>
      <c r="C471">
        <v>78.250000000000199</v>
      </c>
      <c r="D471">
        <v>66</v>
      </c>
      <c r="E471">
        <v>93.184700117672477</v>
      </c>
      <c r="F471">
        <v>45.011453857770618</v>
      </c>
      <c r="G471">
        <v>687.56721918601124</v>
      </c>
      <c r="H471">
        <v>8.7868015231438914</v>
      </c>
      <c r="I471">
        <v>3.713914105737667</v>
      </c>
      <c r="J471">
        <v>6.9224866835744017</v>
      </c>
      <c r="K471">
        <v>699.22164984779192</v>
      </c>
      <c r="L471">
        <v>9.6717008603912031</v>
      </c>
      <c r="M471">
        <v>0.41000063198642472</v>
      </c>
    </row>
    <row r="472" spans="1:13" x14ac:dyDescent="0.2">
      <c r="A472">
        <v>470</v>
      </c>
      <c r="B472">
        <v>600</v>
      </c>
      <c r="C472">
        <v>77.000000000000256</v>
      </c>
      <c r="D472">
        <v>100</v>
      </c>
      <c r="E472">
        <v>76.539400080465413</v>
      </c>
      <c r="F472">
        <v>46.010821678461824</v>
      </c>
      <c r="G472">
        <v>631.39652320224184</v>
      </c>
      <c r="H472">
        <v>8.1999548467823349</v>
      </c>
      <c r="I472">
        <v>3.8748574087805738</v>
      </c>
      <c r="J472">
        <v>7.2224742008957561</v>
      </c>
      <c r="K472">
        <v>642.09900051886837</v>
      </c>
      <c r="L472">
        <v>9.7623641395801606</v>
      </c>
      <c r="M472">
        <v>0.41000077306581523</v>
      </c>
    </row>
    <row r="473" spans="1:13" x14ac:dyDescent="0.2">
      <c r="A473">
        <v>471</v>
      </c>
      <c r="B473">
        <v>600</v>
      </c>
      <c r="C473">
        <v>78.000000000000213</v>
      </c>
      <c r="D473">
        <v>99</v>
      </c>
      <c r="E473">
        <v>82.13434978759625</v>
      </c>
      <c r="F473">
        <v>52.453530276347685</v>
      </c>
      <c r="G473">
        <v>748.00842072685577</v>
      </c>
      <c r="H473">
        <v>9.5898515477801762</v>
      </c>
      <c r="I473">
        <v>4.3054116267988176</v>
      </c>
      <c r="J473">
        <v>8.0249983724115896</v>
      </c>
      <c r="K473">
        <v>760.68737788052044</v>
      </c>
      <c r="L473">
        <v>10.966138378706892</v>
      </c>
      <c r="M473">
        <v>0.41000065797515273</v>
      </c>
    </row>
    <row r="474" spans="1:13" x14ac:dyDescent="0.2">
      <c r="A474">
        <v>472</v>
      </c>
      <c r="B474">
        <v>600</v>
      </c>
      <c r="C474">
        <v>76.333333333333528</v>
      </c>
      <c r="D474">
        <v>99</v>
      </c>
      <c r="E474">
        <v>74.322641920802184</v>
      </c>
      <c r="F474">
        <v>42.950413955328337</v>
      </c>
      <c r="G474">
        <v>580.03871517677408</v>
      </c>
      <c r="H474">
        <v>7.5987604608310821</v>
      </c>
      <c r="I474">
        <v>3.4521291553770115</v>
      </c>
      <c r="J474">
        <v>6.4345371022870657</v>
      </c>
      <c r="K474">
        <v>589.87074042352219</v>
      </c>
      <c r="L474">
        <v>8.5427795811970366</v>
      </c>
      <c r="M474">
        <v>0.41000086077131626</v>
      </c>
    </row>
    <row r="475" spans="1:13" x14ac:dyDescent="0.2">
      <c r="A475">
        <v>473</v>
      </c>
      <c r="B475">
        <v>600</v>
      </c>
      <c r="C475">
        <v>76.50000000000027</v>
      </c>
      <c r="D475">
        <v>100</v>
      </c>
      <c r="E475">
        <v>72.369782403207438</v>
      </c>
      <c r="F475">
        <v>41.134328781603969</v>
      </c>
      <c r="G475">
        <v>547.51398738816465</v>
      </c>
      <c r="H475">
        <v>7.1570455867733687</v>
      </c>
      <c r="I475">
        <v>3.2970994347182514</v>
      </c>
      <c r="J475">
        <v>6.1455721057190145</v>
      </c>
      <c r="K475">
        <v>556.79467627285976</v>
      </c>
      <c r="L475">
        <v>8.0511358921956564</v>
      </c>
      <c r="M475">
        <v>0.41000083795357306</v>
      </c>
    </row>
    <row r="476" spans="1:13" x14ac:dyDescent="0.2">
      <c r="A476">
        <v>474</v>
      </c>
      <c r="B476">
        <v>600</v>
      </c>
      <c r="C476">
        <v>76.333333333333528</v>
      </c>
      <c r="D476">
        <v>97</v>
      </c>
      <c r="E476">
        <v>75.118296525786661</v>
      </c>
      <c r="F476">
        <v>42.988577769051538</v>
      </c>
      <c r="G476">
        <v>583.93125335121897</v>
      </c>
      <c r="H476">
        <v>7.6497544107146398</v>
      </c>
      <c r="I476">
        <v>3.4302847799744618</v>
      </c>
      <c r="J476">
        <v>6.3938206523289116</v>
      </c>
      <c r="K476">
        <v>593.82925959648276</v>
      </c>
      <c r="L476">
        <v>8.5128134284670338</v>
      </c>
      <c r="M476">
        <v>0.41000086077131626</v>
      </c>
    </row>
    <row r="477" spans="1:13" x14ac:dyDescent="0.2">
      <c r="A477">
        <v>475</v>
      </c>
      <c r="B477">
        <v>600</v>
      </c>
      <c r="C477">
        <v>77.083333333333499</v>
      </c>
      <c r="D477">
        <v>100</v>
      </c>
      <c r="E477">
        <v>75.075233020704374</v>
      </c>
      <c r="F477">
        <v>44.267322959132755</v>
      </c>
      <c r="G477">
        <v>601.11327799562582</v>
      </c>
      <c r="H477">
        <v>7.798226309132426</v>
      </c>
      <c r="I477">
        <v>3.6367743778042576</v>
      </c>
      <c r="J477">
        <v>6.7787034069044871</v>
      </c>
      <c r="K477">
        <v>611.30242892994295</v>
      </c>
      <c r="L477">
        <v>9.0756059070290043</v>
      </c>
      <c r="M477">
        <v>0.41000076275059422</v>
      </c>
    </row>
    <row r="478" spans="1:13" x14ac:dyDescent="0.2">
      <c r="A478">
        <v>476</v>
      </c>
      <c r="B478">
        <v>600</v>
      </c>
      <c r="C478">
        <v>77.166666666666757</v>
      </c>
      <c r="D478">
        <v>100</v>
      </c>
      <c r="E478">
        <v>73.970411730614316</v>
      </c>
      <c r="F478">
        <v>42.974017216333912</v>
      </c>
      <c r="G478">
        <v>578.85779898719238</v>
      </c>
      <c r="H478">
        <v>7.5013969631169548</v>
      </c>
      <c r="I478">
        <v>3.5469788701106992</v>
      </c>
      <c r="J478">
        <v>6.6113306059845272</v>
      </c>
      <c r="K478">
        <v>588.66969899871833</v>
      </c>
      <c r="L478">
        <v>8.7679121420474928</v>
      </c>
      <c r="M478">
        <v>0.41000075257301194</v>
      </c>
    </row>
    <row r="479" spans="1:13" x14ac:dyDescent="0.2">
      <c r="A479">
        <v>477</v>
      </c>
      <c r="B479">
        <v>600</v>
      </c>
      <c r="C479">
        <v>78.333333333333456</v>
      </c>
      <c r="D479">
        <v>100</v>
      </c>
      <c r="E479">
        <v>78.256318541317981</v>
      </c>
      <c r="F479">
        <v>48.098187155458227</v>
      </c>
      <c r="G479">
        <v>668.06520135014273</v>
      </c>
      <c r="H479">
        <v>8.5284919321294677</v>
      </c>
      <c r="I479">
        <v>3.877955157753517</v>
      </c>
      <c r="J479">
        <v>7.2282481971174581</v>
      </c>
      <c r="K479">
        <v>679.38905838240976</v>
      </c>
      <c r="L479">
        <v>9.5415547999919799</v>
      </c>
      <c r="M479">
        <v>0.41000062355366318</v>
      </c>
    </row>
    <row r="480" spans="1:13" x14ac:dyDescent="0.2">
      <c r="A480">
        <v>478</v>
      </c>
      <c r="B480">
        <v>600</v>
      </c>
      <c r="C480">
        <v>77.416666666666742</v>
      </c>
      <c r="D480">
        <v>100</v>
      </c>
      <c r="E480">
        <v>79.937541080801864</v>
      </c>
      <c r="F480">
        <v>50.187024904053111</v>
      </c>
      <c r="G480">
        <v>705.19601436824178</v>
      </c>
      <c r="H480">
        <v>9.1090981403863225</v>
      </c>
      <c r="I480">
        <v>3.987086140358616</v>
      </c>
      <c r="J480">
        <v>7.4316610258315299</v>
      </c>
      <c r="K480">
        <v>717.14936781496033</v>
      </c>
      <c r="L480">
        <v>9.8876899662379447</v>
      </c>
      <c r="M480">
        <v>0.4100007228478541</v>
      </c>
    </row>
    <row r="481" spans="1:13" x14ac:dyDescent="0.2">
      <c r="A481">
        <v>479</v>
      </c>
      <c r="B481">
        <v>600</v>
      </c>
      <c r="C481">
        <v>75.58333333333357</v>
      </c>
      <c r="D481">
        <v>99</v>
      </c>
      <c r="E481">
        <v>76.815389967295658</v>
      </c>
      <c r="F481">
        <v>45.879804147023229</v>
      </c>
      <c r="G481">
        <v>630.83397267561782</v>
      </c>
      <c r="H481">
        <v>8.3462047101514774</v>
      </c>
      <c r="I481">
        <v>3.6481474446250282</v>
      </c>
      <c r="J481">
        <v>6.7999020403076011</v>
      </c>
      <c r="K481">
        <v>641.52713013141386</v>
      </c>
      <c r="L481">
        <v>9.1743651401218997</v>
      </c>
      <c r="M481">
        <v>0.41000097138863545</v>
      </c>
    </row>
    <row r="482" spans="1:13" x14ac:dyDescent="0.2">
      <c r="A482">
        <v>480</v>
      </c>
      <c r="B482">
        <v>600</v>
      </c>
      <c r="C482">
        <v>80.083333333333371</v>
      </c>
      <c r="D482">
        <v>98</v>
      </c>
      <c r="E482">
        <v>83.535541059613209</v>
      </c>
      <c r="F482">
        <v>53.710418561829464</v>
      </c>
      <c r="G482">
        <v>773.02236564674831</v>
      </c>
      <c r="H482">
        <v>9.6527246490748961</v>
      </c>
      <c r="I482">
        <v>4.3184558893765237</v>
      </c>
      <c r="J482">
        <v>8.0493120025657472</v>
      </c>
      <c r="K482">
        <v>786.1250662564438</v>
      </c>
      <c r="L482">
        <v>10.976434267604892</v>
      </c>
      <c r="M482">
        <v>0.41000047028554198</v>
      </c>
    </row>
    <row r="483" spans="1:13" x14ac:dyDescent="0.2">
      <c r="A483">
        <v>481</v>
      </c>
      <c r="B483">
        <v>600</v>
      </c>
      <c r="C483">
        <v>74.583333333333613</v>
      </c>
      <c r="D483">
        <v>100</v>
      </c>
      <c r="E483">
        <v>65.964407840256783</v>
      </c>
      <c r="F483">
        <v>34.175054644731546</v>
      </c>
      <c r="G483">
        <v>432.49085721317101</v>
      </c>
      <c r="H483">
        <v>5.7987600967128854</v>
      </c>
      <c r="I483">
        <v>2.8132469753042693</v>
      </c>
      <c r="J483">
        <v>5.2437035886379668</v>
      </c>
      <c r="K483">
        <v>439.82206152038248</v>
      </c>
      <c r="L483">
        <v>6.8560916200525979</v>
      </c>
      <c r="M483">
        <v>0.41000114130046439</v>
      </c>
    </row>
    <row r="484" spans="1:13" x14ac:dyDescent="0.2">
      <c r="A484">
        <v>482</v>
      </c>
      <c r="B484">
        <v>600</v>
      </c>
      <c r="C484">
        <v>80.416666666666615</v>
      </c>
      <c r="D484">
        <v>43</v>
      </c>
      <c r="E484">
        <v>118.18295345779686</v>
      </c>
      <c r="F484">
        <v>47.170232299787607</v>
      </c>
      <c r="G484">
        <v>820.12279850766765</v>
      </c>
      <c r="H484">
        <v>10.198418219784475</v>
      </c>
      <c r="I484">
        <v>4.0898835084422069</v>
      </c>
      <c r="J484">
        <v>7.6232684220730782</v>
      </c>
      <c r="K484">
        <v>834.02381494025576</v>
      </c>
      <c r="L484">
        <v>11.841330345331968</v>
      </c>
      <c r="M484">
        <v>0.4100004456828974</v>
      </c>
    </row>
    <row r="485" spans="1:13" x14ac:dyDescent="0.2">
      <c r="A485">
        <v>483</v>
      </c>
      <c r="B485">
        <v>600</v>
      </c>
      <c r="C485">
        <v>75.916666666666814</v>
      </c>
      <c r="D485">
        <v>97</v>
      </c>
      <c r="E485">
        <v>72.80541442291549</v>
      </c>
      <c r="F485">
        <v>40.382106725118767</v>
      </c>
      <c r="G485">
        <v>539.26151485986668</v>
      </c>
      <c r="H485">
        <v>7.1033349926656282</v>
      </c>
      <c r="I485">
        <v>3.4570958152557929</v>
      </c>
      <c r="J485">
        <v>6.4437946230303691</v>
      </c>
      <c r="K485">
        <v>548.4023962022776</v>
      </c>
      <c r="L485">
        <v>8.7465198154581749</v>
      </c>
      <c r="M485">
        <v>0.41000092057114862</v>
      </c>
    </row>
    <row r="486" spans="1:13" x14ac:dyDescent="0.2">
      <c r="A486">
        <v>484</v>
      </c>
      <c r="B486">
        <v>600</v>
      </c>
      <c r="C486">
        <v>76.583333333333528</v>
      </c>
      <c r="D486">
        <v>100</v>
      </c>
      <c r="E486">
        <v>79.482807358022015</v>
      </c>
      <c r="F486">
        <v>49.617659863262404</v>
      </c>
      <c r="G486">
        <v>695.0324110100488</v>
      </c>
      <c r="H486">
        <v>9.0755048227644881</v>
      </c>
      <c r="I486">
        <v>3.9426954211955576</v>
      </c>
      <c r="J486">
        <v>7.3489197039991749</v>
      </c>
      <c r="K486">
        <v>706.81361183069964</v>
      </c>
      <c r="L486">
        <v>9.8752054355991596</v>
      </c>
      <c r="M486">
        <v>0.41000082677253757</v>
      </c>
    </row>
    <row r="487" spans="1:13" x14ac:dyDescent="0.2">
      <c r="A487">
        <v>485</v>
      </c>
      <c r="B487">
        <v>600</v>
      </c>
      <c r="C487">
        <v>77.083333333333499</v>
      </c>
      <c r="D487">
        <v>100</v>
      </c>
      <c r="E487">
        <v>76.566715127331335</v>
      </c>
      <c r="F487">
        <v>46.043667820648125</v>
      </c>
      <c r="G487">
        <v>631.97008964617908</v>
      </c>
      <c r="H487">
        <v>8.1985308927071703</v>
      </c>
      <c r="I487">
        <v>3.8176151243711782</v>
      </c>
      <c r="J487">
        <v>7.1157784238046196</v>
      </c>
      <c r="K487">
        <v>642.68227795592679</v>
      </c>
      <c r="L487">
        <v>9.5741063279105632</v>
      </c>
      <c r="M487">
        <v>0.41000076275059422</v>
      </c>
    </row>
    <row r="488" spans="1:13" x14ac:dyDescent="0.2">
      <c r="A488">
        <v>486</v>
      </c>
      <c r="B488">
        <v>600</v>
      </c>
      <c r="C488">
        <v>78.500000000000185</v>
      </c>
      <c r="D488">
        <v>100</v>
      </c>
      <c r="E488">
        <v>85.574440696764299</v>
      </c>
      <c r="F488">
        <v>57.51458891490234</v>
      </c>
      <c r="G488">
        <v>838.7180024902317</v>
      </c>
      <c r="H488">
        <v>10.684305764206748</v>
      </c>
      <c r="I488">
        <v>4.5547469736571697</v>
      </c>
      <c r="J488">
        <v>8.4897427281587508</v>
      </c>
      <c r="K488">
        <v>852.93443939997496</v>
      </c>
      <c r="L488">
        <v>11.452887188875357</v>
      </c>
      <c r="M488">
        <v>0.41000060702420055</v>
      </c>
    </row>
    <row r="489" spans="1:13" x14ac:dyDescent="0.2">
      <c r="A489">
        <v>487</v>
      </c>
      <c r="B489">
        <v>600</v>
      </c>
      <c r="C489">
        <v>76.333333333333528</v>
      </c>
      <c r="D489">
        <v>98</v>
      </c>
      <c r="E489">
        <v>74.856165954555252</v>
      </c>
      <c r="F489">
        <v>43.129171509747763</v>
      </c>
      <c r="G489">
        <v>584.72656059237363</v>
      </c>
      <c r="H489">
        <v>7.6601732828695042</v>
      </c>
      <c r="I489">
        <v>3.4968962779002797</v>
      </c>
      <c r="J489">
        <v>6.5179800147255911</v>
      </c>
      <c r="K489">
        <v>594.63804780135467</v>
      </c>
      <c r="L489">
        <v>8.6690517561898215</v>
      </c>
      <c r="M489">
        <v>0.41000086077131626</v>
      </c>
    </row>
    <row r="490" spans="1:13" x14ac:dyDescent="0.2">
      <c r="A490">
        <v>488</v>
      </c>
      <c r="B490">
        <v>600</v>
      </c>
      <c r="C490">
        <v>78.583333333333442</v>
      </c>
      <c r="D490">
        <v>100</v>
      </c>
      <c r="E490">
        <v>82.196485738589175</v>
      </c>
      <c r="F490">
        <v>53.063559765412514</v>
      </c>
      <c r="G490">
        <v>757.01952824232603</v>
      </c>
      <c r="H490">
        <v>9.6333343996902432</v>
      </c>
      <c r="I490">
        <v>4.2026042865961442</v>
      </c>
      <c r="J490">
        <v>7.8333723888092148</v>
      </c>
      <c r="K490">
        <v>769.8511492002084</v>
      </c>
      <c r="L490">
        <v>10.434403366903728</v>
      </c>
      <c r="M490">
        <v>0.41000059892451662</v>
      </c>
    </row>
    <row r="491" spans="1:13" x14ac:dyDescent="0.2">
      <c r="A491">
        <v>489</v>
      </c>
      <c r="B491">
        <v>600</v>
      </c>
      <c r="C491">
        <v>76.333333333333528</v>
      </c>
      <c r="D491">
        <v>99</v>
      </c>
      <c r="E491">
        <v>73.15484092394189</v>
      </c>
      <c r="F491">
        <v>41.61129353081153</v>
      </c>
      <c r="G491">
        <v>557.12719795136184</v>
      </c>
      <c r="H491">
        <v>7.2986095801488267</v>
      </c>
      <c r="I491">
        <v>3.3725680417189325</v>
      </c>
      <c r="J491">
        <v>6.2862405251051863</v>
      </c>
      <c r="K491">
        <v>566.57085840467903</v>
      </c>
      <c r="L491">
        <v>8.3104705216489112</v>
      </c>
      <c r="M491">
        <v>0.41000086077131626</v>
      </c>
    </row>
    <row r="492" spans="1:13" x14ac:dyDescent="0.2">
      <c r="A492">
        <v>490</v>
      </c>
      <c r="B492">
        <v>600</v>
      </c>
      <c r="C492">
        <v>76.333333333333528</v>
      </c>
      <c r="D492">
        <v>100</v>
      </c>
      <c r="E492">
        <v>74.199665341005471</v>
      </c>
      <c r="F492">
        <v>43.24080538876435</v>
      </c>
      <c r="G492">
        <v>583.43389776515369</v>
      </c>
      <c r="H492">
        <v>7.6432388353513394</v>
      </c>
      <c r="I492">
        <v>3.5220693009028405</v>
      </c>
      <c r="J492">
        <v>6.5649008404526379</v>
      </c>
      <c r="K492">
        <v>593.32347351681256</v>
      </c>
      <c r="L492">
        <v>8.7065075077119065</v>
      </c>
      <c r="M492">
        <v>0.41000086077131626</v>
      </c>
    </row>
    <row r="493" spans="1:13" x14ac:dyDescent="0.2">
      <c r="A493">
        <v>491</v>
      </c>
      <c r="B493">
        <v>600</v>
      </c>
      <c r="C493">
        <v>78.083333333333456</v>
      </c>
      <c r="D493">
        <v>99</v>
      </c>
      <c r="E493">
        <v>81.47693876256227</v>
      </c>
      <c r="F493">
        <v>51.61720480480485</v>
      </c>
      <c r="G493">
        <v>732.86703133463573</v>
      </c>
      <c r="H493">
        <v>9.3857037097285119</v>
      </c>
      <c r="I493">
        <v>4.2239501078157815</v>
      </c>
      <c r="J493">
        <v>7.8731595672241967</v>
      </c>
      <c r="K493">
        <v>745.2893265073651</v>
      </c>
      <c r="L493">
        <v>10.685075512353452</v>
      </c>
      <c r="M493">
        <v>0.41000064919561674</v>
      </c>
    </row>
    <row r="494" spans="1:13" x14ac:dyDescent="0.2">
      <c r="A494">
        <v>492</v>
      </c>
      <c r="B494">
        <v>600</v>
      </c>
      <c r="C494">
        <v>77.666666666666728</v>
      </c>
      <c r="D494">
        <v>100</v>
      </c>
      <c r="E494">
        <v>85.406958056093359</v>
      </c>
      <c r="F494">
        <v>57.28967902825022</v>
      </c>
      <c r="G494">
        <v>834.54705817337344</v>
      </c>
      <c r="H494">
        <v>10.745241092361024</v>
      </c>
      <c r="I494">
        <v>4.6225304678869596</v>
      </c>
      <c r="J494">
        <v>8.6160866130232243</v>
      </c>
      <c r="K494">
        <v>848.69292228608242</v>
      </c>
      <c r="L494">
        <v>11.684578278651893</v>
      </c>
      <c r="M494">
        <v>0.41000069429678165</v>
      </c>
    </row>
    <row r="495" spans="1:13" x14ac:dyDescent="0.2">
      <c r="A495">
        <v>493</v>
      </c>
      <c r="B495">
        <v>600</v>
      </c>
      <c r="C495">
        <v>76.50000000000027</v>
      </c>
      <c r="D495">
        <v>100</v>
      </c>
      <c r="E495">
        <v>77.91088185313869</v>
      </c>
      <c r="F495">
        <v>47.674497200731651</v>
      </c>
      <c r="G495">
        <v>660.58632321769244</v>
      </c>
      <c r="H495">
        <v>8.6351153361789557</v>
      </c>
      <c r="I495">
        <v>3.8121009677769697</v>
      </c>
      <c r="J495">
        <v>7.1055004059216564</v>
      </c>
      <c r="K495">
        <v>671.78365568496622</v>
      </c>
      <c r="L495">
        <v>9.4941531365012803</v>
      </c>
      <c r="M495">
        <v>0.41000083795357306</v>
      </c>
    </row>
    <row r="496" spans="1:13" x14ac:dyDescent="0.2">
      <c r="A496">
        <v>494</v>
      </c>
      <c r="B496">
        <v>600</v>
      </c>
      <c r="C496">
        <v>78.000000000000213</v>
      </c>
      <c r="D496">
        <v>100</v>
      </c>
      <c r="E496">
        <v>82.659007569199801</v>
      </c>
      <c r="F496">
        <v>53.662420088799642</v>
      </c>
      <c r="G496">
        <v>767.90644445285784</v>
      </c>
      <c r="H496">
        <v>9.8449544160622526</v>
      </c>
      <c r="I496">
        <v>4.4188740748806472</v>
      </c>
      <c r="J496">
        <v>8.2364847621260893</v>
      </c>
      <c r="K496">
        <v>780.9226788125992</v>
      </c>
      <c r="L496">
        <v>11.274041312786656</v>
      </c>
      <c r="M496">
        <v>0.41000065797515273</v>
      </c>
    </row>
    <row r="497" spans="1:13" x14ac:dyDescent="0.2">
      <c r="A497">
        <v>495</v>
      </c>
      <c r="B497">
        <v>600</v>
      </c>
      <c r="C497">
        <v>75.250000000000327</v>
      </c>
      <c r="D497">
        <v>100</v>
      </c>
      <c r="E497">
        <v>72.561368769269293</v>
      </c>
      <c r="F497">
        <v>41.352408974738971</v>
      </c>
      <c r="G497">
        <v>551.20976738428033</v>
      </c>
      <c r="H497">
        <v>7.3250467426482118</v>
      </c>
      <c r="I497">
        <v>3.4231968229334857</v>
      </c>
      <c r="J497">
        <v>6.3806091760176793</v>
      </c>
      <c r="K497">
        <v>560.55327966787343</v>
      </c>
      <c r="L497">
        <v>8.5756832361870785</v>
      </c>
      <c r="M497">
        <v>0.41000102501135577</v>
      </c>
    </row>
    <row r="498" spans="1:13" x14ac:dyDescent="0.2">
      <c r="A498">
        <v>496</v>
      </c>
      <c r="B498">
        <v>600</v>
      </c>
      <c r="C498">
        <v>79.500000000000142</v>
      </c>
      <c r="D498">
        <v>100</v>
      </c>
      <c r="E498">
        <v>83.188147953902799</v>
      </c>
      <c r="F498">
        <v>54.351657460025379</v>
      </c>
      <c r="G498">
        <v>780.47763781772051</v>
      </c>
      <c r="H498">
        <v>9.8173287775813716</v>
      </c>
      <c r="I498">
        <v>4.291502465888775</v>
      </c>
      <c r="J498">
        <v>7.9990726298020043</v>
      </c>
      <c r="K498">
        <v>793.70676739268652</v>
      </c>
      <c r="L498">
        <v>10.681406299890014</v>
      </c>
      <c r="M498">
        <v>0.41000051665308856</v>
      </c>
    </row>
    <row r="499" spans="1:13" x14ac:dyDescent="0.2">
      <c r="A499">
        <v>497</v>
      </c>
      <c r="B499">
        <v>600</v>
      </c>
      <c r="C499">
        <v>77.416666666666742</v>
      </c>
      <c r="D499">
        <v>99</v>
      </c>
      <c r="E499">
        <v>79.466403921193105</v>
      </c>
      <c r="F499">
        <v>49.101210251405881</v>
      </c>
      <c r="G499">
        <v>687.72090695207555</v>
      </c>
      <c r="H499">
        <v>8.8833701651505912</v>
      </c>
      <c r="I499">
        <v>3.9146544224725126</v>
      </c>
      <c r="J499">
        <v>7.2966531639748604</v>
      </c>
      <c r="K499">
        <v>699.37805036469183</v>
      </c>
      <c r="L499">
        <v>9.6913881135923177</v>
      </c>
      <c r="M499">
        <v>0.4100007228478541</v>
      </c>
    </row>
    <row r="500" spans="1:13" x14ac:dyDescent="0.2">
      <c r="A500">
        <v>498</v>
      </c>
      <c r="B500">
        <v>600</v>
      </c>
      <c r="C500">
        <v>76.000000000000298</v>
      </c>
      <c r="D500">
        <v>100</v>
      </c>
      <c r="E500">
        <v>74.127640738762764</v>
      </c>
      <c r="F500">
        <v>43.156899612617963</v>
      </c>
      <c r="G500">
        <v>581.99378783181157</v>
      </c>
      <c r="H500">
        <v>7.657812997786964</v>
      </c>
      <c r="I500">
        <v>3.5968751831868979</v>
      </c>
      <c r="J500">
        <v>6.704333985436902</v>
      </c>
      <c r="K500">
        <v>591.85900047008818</v>
      </c>
      <c r="L500">
        <v>9.1017380897052753</v>
      </c>
      <c r="M500">
        <v>0.41000090828772506</v>
      </c>
    </row>
    <row r="501" spans="1:13" x14ac:dyDescent="0.2">
      <c r="A501">
        <v>499</v>
      </c>
      <c r="B501">
        <v>600</v>
      </c>
      <c r="C501">
        <v>80.000000000000128</v>
      </c>
      <c r="D501">
        <v>100</v>
      </c>
      <c r="E501">
        <v>88.766677075997691</v>
      </c>
      <c r="F501">
        <v>61.885628605365198</v>
      </c>
      <c r="G501">
        <v>920.64412827862884</v>
      </c>
      <c r="H501">
        <v>11.508051603482842</v>
      </c>
      <c r="I501">
        <v>5.079544667096286</v>
      </c>
      <c r="J501">
        <v>9.4679304139725726</v>
      </c>
      <c r="K501">
        <v>936.24902241713005</v>
      </c>
      <c r="L501">
        <v>13.231245748238626</v>
      </c>
      <c r="M501">
        <v>0.41000047664554917</v>
      </c>
    </row>
    <row r="502" spans="1:13" x14ac:dyDescent="0.2">
      <c r="A502">
        <v>500</v>
      </c>
      <c r="B502">
        <v>600</v>
      </c>
      <c r="C502">
        <v>74.333333333333613</v>
      </c>
      <c r="D502">
        <v>71</v>
      </c>
      <c r="E502">
        <v>77.868798162188099</v>
      </c>
      <c r="F502">
        <v>33.812335817956587</v>
      </c>
      <c r="G502">
        <v>468.37160624256597</v>
      </c>
      <c r="H502">
        <v>6.3009633126802358</v>
      </c>
      <c r="I502">
        <v>2.8982572030616858</v>
      </c>
      <c r="J502">
        <v>5.4021569488568231</v>
      </c>
      <c r="K502">
        <v>476.31106731226322</v>
      </c>
      <c r="L502">
        <v>7.4502651586155659</v>
      </c>
      <c r="M502">
        <v>0.41000118823335113</v>
      </c>
    </row>
    <row r="503" spans="1:13" x14ac:dyDescent="0.2">
      <c r="A503">
        <v>501</v>
      </c>
      <c r="B503">
        <v>600</v>
      </c>
      <c r="C503">
        <v>76.416666666666785</v>
      </c>
      <c r="D503">
        <v>92</v>
      </c>
      <c r="E503">
        <v>79.22184897692388</v>
      </c>
      <c r="F503">
        <v>45.348993995452311</v>
      </c>
      <c r="G503">
        <v>634.10104193337736</v>
      </c>
      <c r="H503">
        <v>8.2979416610692649</v>
      </c>
      <c r="I503">
        <v>3.6201395774052001</v>
      </c>
      <c r="J503">
        <v>6.7476972551821053</v>
      </c>
      <c r="K503">
        <v>644.84944546019472</v>
      </c>
      <c r="L503">
        <v>9.0534103801181445</v>
      </c>
      <c r="M503">
        <v>0.4100008492858177</v>
      </c>
    </row>
    <row r="504" spans="1:13" x14ac:dyDescent="0.2">
      <c r="A504">
        <v>502</v>
      </c>
      <c r="B504">
        <v>600</v>
      </c>
      <c r="C504">
        <v>75.916666666666814</v>
      </c>
      <c r="D504">
        <v>100</v>
      </c>
      <c r="E504">
        <v>73.425973096280899</v>
      </c>
      <c r="F504">
        <v>42.343748648312562</v>
      </c>
      <c r="G504">
        <v>568.07743678964596</v>
      </c>
      <c r="H504">
        <v>7.4829080587000423</v>
      </c>
      <c r="I504">
        <v>3.5681544451230671</v>
      </c>
      <c r="J504">
        <v>6.6508004568929486</v>
      </c>
      <c r="K504">
        <v>577.70676931181652</v>
      </c>
      <c r="L504">
        <v>9.0489108899725377</v>
      </c>
      <c r="M504">
        <v>0.41000092057114862</v>
      </c>
    </row>
    <row r="505" spans="1:13" x14ac:dyDescent="0.2">
      <c r="A505">
        <v>503</v>
      </c>
      <c r="B505">
        <v>600</v>
      </c>
      <c r="C505">
        <v>76.50000000000027</v>
      </c>
      <c r="D505">
        <v>100</v>
      </c>
      <c r="E505">
        <v>79.897887951041255</v>
      </c>
      <c r="F505">
        <v>50.137246564745709</v>
      </c>
      <c r="G505">
        <v>704.30604762694384</v>
      </c>
      <c r="H505">
        <v>9.2066150016593635</v>
      </c>
      <c r="I505">
        <v>3.9724557329212731</v>
      </c>
      <c r="J505">
        <v>7.404390928091841</v>
      </c>
      <c r="K505">
        <v>716.2444555182492</v>
      </c>
      <c r="L505">
        <v>9.9520078101498015</v>
      </c>
      <c r="M505">
        <v>0.41000083795357306</v>
      </c>
    </row>
    <row r="506" spans="1:13" x14ac:dyDescent="0.2">
      <c r="A506">
        <v>504</v>
      </c>
      <c r="B506">
        <v>600</v>
      </c>
      <c r="C506">
        <v>76.166666666666799</v>
      </c>
      <c r="D506">
        <v>100</v>
      </c>
      <c r="E506">
        <v>71.750673084038169</v>
      </c>
      <c r="F506">
        <v>40.433546926029159</v>
      </c>
      <c r="G506">
        <v>535.67351914435267</v>
      </c>
      <c r="H506">
        <v>7.0329127239958655</v>
      </c>
      <c r="I506">
        <v>3.4148544527985205</v>
      </c>
      <c r="J506">
        <v>6.3650595578723586</v>
      </c>
      <c r="K506">
        <v>544.75354773450954</v>
      </c>
      <c r="L506">
        <v>8.4718782541694324</v>
      </c>
      <c r="M506">
        <v>0.41000088421039388</v>
      </c>
    </row>
    <row r="507" spans="1:13" x14ac:dyDescent="0.2">
      <c r="A507">
        <v>505</v>
      </c>
      <c r="B507">
        <v>600</v>
      </c>
      <c r="C507">
        <v>76.166666666666799</v>
      </c>
      <c r="D507">
        <v>100</v>
      </c>
      <c r="E507">
        <v>80.448848820590584</v>
      </c>
      <c r="F507">
        <v>50.831104824853959</v>
      </c>
      <c r="G507">
        <v>716.73090134009021</v>
      </c>
      <c r="H507">
        <v>9.4100337156248006</v>
      </c>
      <c r="I507">
        <v>4.2210512065139474</v>
      </c>
      <c r="J507">
        <v>7.8677562097184461</v>
      </c>
      <c r="K507">
        <v>728.87997506322711</v>
      </c>
      <c r="L507">
        <v>10.787706067675126</v>
      </c>
      <c r="M507">
        <v>0.41000088421039388</v>
      </c>
    </row>
    <row r="508" spans="1:13" x14ac:dyDescent="0.2">
      <c r="A508">
        <v>506</v>
      </c>
      <c r="B508">
        <v>600</v>
      </c>
      <c r="C508">
        <v>76.583333333333528</v>
      </c>
      <c r="D508">
        <v>100</v>
      </c>
      <c r="E508">
        <v>74.055931704306772</v>
      </c>
      <c r="F508">
        <v>43.073442411291857</v>
      </c>
      <c r="G508">
        <v>580.56226013657897</v>
      </c>
      <c r="H508">
        <v>7.5807912096179866</v>
      </c>
      <c r="I508">
        <v>3.4338498759582432</v>
      </c>
      <c r="J508">
        <v>6.4004657520190911</v>
      </c>
      <c r="K508">
        <v>590.40312578142016</v>
      </c>
      <c r="L508">
        <v>8.4443343229017387</v>
      </c>
      <c r="M508">
        <v>0.41000082677253757</v>
      </c>
    </row>
    <row r="509" spans="1:13" x14ac:dyDescent="0.2">
      <c r="A509">
        <v>507</v>
      </c>
      <c r="B509">
        <v>600</v>
      </c>
      <c r="C509">
        <v>80.000000000000128</v>
      </c>
      <c r="D509">
        <v>99</v>
      </c>
      <c r="E509">
        <v>85.214451232780746</v>
      </c>
      <c r="F509">
        <v>56.461391743925418</v>
      </c>
      <c r="G509">
        <v>821.47125947029906</v>
      </c>
      <c r="H509">
        <v>10.268390743378722</v>
      </c>
      <c r="I509">
        <v>4.5753675362247135</v>
      </c>
      <c r="J509">
        <v>8.5281780731122332</v>
      </c>
      <c r="K509">
        <v>835.3951760501219</v>
      </c>
      <c r="L509">
        <v>11.7500461819173</v>
      </c>
      <c r="M509">
        <v>0.41000047664554917</v>
      </c>
    </row>
    <row r="510" spans="1:13" x14ac:dyDescent="0.2">
      <c r="A510">
        <v>508</v>
      </c>
      <c r="B510">
        <v>600</v>
      </c>
      <c r="C510">
        <v>76.000000000000298</v>
      </c>
      <c r="D510">
        <v>100</v>
      </c>
      <c r="E510">
        <v>73.552103836789982</v>
      </c>
      <c r="F510">
        <v>42.489349323054618</v>
      </c>
      <c r="G510">
        <v>570.56396523645378</v>
      </c>
      <c r="H510">
        <v>7.5074205952164679</v>
      </c>
      <c r="I510">
        <v>3.5387691756505548</v>
      </c>
      <c r="J510">
        <v>6.5960282863943229</v>
      </c>
      <c r="K510">
        <v>580.23543417388942</v>
      </c>
      <c r="L510">
        <v>8.934289295890613</v>
      </c>
      <c r="M510">
        <v>0.41000090828772506</v>
      </c>
    </row>
    <row r="511" spans="1:13" x14ac:dyDescent="0.2">
      <c r="A511">
        <v>509</v>
      </c>
      <c r="B511">
        <v>600</v>
      </c>
      <c r="C511">
        <v>79.416666666666657</v>
      </c>
      <c r="D511">
        <v>100</v>
      </c>
      <c r="E511">
        <v>83.287786269754889</v>
      </c>
      <c r="F511">
        <v>54.481934451378166</v>
      </c>
      <c r="G511">
        <v>782.85865179115217</v>
      </c>
      <c r="H511">
        <v>9.8576115650512364</v>
      </c>
      <c r="I511">
        <v>4.3269231120924578</v>
      </c>
      <c r="J511">
        <v>8.0650943375441901</v>
      </c>
      <c r="K511">
        <v>796.1281490836617</v>
      </c>
      <c r="L511">
        <v>10.75138556680105</v>
      </c>
      <c r="M511">
        <v>0.41000052364015721</v>
      </c>
    </row>
    <row r="512" spans="1:13" x14ac:dyDescent="0.2">
      <c r="A512">
        <v>510</v>
      </c>
      <c r="B512">
        <v>600</v>
      </c>
      <c r="C512">
        <v>76.333333333333528</v>
      </c>
      <c r="D512">
        <v>100</v>
      </c>
      <c r="E512">
        <v>79.642639217242987</v>
      </c>
      <c r="F512">
        <v>49.817412659824981</v>
      </c>
      <c r="G512">
        <v>698.59447014495026</v>
      </c>
      <c r="H512">
        <v>9.1518926219862244</v>
      </c>
      <c r="I512">
        <v>4.0096600135694427</v>
      </c>
      <c r="J512">
        <v>7.4737372107538524</v>
      </c>
      <c r="K512">
        <v>710.43609086437152</v>
      </c>
      <c r="L512">
        <v>10.099647317519068</v>
      </c>
      <c r="M512">
        <v>0.41000086077131626</v>
      </c>
    </row>
    <row r="513" spans="1:13" x14ac:dyDescent="0.2">
      <c r="A513">
        <v>511</v>
      </c>
      <c r="B513">
        <v>600</v>
      </c>
      <c r="C513">
        <v>76.166666666666799</v>
      </c>
      <c r="D513">
        <v>100</v>
      </c>
      <c r="E513">
        <v>75.380908041032399</v>
      </c>
      <c r="F513">
        <v>44.628532946426141</v>
      </c>
      <c r="G513">
        <v>607.36086141537237</v>
      </c>
      <c r="H513">
        <v>7.9741032133309142</v>
      </c>
      <c r="I513">
        <v>3.7160074816181727</v>
      </c>
      <c r="J513">
        <v>6.9263885957468272</v>
      </c>
      <c r="K513">
        <v>617.65603896120831</v>
      </c>
      <c r="L513">
        <v>9.3412283681617865</v>
      </c>
      <c r="M513">
        <v>0.41000088421039388</v>
      </c>
    </row>
    <row r="514" spans="1:13" x14ac:dyDescent="0.2">
      <c r="A514">
        <v>512</v>
      </c>
      <c r="B514">
        <v>600</v>
      </c>
      <c r="C514">
        <v>74.583333333333613</v>
      </c>
      <c r="D514">
        <v>48</v>
      </c>
      <c r="E514">
        <v>92.767320510889675</v>
      </c>
      <c r="F514">
        <v>32.443010267552424</v>
      </c>
      <c r="G514">
        <v>494.36867497906519</v>
      </c>
      <c r="H514">
        <v>6.6284068153617435</v>
      </c>
      <c r="I514">
        <v>2.8969116381427495</v>
      </c>
      <c r="J514">
        <v>5.3996489061374637</v>
      </c>
      <c r="K514">
        <v>502.74877758449571</v>
      </c>
      <c r="L514">
        <v>7.7050222519789502</v>
      </c>
      <c r="M514">
        <v>0.41000114130046439</v>
      </c>
    </row>
    <row r="515" spans="1:13" x14ac:dyDescent="0.2">
      <c r="A515">
        <v>513</v>
      </c>
      <c r="B515">
        <v>600</v>
      </c>
      <c r="C515">
        <v>80.6666666666666</v>
      </c>
      <c r="D515">
        <v>4</v>
      </c>
      <c r="E515">
        <v>310.67557803840788</v>
      </c>
      <c r="F515">
        <v>30.322437027221032</v>
      </c>
      <c r="G515">
        <v>892.51197213925525</v>
      </c>
      <c r="H515">
        <v>11.064198001726314</v>
      </c>
      <c r="I515">
        <v>2.903152942458199</v>
      </c>
      <c r="J515">
        <v>5.4112822785800532</v>
      </c>
      <c r="K515">
        <v>907.63995224648477</v>
      </c>
      <c r="L515">
        <v>13.439160929162428</v>
      </c>
      <c r="M515">
        <v>0.4100004280792971</v>
      </c>
    </row>
    <row r="516" spans="1:13" x14ac:dyDescent="0.2">
      <c r="A516">
        <v>514</v>
      </c>
      <c r="B516">
        <v>600</v>
      </c>
      <c r="C516">
        <v>78.500000000000185</v>
      </c>
      <c r="D516">
        <v>95</v>
      </c>
      <c r="E516">
        <v>83.509034375411971</v>
      </c>
      <c r="F516">
        <v>52.033185024708636</v>
      </c>
      <c r="G516">
        <v>748.75331391723853</v>
      </c>
      <c r="H516">
        <v>9.5382587760157556</v>
      </c>
      <c r="I516">
        <v>4.096358531718896</v>
      </c>
      <c r="J516">
        <v>7.6353374309765067</v>
      </c>
      <c r="K516">
        <v>761.44483146742914</v>
      </c>
      <c r="L516">
        <v>10.223027206091132</v>
      </c>
      <c r="M516">
        <v>0.41000060702420055</v>
      </c>
    </row>
    <row r="517" spans="1:13" x14ac:dyDescent="0.2">
      <c r="A517">
        <v>515</v>
      </c>
      <c r="B517">
        <v>600</v>
      </c>
      <c r="C517">
        <v>77.083333333333499</v>
      </c>
      <c r="D517">
        <v>100</v>
      </c>
      <c r="E517">
        <v>78.354506409810568</v>
      </c>
      <c r="F517">
        <v>48.218960054386798</v>
      </c>
      <c r="G517">
        <v>670.2001254840319</v>
      </c>
      <c r="H517">
        <v>8.694488114387422</v>
      </c>
      <c r="I517">
        <v>4.0001749197302967</v>
      </c>
      <c r="J517">
        <v>7.4560576323025094</v>
      </c>
      <c r="K517">
        <v>681.56033076434983</v>
      </c>
      <c r="L517">
        <v>10.096381373745196</v>
      </c>
      <c r="M517">
        <v>0.41000076275059422</v>
      </c>
    </row>
    <row r="518" spans="1:13" x14ac:dyDescent="0.2">
      <c r="A518">
        <v>516</v>
      </c>
      <c r="B518">
        <v>600</v>
      </c>
      <c r="C518">
        <v>75.416666666666828</v>
      </c>
      <c r="D518">
        <v>99</v>
      </c>
      <c r="E518">
        <v>71.880850574797648</v>
      </c>
      <c r="F518">
        <v>40.174593490393015</v>
      </c>
      <c r="G518">
        <v>532.76851058407283</v>
      </c>
      <c r="H518">
        <v>7.0643338419987405</v>
      </c>
      <c r="I518">
        <v>3.232402142433473</v>
      </c>
      <c r="J518">
        <v>6.0249806941910018</v>
      </c>
      <c r="K518">
        <v>541.79940166013841</v>
      </c>
      <c r="L518">
        <v>7.9781059290561531</v>
      </c>
      <c r="M518">
        <v>0.41000099783985799</v>
      </c>
    </row>
    <row r="519" spans="1:13" x14ac:dyDescent="0.2">
      <c r="A519">
        <v>517</v>
      </c>
      <c r="B519">
        <v>600</v>
      </c>
      <c r="C519">
        <v>77.500000000000227</v>
      </c>
      <c r="D519">
        <v>100</v>
      </c>
      <c r="E519">
        <v>80.131563062259048</v>
      </c>
      <c r="F519">
        <v>50.430945420693774</v>
      </c>
      <c r="G519">
        <v>709.55978061554583</v>
      </c>
      <c r="H519">
        <v>9.1556100724586287</v>
      </c>
      <c r="I519">
        <v>4.0760073470822906</v>
      </c>
      <c r="J519">
        <v>7.5974041884106063</v>
      </c>
      <c r="K519">
        <v>721.58708984269754</v>
      </c>
      <c r="L519">
        <v>10.120446939205095</v>
      </c>
      <c r="M519">
        <v>0.41000071320270459</v>
      </c>
    </row>
    <row r="520" spans="1:13" x14ac:dyDescent="0.2">
      <c r="A520">
        <v>518</v>
      </c>
      <c r="B520">
        <v>600</v>
      </c>
      <c r="C520">
        <v>76.666666666666771</v>
      </c>
      <c r="D520">
        <v>99</v>
      </c>
      <c r="E520">
        <v>77.181381955896896</v>
      </c>
      <c r="F520">
        <v>46.318040370341315</v>
      </c>
      <c r="G520">
        <v>638.51078884886374</v>
      </c>
      <c r="H520">
        <v>8.3284015936808196</v>
      </c>
      <c r="I520">
        <v>3.7032881353744891</v>
      </c>
      <c r="J520">
        <v>6.9026805878368851</v>
      </c>
      <c r="K520">
        <v>649.33390338543552</v>
      </c>
      <c r="L520">
        <v>9.2074621357644144</v>
      </c>
      <c r="M520">
        <v>0.41000081574069358</v>
      </c>
    </row>
    <row r="521" spans="1:13" x14ac:dyDescent="0.2">
      <c r="A521">
        <v>519</v>
      </c>
      <c r="B521">
        <v>600</v>
      </c>
      <c r="C521">
        <v>77.583333333333485</v>
      </c>
      <c r="D521">
        <v>100</v>
      </c>
      <c r="E521">
        <v>77.51043536535829</v>
      </c>
      <c r="F521">
        <v>47.185681715352608</v>
      </c>
      <c r="G521">
        <v>651.98076189229278</v>
      </c>
      <c r="H521">
        <v>8.4036188428651961</v>
      </c>
      <c r="I521">
        <v>3.7989003455897334</v>
      </c>
      <c r="J521">
        <v>7.0808953319473122</v>
      </c>
      <c r="K521">
        <v>663.03207407107016</v>
      </c>
      <c r="L521">
        <v>9.3467536439479364</v>
      </c>
      <c r="M521">
        <v>0.41000070368625285</v>
      </c>
    </row>
    <row r="522" spans="1:13" x14ac:dyDescent="0.2">
      <c r="A522">
        <v>520</v>
      </c>
      <c r="B522">
        <v>600</v>
      </c>
      <c r="C522">
        <v>76.666666666666771</v>
      </c>
      <c r="D522">
        <v>100</v>
      </c>
      <c r="E522">
        <v>75.654879199173692</v>
      </c>
      <c r="F522">
        <v>44.953526383223526</v>
      </c>
      <c r="G522">
        <v>612.99400159870095</v>
      </c>
      <c r="H522">
        <v>7.9955739338960887</v>
      </c>
      <c r="I522">
        <v>3.6150470755916211</v>
      </c>
      <c r="J522">
        <v>6.7382051735165343</v>
      </c>
      <c r="K522">
        <v>623.38459233796652</v>
      </c>
      <c r="L522">
        <v>8.9351203265635792</v>
      </c>
      <c r="M522">
        <v>0.41000081574069358</v>
      </c>
    </row>
    <row r="523" spans="1:13" x14ac:dyDescent="0.2">
      <c r="A523">
        <v>521</v>
      </c>
      <c r="B523">
        <v>600</v>
      </c>
      <c r="C523">
        <v>76.50000000000027</v>
      </c>
      <c r="D523">
        <v>100</v>
      </c>
      <c r="E523">
        <v>77.381826783459999</v>
      </c>
      <c r="F523">
        <v>47.029226676987292</v>
      </c>
      <c r="G523">
        <v>649.23129978839336</v>
      </c>
      <c r="H523">
        <v>8.4866836573645887</v>
      </c>
      <c r="I523">
        <v>3.7256589085738572</v>
      </c>
      <c r="J523">
        <v>6.9443782079661815</v>
      </c>
      <c r="K523">
        <v>660.2361578309891</v>
      </c>
      <c r="L523">
        <v>9.2626080405618847</v>
      </c>
      <c r="M523">
        <v>0.41000083795357306</v>
      </c>
    </row>
    <row r="524" spans="1:13" x14ac:dyDescent="0.2">
      <c r="A524">
        <v>522</v>
      </c>
      <c r="B524">
        <v>600</v>
      </c>
      <c r="C524">
        <v>78.583333333333442</v>
      </c>
      <c r="D524">
        <v>100</v>
      </c>
      <c r="E524">
        <v>84.351131883353546</v>
      </c>
      <c r="F524">
        <v>55.881970359967625</v>
      </c>
      <c r="G524">
        <v>808.5438314870338</v>
      </c>
      <c r="H524">
        <v>10.288998916059802</v>
      </c>
      <c r="I524">
        <v>4.441193934939899</v>
      </c>
      <c r="J524">
        <v>8.2780874835785632</v>
      </c>
      <c r="K524">
        <v>822.24879891048238</v>
      </c>
      <c r="L524">
        <v>11.115124701257658</v>
      </c>
      <c r="M524">
        <v>0.41000059892451662</v>
      </c>
    </row>
    <row r="525" spans="1:13" x14ac:dyDescent="0.2">
      <c r="A525">
        <v>523</v>
      </c>
      <c r="B525">
        <v>600</v>
      </c>
      <c r="C525">
        <v>78.250000000000199</v>
      </c>
      <c r="D525">
        <v>100</v>
      </c>
      <c r="E525">
        <v>83.255409607691902</v>
      </c>
      <c r="F525">
        <v>54.439584896700012</v>
      </c>
      <c r="G525">
        <v>782.08433111367572</v>
      </c>
      <c r="H525">
        <v>9.9946879375549358</v>
      </c>
      <c r="I525">
        <v>4.4060369152055854</v>
      </c>
      <c r="J525">
        <v>8.2125571578855272</v>
      </c>
      <c r="K525">
        <v>795.34084968275488</v>
      </c>
      <c r="L525">
        <v>11.092281394042988</v>
      </c>
      <c r="M525">
        <v>0.41000063198642472</v>
      </c>
    </row>
    <row r="526" spans="1:13" x14ac:dyDescent="0.2">
      <c r="A526">
        <v>524</v>
      </c>
      <c r="B526">
        <v>600</v>
      </c>
      <c r="C526">
        <v>76.000000000000298</v>
      </c>
      <c r="D526">
        <v>99</v>
      </c>
      <c r="E526">
        <v>79.704946378252671</v>
      </c>
      <c r="F526">
        <v>49.396436973662603</v>
      </c>
      <c r="G526">
        <v>692.98616000137019</v>
      </c>
      <c r="H526">
        <v>9.1182389473864145</v>
      </c>
      <c r="I526">
        <v>4.0850728290619251</v>
      </c>
      <c r="J526">
        <v>7.6143016385124422</v>
      </c>
      <c r="K526">
        <v>704.73277305245654</v>
      </c>
      <c r="L526">
        <v>10.53492539738934</v>
      </c>
      <c r="M526">
        <v>0.41000090828772506</v>
      </c>
    </row>
    <row r="527" spans="1:13" x14ac:dyDescent="0.2">
      <c r="A527">
        <v>525</v>
      </c>
      <c r="B527">
        <v>600</v>
      </c>
      <c r="C527">
        <v>75.58333333333357</v>
      </c>
      <c r="D527">
        <v>100</v>
      </c>
      <c r="E527">
        <v>70.765228436602726</v>
      </c>
      <c r="F527">
        <v>39.330521710478173</v>
      </c>
      <c r="G527">
        <v>517.14993686599917</v>
      </c>
      <c r="H527">
        <v>6.8421160335082369</v>
      </c>
      <c r="I527">
        <v>3.1662161390299683</v>
      </c>
      <c r="J527">
        <v>5.9016144250325588</v>
      </c>
      <c r="K527">
        <v>525.91605591267694</v>
      </c>
      <c r="L527">
        <v>7.7901608784575727</v>
      </c>
      <c r="M527">
        <v>0.41000097138863545</v>
      </c>
    </row>
    <row r="528" spans="1:13" x14ac:dyDescent="0.2">
      <c r="A528">
        <v>526</v>
      </c>
      <c r="B528">
        <v>600</v>
      </c>
      <c r="C528">
        <v>75.083333333333584</v>
      </c>
      <c r="D528">
        <v>100</v>
      </c>
      <c r="E528">
        <v>68.600840547886051</v>
      </c>
      <c r="F528">
        <v>36.961429161826445</v>
      </c>
      <c r="G528">
        <v>477.84517148534172</v>
      </c>
      <c r="H528">
        <v>6.3641976224462615</v>
      </c>
      <c r="I528">
        <v>3.1006317581164722</v>
      </c>
      <c r="J528">
        <v>5.7793695398256695</v>
      </c>
      <c r="K528">
        <v>485.94510941332561</v>
      </c>
      <c r="L528">
        <v>7.7411051363903036</v>
      </c>
      <c r="M528">
        <v>0.41000105292274208</v>
      </c>
    </row>
    <row r="529" spans="1:13" x14ac:dyDescent="0.2">
      <c r="A529">
        <v>527</v>
      </c>
      <c r="B529">
        <v>600</v>
      </c>
      <c r="C529">
        <v>79.916666666666643</v>
      </c>
      <c r="D529">
        <v>100</v>
      </c>
      <c r="E529">
        <v>85.531191246236673</v>
      </c>
      <c r="F529">
        <v>57.456467687091632</v>
      </c>
      <c r="G529">
        <v>837.63992826771232</v>
      </c>
      <c r="H529">
        <v>10.481417246311317</v>
      </c>
      <c r="I529">
        <v>4.7586051024561353</v>
      </c>
      <c r="J529">
        <v>8.8697206010365974</v>
      </c>
      <c r="K529">
        <v>851.8379126717623</v>
      </c>
      <c r="L529">
        <v>12.258187139258302</v>
      </c>
      <c r="M529">
        <v>0.41000048309156739</v>
      </c>
    </row>
    <row r="530" spans="1:13" x14ac:dyDescent="0.2">
      <c r="A530">
        <v>528</v>
      </c>
      <c r="B530">
        <v>600</v>
      </c>
      <c r="C530">
        <v>77.083333333333499</v>
      </c>
      <c r="D530">
        <v>100</v>
      </c>
      <c r="E530">
        <v>73.083192571572312</v>
      </c>
      <c r="F530">
        <v>41.949317852553001</v>
      </c>
      <c r="G530">
        <v>561.35334768535267</v>
      </c>
      <c r="H530">
        <v>7.282421807809965</v>
      </c>
      <c r="I530">
        <v>3.4798021450898533</v>
      </c>
      <c r="J530">
        <v>6.4861176982103501</v>
      </c>
      <c r="K530">
        <v>570.86854922294356</v>
      </c>
      <c r="L530">
        <v>8.6210303862358035</v>
      </c>
      <c r="M530">
        <v>0.41000076275059422</v>
      </c>
    </row>
    <row r="531" spans="1:13" x14ac:dyDescent="0.2">
      <c r="A531">
        <v>529</v>
      </c>
      <c r="B531">
        <v>600</v>
      </c>
      <c r="C531">
        <v>75.083333333333584</v>
      </c>
      <c r="D531">
        <v>100</v>
      </c>
      <c r="E531">
        <v>70.637565239193847</v>
      </c>
      <c r="F531">
        <v>39.188742162098258</v>
      </c>
      <c r="G531">
        <v>514.77907334517033</v>
      </c>
      <c r="H531">
        <v>6.8561030856182281</v>
      </c>
      <c r="I531">
        <v>3.2888897051273869</v>
      </c>
      <c r="J531">
        <v>6.1302697206475054</v>
      </c>
      <c r="K531">
        <v>523.50507663983547</v>
      </c>
      <c r="L531">
        <v>8.2773989452221297</v>
      </c>
      <c r="M531">
        <v>0.41000105292274208</v>
      </c>
    </row>
    <row r="532" spans="1:13" x14ac:dyDescent="0.2">
      <c r="A532">
        <v>530</v>
      </c>
      <c r="B532">
        <v>600</v>
      </c>
      <c r="C532">
        <v>77.500000000000227</v>
      </c>
      <c r="D532">
        <v>100</v>
      </c>
      <c r="E532">
        <v>82.767249752132585</v>
      </c>
      <c r="F532">
        <v>53.803054263106453</v>
      </c>
      <c r="G532">
        <v>770.46784887379818</v>
      </c>
      <c r="H532">
        <v>9.9415206306296255</v>
      </c>
      <c r="I532">
        <v>4.2664366849082258</v>
      </c>
      <c r="J532">
        <v>7.9523516960078764</v>
      </c>
      <c r="K532">
        <v>783.52757311570031</v>
      </c>
      <c r="L532">
        <v>10.685703847281076</v>
      </c>
      <c r="M532">
        <v>0.41000071320270459</v>
      </c>
    </row>
    <row r="533" spans="1:13" x14ac:dyDescent="0.2">
      <c r="A533">
        <v>531</v>
      </c>
      <c r="B533">
        <v>600</v>
      </c>
      <c r="C533">
        <v>76.333333333333528</v>
      </c>
      <c r="D533">
        <v>94</v>
      </c>
      <c r="E533">
        <v>72.714058162389534</v>
      </c>
      <c r="F533">
        <v>39.035028559457437</v>
      </c>
      <c r="G533">
        <v>520.91633743834893</v>
      </c>
      <c r="H533">
        <v>6.8242314948255149</v>
      </c>
      <c r="I533">
        <v>3.2002592658888656</v>
      </c>
      <c r="J533">
        <v>5.9650685291497956</v>
      </c>
      <c r="K533">
        <v>529.74620076837937</v>
      </c>
      <c r="L533">
        <v>7.8720923962678508</v>
      </c>
      <c r="M533">
        <v>0.41000086077131626</v>
      </c>
    </row>
    <row r="534" spans="1:13" x14ac:dyDescent="0.2">
      <c r="A534">
        <v>532</v>
      </c>
      <c r="B534">
        <v>600</v>
      </c>
      <c r="C534">
        <v>79.000000000000171</v>
      </c>
      <c r="D534">
        <v>75</v>
      </c>
      <c r="E534">
        <v>90.702531193862484</v>
      </c>
      <c r="F534">
        <v>48.460730734008237</v>
      </c>
      <c r="G534">
        <v>729.44980817740236</v>
      </c>
      <c r="H534">
        <v>9.2335418756633008</v>
      </c>
      <c r="I534">
        <v>4.1575928772850075</v>
      </c>
      <c r="J534">
        <v>7.7494741421901354</v>
      </c>
      <c r="K534">
        <v>741.81406836640815</v>
      </c>
      <c r="L534">
        <v>10.880959194316596</v>
      </c>
      <c r="M534">
        <v>0.41000056001868546</v>
      </c>
    </row>
    <row r="535" spans="1:13" x14ac:dyDescent="0.2">
      <c r="A535">
        <v>533</v>
      </c>
      <c r="B535">
        <v>600</v>
      </c>
      <c r="C535">
        <v>75.166666666666842</v>
      </c>
      <c r="D535">
        <v>100</v>
      </c>
      <c r="E535">
        <v>73.572511542816386</v>
      </c>
      <c r="F535">
        <v>42.512930713629011</v>
      </c>
      <c r="G535">
        <v>570.96677209004383</v>
      </c>
      <c r="H535">
        <v>7.5960102717078826</v>
      </c>
      <c r="I535">
        <v>3.5025579637315829</v>
      </c>
      <c r="J535">
        <v>6.5285330172070504</v>
      </c>
      <c r="K535">
        <v>580.64519740818332</v>
      </c>
      <c r="L535">
        <v>8.8622027022788874</v>
      </c>
      <c r="M535">
        <v>0.41000103887331629</v>
      </c>
    </row>
    <row r="536" spans="1:13" x14ac:dyDescent="0.2">
      <c r="A536">
        <v>534</v>
      </c>
      <c r="B536">
        <v>600</v>
      </c>
      <c r="C536">
        <v>78.666666666666686</v>
      </c>
      <c r="D536">
        <v>99</v>
      </c>
      <c r="E536">
        <v>79.226592675332967</v>
      </c>
      <c r="F536">
        <v>48.80530519782306</v>
      </c>
      <c r="G536">
        <v>682.4521355368114</v>
      </c>
      <c r="H536">
        <v>8.6752390110611604</v>
      </c>
      <c r="I536">
        <v>3.8707723531107305</v>
      </c>
      <c r="J536">
        <v>7.2148599312408761</v>
      </c>
      <c r="K536">
        <v>694.0198160020941</v>
      </c>
      <c r="L536">
        <v>9.5154555174890127</v>
      </c>
      <c r="M536">
        <v>0.41000059093290886</v>
      </c>
    </row>
    <row r="537" spans="1:13" x14ac:dyDescent="0.2">
      <c r="A537">
        <v>535</v>
      </c>
      <c r="B537">
        <v>600</v>
      </c>
      <c r="C537">
        <v>77.333333333333499</v>
      </c>
      <c r="D537">
        <v>99</v>
      </c>
      <c r="E537">
        <v>78.055647072950194</v>
      </c>
      <c r="F537">
        <v>47.3733102660726</v>
      </c>
      <c r="G537">
        <v>657.07721567459521</v>
      </c>
      <c r="H537">
        <v>8.496688133723195</v>
      </c>
      <c r="I537">
        <v>3.7810960089557422</v>
      </c>
      <c r="J537">
        <v>7.0477092431607486</v>
      </c>
      <c r="K537">
        <v>668.21494738083345</v>
      </c>
      <c r="L537">
        <v>9.3686112382290112</v>
      </c>
      <c r="M537">
        <v>0.41000073262344178</v>
      </c>
    </row>
    <row r="538" spans="1:13" x14ac:dyDescent="0.2">
      <c r="A538">
        <v>536</v>
      </c>
      <c r="B538">
        <v>600</v>
      </c>
      <c r="C538">
        <v>79.083333333333414</v>
      </c>
      <c r="D538">
        <v>100</v>
      </c>
      <c r="E538">
        <v>83.605211597342219</v>
      </c>
      <c r="F538">
        <v>54.898007489158452</v>
      </c>
      <c r="G538">
        <v>790.47339696282211</v>
      </c>
      <c r="H538">
        <v>9.9954486444192359</v>
      </c>
      <c r="I538">
        <v>4.5160414620483911</v>
      </c>
      <c r="J538">
        <v>8.4175982517211381</v>
      </c>
      <c r="K538">
        <v>803.87200399003586</v>
      </c>
      <c r="L538">
        <v>11.469482198845418</v>
      </c>
      <c r="M538">
        <v>0.41000055254620849</v>
      </c>
    </row>
    <row r="539" spans="1:13" x14ac:dyDescent="0.2">
      <c r="A539">
        <v>537</v>
      </c>
      <c r="B539">
        <v>600</v>
      </c>
      <c r="C539">
        <v>76.416666666666785</v>
      </c>
      <c r="D539">
        <v>100</v>
      </c>
      <c r="E539">
        <v>76.087740430621281</v>
      </c>
      <c r="F539">
        <v>45.469403363856401</v>
      </c>
      <c r="G539">
        <v>621.95837134595342</v>
      </c>
      <c r="H539">
        <v>8.1390408464028674</v>
      </c>
      <c r="I539">
        <v>3.668874645212052</v>
      </c>
      <c r="J539">
        <v>6.8385361513738152</v>
      </c>
      <c r="K539">
        <v>632.5009491214538</v>
      </c>
      <c r="L539">
        <v>9.0816929435450824</v>
      </c>
      <c r="M539">
        <v>0.4100008492858177</v>
      </c>
    </row>
    <row r="540" spans="1:13" x14ac:dyDescent="0.2">
      <c r="A540">
        <v>538</v>
      </c>
      <c r="B540">
        <v>600</v>
      </c>
      <c r="C540">
        <v>78.500000000000185</v>
      </c>
      <c r="D540">
        <v>99</v>
      </c>
      <c r="E540">
        <v>81.348895103488488</v>
      </c>
      <c r="F540">
        <v>51.455096052451871</v>
      </c>
      <c r="G540">
        <v>729.93984679623156</v>
      </c>
      <c r="H540">
        <v>9.2985967744742659</v>
      </c>
      <c r="I540">
        <v>4.0779972629501495</v>
      </c>
      <c r="J540">
        <v>7.6011132580617877</v>
      </c>
      <c r="K540">
        <v>742.31247233792215</v>
      </c>
      <c r="L540">
        <v>10.100179296711786</v>
      </c>
      <c r="M540">
        <v>0.41000060702420055</v>
      </c>
    </row>
    <row r="541" spans="1:13" x14ac:dyDescent="0.2">
      <c r="A541">
        <v>539</v>
      </c>
      <c r="B541">
        <v>600</v>
      </c>
      <c r="C541">
        <v>78.250000000000199</v>
      </c>
      <c r="D541">
        <v>100</v>
      </c>
      <c r="E541">
        <v>81.594339886212893</v>
      </c>
      <c r="F541">
        <v>52.288953237402303</v>
      </c>
      <c r="G541">
        <v>742.98711111276668</v>
      </c>
      <c r="H541">
        <v>9.4950429535177605</v>
      </c>
      <c r="I541">
        <v>4.2758232320427814</v>
      </c>
      <c r="J541">
        <v>7.9698475900145036</v>
      </c>
      <c r="K541">
        <v>755.58092234668754</v>
      </c>
      <c r="L541">
        <v>10.702849760158951</v>
      </c>
      <c r="M541">
        <v>0.41000063198642472</v>
      </c>
    </row>
    <row r="542" spans="1:13" x14ac:dyDescent="0.2">
      <c r="A542">
        <v>540</v>
      </c>
      <c r="B542">
        <v>600</v>
      </c>
      <c r="C542">
        <v>79.666666666666643</v>
      </c>
      <c r="D542">
        <v>99</v>
      </c>
      <c r="E542">
        <v>87.237681369080036</v>
      </c>
      <c r="F542">
        <v>59.174323883521517</v>
      </c>
      <c r="G542">
        <v>872.01718239179161</v>
      </c>
      <c r="H542">
        <v>10.945822373118729</v>
      </c>
      <c r="I542">
        <v>4.6800242416118536</v>
      </c>
      <c r="J542">
        <v>8.7232511493231186</v>
      </c>
      <c r="K542">
        <v>886.79789060446535</v>
      </c>
      <c r="L542">
        <v>11.821202733088713</v>
      </c>
      <c r="M542">
        <v>0.41000050295739809</v>
      </c>
    </row>
    <row r="543" spans="1:13" x14ac:dyDescent="0.2">
      <c r="A543">
        <v>541</v>
      </c>
      <c r="B543">
        <v>600</v>
      </c>
      <c r="C543">
        <v>76.916666666666771</v>
      </c>
      <c r="D543">
        <v>100</v>
      </c>
      <c r="E543">
        <v>81.206117204187152</v>
      </c>
      <c r="F543">
        <v>51.792559370686533</v>
      </c>
      <c r="G543">
        <v>734.02417353451608</v>
      </c>
      <c r="H543">
        <v>9.5431095150749528</v>
      </c>
      <c r="I543">
        <v>4.2834286162992745</v>
      </c>
      <c r="J543">
        <v>7.9840235159352737</v>
      </c>
      <c r="K543">
        <v>746.46625252940362</v>
      </c>
      <c r="L543">
        <v>11.01478880850178</v>
      </c>
      <c r="M543">
        <v>0.41000078352053626</v>
      </c>
    </row>
    <row r="544" spans="1:13" x14ac:dyDescent="0.2">
      <c r="A544">
        <v>542</v>
      </c>
      <c r="B544">
        <v>600</v>
      </c>
      <c r="C544">
        <v>78.333333333333456</v>
      </c>
      <c r="D544">
        <v>100</v>
      </c>
      <c r="E544">
        <v>79.649182024073866</v>
      </c>
      <c r="F544">
        <v>49.825598202132639</v>
      </c>
      <c r="G544">
        <v>698.7408031628637</v>
      </c>
      <c r="H544">
        <v>8.9200953595259058</v>
      </c>
      <c r="I544">
        <v>4.0353614160505265</v>
      </c>
      <c r="J544">
        <v>7.5216429003737666</v>
      </c>
      <c r="K544">
        <v>710.58461861925468</v>
      </c>
      <c r="L544">
        <v>9.9773207946035303</v>
      </c>
      <c r="M544">
        <v>0.41000062355366318</v>
      </c>
    </row>
    <row r="545" spans="1:13" x14ac:dyDescent="0.2">
      <c r="A545">
        <v>543</v>
      </c>
      <c r="B545">
        <v>600</v>
      </c>
      <c r="C545">
        <v>77.166666666666757</v>
      </c>
      <c r="D545">
        <v>94</v>
      </c>
      <c r="E545">
        <v>76.554085910124243</v>
      </c>
      <c r="F545">
        <v>43.266771034106299</v>
      </c>
      <c r="G545">
        <v>593.80258315721676</v>
      </c>
      <c r="H545">
        <v>7.6950658724477243</v>
      </c>
      <c r="I545">
        <v>3.7044259846061949</v>
      </c>
      <c r="J545">
        <v>6.9048014624532978</v>
      </c>
      <c r="K545">
        <v>603.86780398125779</v>
      </c>
      <c r="L545">
        <v>9.2396289455913632</v>
      </c>
      <c r="M545">
        <v>0.41000075257301194</v>
      </c>
    </row>
    <row r="546" spans="1:13" x14ac:dyDescent="0.2">
      <c r="A546">
        <v>544</v>
      </c>
      <c r="B546">
        <v>600</v>
      </c>
      <c r="C546">
        <v>77.583333333333485</v>
      </c>
      <c r="D546">
        <v>36</v>
      </c>
      <c r="E546">
        <v>124.49415610661949</v>
      </c>
      <c r="F546">
        <v>43.821810190888534</v>
      </c>
      <c r="G546">
        <v>783.80497228775369</v>
      </c>
      <c r="H546">
        <v>10.102749374278224</v>
      </c>
      <c r="I546">
        <v>3.788998612357835</v>
      </c>
      <c r="J546">
        <v>7.0624391656250411</v>
      </c>
      <c r="K546">
        <v>797.09075300755489</v>
      </c>
      <c r="L546">
        <v>10.858332541706607</v>
      </c>
      <c r="M546">
        <v>0.41000070368625285</v>
      </c>
    </row>
    <row r="547" spans="1:13" x14ac:dyDescent="0.2">
      <c r="A547">
        <v>545</v>
      </c>
      <c r="B547">
        <v>600</v>
      </c>
      <c r="C547">
        <v>77.583333333333485</v>
      </c>
      <c r="D547">
        <v>80</v>
      </c>
      <c r="E547">
        <v>84.721099772062786</v>
      </c>
      <c r="F547">
        <v>45.098597675621463</v>
      </c>
      <c r="G547">
        <v>654.07886065003913</v>
      </c>
      <c r="H547">
        <v>8.4306620062303477</v>
      </c>
      <c r="I547">
        <v>3.5426324638646665</v>
      </c>
      <c r="J547">
        <v>6.6032291963926673</v>
      </c>
      <c r="K547">
        <v>665.16573636950511</v>
      </c>
      <c r="L547">
        <v>8.930726541668216</v>
      </c>
      <c r="M547">
        <v>0.41000070368625285</v>
      </c>
    </row>
    <row r="548" spans="1:13" x14ac:dyDescent="0.2">
      <c r="A548">
        <v>546</v>
      </c>
      <c r="B548">
        <v>600</v>
      </c>
      <c r="C548">
        <v>76.916666666666771</v>
      </c>
      <c r="D548">
        <v>100</v>
      </c>
      <c r="E548">
        <v>70.426658355684239</v>
      </c>
      <c r="F548">
        <v>38.955075089031602</v>
      </c>
      <c r="G548">
        <v>510.8770988569193</v>
      </c>
      <c r="H548">
        <v>6.6419557814550636</v>
      </c>
      <c r="I548">
        <v>3.3488530247486752</v>
      </c>
      <c r="J548">
        <v>6.2420373247878382</v>
      </c>
      <c r="K548">
        <v>519.53672268109005</v>
      </c>
      <c r="L548">
        <v>8.2906045440774232</v>
      </c>
      <c r="M548">
        <v>0.41000078352053626</v>
      </c>
    </row>
    <row r="549" spans="1:13" x14ac:dyDescent="0.2">
      <c r="A549">
        <v>547</v>
      </c>
      <c r="B549">
        <v>600</v>
      </c>
      <c r="C549">
        <v>76.666666666666771</v>
      </c>
      <c r="D549">
        <v>100</v>
      </c>
      <c r="E549">
        <v>70.485475051067482</v>
      </c>
      <c r="F549">
        <v>39.020168779065493</v>
      </c>
      <c r="G549">
        <v>511.96348813220669</v>
      </c>
      <c r="H549">
        <v>6.6777846278113833</v>
      </c>
      <c r="I549">
        <v>3.1720578370490111</v>
      </c>
      <c r="J549">
        <v>5.9125029581528628</v>
      </c>
      <c r="K549">
        <v>520.6415552336058</v>
      </c>
      <c r="L549">
        <v>7.6997854482995134</v>
      </c>
      <c r="M549">
        <v>0.41000081574069358</v>
      </c>
    </row>
    <row r="550" spans="1:13" x14ac:dyDescent="0.2">
      <c r="A550">
        <v>548</v>
      </c>
      <c r="B550">
        <v>600</v>
      </c>
      <c r="C550">
        <v>75.58333333333357</v>
      </c>
      <c r="D550">
        <v>100</v>
      </c>
      <c r="E550">
        <v>71.42690483860116</v>
      </c>
      <c r="F550">
        <v>40.069464979457372</v>
      </c>
      <c r="G550">
        <v>529.54387023088816</v>
      </c>
      <c r="H550">
        <v>7.0060931011804168</v>
      </c>
      <c r="I550">
        <v>3.2317024932344189</v>
      </c>
      <c r="J550">
        <v>6.0236765950315352</v>
      </c>
      <c r="K550">
        <v>538.52007669629711</v>
      </c>
      <c r="L550">
        <v>7.9713145253747788</v>
      </c>
      <c r="M550">
        <v>0.41000097138863545</v>
      </c>
    </row>
    <row r="551" spans="1:13" x14ac:dyDescent="0.2">
      <c r="A551">
        <v>549</v>
      </c>
      <c r="B551">
        <v>600</v>
      </c>
      <c r="C551">
        <v>78.166666666666714</v>
      </c>
      <c r="D551">
        <v>99</v>
      </c>
      <c r="E551">
        <v>76.378830331997776</v>
      </c>
      <c r="F551">
        <v>45.359794938324498</v>
      </c>
      <c r="G551">
        <v>621.75112981631992</v>
      </c>
      <c r="H551">
        <v>7.9541722364561132</v>
      </c>
      <c r="I551">
        <v>3.7603628240608722</v>
      </c>
      <c r="J551">
        <v>7.0090639777462656</v>
      </c>
      <c r="K551">
        <v>632.28997100428546</v>
      </c>
      <c r="L551">
        <v>9.2903872932513636</v>
      </c>
      <c r="M551">
        <v>0.41000064053322849</v>
      </c>
    </row>
    <row r="552" spans="1:13" x14ac:dyDescent="0.2">
      <c r="A552">
        <v>550</v>
      </c>
      <c r="B552">
        <v>600</v>
      </c>
      <c r="C552">
        <v>77.083333333333499</v>
      </c>
      <c r="D552">
        <v>99</v>
      </c>
      <c r="E552">
        <v>80.51563297344677</v>
      </c>
      <c r="F552">
        <v>50.406378816317627</v>
      </c>
      <c r="G552">
        <v>711.06363042645933</v>
      </c>
      <c r="H552">
        <v>9.2246092595864795</v>
      </c>
      <c r="I552">
        <v>4.1459330859086601</v>
      </c>
      <c r="J552">
        <v>7.7277410734550971</v>
      </c>
      <c r="K552">
        <v>723.11649120916763</v>
      </c>
      <c r="L552">
        <v>10.539400365579681</v>
      </c>
      <c r="M552">
        <v>0.41000076275059422</v>
      </c>
    </row>
    <row r="553" spans="1:13" x14ac:dyDescent="0.2">
      <c r="A553">
        <v>551</v>
      </c>
      <c r="B553">
        <v>600</v>
      </c>
      <c r="C553">
        <v>76.416666666666785</v>
      </c>
      <c r="D553">
        <v>99</v>
      </c>
      <c r="E553">
        <v>74.54017478621364</v>
      </c>
      <c r="F553">
        <v>43.202202628193128</v>
      </c>
      <c r="G553">
        <v>584.3686326566143</v>
      </c>
      <c r="H553">
        <v>7.6471358690069362</v>
      </c>
      <c r="I553">
        <v>3.4848361689498368</v>
      </c>
      <c r="J553">
        <v>6.4955007808943837</v>
      </c>
      <c r="K553">
        <v>594.27404119065</v>
      </c>
      <c r="L553">
        <v>8.5784421002296991</v>
      </c>
      <c r="M553">
        <v>0.4100008492858177</v>
      </c>
    </row>
    <row r="554" spans="1:13" x14ac:dyDescent="0.2">
      <c r="A554">
        <v>552</v>
      </c>
      <c r="B554">
        <v>600</v>
      </c>
      <c r="C554">
        <v>78.000000000000213</v>
      </c>
      <c r="D554">
        <v>100</v>
      </c>
      <c r="E554">
        <v>79.841243855173175</v>
      </c>
      <c r="F554">
        <v>50.066181550048903</v>
      </c>
      <c r="G554">
        <v>703.03633285691114</v>
      </c>
      <c r="H554">
        <v>9.0132863186783236</v>
      </c>
      <c r="I554">
        <v>4.1708695883624838</v>
      </c>
      <c r="J554">
        <v>7.7742210407502021</v>
      </c>
      <c r="K554">
        <v>714.95300022958679</v>
      </c>
      <c r="L554">
        <v>10.538131924016945</v>
      </c>
      <c r="M554">
        <v>0.41000065797515273</v>
      </c>
    </row>
    <row r="555" spans="1:13" x14ac:dyDescent="0.2">
      <c r="A555">
        <v>553</v>
      </c>
      <c r="B555">
        <v>600</v>
      </c>
      <c r="C555">
        <v>76.916666666666771</v>
      </c>
      <c r="D555">
        <v>100</v>
      </c>
      <c r="E555">
        <v>81.336956676462279</v>
      </c>
      <c r="F555">
        <v>51.959590390862274</v>
      </c>
      <c r="G555">
        <v>737.03743802605402</v>
      </c>
      <c r="H555">
        <v>9.5822852181068647</v>
      </c>
      <c r="I555">
        <v>4.3308333110714061</v>
      </c>
      <c r="J555">
        <v>8.0723826860604024</v>
      </c>
      <c r="K555">
        <v>749.53059336990657</v>
      </c>
      <c r="L555">
        <v>11.139167086092204</v>
      </c>
      <c r="M555">
        <v>0.41000078352053626</v>
      </c>
    </row>
    <row r="556" spans="1:13" x14ac:dyDescent="0.2">
      <c r="A556">
        <v>554</v>
      </c>
      <c r="B556">
        <v>600</v>
      </c>
      <c r="C556">
        <v>74.916666666666856</v>
      </c>
      <c r="D556">
        <v>100</v>
      </c>
      <c r="E556">
        <v>67.944253625632086</v>
      </c>
      <c r="F556">
        <v>36.257290466928183</v>
      </c>
      <c r="G556">
        <v>466.29281130025686</v>
      </c>
      <c r="H556">
        <v>6.2241532097920667</v>
      </c>
      <c r="I556">
        <v>3.1088131250229716</v>
      </c>
      <c r="J556">
        <v>5.7946190587567035</v>
      </c>
      <c r="K556">
        <v>474.19694859119738</v>
      </c>
      <c r="L556">
        <v>7.8194276395218045</v>
      </c>
      <c r="M556">
        <v>0.41000108159416432</v>
      </c>
    </row>
    <row r="557" spans="1:13" x14ac:dyDescent="0.2">
      <c r="A557">
        <v>555</v>
      </c>
      <c r="B557">
        <v>600</v>
      </c>
      <c r="C557">
        <v>76.083333333333542</v>
      </c>
      <c r="D557">
        <v>99</v>
      </c>
      <c r="E557">
        <v>76.349135895454197</v>
      </c>
      <c r="F557">
        <v>45.324531980846309</v>
      </c>
      <c r="G557">
        <v>621.13593187948061</v>
      </c>
      <c r="H557">
        <v>8.1638895756338954</v>
      </c>
      <c r="I557">
        <v>3.7258868241208503</v>
      </c>
      <c r="J557">
        <v>6.9448030272522843</v>
      </c>
      <c r="K557">
        <v>631.66461899226181</v>
      </c>
      <c r="L557">
        <v>9.4519635434719298</v>
      </c>
      <c r="M557">
        <v>0.41000089616820251</v>
      </c>
    </row>
    <row r="558" spans="1:13" x14ac:dyDescent="0.2">
      <c r="A558">
        <v>556</v>
      </c>
      <c r="B558">
        <v>600</v>
      </c>
      <c r="C558">
        <v>77.083333333333499</v>
      </c>
      <c r="D558">
        <v>100</v>
      </c>
      <c r="E558">
        <v>79.268840861980919</v>
      </c>
      <c r="F558">
        <v>49.350879475778854</v>
      </c>
      <c r="G558">
        <v>690.28120442685679</v>
      </c>
      <c r="H558">
        <v>8.9549994087808251</v>
      </c>
      <c r="I558">
        <v>4.1168996008752448</v>
      </c>
      <c r="J558">
        <v>7.6736246055456556</v>
      </c>
      <c r="K558">
        <v>701.98179337821023</v>
      </c>
      <c r="L558">
        <v>10.422203324549365</v>
      </c>
      <c r="M558">
        <v>0.41000076275059422</v>
      </c>
    </row>
    <row r="559" spans="1:13" x14ac:dyDescent="0.2">
      <c r="A559">
        <v>557</v>
      </c>
      <c r="B559">
        <v>600</v>
      </c>
      <c r="C559">
        <v>77.583333333333485</v>
      </c>
      <c r="D559">
        <v>99</v>
      </c>
      <c r="E559">
        <v>74.441118372943535</v>
      </c>
      <c r="F559">
        <v>43.087456137011223</v>
      </c>
      <c r="G559">
        <v>582.39467338534598</v>
      </c>
      <c r="H559">
        <v>7.5066982606059485</v>
      </c>
      <c r="I559">
        <v>3.4692279128731465</v>
      </c>
      <c r="J559">
        <v>6.4664080389061436</v>
      </c>
      <c r="K559">
        <v>592.26647593387236</v>
      </c>
      <c r="L559">
        <v>8.4473500902315237</v>
      </c>
      <c r="M559">
        <v>0.41000070368625285</v>
      </c>
    </row>
    <row r="560" spans="1:13" x14ac:dyDescent="0.2">
      <c r="A560">
        <v>558</v>
      </c>
      <c r="B560">
        <v>600</v>
      </c>
      <c r="C560">
        <v>77.916666666666728</v>
      </c>
      <c r="D560">
        <v>98</v>
      </c>
      <c r="E560">
        <v>74.165897674908607</v>
      </c>
      <c r="F560">
        <v>42.337428119135012</v>
      </c>
      <c r="G560">
        <v>571.10349473136853</v>
      </c>
      <c r="H560">
        <v>7.3296705206164887</v>
      </c>
      <c r="I560">
        <v>3.5084582026064512</v>
      </c>
      <c r="J560">
        <v>6.5395306665544286</v>
      </c>
      <c r="K560">
        <v>580.78387143753912</v>
      </c>
      <c r="L560">
        <v>8.7151834239538601</v>
      </c>
      <c r="M560">
        <v>0.41000066687342057</v>
      </c>
    </row>
    <row r="561" spans="1:13" x14ac:dyDescent="0.2">
      <c r="A561">
        <v>559</v>
      </c>
      <c r="B561">
        <v>600</v>
      </c>
      <c r="C561">
        <v>77.083333333333499</v>
      </c>
      <c r="D561">
        <v>100</v>
      </c>
      <c r="E561">
        <v>80.154351441297962</v>
      </c>
      <c r="F561">
        <v>50.459633315201998</v>
      </c>
      <c r="G561">
        <v>710.07332780918625</v>
      </c>
      <c r="H561">
        <v>9.2117620904975315</v>
      </c>
      <c r="I561">
        <v>4.2107794339814806</v>
      </c>
      <c r="J561">
        <v>7.8486103149701405</v>
      </c>
      <c r="K561">
        <v>722.10940249980933</v>
      </c>
      <c r="L561">
        <v>10.690817099673446</v>
      </c>
      <c r="M561">
        <v>0.41000076275059422</v>
      </c>
    </row>
    <row r="562" spans="1:13" x14ac:dyDescent="0.2">
      <c r="A562">
        <v>560</v>
      </c>
      <c r="B562">
        <v>600</v>
      </c>
      <c r="C562">
        <v>77.250000000000242</v>
      </c>
      <c r="D562">
        <v>100</v>
      </c>
      <c r="E562">
        <v>79.699852214228343</v>
      </c>
      <c r="F562">
        <v>49.889013180870727</v>
      </c>
      <c r="G562">
        <v>699.87237754064176</v>
      </c>
      <c r="H562">
        <v>9.0598366024678256</v>
      </c>
      <c r="I562">
        <v>4.0849116352177548</v>
      </c>
      <c r="J562">
        <v>7.6140011840032704</v>
      </c>
      <c r="K562">
        <v>711.7355169665002</v>
      </c>
      <c r="L562">
        <v>10.237822704691244</v>
      </c>
      <c r="M562">
        <v>0.41000074253123181</v>
      </c>
    </row>
    <row r="563" spans="1:13" x14ac:dyDescent="0.2">
      <c r="A563">
        <v>561</v>
      </c>
      <c r="B563">
        <v>600</v>
      </c>
      <c r="C563">
        <v>77.916666666666728</v>
      </c>
      <c r="D563">
        <v>99</v>
      </c>
      <c r="E563">
        <v>76.614326701304392</v>
      </c>
      <c r="F563">
        <v>45.639938920872723</v>
      </c>
      <c r="G563">
        <v>626.64097896088151</v>
      </c>
      <c r="H563">
        <v>8.0424510668776179</v>
      </c>
      <c r="I563">
        <v>3.7956245729602891</v>
      </c>
      <c r="J563">
        <v>7.0747895115755624</v>
      </c>
      <c r="K563">
        <v>637.26273279679219</v>
      </c>
      <c r="L563">
        <v>9.5123086616082677</v>
      </c>
      <c r="M563">
        <v>0.41000066687342057</v>
      </c>
    </row>
    <row r="564" spans="1:13" x14ac:dyDescent="0.2">
      <c r="A564">
        <v>562</v>
      </c>
      <c r="B564">
        <v>600</v>
      </c>
      <c r="C564">
        <v>78.166666666666714</v>
      </c>
      <c r="D564">
        <v>100</v>
      </c>
      <c r="E564">
        <v>79.751440345955089</v>
      </c>
      <c r="F564">
        <v>49.953618418106792</v>
      </c>
      <c r="G564">
        <v>701.02585854218376</v>
      </c>
      <c r="H564">
        <v>8.9683478704756929</v>
      </c>
      <c r="I564">
        <v>4.1093829647199378</v>
      </c>
      <c r="J564">
        <v>7.6596141001303586</v>
      </c>
      <c r="K564">
        <v>712.90842672346855</v>
      </c>
      <c r="L564">
        <v>10.278145886342394</v>
      </c>
      <c r="M564">
        <v>0.41000064053322849</v>
      </c>
    </row>
    <row r="565" spans="1:13" x14ac:dyDescent="0.2">
      <c r="A565">
        <v>563</v>
      </c>
      <c r="B565">
        <v>600</v>
      </c>
      <c r="C565">
        <v>78.083333333333456</v>
      </c>
      <c r="D565">
        <v>75</v>
      </c>
      <c r="E565">
        <v>85.077000576917229</v>
      </c>
      <c r="F565">
        <v>42.635904946721858</v>
      </c>
      <c r="G565">
        <v>619.77531360868386</v>
      </c>
      <c r="H565">
        <v>7.937357271402556</v>
      </c>
      <c r="I565">
        <v>3.5959044602660288</v>
      </c>
      <c r="J565">
        <v>6.7025246230494471</v>
      </c>
      <c r="K565">
        <v>630.28067345874717</v>
      </c>
      <c r="L565">
        <v>9.2080376296095139</v>
      </c>
      <c r="M565">
        <v>0.41000064919561674</v>
      </c>
    </row>
    <row r="566" spans="1:13" x14ac:dyDescent="0.2">
      <c r="A566">
        <v>564</v>
      </c>
      <c r="B566">
        <v>600</v>
      </c>
      <c r="C566">
        <v>77.333333333333499</v>
      </c>
      <c r="D566">
        <v>88</v>
      </c>
      <c r="E566">
        <v>88.635975640341158</v>
      </c>
      <c r="F566">
        <v>54.299097644091603</v>
      </c>
      <c r="G566">
        <v>807.13435556104878</v>
      </c>
      <c r="H566">
        <v>10.437082183979056</v>
      </c>
      <c r="I566">
        <v>4.407287097603553</v>
      </c>
      <c r="J566">
        <v>8.2148874139861192</v>
      </c>
      <c r="K566">
        <v>820.81561811083475</v>
      </c>
      <c r="L566">
        <v>11.302537615556048</v>
      </c>
      <c r="M566">
        <v>0.41000073262344178</v>
      </c>
    </row>
    <row r="567" spans="1:13" x14ac:dyDescent="0.2">
      <c r="A567">
        <v>565</v>
      </c>
      <c r="B567">
        <v>600</v>
      </c>
      <c r="C567">
        <v>77.333333333333499</v>
      </c>
      <c r="D567">
        <v>100</v>
      </c>
      <c r="E567">
        <v>76.958499713477295</v>
      </c>
      <c r="F567">
        <v>46.516075491365633</v>
      </c>
      <c r="G567">
        <v>640.23154799016208</v>
      </c>
      <c r="H567">
        <v>8.2788562240106991</v>
      </c>
      <c r="I567">
        <v>3.7570420451408482</v>
      </c>
      <c r="J567">
        <v>7.0028742686688679</v>
      </c>
      <c r="K567">
        <v>651.08373863272334</v>
      </c>
      <c r="L567">
        <v>9.2768821140139632</v>
      </c>
      <c r="M567">
        <v>0.41000073262344178</v>
      </c>
    </row>
    <row r="568" spans="1:13" x14ac:dyDescent="0.2">
      <c r="A568">
        <v>566</v>
      </c>
      <c r="B568">
        <v>600</v>
      </c>
      <c r="C568">
        <v>76.666666666666771</v>
      </c>
      <c r="D568">
        <v>100</v>
      </c>
      <c r="E568">
        <v>75.771597561808392</v>
      </c>
      <c r="F568">
        <v>45.092339621472092</v>
      </c>
      <c r="G568">
        <v>615.40342089490809</v>
      </c>
      <c r="H568">
        <v>8.0270011421074852</v>
      </c>
      <c r="I568">
        <v>3.6136989189660422</v>
      </c>
      <c r="J568">
        <v>6.7356923000299007</v>
      </c>
      <c r="K568">
        <v>625.83485263712134</v>
      </c>
      <c r="L568">
        <v>8.9414435390121518</v>
      </c>
      <c r="M568">
        <v>0.41000081574069358</v>
      </c>
    </row>
    <row r="569" spans="1:13" x14ac:dyDescent="0.2">
      <c r="A569">
        <v>567</v>
      </c>
      <c r="B569">
        <v>600</v>
      </c>
      <c r="C569">
        <v>78.000000000000213</v>
      </c>
      <c r="D569">
        <v>100</v>
      </c>
      <c r="E569">
        <v>79.371532216615179</v>
      </c>
      <c r="F569">
        <v>49.478828649824614</v>
      </c>
      <c r="G569">
        <v>692.55919480999739</v>
      </c>
      <c r="H569">
        <v>8.8789640360255842</v>
      </c>
      <c r="I569">
        <v>4.0661078955563168</v>
      </c>
      <c r="J569">
        <v>7.5789522750350713</v>
      </c>
      <c r="K569">
        <v>704.29827168942597</v>
      </c>
      <c r="L569">
        <v>10.258194232078374</v>
      </c>
      <c r="M569">
        <v>0.41000065797515273</v>
      </c>
    </row>
    <row r="570" spans="1:13" x14ac:dyDescent="0.2">
      <c r="A570">
        <v>568</v>
      </c>
      <c r="B570">
        <v>600</v>
      </c>
      <c r="C570">
        <v>77.916666666666728</v>
      </c>
      <c r="D570">
        <v>100</v>
      </c>
      <c r="E570">
        <v>80.425185631513344</v>
      </c>
      <c r="F570">
        <v>50.801206344944191</v>
      </c>
      <c r="G570">
        <v>716.1948161445722</v>
      </c>
      <c r="H570">
        <v>9.1918051269891539</v>
      </c>
      <c r="I570">
        <v>4.2408389230952412</v>
      </c>
      <c r="J570">
        <v>7.904639185638846</v>
      </c>
      <c r="K570">
        <v>728.33453456556902</v>
      </c>
      <c r="L570">
        <v>10.774721529146133</v>
      </c>
      <c r="M570">
        <v>0.41000066687342057</v>
      </c>
    </row>
    <row r="571" spans="1:13" x14ac:dyDescent="0.2">
      <c r="A571">
        <v>569</v>
      </c>
      <c r="B571">
        <v>600</v>
      </c>
      <c r="C571">
        <v>76.416666666666785</v>
      </c>
      <c r="D571">
        <v>99</v>
      </c>
      <c r="E571">
        <v>74.306789335612066</v>
      </c>
      <c r="F571">
        <v>42.93209376473115</v>
      </c>
      <c r="G571">
        <v>579.72395092008446</v>
      </c>
      <c r="H571">
        <v>7.5863548648211587</v>
      </c>
      <c r="I571">
        <v>3.4439420276299608</v>
      </c>
      <c r="J571">
        <v>6.4192768455358067</v>
      </c>
      <c r="K571">
        <v>589.55062923565902</v>
      </c>
      <c r="L571">
        <v>8.4728404505012556</v>
      </c>
      <c r="M571">
        <v>0.4100008492858177</v>
      </c>
    </row>
    <row r="572" spans="1:13" x14ac:dyDescent="0.2">
      <c r="A572">
        <v>570</v>
      </c>
      <c r="B572">
        <v>600</v>
      </c>
      <c r="C572">
        <v>80.500000000000099</v>
      </c>
      <c r="D572">
        <v>100</v>
      </c>
      <c r="E572">
        <v>88.500929877754956</v>
      </c>
      <c r="F572">
        <v>61.515640333464994</v>
      </c>
      <c r="G572">
        <v>913.64669520440123</v>
      </c>
      <c r="H572">
        <v>11.349648387632298</v>
      </c>
      <c r="I572">
        <v>4.8096194523575857</v>
      </c>
      <c r="J572">
        <v>8.9648079261091986</v>
      </c>
      <c r="K572">
        <v>929.13292490824961</v>
      </c>
      <c r="L572">
        <v>12.265816144670644</v>
      </c>
      <c r="M572">
        <v>0.41000043973603301</v>
      </c>
    </row>
    <row r="573" spans="1:13" x14ac:dyDescent="0.2">
      <c r="A573">
        <v>571</v>
      </c>
      <c r="B573">
        <v>600</v>
      </c>
      <c r="C573">
        <v>75.58333333333357</v>
      </c>
      <c r="D573">
        <v>100</v>
      </c>
      <c r="E573">
        <v>72.526757930838428</v>
      </c>
      <c r="F573">
        <v>41.312969250044432</v>
      </c>
      <c r="G573">
        <v>550.54101145592415</v>
      </c>
      <c r="H573">
        <v>7.2838943081268681</v>
      </c>
      <c r="I573">
        <v>3.3140681368753242</v>
      </c>
      <c r="J573">
        <v>6.1772006279129981</v>
      </c>
      <c r="K573">
        <v>559.87313682704553</v>
      </c>
      <c r="L573">
        <v>8.2101297907614779</v>
      </c>
      <c r="M573">
        <v>0.41000097138863545</v>
      </c>
    </row>
    <row r="574" spans="1:13" x14ac:dyDescent="0.2">
      <c r="A574">
        <v>572</v>
      </c>
      <c r="B574">
        <v>600</v>
      </c>
      <c r="C574">
        <v>76.416666666666785</v>
      </c>
      <c r="D574">
        <v>100</v>
      </c>
      <c r="E574">
        <v>75.386012303533903</v>
      </c>
      <c r="F574">
        <v>44.634577008921411</v>
      </c>
      <c r="G574">
        <v>607.46555665347432</v>
      </c>
      <c r="H574">
        <v>7.9493856923028146</v>
      </c>
      <c r="I574">
        <v>3.599546156789426</v>
      </c>
      <c r="J574">
        <v>6.7093125010054537</v>
      </c>
      <c r="K574">
        <v>617.76247228642535</v>
      </c>
      <c r="L574">
        <v>8.8881380624616124</v>
      </c>
      <c r="M574">
        <v>0.4100008492858177</v>
      </c>
    </row>
    <row r="575" spans="1:13" x14ac:dyDescent="0.2">
      <c r="A575">
        <v>573</v>
      </c>
      <c r="B575">
        <v>600</v>
      </c>
      <c r="C575">
        <v>75.58333333333357</v>
      </c>
      <c r="D575">
        <v>100</v>
      </c>
      <c r="E575">
        <v>76.730549261602619</v>
      </c>
      <c r="F575">
        <v>46.240923118766766</v>
      </c>
      <c r="G575">
        <v>635.41665561158425</v>
      </c>
      <c r="H575">
        <v>8.4068355758974498</v>
      </c>
      <c r="I575">
        <v>3.7291547335990831</v>
      </c>
      <c r="J575">
        <v>6.9508941912378068</v>
      </c>
      <c r="K575">
        <v>646.18749333243716</v>
      </c>
      <c r="L575">
        <v>9.3744712095389708</v>
      </c>
      <c r="M575">
        <v>0.41000097138863545</v>
      </c>
    </row>
    <row r="576" spans="1:13" x14ac:dyDescent="0.2">
      <c r="A576">
        <v>574</v>
      </c>
      <c r="B576">
        <v>600</v>
      </c>
      <c r="C576">
        <v>77.333333333333499</v>
      </c>
      <c r="D576">
        <v>100</v>
      </c>
      <c r="E576">
        <v>81.885252394511625</v>
      </c>
      <c r="F576">
        <v>52.662474924210514</v>
      </c>
      <c r="G576">
        <v>749.74649417851697</v>
      </c>
      <c r="H576">
        <v>9.6949977695497687</v>
      </c>
      <c r="I576">
        <v>4.2392157889777353</v>
      </c>
      <c r="J576">
        <v>7.9016137725586857</v>
      </c>
      <c r="K576">
        <v>762.45500864325902</v>
      </c>
      <c r="L576">
        <v>10.637678860880486</v>
      </c>
      <c r="M576">
        <v>0.41000073262344178</v>
      </c>
    </row>
    <row r="577" spans="1:13" x14ac:dyDescent="0.2">
      <c r="A577">
        <v>575</v>
      </c>
      <c r="B577">
        <v>600</v>
      </c>
      <c r="C577">
        <v>75.500000000000313</v>
      </c>
      <c r="D577">
        <v>49</v>
      </c>
      <c r="E577">
        <v>97.964082356842553</v>
      </c>
      <c r="F577">
        <v>36.933435826225995</v>
      </c>
      <c r="G577">
        <v>579.75391496236045</v>
      </c>
      <c r="H577">
        <v>7.6788598008259346</v>
      </c>
      <c r="I577">
        <v>3.2520584038879421</v>
      </c>
      <c r="J577">
        <v>6.0616186465758464</v>
      </c>
      <c r="K577">
        <v>589.58123633072751</v>
      </c>
      <c r="L577">
        <v>8.6932168155460587</v>
      </c>
      <c r="M577">
        <v>0.41000098452541767</v>
      </c>
    </row>
    <row r="578" spans="1:13" x14ac:dyDescent="0.2">
      <c r="A578">
        <v>576</v>
      </c>
      <c r="B578">
        <v>600</v>
      </c>
      <c r="C578">
        <v>79.000000000000171</v>
      </c>
      <c r="D578">
        <v>7</v>
      </c>
      <c r="E578">
        <v>259.27806708410623</v>
      </c>
      <c r="F578">
        <v>36.95893788736926</v>
      </c>
      <c r="G578">
        <v>985.7978523207604</v>
      </c>
      <c r="H578">
        <v>12.478453826845042</v>
      </c>
      <c r="I578">
        <v>4.6500154216178915</v>
      </c>
      <c r="J578">
        <v>8.6673167224937391</v>
      </c>
      <c r="K578">
        <v>1002.507242059736</v>
      </c>
      <c r="L578">
        <v>20.305499487120919</v>
      </c>
      <c r="M578">
        <v>0.41000056001868546</v>
      </c>
    </row>
    <row r="579" spans="1:13" x14ac:dyDescent="0.2">
      <c r="A579">
        <v>577</v>
      </c>
      <c r="B579">
        <v>600</v>
      </c>
      <c r="C579">
        <v>76.166666666666799</v>
      </c>
      <c r="D579">
        <v>97</v>
      </c>
      <c r="E579">
        <v>79.599507769631344</v>
      </c>
      <c r="F579">
        <v>48.270564745386984</v>
      </c>
      <c r="G579">
        <v>676.7031395464453</v>
      </c>
      <c r="H579">
        <v>8.8845051143953278</v>
      </c>
      <c r="I579">
        <v>3.9176089601036921</v>
      </c>
      <c r="J579">
        <v>7.302160223865223</v>
      </c>
      <c r="K579">
        <v>688.17371562410051</v>
      </c>
      <c r="L579">
        <v>9.9866551779927324</v>
      </c>
      <c r="M579">
        <v>0.41000088421039388</v>
      </c>
    </row>
    <row r="580" spans="1:13" x14ac:dyDescent="0.2">
      <c r="A580">
        <v>578</v>
      </c>
      <c r="B580">
        <v>600</v>
      </c>
      <c r="C580">
        <v>77.166666666666757</v>
      </c>
      <c r="D580">
        <v>100</v>
      </c>
      <c r="E580">
        <v>74.842497968384492</v>
      </c>
      <c r="F580">
        <v>43.993288814421355</v>
      </c>
      <c r="G580">
        <v>596.38267413034509</v>
      </c>
      <c r="H580">
        <v>7.7285011766351328</v>
      </c>
      <c r="I580">
        <v>3.6347714136759031</v>
      </c>
      <c r="J580">
        <v>6.7749700161713005</v>
      </c>
      <c r="K580">
        <v>606.49162865667586</v>
      </c>
      <c r="L580">
        <v>9.0117391736976842</v>
      </c>
      <c r="M580">
        <v>0.41000075257301194</v>
      </c>
    </row>
    <row r="581" spans="1:13" x14ac:dyDescent="0.2">
      <c r="A581">
        <v>579</v>
      </c>
      <c r="B581">
        <v>600</v>
      </c>
      <c r="C581">
        <v>76.583333333333528</v>
      </c>
      <c r="D581">
        <v>100</v>
      </c>
      <c r="E581">
        <v>78.588612088035006</v>
      </c>
      <c r="F581">
        <v>48.507525355005377</v>
      </c>
      <c r="G581">
        <v>675.30734354474896</v>
      </c>
      <c r="H581">
        <v>8.817941373816069</v>
      </c>
      <c r="I581">
        <v>3.8535593049796182</v>
      </c>
      <c r="J581">
        <v>7.1827759645472851</v>
      </c>
      <c r="K581">
        <v>686.7541930785701</v>
      </c>
      <c r="L581">
        <v>9.6241681348196089</v>
      </c>
      <c r="M581">
        <v>0.41000082677253757</v>
      </c>
    </row>
    <row r="582" spans="1:13" x14ac:dyDescent="0.2">
      <c r="A582">
        <v>580</v>
      </c>
      <c r="B582">
        <v>600</v>
      </c>
      <c r="C582">
        <v>76.583333333333528</v>
      </c>
      <c r="D582">
        <v>99</v>
      </c>
      <c r="E582">
        <v>77.325473779948609</v>
      </c>
      <c r="F582">
        <v>46.491146389675187</v>
      </c>
      <c r="G582">
        <v>641.54856579441218</v>
      </c>
      <c r="H582">
        <v>8.3771303476963297</v>
      </c>
      <c r="I582">
        <v>3.7076082409279216</v>
      </c>
      <c r="J582">
        <v>6.9107329747025563</v>
      </c>
      <c r="K582">
        <v>652.42318454613428</v>
      </c>
      <c r="L582">
        <v>9.2184764461763073</v>
      </c>
      <c r="M582">
        <v>0.41000082677253757</v>
      </c>
    </row>
    <row r="583" spans="1:13" x14ac:dyDescent="0.2">
      <c r="A583">
        <v>581</v>
      </c>
      <c r="B583">
        <v>600</v>
      </c>
      <c r="C583">
        <v>78.166666666666714</v>
      </c>
      <c r="D583">
        <v>100</v>
      </c>
      <c r="E583">
        <v>76.071151470088012</v>
      </c>
      <c r="F583">
        <v>45.449578674441405</v>
      </c>
      <c r="G583">
        <v>621.61358320938291</v>
      </c>
      <c r="H583">
        <v>7.9524125783716313</v>
      </c>
      <c r="I583">
        <v>3.7152600297209002</v>
      </c>
      <c r="J583">
        <v>6.9249953955655172</v>
      </c>
      <c r="K583">
        <v>632.15009294706726</v>
      </c>
      <c r="L583">
        <v>9.1704439603876207</v>
      </c>
      <c r="M583">
        <v>0.41000064053322849</v>
      </c>
    </row>
    <row r="584" spans="1:13" x14ac:dyDescent="0.2">
      <c r="A584">
        <v>582</v>
      </c>
      <c r="B584">
        <v>600</v>
      </c>
      <c r="C584">
        <v>80.583333333333357</v>
      </c>
      <c r="D584">
        <v>100</v>
      </c>
      <c r="E584">
        <v>89.172239630660343</v>
      </c>
      <c r="F584">
        <v>62.452414030243496</v>
      </c>
      <c r="G584">
        <v>931.38575569484442</v>
      </c>
      <c r="H584">
        <v>11.558044538095276</v>
      </c>
      <c r="I584">
        <v>4.8785982907810386</v>
      </c>
      <c r="J584">
        <v>9.0933798523411706</v>
      </c>
      <c r="K584">
        <v>947.17265146661441</v>
      </c>
      <c r="L584">
        <v>12.457370697726796</v>
      </c>
      <c r="M584">
        <v>0.4100004338685192</v>
      </c>
    </row>
    <row r="585" spans="1:13" x14ac:dyDescent="0.2">
      <c r="A585">
        <v>583</v>
      </c>
      <c r="B585">
        <v>600</v>
      </c>
      <c r="C585">
        <v>77.000000000000256</v>
      </c>
      <c r="D585">
        <v>99</v>
      </c>
      <c r="E585">
        <v>78.933998021837269</v>
      </c>
      <c r="F585">
        <v>48.445481518226899</v>
      </c>
      <c r="G585">
        <v>676.05657445960912</v>
      </c>
      <c r="H585">
        <v>8.7799555124624273</v>
      </c>
      <c r="I585">
        <v>3.996561563690201</v>
      </c>
      <c r="J585">
        <v>7.4493225791056865</v>
      </c>
      <c r="K585">
        <v>687.51606130666073</v>
      </c>
      <c r="L585">
        <v>10.158121130607576</v>
      </c>
      <c r="M585">
        <v>0.41000077306581523</v>
      </c>
    </row>
    <row r="586" spans="1:13" x14ac:dyDescent="0.2">
      <c r="A586">
        <v>584</v>
      </c>
      <c r="B586">
        <v>600</v>
      </c>
      <c r="C586">
        <v>76.666666666666771</v>
      </c>
      <c r="D586">
        <v>100</v>
      </c>
      <c r="E586">
        <v>78.911947613780654</v>
      </c>
      <c r="F586">
        <v>48.907493503080872</v>
      </c>
      <c r="G586">
        <v>682.40004254869984</v>
      </c>
      <c r="H586">
        <v>8.9008701202004215</v>
      </c>
      <c r="I586">
        <v>3.9219232595451201</v>
      </c>
      <c r="J586">
        <v>7.3102017885277153</v>
      </c>
      <c r="K586">
        <v>693.96710445157123</v>
      </c>
      <c r="L586">
        <v>9.8092880765954114</v>
      </c>
      <c r="M586">
        <v>0.41000081574069358</v>
      </c>
    </row>
    <row r="587" spans="1:13" x14ac:dyDescent="0.2">
      <c r="A587">
        <v>585</v>
      </c>
      <c r="B587">
        <v>600</v>
      </c>
      <c r="C587">
        <v>80.000000000000128</v>
      </c>
      <c r="D587">
        <v>98</v>
      </c>
      <c r="E587">
        <v>82.385815657071845</v>
      </c>
      <c r="F587">
        <v>52.242126758912214</v>
      </c>
      <c r="G587">
        <v>746.23549423221493</v>
      </c>
      <c r="H587">
        <v>9.3279436779026721</v>
      </c>
      <c r="I587">
        <v>4.26384602769404</v>
      </c>
      <c r="J587">
        <v>7.9475228847978379</v>
      </c>
      <c r="K587">
        <v>758.88416653913441</v>
      </c>
      <c r="L587">
        <v>10.827216361578531</v>
      </c>
      <c r="M587">
        <v>0.41000047664554917</v>
      </c>
    </row>
    <row r="588" spans="1:13" x14ac:dyDescent="0.2">
      <c r="A588">
        <v>586</v>
      </c>
      <c r="B588">
        <v>600</v>
      </c>
      <c r="C588">
        <v>76.083333333333542</v>
      </c>
      <c r="D588">
        <v>99</v>
      </c>
      <c r="E588">
        <v>74.017587938064622</v>
      </c>
      <c r="F588">
        <v>42.59856138897733</v>
      </c>
      <c r="G588">
        <v>573.99959454228701</v>
      </c>
      <c r="H588">
        <v>7.5443539260760408</v>
      </c>
      <c r="I588">
        <v>3.5289346075238166</v>
      </c>
      <c r="J588">
        <v>6.5776973113211863</v>
      </c>
      <c r="K588">
        <v>583.72928787287935</v>
      </c>
      <c r="L588">
        <v>8.8783930120468941</v>
      </c>
      <c r="M588">
        <v>0.41000089616820251</v>
      </c>
    </row>
    <row r="589" spans="1:13" x14ac:dyDescent="0.2">
      <c r="A589">
        <v>587</v>
      </c>
      <c r="B589">
        <v>600</v>
      </c>
      <c r="C589">
        <v>78.500000000000185</v>
      </c>
      <c r="D589">
        <v>99</v>
      </c>
      <c r="E589">
        <v>76.665597699915182</v>
      </c>
      <c r="F589">
        <v>45.701044678035991</v>
      </c>
      <c r="G589">
        <v>627.70872386849589</v>
      </c>
      <c r="H589">
        <v>7.9962894760317758</v>
      </c>
      <c r="I589">
        <v>3.6516690268245329</v>
      </c>
      <c r="J589">
        <v>6.8064660332237326</v>
      </c>
      <c r="K589">
        <v>638.34851154930925</v>
      </c>
      <c r="L589">
        <v>8.8915478806414949</v>
      </c>
      <c r="M589">
        <v>0.41000060702420055</v>
      </c>
    </row>
    <row r="590" spans="1:13" x14ac:dyDescent="0.2">
      <c r="A590">
        <v>588</v>
      </c>
      <c r="B590">
        <v>600</v>
      </c>
      <c r="C590">
        <v>76.416666666666785</v>
      </c>
      <c r="D590">
        <v>100</v>
      </c>
      <c r="E590">
        <v>74.390493821031413</v>
      </c>
      <c r="F590">
        <v>43.463506877552945</v>
      </c>
      <c r="G590">
        <v>587.25979232345776</v>
      </c>
      <c r="H590">
        <v>7.6849700194999802</v>
      </c>
      <c r="I590">
        <v>3.4945402748197631</v>
      </c>
      <c r="J590">
        <v>6.5135885830750473</v>
      </c>
      <c r="K590">
        <v>597.21420779598543</v>
      </c>
      <c r="L590">
        <v>8.5964110263111682</v>
      </c>
      <c r="M590">
        <v>0.4100008492858177</v>
      </c>
    </row>
    <row r="591" spans="1:13" x14ac:dyDescent="0.2">
      <c r="A591">
        <v>589</v>
      </c>
      <c r="B591">
        <v>600</v>
      </c>
      <c r="C591">
        <v>80.166666666666629</v>
      </c>
      <c r="D591">
        <v>100</v>
      </c>
      <c r="E591">
        <v>85.724926481385467</v>
      </c>
      <c r="F591">
        <v>57.71704979338751</v>
      </c>
      <c r="G591">
        <v>842.47652546090785</v>
      </c>
      <c r="H591">
        <v>10.509062687662055</v>
      </c>
      <c r="I591">
        <v>4.6580877491055324</v>
      </c>
      <c r="J591">
        <v>8.682362999264738</v>
      </c>
      <c r="K591">
        <v>856.75646240754543</v>
      </c>
      <c r="L591">
        <v>11.887858833711617</v>
      </c>
      <c r="M591">
        <v>0.41000046401039802</v>
      </c>
    </row>
    <row r="592" spans="1:13" x14ac:dyDescent="0.2">
      <c r="A592">
        <v>590</v>
      </c>
      <c r="B592">
        <v>600</v>
      </c>
      <c r="C592">
        <v>77.500000000000227</v>
      </c>
      <c r="D592">
        <v>100</v>
      </c>
      <c r="E592">
        <v>77.71299959426392</v>
      </c>
      <c r="F592">
        <v>47.432632224710375</v>
      </c>
      <c r="G592">
        <v>656.32535413277526</v>
      </c>
      <c r="H592">
        <v>8.4687142468744945</v>
      </c>
      <c r="I592">
        <v>3.783478832417865</v>
      </c>
      <c r="J592">
        <v>7.0521506662029161</v>
      </c>
      <c r="K592">
        <v>667.45031950345447</v>
      </c>
      <c r="L592">
        <v>9.3110817260226035</v>
      </c>
      <c r="M592">
        <v>0.41000071320270459</v>
      </c>
    </row>
    <row r="593" spans="1:13" x14ac:dyDescent="0.2">
      <c r="A593">
        <v>591</v>
      </c>
      <c r="B593">
        <v>600</v>
      </c>
      <c r="C593">
        <v>80.166666666666629</v>
      </c>
      <c r="D593">
        <v>82</v>
      </c>
      <c r="E593">
        <v>90.762482613239982</v>
      </c>
      <c r="F593">
        <v>53.053796459820042</v>
      </c>
      <c r="G593">
        <v>798.87402477172361</v>
      </c>
      <c r="H593">
        <v>9.9651645501670352</v>
      </c>
      <c r="I593">
        <v>4.3675150845715978</v>
      </c>
      <c r="J593">
        <v>8.1407550504596404</v>
      </c>
      <c r="K593">
        <v>812.41490141016266</v>
      </c>
      <c r="L593">
        <v>11.377911279816308</v>
      </c>
      <c r="M593">
        <v>0.41000046401039802</v>
      </c>
    </row>
    <row r="594" spans="1:13" x14ac:dyDescent="0.2">
      <c r="A594">
        <v>592</v>
      </c>
      <c r="B594">
        <v>600</v>
      </c>
      <c r="C594">
        <v>77.000000000000256</v>
      </c>
      <c r="D594">
        <v>72</v>
      </c>
      <c r="E594">
        <v>91.206276023926776</v>
      </c>
      <c r="F594">
        <v>47.040488734394174</v>
      </c>
      <c r="G594">
        <v>710.2108460968127</v>
      </c>
      <c r="H594">
        <v>9.2235174817767582</v>
      </c>
      <c r="I594">
        <v>4.0922935426431621</v>
      </c>
      <c r="J594">
        <v>7.6277605641065458</v>
      </c>
      <c r="K594">
        <v>722.24926441407456</v>
      </c>
      <c r="L594">
        <v>10.814913271987256</v>
      </c>
      <c r="M594">
        <v>0.41000077306581523</v>
      </c>
    </row>
    <row r="595" spans="1:13" x14ac:dyDescent="0.2">
      <c r="A595">
        <v>593</v>
      </c>
      <c r="B595">
        <v>600</v>
      </c>
      <c r="C595">
        <v>79.000000000000171</v>
      </c>
      <c r="D595">
        <v>100</v>
      </c>
      <c r="E595">
        <v>81.138180873857834</v>
      </c>
      <c r="F595">
        <v>51.705937211432087</v>
      </c>
      <c r="G595">
        <v>732.46281566786331</v>
      </c>
      <c r="H595">
        <v>9.2716812109855908</v>
      </c>
      <c r="I595">
        <v>4.2614612177204751</v>
      </c>
      <c r="J595">
        <v>7.9430777590316399</v>
      </c>
      <c r="K595">
        <v>744.87814668881106</v>
      </c>
      <c r="L595">
        <v>10.764286111784733</v>
      </c>
      <c r="M595">
        <v>0.41000056001868546</v>
      </c>
    </row>
    <row r="596" spans="1:13" x14ac:dyDescent="0.2">
      <c r="A596">
        <v>594</v>
      </c>
      <c r="B596">
        <v>600</v>
      </c>
      <c r="C596">
        <v>76.166666666666799</v>
      </c>
      <c r="D596">
        <v>100</v>
      </c>
      <c r="E596">
        <v>76.686885477159649</v>
      </c>
      <c r="F596">
        <v>46.188310978121862</v>
      </c>
      <c r="G596">
        <v>634.4970257169058</v>
      </c>
      <c r="H596">
        <v>8.3303767052547659</v>
      </c>
      <c r="I596">
        <v>3.7852085420244856</v>
      </c>
      <c r="J596">
        <v>7.0553747288434021</v>
      </c>
      <c r="K596">
        <v>645.25217960818202</v>
      </c>
      <c r="L596">
        <v>9.5540525076435099</v>
      </c>
      <c r="M596">
        <v>0.41000088421039388</v>
      </c>
    </row>
    <row r="597" spans="1:13" x14ac:dyDescent="0.2">
      <c r="A597">
        <v>595</v>
      </c>
      <c r="B597">
        <v>600</v>
      </c>
      <c r="C597">
        <v>76.333333333333528</v>
      </c>
      <c r="D597">
        <v>100</v>
      </c>
      <c r="E597">
        <v>73.581442955898751</v>
      </c>
      <c r="F597">
        <v>42.523253144783176</v>
      </c>
      <c r="G597">
        <v>571.1433421267127</v>
      </c>
      <c r="H597">
        <v>7.4822271894328987</v>
      </c>
      <c r="I597">
        <v>3.4562455545113342</v>
      </c>
      <c r="J597">
        <v>6.4422097940565415</v>
      </c>
      <c r="K597">
        <v>580.82458514096663</v>
      </c>
      <c r="L597">
        <v>8.5266104126733158</v>
      </c>
      <c r="M597">
        <v>0.41000086077131626</v>
      </c>
    </row>
    <row r="598" spans="1:13" x14ac:dyDescent="0.2">
      <c r="A598">
        <v>596</v>
      </c>
      <c r="B598">
        <v>600</v>
      </c>
      <c r="C598">
        <v>75.500000000000313</v>
      </c>
      <c r="D598">
        <v>100</v>
      </c>
      <c r="E598">
        <v>77.31598360847417</v>
      </c>
      <c r="F598">
        <v>46.949227630133315</v>
      </c>
      <c r="G598">
        <v>647.8263134046324</v>
      </c>
      <c r="H598">
        <v>8.5804809722467521</v>
      </c>
      <c r="I598">
        <v>3.743166043251831</v>
      </c>
      <c r="J598">
        <v>6.977010332249451</v>
      </c>
      <c r="K598">
        <v>658.80751975513215</v>
      </c>
      <c r="L598">
        <v>9.4191087137878409</v>
      </c>
      <c r="M598">
        <v>0.41000098452541767</v>
      </c>
    </row>
    <row r="599" spans="1:13" x14ac:dyDescent="0.2">
      <c r="A599">
        <v>597</v>
      </c>
      <c r="B599">
        <v>600</v>
      </c>
      <c r="C599">
        <v>76.333333333333528</v>
      </c>
      <c r="D599">
        <v>100</v>
      </c>
      <c r="E599">
        <v>75.541597564003965</v>
      </c>
      <c r="F599">
        <v>44.819005081317222</v>
      </c>
      <c r="G599">
        <v>610.6609644579662</v>
      </c>
      <c r="H599">
        <v>7.9999252985759561</v>
      </c>
      <c r="I599">
        <v>3.6268395204804129</v>
      </c>
      <c r="J599">
        <v>6.7601854994975072</v>
      </c>
      <c r="K599">
        <v>621.01205631210996</v>
      </c>
      <c r="L599">
        <v>9.0134773040053595</v>
      </c>
      <c r="M599">
        <v>0.41000086077131626</v>
      </c>
    </row>
    <row r="600" spans="1:13" x14ac:dyDescent="0.2">
      <c r="A600">
        <v>598</v>
      </c>
      <c r="B600">
        <v>600</v>
      </c>
      <c r="C600">
        <v>77.250000000000242</v>
      </c>
      <c r="D600">
        <v>100</v>
      </c>
      <c r="E600">
        <v>77.135044382548543</v>
      </c>
      <c r="F600">
        <v>46.729738300229357</v>
      </c>
      <c r="G600">
        <v>643.97557987810148</v>
      </c>
      <c r="H600">
        <v>8.3362534612051711</v>
      </c>
      <c r="I600">
        <v>3.8424501643562112</v>
      </c>
      <c r="J600">
        <v>7.1620692718661898</v>
      </c>
      <c r="K600">
        <v>654.89124441366653</v>
      </c>
      <c r="L600">
        <v>9.5453157679654232</v>
      </c>
      <c r="M600">
        <v>0.41000074253123181</v>
      </c>
    </row>
    <row r="601" spans="1:13" x14ac:dyDescent="0.2">
      <c r="A601">
        <v>599</v>
      </c>
      <c r="B601">
        <v>600</v>
      </c>
      <c r="C601">
        <v>78.333333333333456</v>
      </c>
      <c r="D601">
        <v>99</v>
      </c>
      <c r="E601">
        <v>82.016284419477742</v>
      </c>
      <c r="F601">
        <v>52.302838286899707</v>
      </c>
      <c r="G601">
        <v>745.27534564641462</v>
      </c>
      <c r="H601">
        <v>9.5141533486776204</v>
      </c>
      <c r="I601">
        <v>4.1731466425554942</v>
      </c>
      <c r="J601">
        <v>7.7784653169720297</v>
      </c>
      <c r="K601">
        <v>757.90793217646831</v>
      </c>
      <c r="L601">
        <v>10.402881518010815</v>
      </c>
      <c r="M601">
        <v>0.41000062355366318</v>
      </c>
    </row>
    <row r="602" spans="1:13" x14ac:dyDescent="0.2">
      <c r="A602">
        <v>600</v>
      </c>
      <c r="B602">
        <v>600</v>
      </c>
      <c r="C602">
        <v>77.083333333333499</v>
      </c>
      <c r="D602">
        <v>100</v>
      </c>
      <c r="E602">
        <v>77.73444657787735</v>
      </c>
      <c r="F602">
        <v>47.458816447817391</v>
      </c>
      <c r="G602">
        <v>656.78632016244546</v>
      </c>
      <c r="H602">
        <v>8.5204711804857602</v>
      </c>
      <c r="I602">
        <v>3.9423933328907186</v>
      </c>
      <c r="J602">
        <v>7.3483566316695583</v>
      </c>
      <c r="K602">
        <v>667.91915517491475</v>
      </c>
      <c r="L602">
        <v>9.9297449220203031</v>
      </c>
      <c r="M602">
        <v>0.41000076275059422</v>
      </c>
    </row>
    <row r="603" spans="1:13" x14ac:dyDescent="0.2">
      <c r="A603">
        <v>601</v>
      </c>
      <c r="B603">
        <v>600</v>
      </c>
      <c r="C603">
        <v>76.166666666666799</v>
      </c>
      <c r="D603">
        <v>100</v>
      </c>
      <c r="E603">
        <v>75.720892799318364</v>
      </c>
      <c r="F603">
        <v>45.032010119654892</v>
      </c>
      <c r="G603">
        <v>614.35594539395288</v>
      </c>
      <c r="H603">
        <v>8.0659423902925838</v>
      </c>
      <c r="I603">
        <v>3.7433088799565919</v>
      </c>
      <c r="J603">
        <v>6.9772765702825561</v>
      </c>
      <c r="K603">
        <v>624.76969434615125</v>
      </c>
      <c r="L603">
        <v>9.4208990979008558</v>
      </c>
      <c r="M603">
        <v>0.41000088421039388</v>
      </c>
    </row>
    <row r="604" spans="1:13" x14ac:dyDescent="0.2">
      <c r="A604">
        <v>602</v>
      </c>
      <c r="B604">
        <v>600</v>
      </c>
      <c r="C604">
        <v>76.50000000000027</v>
      </c>
      <c r="D604">
        <v>100</v>
      </c>
      <c r="E604">
        <v>76.758778584288734</v>
      </c>
      <c r="F604">
        <v>46.274953633940072</v>
      </c>
      <c r="G604">
        <v>636.01184571365457</v>
      </c>
      <c r="H604">
        <v>8.3138803361261733</v>
      </c>
      <c r="I604">
        <v>3.6904498509312198</v>
      </c>
      <c r="J604">
        <v>6.8787508871038572</v>
      </c>
      <c r="K604">
        <v>646.7926261192963</v>
      </c>
      <c r="L604">
        <v>9.1530824030160503</v>
      </c>
      <c r="M604">
        <v>0.41000083795357306</v>
      </c>
    </row>
    <row r="605" spans="1:13" x14ac:dyDescent="0.2">
      <c r="A605">
        <v>603</v>
      </c>
      <c r="B605">
        <v>600</v>
      </c>
      <c r="C605">
        <v>76.333333333333528</v>
      </c>
      <c r="D605">
        <v>100</v>
      </c>
      <c r="E605">
        <v>76.223799583404883</v>
      </c>
      <c r="F605">
        <v>45.632164402650439</v>
      </c>
      <c r="G605">
        <v>624.7924291665696</v>
      </c>
      <c r="H605">
        <v>8.1850536572039481</v>
      </c>
      <c r="I605">
        <v>3.6793611141057778</v>
      </c>
      <c r="J605">
        <v>6.8580822257330425</v>
      </c>
      <c r="K605">
        <v>635.38305833805623</v>
      </c>
      <c r="L605">
        <v>9.1654495134097793</v>
      </c>
      <c r="M605">
        <v>0.41000086077131626</v>
      </c>
    </row>
    <row r="606" spans="1:13" x14ac:dyDescent="0.2">
      <c r="A606">
        <v>604</v>
      </c>
      <c r="B606">
        <v>600</v>
      </c>
      <c r="C606">
        <v>77.666666666666728</v>
      </c>
      <c r="D606">
        <v>40</v>
      </c>
      <c r="E606">
        <v>119.99318830243855</v>
      </c>
      <c r="F606">
        <v>45.233798458496267</v>
      </c>
      <c r="G606">
        <v>792.99367070002756</v>
      </c>
      <c r="H606">
        <v>10.210218936051849</v>
      </c>
      <c r="I606">
        <v>3.8314916027365098</v>
      </c>
      <c r="J606">
        <v>7.1416432483439127</v>
      </c>
      <c r="K606">
        <v>806.43519038198951</v>
      </c>
      <c r="L606">
        <v>10.829809121614035</v>
      </c>
      <c r="M606">
        <v>0.41000069429678165</v>
      </c>
    </row>
    <row r="607" spans="1:13" x14ac:dyDescent="0.2">
      <c r="A607">
        <v>605</v>
      </c>
      <c r="B607">
        <v>600</v>
      </c>
      <c r="C607">
        <v>78.500000000000185</v>
      </c>
      <c r="D607">
        <v>96</v>
      </c>
      <c r="E607">
        <v>83.826605777753258</v>
      </c>
      <c r="F607">
        <v>52.981576567143549</v>
      </c>
      <c r="G607">
        <v>763.97846807817666</v>
      </c>
      <c r="H607">
        <v>9.7322097844353479</v>
      </c>
      <c r="I607">
        <v>4.1828924426494174</v>
      </c>
      <c r="J607">
        <v>7.796630834388476</v>
      </c>
      <c r="K607">
        <v>776.9280550187076</v>
      </c>
      <c r="L607">
        <v>10.453081083389858</v>
      </c>
      <c r="M607">
        <v>0.41000060702420055</v>
      </c>
    </row>
    <row r="608" spans="1:13" x14ac:dyDescent="0.2">
      <c r="A608">
        <v>606</v>
      </c>
      <c r="B608">
        <v>600</v>
      </c>
      <c r="C608">
        <v>75.33333333333357</v>
      </c>
      <c r="D608">
        <v>100</v>
      </c>
      <c r="E608">
        <v>71.254019467033373</v>
      </c>
      <c r="F608">
        <v>39.875727322500239</v>
      </c>
      <c r="G608">
        <v>526.28829738862567</v>
      </c>
      <c r="H608">
        <v>6.9861278414419115</v>
      </c>
      <c r="I608">
        <v>3.2540872509242149</v>
      </c>
      <c r="J608">
        <v>6.0654002813126091</v>
      </c>
      <c r="K608">
        <v>535.20935543862004</v>
      </c>
      <c r="L608">
        <v>8.0622698774997925</v>
      </c>
      <c r="M608">
        <v>0.41000101133435901</v>
      </c>
    </row>
    <row r="609" spans="1:13" x14ac:dyDescent="0.2">
      <c r="A609">
        <v>607</v>
      </c>
      <c r="B609">
        <v>600</v>
      </c>
      <c r="C609">
        <v>75.166666666666842</v>
      </c>
      <c r="D609">
        <v>100</v>
      </c>
      <c r="E609">
        <v>74.861927246000533</v>
      </c>
      <c r="F609">
        <v>44.016133288973435</v>
      </c>
      <c r="G609">
        <v>596.77643973898046</v>
      </c>
      <c r="H609">
        <v>7.9393761384343113</v>
      </c>
      <c r="I609">
        <v>3.6230952650156159</v>
      </c>
      <c r="J609">
        <v>6.7532064585565994</v>
      </c>
      <c r="K609">
        <v>606.89236326723801</v>
      </c>
      <c r="L609">
        <v>9.2122048106348178</v>
      </c>
      <c r="M609">
        <v>0.41000103887331629</v>
      </c>
    </row>
    <row r="610" spans="1:13" x14ac:dyDescent="0.2">
      <c r="A610">
        <v>608</v>
      </c>
      <c r="B610">
        <v>600</v>
      </c>
      <c r="C610">
        <v>75.000000000000341</v>
      </c>
      <c r="D610">
        <v>99</v>
      </c>
      <c r="E610">
        <v>72.675927353723992</v>
      </c>
      <c r="F610">
        <v>41.068254078176388</v>
      </c>
      <c r="G610">
        <v>547.89265953967436</v>
      </c>
      <c r="H610">
        <v>7.3052354605289578</v>
      </c>
      <c r="I610">
        <v>3.4208782525130448</v>
      </c>
      <c r="J610">
        <v>6.3762875163337274</v>
      </c>
      <c r="K610">
        <v>557.17998360204058</v>
      </c>
      <c r="L610">
        <v>8.7247130911847446</v>
      </c>
      <c r="M610">
        <v>0.41000106716216822</v>
      </c>
    </row>
    <row r="611" spans="1:13" x14ac:dyDescent="0.2">
      <c r="A611">
        <v>609</v>
      </c>
      <c r="B611">
        <v>600</v>
      </c>
      <c r="C611">
        <v>79.166666666666671</v>
      </c>
      <c r="D611">
        <v>100</v>
      </c>
      <c r="E611">
        <v>82.59260133579329</v>
      </c>
      <c r="F611">
        <v>53.576232560638715</v>
      </c>
      <c r="G611">
        <v>766.33769537046408</v>
      </c>
      <c r="H611">
        <v>9.6800550994163874</v>
      </c>
      <c r="I611">
        <v>4.3655216816996392</v>
      </c>
      <c r="J611">
        <v>8.1370394812668003</v>
      </c>
      <c r="K611">
        <v>779.32718998434325</v>
      </c>
      <c r="L611">
        <v>10.992390628575309</v>
      </c>
      <c r="M611">
        <v>0.4100005451734387</v>
      </c>
    </row>
    <row r="612" spans="1:13" x14ac:dyDescent="0.2">
      <c r="A612">
        <v>610</v>
      </c>
      <c r="B612">
        <v>600</v>
      </c>
      <c r="C612">
        <v>78.000000000000213</v>
      </c>
      <c r="D612">
        <v>98</v>
      </c>
      <c r="E612">
        <v>85.885604772723852</v>
      </c>
      <c r="F612">
        <v>56.774943842453531</v>
      </c>
      <c r="G612">
        <v>829.5703782173581</v>
      </c>
      <c r="H612">
        <v>10.63551766945328</v>
      </c>
      <c r="I612">
        <v>4.6680654303914482</v>
      </c>
      <c r="J612">
        <v>8.7009607276634622</v>
      </c>
      <c r="K612">
        <v>843.63183393084682</v>
      </c>
      <c r="L612">
        <v>12.040161872459816</v>
      </c>
      <c r="M612">
        <v>0.41000065797515273</v>
      </c>
    </row>
    <row r="613" spans="1:13" x14ac:dyDescent="0.2">
      <c r="A613">
        <v>611</v>
      </c>
      <c r="B613">
        <v>600</v>
      </c>
      <c r="C613">
        <v>78.000000000000213</v>
      </c>
      <c r="D613">
        <v>98</v>
      </c>
      <c r="E613">
        <v>74.303526117501818</v>
      </c>
      <c r="F613">
        <v>42.494703655703745</v>
      </c>
      <c r="G613">
        <v>573.80421092033953</v>
      </c>
      <c r="H613">
        <v>7.3564642425684355</v>
      </c>
      <c r="I613">
        <v>3.5503731192958718</v>
      </c>
      <c r="J613">
        <v>6.617657258706191</v>
      </c>
      <c r="K613">
        <v>583.53035678081244</v>
      </c>
      <c r="L613">
        <v>8.7914140227262205</v>
      </c>
      <c r="M613">
        <v>0.41000065797515273</v>
      </c>
    </row>
    <row r="614" spans="1:13" x14ac:dyDescent="0.2">
      <c r="A614">
        <v>612</v>
      </c>
      <c r="B614">
        <v>600</v>
      </c>
      <c r="C614">
        <v>78.083333333333456</v>
      </c>
      <c r="D614">
        <v>99</v>
      </c>
      <c r="E614">
        <v>80.077411868027866</v>
      </c>
      <c r="F614">
        <v>49.85918006408928</v>
      </c>
      <c r="G614">
        <v>701.25689413178065</v>
      </c>
      <c r="H614">
        <v>8.9808780465115845</v>
      </c>
      <c r="I614">
        <v>4.1105733703059597</v>
      </c>
      <c r="J614">
        <v>7.6618329362646032</v>
      </c>
      <c r="K614">
        <v>713.143388895984</v>
      </c>
      <c r="L614">
        <v>10.34450943133913</v>
      </c>
      <c r="M614">
        <v>0.41000064919561674</v>
      </c>
    </row>
    <row r="615" spans="1:13" x14ac:dyDescent="0.2">
      <c r="A615">
        <v>613</v>
      </c>
      <c r="B615">
        <v>600</v>
      </c>
      <c r="C615">
        <v>76.416666666666785</v>
      </c>
      <c r="D615">
        <v>100</v>
      </c>
      <c r="E615">
        <v>71.395282961638571</v>
      </c>
      <c r="F615">
        <v>40.033993997827714</v>
      </c>
      <c r="G615">
        <v>528.94760963391229</v>
      </c>
      <c r="H615">
        <v>6.9218880213816112</v>
      </c>
      <c r="I615">
        <v>3.2572932725219532</v>
      </c>
      <c r="J615">
        <v>6.0713760904416638</v>
      </c>
      <c r="K615">
        <v>537.91359766565586</v>
      </c>
      <c r="L615">
        <v>7.9278507958479167</v>
      </c>
      <c r="M615">
        <v>0.4100008492858177</v>
      </c>
    </row>
    <row r="616" spans="1:13" x14ac:dyDescent="0.2">
      <c r="A616">
        <v>614</v>
      </c>
      <c r="B616">
        <v>600</v>
      </c>
      <c r="C616">
        <v>77.916666666666728</v>
      </c>
      <c r="D616">
        <v>97</v>
      </c>
      <c r="E616">
        <v>80.24139465163573</v>
      </c>
      <c r="F616">
        <v>49.052207017882509</v>
      </c>
      <c r="G616">
        <v>690.67618983246484</v>
      </c>
      <c r="H616">
        <v>8.8642933454433912</v>
      </c>
      <c r="I616">
        <v>4.030805367642385</v>
      </c>
      <c r="J616">
        <v>7.5131507318590574</v>
      </c>
      <c r="K616">
        <v>702.38335983097056</v>
      </c>
      <c r="L616">
        <v>10.235231658479655</v>
      </c>
      <c r="M616">
        <v>0.41000066687342057</v>
      </c>
    </row>
    <row r="617" spans="1:13" x14ac:dyDescent="0.2">
      <c r="A617">
        <v>615</v>
      </c>
      <c r="B617">
        <v>600</v>
      </c>
      <c r="C617">
        <v>77.000000000000256</v>
      </c>
      <c r="D617">
        <v>100</v>
      </c>
      <c r="E617">
        <v>78.428001094274819</v>
      </c>
      <c r="F617">
        <v>48.309458978695069</v>
      </c>
      <c r="G617">
        <v>671.8009525602663</v>
      </c>
      <c r="H617">
        <v>8.7246876955878445</v>
      </c>
      <c r="I617">
        <v>3.9841145676135841</v>
      </c>
      <c r="J617">
        <v>7.4261222136320297</v>
      </c>
      <c r="K617">
        <v>683.18830455200566</v>
      </c>
      <c r="L617">
        <v>10.110130362012017</v>
      </c>
      <c r="M617">
        <v>0.41000077306581523</v>
      </c>
    </row>
    <row r="618" spans="1:13" x14ac:dyDescent="0.2">
      <c r="A618">
        <v>616</v>
      </c>
      <c r="B618">
        <v>600</v>
      </c>
      <c r="C618">
        <v>76.50000000000027</v>
      </c>
      <c r="D618">
        <v>100</v>
      </c>
      <c r="E618">
        <v>71.559450338556474</v>
      </c>
      <c r="F618">
        <v>40.218315193952456</v>
      </c>
      <c r="G618">
        <v>532.04816109451247</v>
      </c>
      <c r="H618">
        <v>6.9548779228040596</v>
      </c>
      <c r="I618">
        <v>3.2550224076520395</v>
      </c>
      <c r="J618">
        <v>6.0671433507027759</v>
      </c>
      <c r="K618">
        <v>541.06669499233521</v>
      </c>
      <c r="L618">
        <v>7.9240998053286082</v>
      </c>
      <c r="M618">
        <v>0.41000083795357306</v>
      </c>
    </row>
    <row r="619" spans="1:13" x14ac:dyDescent="0.2">
      <c r="A619">
        <v>617</v>
      </c>
      <c r="B619">
        <v>600</v>
      </c>
      <c r="C619">
        <v>76.000000000000298</v>
      </c>
      <c r="D619">
        <v>100</v>
      </c>
      <c r="E619">
        <v>73.498174521730732</v>
      </c>
      <c r="F619">
        <v>42.427064729209427</v>
      </c>
      <c r="G619">
        <v>569.50000656601276</v>
      </c>
      <c r="H619">
        <v>7.493421139026454</v>
      </c>
      <c r="I619">
        <v>3.5401629537131409</v>
      </c>
      <c r="J619">
        <v>6.5986261951782668</v>
      </c>
      <c r="K619">
        <v>579.15344063994701</v>
      </c>
      <c r="L619">
        <v>8.9373801931598926</v>
      </c>
      <c r="M619">
        <v>0.41000090828772506</v>
      </c>
    </row>
    <row r="620" spans="1:13" x14ac:dyDescent="0.2">
      <c r="A620">
        <v>618</v>
      </c>
      <c r="B620">
        <v>600</v>
      </c>
      <c r="C620">
        <v>77.666666666666728</v>
      </c>
      <c r="D620">
        <v>100</v>
      </c>
      <c r="E620">
        <v>81.933345870838295</v>
      </c>
      <c r="F620">
        <v>52.724353350074047</v>
      </c>
      <c r="G620">
        <v>750.86760201767481</v>
      </c>
      <c r="H620">
        <v>9.6678232019443033</v>
      </c>
      <c r="I620">
        <v>4.2429178685889672</v>
      </c>
      <c r="J620">
        <v>7.9085142005386162</v>
      </c>
      <c r="K620">
        <v>763.59507012238055</v>
      </c>
      <c r="L620">
        <v>10.604105186694426</v>
      </c>
      <c r="M620">
        <v>0.41000069429678165</v>
      </c>
    </row>
    <row r="621" spans="1:13" x14ac:dyDescent="0.2">
      <c r="A621">
        <v>619</v>
      </c>
      <c r="B621">
        <v>600</v>
      </c>
      <c r="C621">
        <v>77.583333333333485</v>
      </c>
      <c r="D621">
        <v>100</v>
      </c>
      <c r="E621">
        <v>83.642109982665815</v>
      </c>
      <c r="F621">
        <v>54.946475635953881</v>
      </c>
      <c r="G621">
        <v>791.36126155050658</v>
      </c>
      <c r="H621">
        <v>10.20014515424926</v>
      </c>
      <c r="I621">
        <v>4.3661853836534155</v>
      </c>
      <c r="J621">
        <v>8.1382765771731869</v>
      </c>
      <c r="K621">
        <v>804.77512413473801</v>
      </c>
      <c r="L621">
        <v>10.968471478929732</v>
      </c>
      <c r="M621">
        <v>0.41000070368625285</v>
      </c>
    </row>
    <row r="622" spans="1:13" x14ac:dyDescent="0.2">
      <c r="A622">
        <v>620</v>
      </c>
      <c r="B622">
        <v>600</v>
      </c>
      <c r="C622">
        <v>76.083333333333542</v>
      </c>
      <c r="D622">
        <v>100</v>
      </c>
      <c r="E622">
        <v>71.335012789378865</v>
      </c>
      <c r="F622">
        <v>39.966431067135176</v>
      </c>
      <c r="G622">
        <v>527.81203680104329</v>
      </c>
      <c r="H622">
        <v>6.9372885450301229</v>
      </c>
      <c r="I622">
        <v>3.3406501067783898</v>
      </c>
      <c r="J622">
        <v>6.2267476361200167</v>
      </c>
      <c r="K622">
        <v>536.75881882510464</v>
      </c>
      <c r="L622">
        <v>8.3238839917730214</v>
      </c>
      <c r="M622">
        <v>0.41000089616820251</v>
      </c>
    </row>
    <row r="623" spans="1:13" x14ac:dyDescent="0.2">
      <c r="A623">
        <v>621</v>
      </c>
      <c r="B623">
        <v>600</v>
      </c>
      <c r="C623">
        <v>75.58333333333357</v>
      </c>
      <c r="D623">
        <v>69</v>
      </c>
      <c r="E623">
        <v>87.546387162581937</v>
      </c>
      <c r="F623">
        <v>41.535116125397138</v>
      </c>
      <c r="G623">
        <v>613.25691536879037</v>
      </c>
      <c r="H623">
        <v>8.1136526840413019</v>
      </c>
      <c r="I623">
        <v>3.4245875332552131</v>
      </c>
      <c r="J623">
        <v>6.3832013667385139</v>
      </c>
      <c r="K623">
        <v>623.65212716925942</v>
      </c>
      <c r="L623">
        <v>8.9028937395894108</v>
      </c>
      <c r="M623">
        <v>0.41000097138863545</v>
      </c>
    </row>
    <row r="624" spans="1:13" x14ac:dyDescent="0.2">
      <c r="A624">
        <v>622</v>
      </c>
      <c r="B624">
        <v>600</v>
      </c>
      <c r="C624">
        <v>77.250000000000242</v>
      </c>
      <c r="D624">
        <v>100</v>
      </c>
      <c r="E624">
        <v>77.358991554505209</v>
      </c>
      <c r="F624">
        <v>47.001474302895467</v>
      </c>
      <c r="G624">
        <v>648.74398460390341</v>
      </c>
      <c r="H624">
        <v>8.3979803832220252</v>
      </c>
      <c r="I624">
        <v>3.8267917060422416</v>
      </c>
      <c r="J624">
        <v>7.132882956276311</v>
      </c>
      <c r="K624">
        <v>659.74047566144077</v>
      </c>
      <c r="L624">
        <v>9.5160730642748419</v>
      </c>
      <c r="M624">
        <v>0.41000074253123181</v>
      </c>
    </row>
    <row r="625" spans="1:13" x14ac:dyDescent="0.2">
      <c r="A625">
        <v>623</v>
      </c>
      <c r="B625">
        <v>600</v>
      </c>
      <c r="C625">
        <v>77.250000000000242</v>
      </c>
      <c r="D625">
        <v>100</v>
      </c>
      <c r="E625">
        <v>76.989264865270286</v>
      </c>
      <c r="F625">
        <v>46.55327372609721</v>
      </c>
      <c r="G625">
        <v>640.88303091285968</v>
      </c>
      <c r="H625">
        <v>8.2962204648913609</v>
      </c>
      <c r="I625">
        <v>3.8174646446197498</v>
      </c>
      <c r="J625">
        <v>7.115497939645385</v>
      </c>
      <c r="K625">
        <v>651.74627540623806</v>
      </c>
      <c r="L625">
        <v>9.4811968111711167</v>
      </c>
      <c r="M625">
        <v>0.41000074253123181</v>
      </c>
    </row>
    <row r="626" spans="1:13" x14ac:dyDescent="0.2">
      <c r="A626">
        <v>624</v>
      </c>
      <c r="B626">
        <v>600</v>
      </c>
      <c r="C626">
        <v>76.50000000000027</v>
      </c>
      <c r="D626">
        <v>100</v>
      </c>
      <c r="E626">
        <v>72.715080543206525</v>
      </c>
      <c r="F626">
        <v>41.527793888186395</v>
      </c>
      <c r="G626">
        <v>554.18616571172822</v>
      </c>
      <c r="H626">
        <v>7.2442636040748534</v>
      </c>
      <c r="I626">
        <v>3.36074873565819</v>
      </c>
      <c r="J626">
        <v>6.264210131702125</v>
      </c>
      <c r="K626">
        <v>563.57995200147707</v>
      </c>
      <c r="L626">
        <v>8.2163683817875643</v>
      </c>
      <c r="M626">
        <v>0.41000083795357306</v>
      </c>
    </row>
    <row r="627" spans="1:13" x14ac:dyDescent="0.2">
      <c r="A627">
        <v>625</v>
      </c>
      <c r="B627">
        <v>600</v>
      </c>
      <c r="C627">
        <v>79.416666666666657</v>
      </c>
      <c r="D627">
        <v>98</v>
      </c>
      <c r="E627">
        <v>83.807138714310923</v>
      </c>
      <c r="F627">
        <v>54.06024182921427</v>
      </c>
      <c r="G627">
        <v>779.43399553105314</v>
      </c>
      <c r="H627">
        <v>9.8144889258894423</v>
      </c>
      <c r="I627">
        <v>4.268002955593257</v>
      </c>
      <c r="J627">
        <v>7.9552711194655306</v>
      </c>
      <c r="K627">
        <v>792.64544471121542</v>
      </c>
      <c r="L627">
        <v>10.627503995845167</v>
      </c>
      <c r="M627">
        <v>0.41000052364015721</v>
      </c>
    </row>
    <row r="628" spans="1:13" x14ac:dyDescent="0.2">
      <c r="A628">
        <v>626</v>
      </c>
      <c r="B628">
        <v>600</v>
      </c>
      <c r="C628">
        <v>77.416666666666742</v>
      </c>
      <c r="D628">
        <v>99</v>
      </c>
      <c r="E628">
        <v>78.546211413034186</v>
      </c>
      <c r="F628">
        <v>47.970645267211616</v>
      </c>
      <c r="G628">
        <v>667.63688909678922</v>
      </c>
      <c r="H628">
        <v>8.6239425932846743</v>
      </c>
      <c r="I628">
        <v>3.8137228695137297</v>
      </c>
      <c r="J628">
        <v>7.1085235219268021</v>
      </c>
      <c r="K628">
        <v>678.95360040377386</v>
      </c>
      <c r="L628">
        <v>9.4144323508939873</v>
      </c>
      <c r="M628">
        <v>0.4100007228478541</v>
      </c>
    </row>
    <row r="629" spans="1:13" x14ac:dyDescent="0.2">
      <c r="A629">
        <v>627</v>
      </c>
      <c r="B629">
        <v>600</v>
      </c>
      <c r="C629">
        <v>75.416666666666828</v>
      </c>
      <c r="D629">
        <v>99</v>
      </c>
      <c r="E629">
        <v>73.849676617549392</v>
      </c>
      <c r="F629">
        <v>42.40550815027121</v>
      </c>
      <c r="G629">
        <v>570.69175179711874</v>
      </c>
      <c r="H629">
        <v>7.5671834492435472</v>
      </c>
      <c r="I629">
        <v>3.3845478367105657</v>
      </c>
      <c r="J629">
        <v>6.3085700591063665</v>
      </c>
      <c r="K629">
        <v>580.36547489843099</v>
      </c>
      <c r="L629">
        <v>8.4186948237110091</v>
      </c>
      <c r="M629">
        <v>0.41000099783985799</v>
      </c>
    </row>
    <row r="630" spans="1:13" x14ac:dyDescent="0.2">
      <c r="A630">
        <v>628</v>
      </c>
      <c r="B630">
        <v>600</v>
      </c>
      <c r="C630">
        <v>77.666666666666728</v>
      </c>
      <c r="D630">
        <v>100</v>
      </c>
      <c r="E630">
        <v>73.317918537800821</v>
      </c>
      <c r="F630">
        <v>42.219213194746629</v>
      </c>
      <c r="G630">
        <v>565.95272816436272</v>
      </c>
      <c r="H630">
        <v>7.2869449978244072</v>
      </c>
      <c r="I630">
        <v>3.4700420434830663</v>
      </c>
      <c r="J630">
        <v>6.4679255237335802</v>
      </c>
      <c r="K630">
        <v>575.54582457327342</v>
      </c>
      <c r="L630">
        <v>8.4155741618868962</v>
      </c>
      <c r="M630">
        <v>0.41000069429678165</v>
      </c>
    </row>
    <row r="631" spans="1:13" x14ac:dyDescent="0.2">
      <c r="A631">
        <v>629</v>
      </c>
      <c r="B631">
        <v>600</v>
      </c>
      <c r="C631">
        <v>78.000000000000213</v>
      </c>
      <c r="D631">
        <v>100</v>
      </c>
      <c r="E631">
        <v>81.775572648740365</v>
      </c>
      <c r="F631">
        <v>52.521493772959893</v>
      </c>
      <c r="G631">
        <v>747.19375591534799</v>
      </c>
      <c r="H631">
        <v>9.5794071271198202</v>
      </c>
      <c r="I631">
        <v>4.3574546212376299</v>
      </c>
      <c r="J631">
        <v>8.1220030218781538</v>
      </c>
      <c r="K631">
        <v>759.85890426692777</v>
      </c>
      <c r="L631">
        <v>11.080627656191398</v>
      </c>
      <c r="M631">
        <v>0.41000065797515273</v>
      </c>
    </row>
    <row r="632" spans="1:13" x14ac:dyDescent="0.2">
      <c r="A632">
        <v>630</v>
      </c>
      <c r="B632">
        <v>600</v>
      </c>
      <c r="C632">
        <v>76.250000000000284</v>
      </c>
      <c r="D632">
        <v>100</v>
      </c>
      <c r="E632">
        <v>73.620512517960265</v>
      </c>
      <c r="F632">
        <v>42.568422303711245</v>
      </c>
      <c r="G632">
        <v>571.91535347813522</v>
      </c>
      <c r="H632">
        <v>7.5005292259427288</v>
      </c>
      <c r="I632">
        <v>3.5059312274269789</v>
      </c>
      <c r="J632">
        <v>6.5348205543839306</v>
      </c>
      <c r="K632">
        <v>581.609694051254</v>
      </c>
      <c r="L632">
        <v>8.7040821161238355</v>
      </c>
      <c r="M632">
        <v>0.4100008724121415</v>
      </c>
    </row>
    <row r="633" spans="1:13" x14ac:dyDescent="0.2">
      <c r="A633">
        <v>631</v>
      </c>
      <c r="B633">
        <v>600</v>
      </c>
      <c r="C633">
        <v>78.500000000000185</v>
      </c>
      <c r="D633">
        <v>100</v>
      </c>
      <c r="E633">
        <v>80.565226553984729</v>
      </c>
      <c r="F633">
        <v>50.978276291638281</v>
      </c>
      <c r="G633">
        <v>719.37260095006241</v>
      </c>
      <c r="H633">
        <v>9.1639821777077799</v>
      </c>
      <c r="I633">
        <v>4.0491888879548323</v>
      </c>
      <c r="J633">
        <v>7.5474163801581202</v>
      </c>
      <c r="K633">
        <v>731.56610957350892</v>
      </c>
      <c r="L633">
        <v>10.000845645828768</v>
      </c>
      <c r="M633">
        <v>0.41000060702420055</v>
      </c>
    </row>
    <row r="634" spans="1:13" x14ac:dyDescent="0.2">
      <c r="A634">
        <v>632</v>
      </c>
      <c r="B634">
        <v>600</v>
      </c>
      <c r="C634">
        <v>77.000000000000256</v>
      </c>
      <c r="D634">
        <v>51</v>
      </c>
      <c r="E634">
        <v>95.781134076716938</v>
      </c>
      <c r="F634">
        <v>36.746840752063093</v>
      </c>
      <c r="G634">
        <v>569.78789399080256</v>
      </c>
      <c r="H634">
        <v>7.3998427791013075</v>
      </c>
      <c r="I634">
        <v>3.412455042940564</v>
      </c>
      <c r="J634">
        <v>6.3605872189013297</v>
      </c>
      <c r="K634">
        <v>579.4460751600576</v>
      </c>
      <c r="L634">
        <v>9.1354796956920126</v>
      </c>
      <c r="M634">
        <v>0.41000077306581523</v>
      </c>
    </row>
    <row r="635" spans="1:13" x14ac:dyDescent="0.2">
      <c r="A635">
        <v>633</v>
      </c>
      <c r="B635">
        <v>600</v>
      </c>
      <c r="C635">
        <v>72.500000000000441</v>
      </c>
      <c r="D635">
        <v>5</v>
      </c>
      <c r="E635">
        <v>195.52353623210891</v>
      </c>
      <c r="F635">
        <v>15.012671173616679</v>
      </c>
      <c r="G635">
        <v>343.37090483362203</v>
      </c>
      <c r="H635">
        <v>4.7361504114982065</v>
      </c>
      <c r="I635">
        <v>1.6514570222416791</v>
      </c>
      <c r="J635">
        <v>3.0782050740758224</v>
      </c>
      <c r="K635">
        <v>349.19169573907271</v>
      </c>
      <c r="L635">
        <v>5.8775258174894613</v>
      </c>
      <c r="M635">
        <v>0.4100015967902057</v>
      </c>
    </row>
    <row r="636" spans="1:13" x14ac:dyDescent="0.2">
      <c r="A636">
        <v>634</v>
      </c>
      <c r="B636">
        <v>600</v>
      </c>
      <c r="C636">
        <v>75.500000000000313</v>
      </c>
      <c r="D636">
        <v>98</v>
      </c>
      <c r="E636">
        <v>72.175184622666166</v>
      </c>
      <c r="F636">
        <v>40.095142747639819</v>
      </c>
      <c r="G636">
        <v>532.89973895911942</v>
      </c>
      <c r="H636">
        <v>7.0582746882002283</v>
      </c>
      <c r="I636">
        <v>3.2761029716709742</v>
      </c>
      <c r="J636">
        <v>6.1064361074948259</v>
      </c>
      <c r="K636">
        <v>541.93284224089746</v>
      </c>
      <c r="L636">
        <v>8.0911619216938373</v>
      </c>
      <c r="M636">
        <v>0.41000098452541767</v>
      </c>
    </row>
    <row r="637" spans="1:13" x14ac:dyDescent="0.2">
      <c r="A637">
        <v>635</v>
      </c>
      <c r="B637">
        <v>600</v>
      </c>
      <c r="C637">
        <v>77.583333333333485</v>
      </c>
      <c r="D637">
        <v>99</v>
      </c>
      <c r="E637">
        <v>80.331375497208953</v>
      </c>
      <c r="F637">
        <v>50.175935995686451</v>
      </c>
      <c r="G637">
        <v>706.9301626862964</v>
      </c>
      <c r="H637">
        <v>9.1118817961713638</v>
      </c>
      <c r="I637">
        <v>3.9852161691979848</v>
      </c>
      <c r="J637">
        <v>7.4281755250661403</v>
      </c>
      <c r="K637">
        <v>718.91288728965014</v>
      </c>
      <c r="L637">
        <v>9.9034717994697328</v>
      </c>
      <c r="M637">
        <v>0.41000070368625285</v>
      </c>
    </row>
    <row r="638" spans="1:13" x14ac:dyDescent="0.2">
      <c r="A638">
        <v>636</v>
      </c>
      <c r="B638">
        <v>600</v>
      </c>
      <c r="C638">
        <v>81.000000000000085</v>
      </c>
      <c r="D638">
        <v>99</v>
      </c>
      <c r="E638">
        <v>86.984222573438032</v>
      </c>
      <c r="F638">
        <v>58.830975348762166</v>
      </c>
      <c r="G638">
        <v>865.58467749126919</v>
      </c>
      <c r="H638">
        <v>10.686230586311954</v>
      </c>
      <c r="I638">
        <v>4.7589380415265428</v>
      </c>
      <c r="J638">
        <v>8.8703411771230982</v>
      </c>
      <c r="K638">
        <v>880.25620949353595</v>
      </c>
      <c r="L638">
        <v>12.37281565975497</v>
      </c>
      <c r="M638">
        <v>0.41000040568464141</v>
      </c>
    </row>
    <row r="639" spans="1:13" x14ac:dyDescent="0.2">
      <c r="A639">
        <v>637</v>
      </c>
      <c r="B639">
        <v>600</v>
      </c>
      <c r="C639">
        <v>80.250000000000114</v>
      </c>
      <c r="D639">
        <v>100</v>
      </c>
      <c r="E639">
        <v>87.126642050164179</v>
      </c>
      <c r="F639">
        <v>59.619981065828412</v>
      </c>
      <c r="G639">
        <v>877.97532544576882</v>
      </c>
      <c r="H639">
        <v>10.940502497766571</v>
      </c>
      <c r="I639">
        <v>4.7759414606590012</v>
      </c>
      <c r="J639">
        <v>8.9020344094296391</v>
      </c>
      <c r="K639">
        <v>892.85695599038388</v>
      </c>
      <c r="L639">
        <v>12.195510246676781</v>
      </c>
      <c r="M639">
        <v>0.41000045781898492</v>
      </c>
    </row>
    <row r="640" spans="1:13" x14ac:dyDescent="0.2">
      <c r="A640">
        <v>638</v>
      </c>
      <c r="B640">
        <v>600</v>
      </c>
      <c r="C640">
        <v>77.000000000000256</v>
      </c>
      <c r="D640">
        <v>100</v>
      </c>
      <c r="E640">
        <v>77.095368647961863</v>
      </c>
      <c r="F640">
        <v>46.681678177074254</v>
      </c>
      <c r="G640">
        <v>643.13297525804001</v>
      </c>
      <c r="H640">
        <v>8.3523763020524395</v>
      </c>
      <c r="I640">
        <v>3.9215606352616228</v>
      </c>
      <c r="J640">
        <v>7.3095258811959409</v>
      </c>
      <c r="K640">
        <v>654.03439112958256</v>
      </c>
      <c r="L640">
        <v>9.8992642492909422</v>
      </c>
      <c r="M640">
        <v>0.41000077306581523</v>
      </c>
    </row>
    <row r="641" spans="1:13" x14ac:dyDescent="0.2">
      <c r="A641">
        <v>639</v>
      </c>
      <c r="B641">
        <v>600</v>
      </c>
      <c r="C641">
        <v>78.583333333333442</v>
      </c>
      <c r="D641">
        <v>100</v>
      </c>
      <c r="E641">
        <v>82.225973996976123</v>
      </c>
      <c r="F641">
        <v>53.101640046513971</v>
      </c>
      <c r="G641">
        <v>757.71081760289383</v>
      </c>
      <c r="H641">
        <v>9.6421312950527156</v>
      </c>
      <c r="I641">
        <v>4.1933975419341634</v>
      </c>
      <c r="J641">
        <v>7.8162116345464367</v>
      </c>
      <c r="K641">
        <v>770.55415604324014</v>
      </c>
      <c r="L641">
        <v>10.414927156189936</v>
      </c>
      <c r="M641">
        <v>0.41000059892451662</v>
      </c>
    </row>
    <row r="642" spans="1:13" x14ac:dyDescent="0.2">
      <c r="A642">
        <v>640</v>
      </c>
      <c r="B642">
        <v>600</v>
      </c>
      <c r="C642">
        <v>77.916666666666728</v>
      </c>
      <c r="D642">
        <v>99</v>
      </c>
      <c r="E642">
        <v>79.412635433693481</v>
      </c>
      <c r="F642">
        <v>49.034787096234005</v>
      </c>
      <c r="G642">
        <v>686.53747800855501</v>
      </c>
      <c r="H642">
        <v>8.811176188345085</v>
      </c>
      <c r="I642">
        <v>4.0726308466689183</v>
      </c>
      <c r="J642">
        <v>7.5911106182086074</v>
      </c>
      <c r="K642">
        <v>698.17449559177476</v>
      </c>
      <c r="L642">
        <v>10.31029291184038</v>
      </c>
      <c r="M642">
        <v>0.41000066687342057</v>
      </c>
    </row>
    <row r="643" spans="1:13" x14ac:dyDescent="0.2">
      <c r="A643">
        <v>641</v>
      </c>
      <c r="B643">
        <v>600</v>
      </c>
      <c r="C643">
        <v>80.250000000000114</v>
      </c>
      <c r="D643">
        <v>95.166577507990326</v>
      </c>
      <c r="E643">
        <v>91.872221641629636</v>
      </c>
      <c r="F643">
        <v>63.087420353756428</v>
      </c>
      <c r="G643">
        <v>956.26762666714319</v>
      </c>
      <c r="H643">
        <v>11.916107497409866</v>
      </c>
      <c r="I643">
        <v>5.096981219173081</v>
      </c>
      <c r="J643">
        <v>9.5004309770234503</v>
      </c>
      <c r="K643">
        <v>972.47630714983325</v>
      </c>
      <c r="L643">
        <v>13.12905868653958</v>
      </c>
      <c r="M643">
        <v>0.41000045781898492</v>
      </c>
    </row>
    <row r="644" spans="1:13" x14ac:dyDescent="0.2">
      <c r="A644">
        <v>642</v>
      </c>
      <c r="B644">
        <v>600</v>
      </c>
      <c r="C644">
        <v>76.583333333333528</v>
      </c>
      <c r="D644">
        <v>99</v>
      </c>
      <c r="E644">
        <v>71.094410348006363</v>
      </c>
      <c r="F644">
        <v>39.300311175492325</v>
      </c>
      <c r="G644">
        <v>518.06079882613392</v>
      </c>
      <c r="H644">
        <v>6.7646676669353552</v>
      </c>
      <c r="I644">
        <v>3.1563320002884776</v>
      </c>
      <c r="J644">
        <v>5.8831910536597896</v>
      </c>
      <c r="K644">
        <v>526.84222860062141</v>
      </c>
      <c r="L644">
        <v>7.6786392511508526</v>
      </c>
      <c r="M644">
        <v>0.41000082677253757</v>
      </c>
    </row>
    <row r="645" spans="1:13" x14ac:dyDescent="0.2">
      <c r="A645">
        <v>643</v>
      </c>
      <c r="B645">
        <v>600</v>
      </c>
      <c r="C645">
        <v>76.583333333333528</v>
      </c>
      <c r="D645">
        <v>99</v>
      </c>
      <c r="E645">
        <v>80.47320692916928</v>
      </c>
      <c r="F645">
        <v>50.353271618372425</v>
      </c>
      <c r="G645">
        <v>710.11049254378281</v>
      </c>
      <c r="H645">
        <v>9.2723894565020366</v>
      </c>
      <c r="I645">
        <v>3.9565177502175959</v>
      </c>
      <c r="J645">
        <v>7.3746835977960776</v>
      </c>
      <c r="K645">
        <v>722.14727555560216</v>
      </c>
      <c r="L645">
        <v>9.9421906350600224</v>
      </c>
      <c r="M645">
        <v>0.41000082677253757</v>
      </c>
    </row>
    <row r="646" spans="1:13" x14ac:dyDescent="0.2">
      <c r="A646">
        <v>644</v>
      </c>
      <c r="B646">
        <v>600</v>
      </c>
      <c r="C646">
        <v>80.250000000000114</v>
      </c>
      <c r="D646">
        <v>100</v>
      </c>
      <c r="E646">
        <v>79.528731452904736</v>
      </c>
      <c r="F646">
        <v>49.675013257806242</v>
      </c>
      <c r="G646">
        <v>696.05520390192817</v>
      </c>
      <c r="H646">
        <v>8.6735850953511182</v>
      </c>
      <c r="I646">
        <v>4.015551288055704</v>
      </c>
      <c r="J646">
        <v>7.4847181510823928</v>
      </c>
      <c r="K646">
        <v>707.85329899972146</v>
      </c>
      <c r="L646">
        <v>9.9414637982137339</v>
      </c>
      <c r="M646">
        <v>0.41000045781898492</v>
      </c>
    </row>
    <row r="647" spans="1:13" x14ac:dyDescent="0.2">
      <c r="A647">
        <v>645</v>
      </c>
      <c r="B647">
        <v>600</v>
      </c>
      <c r="C647">
        <v>78.083333333333456</v>
      </c>
      <c r="D647">
        <v>100</v>
      </c>
      <c r="E647">
        <v>77.35780397452092</v>
      </c>
      <c r="F647">
        <v>47.000031223544362</v>
      </c>
      <c r="G647">
        <v>648.7187442969489</v>
      </c>
      <c r="H647">
        <v>8.3080308768018938</v>
      </c>
      <c r="I647">
        <v>3.870811999375825</v>
      </c>
      <c r="J647">
        <v>7.2149338292186842</v>
      </c>
      <c r="K647">
        <v>659.71470315603881</v>
      </c>
      <c r="L647">
        <v>9.6499610764612207</v>
      </c>
      <c r="M647">
        <v>0.41000064919561674</v>
      </c>
    </row>
    <row r="648" spans="1:13" x14ac:dyDescent="0.2">
      <c r="A648">
        <v>646</v>
      </c>
      <c r="B648">
        <v>600</v>
      </c>
      <c r="C648">
        <v>78.666666666666686</v>
      </c>
      <c r="D648">
        <v>100</v>
      </c>
      <c r="E648">
        <v>74.547218562403003</v>
      </c>
      <c r="F648">
        <v>43.646836279708957</v>
      </c>
      <c r="G648">
        <v>590.41355456441534</v>
      </c>
      <c r="H648">
        <v>7.5052570495476507</v>
      </c>
      <c r="I648">
        <v>3.5366727097811523</v>
      </c>
      <c r="J648">
        <v>6.5921206146899376</v>
      </c>
      <c r="K648">
        <v>600.42116533436433</v>
      </c>
      <c r="L648">
        <v>8.5426459324429675</v>
      </c>
      <c r="M648">
        <v>0.41000059093290886</v>
      </c>
    </row>
    <row r="649" spans="1:13" x14ac:dyDescent="0.2">
      <c r="A649">
        <v>647</v>
      </c>
      <c r="B649">
        <v>600</v>
      </c>
      <c r="C649">
        <v>75.416666666666828</v>
      </c>
      <c r="D649">
        <v>100</v>
      </c>
      <c r="E649">
        <v>73.325516973553974</v>
      </c>
      <c r="F649">
        <v>42.227964578003309</v>
      </c>
      <c r="G649">
        <v>566.10170452563943</v>
      </c>
      <c r="H649">
        <v>7.5063209439863634</v>
      </c>
      <c r="I649">
        <v>3.4290409179038899</v>
      </c>
      <c r="J649">
        <v>6.3915021768944813</v>
      </c>
      <c r="K649">
        <v>575.69762232104631</v>
      </c>
      <c r="L649">
        <v>8.5131050078067965</v>
      </c>
      <c r="M649">
        <v>0.41000099783985799</v>
      </c>
    </row>
    <row r="650" spans="1:13" x14ac:dyDescent="0.2">
      <c r="A650">
        <v>648</v>
      </c>
      <c r="B650">
        <v>600</v>
      </c>
      <c r="C650">
        <v>76.250000000000284</v>
      </c>
      <c r="D650">
        <v>99</v>
      </c>
      <c r="E650">
        <v>76.942110130994152</v>
      </c>
      <c r="F650">
        <v>46.031302220628191</v>
      </c>
      <c r="G650">
        <v>633.48564412701296</v>
      </c>
      <c r="H650">
        <v>8.3080084475673512</v>
      </c>
      <c r="I650">
        <v>3.7363948115738381</v>
      </c>
      <c r="J650">
        <v>6.9643892107620466</v>
      </c>
      <c r="K650">
        <v>644.22364153344824</v>
      </c>
      <c r="L650">
        <v>9.3861684803327314</v>
      </c>
      <c r="M650">
        <v>0.4100008724121415</v>
      </c>
    </row>
    <row r="651" spans="1:13" x14ac:dyDescent="0.2">
      <c r="A651">
        <v>649</v>
      </c>
      <c r="B651">
        <v>600</v>
      </c>
      <c r="C651">
        <v>77.000000000000256</v>
      </c>
      <c r="D651">
        <v>100</v>
      </c>
      <c r="E651">
        <v>77.392026009730913</v>
      </c>
      <c r="F651">
        <v>47.041624764621197</v>
      </c>
      <c r="G651">
        <v>649.44914645248105</v>
      </c>
      <c r="H651">
        <v>8.4344044993828433</v>
      </c>
      <c r="I651">
        <v>3.9361332441318249</v>
      </c>
      <c r="J651">
        <v>7.3366882462848544</v>
      </c>
      <c r="K651">
        <v>660.45762448932282</v>
      </c>
      <c r="L651">
        <v>9.9515489427618515</v>
      </c>
      <c r="M651">
        <v>0.41000077306581523</v>
      </c>
    </row>
    <row r="652" spans="1:13" x14ac:dyDescent="0.2">
      <c r="A652">
        <v>650</v>
      </c>
      <c r="B652">
        <v>600</v>
      </c>
      <c r="C652">
        <v>76.250000000000284</v>
      </c>
      <c r="D652">
        <v>56</v>
      </c>
      <c r="E652">
        <v>89.482025839247271</v>
      </c>
      <c r="F652">
        <v>35.216770242384143</v>
      </c>
      <c r="G652">
        <v>526.19892133861629</v>
      </c>
      <c r="H652">
        <v>6.9009694601785485</v>
      </c>
      <c r="I652">
        <v>3.0056857402261179</v>
      </c>
      <c r="J652">
        <v>5.6023965335062771</v>
      </c>
      <c r="K652">
        <v>535.11833838458529</v>
      </c>
      <c r="L652">
        <v>7.8502034945632726</v>
      </c>
      <c r="M652">
        <v>0.4100008724121415</v>
      </c>
    </row>
    <row r="653" spans="1:13" x14ac:dyDescent="0.2">
      <c r="A653">
        <v>651</v>
      </c>
      <c r="B653">
        <v>600</v>
      </c>
      <c r="C653">
        <v>76.333333333333528</v>
      </c>
      <c r="D653">
        <v>91</v>
      </c>
      <c r="E653">
        <v>77.830323575607238</v>
      </c>
      <c r="F653">
        <v>43.294122905370322</v>
      </c>
      <c r="G653">
        <v>599.55311022707872</v>
      </c>
      <c r="H653">
        <v>7.8544075575599637</v>
      </c>
      <c r="I653">
        <v>3.5647260045050366</v>
      </c>
      <c r="J653">
        <v>6.6444100736347371</v>
      </c>
      <c r="K653">
        <v>609.71591688511785</v>
      </c>
      <c r="L653">
        <v>8.9256398148153639</v>
      </c>
      <c r="M653">
        <v>0.41000086077131626</v>
      </c>
    </row>
    <row r="654" spans="1:13" x14ac:dyDescent="0.2">
      <c r="A654">
        <v>652</v>
      </c>
      <c r="B654">
        <v>600</v>
      </c>
      <c r="C654">
        <v>77.916666666666728</v>
      </c>
      <c r="D654">
        <v>100</v>
      </c>
      <c r="E654">
        <v>75.374286005153479</v>
      </c>
      <c r="F654">
        <v>44.620692267050174</v>
      </c>
      <c r="G654">
        <v>607.22532126513488</v>
      </c>
      <c r="H654">
        <v>7.793266155274452</v>
      </c>
      <c r="I654">
        <v>3.7605070898130699</v>
      </c>
      <c r="J654">
        <v>7.0093328794279026</v>
      </c>
      <c r="K654">
        <v>617.51797383966846</v>
      </c>
      <c r="L654">
        <v>9.3823464120625104</v>
      </c>
      <c r="M654">
        <v>0.41000066687342057</v>
      </c>
    </row>
    <row r="655" spans="1:13" x14ac:dyDescent="0.2">
      <c r="A655">
        <v>653</v>
      </c>
      <c r="B655">
        <v>600</v>
      </c>
      <c r="C655">
        <v>77.416666666666742</v>
      </c>
      <c r="D655">
        <v>99</v>
      </c>
      <c r="E655">
        <v>81.241192592183026</v>
      </c>
      <c r="F655">
        <v>51.318937485728895</v>
      </c>
      <c r="G655">
        <v>727.48299552451658</v>
      </c>
      <c r="H655">
        <v>9.3969816429431567</v>
      </c>
      <c r="I655">
        <v>4.0926546182657608</v>
      </c>
      <c r="J655">
        <v>7.6284335848383229</v>
      </c>
      <c r="K655">
        <v>739.81412218264495</v>
      </c>
      <c r="L655">
        <v>10.192948506788074</v>
      </c>
      <c r="M655">
        <v>0.4100007228478541</v>
      </c>
    </row>
    <row r="656" spans="1:13" x14ac:dyDescent="0.2">
      <c r="A656">
        <v>654</v>
      </c>
      <c r="B656">
        <v>600</v>
      </c>
      <c r="C656">
        <v>77.916666666666728</v>
      </c>
      <c r="D656">
        <v>100</v>
      </c>
      <c r="E656">
        <v>79.990765638895937</v>
      </c>
      <c r="F656">
        <v>50.253878886770551</v>
      </c>
      <c r="G656">
        <v>706.39153030585612</v>
      </c>
      <c r="H656">
        <v>9.0659875547275579</v>
      </c>
      <c r="I656">
        <v>4.2126827874066448</v>
      </c>
      <c r="J656">
        <v>7.8521580380366158</v>
      </c>
      <c r="K656">
        <v>718.36508007134216</v>
      </c>
      <c r="L656">
        <v>10.687043763566152</v>
      </c>
      <c r="M656">
        <v>0.41000066687342057</v>
      </c>
    </row>
    <row r="657" spans="1:13" x14ac:dyDescent="0.2">
      <c r="A657">
        <v>655</v>
      </c>
      <c r="B657">
        <v>600</v>
      </c>
      <c r="C657">
        <v>78.333333333333456</v>
      </c>
      <c r="D657">
        <v>100</v>
      </c>
      <c r="E657">
        <v>81.355803101107853</v>
      </c>
      <c r="F657">
        <v>51.983672087430733</v>
      </c>
      <c r="G657">
        <v>737.47229320721294</v>
      </c>
      <c r="H657">
        <v>9.4145399132835568</v>
      </c>
      <c r="I657">
        <v>4.142913318173334</v>
      </c>
      <c r="J657">
        <v>7.7221124290276499</v>
      </c>
      <c r="K657">
        <v>749.9726162245762</v>
      </c>
      <c r="L657">
        <v>10.303365359067504</v>
      </c>
      <c r="M657">
        <v>0.41000062355366318</v>
      </c>
    </row>
    <row r="658" spans="1:13" x14ac:dyDescent="0.2">
      <c r="A658">
        <v>656</v>
      </c>
      <c r="B658">
        <v>600</v>
      </c>
      <c r="C658">
        <v>77.583333333333485</v>
      </c>
      <c r="D658">
        <v>100</v>
      </c>
      <c r="E658">
        <v>79.956456550732014</v>
      </c>
      <c r="F658">
        <v>50.210779036704089</v>
      </c>
      <c r="G658">
        <v>705.62074696223976</v>
      </c>
      <c r="H658">
        <v>9.0950042573006016</v>
      </c>
      <c r="I658">
        <v>4.0368521002160804</v>
      </c>
      <c r="J658">
        <v>7.5244214356310906</v>
      </c>
      <c r="K658">
        <v>717.58127649054825</v>
      </c>
      <c r="L658">
        <v>10.012969086961354</v>
      </c>
      <c r="M658">
        <v>0.41000070368625285</v>
      </c>
    </row>
    <row r="659" spans="1:13" x14ac:dyDescent="0.2">
      <c r="A659">
        <v>657</v>
      </c>
      <c r="B659">
        <v>600</v>
      </c>
      <c r="C659">
        <v>77.916666666666728</v>
      </c>
      <c r="D659">
        <v>100</v>
      </c>
      <c r="E659">
        <v>87.909296481439199</v>
      </c>
      <c r="F659">
        <v>60.695918845884059</v>
      </c>
      <c r="G659">
        <v>898.18404198589258</v>
      </c>
      <c r="H659">
        <v>11.527495726022142</v>
      </c>
      <c r="I659">
        <v>5.0535150993630928</v>
      </c>
      <c r="J659">
        <v>9.419413046343136</v>
      </c>
      <c r="K659">
        <v>913.40853274475955</v>
      </c>
      <c r="L659">
        <v>13.171884239881363</v>
      </c>
      <c r="M659">
        <v>0.41000066687342057</v>
      </c>
    </row>
    <row r="660" spans="1:13" x14ac:dyDescent="0.2">
      <c r="A660">
        <v>658</v>
      </c>
      <c r="B660">
        <v>600</v>
      </c>
      <c r="C660">
        <v>78.666666666666686</v>
      </c>
      <c r="D660">
        <v>100</v>
      </c>
      <c r="E660">
        <v>87.009946110470466</v>
      </c>
      <c r="F660">
        <v>59.460380047508721</v>
      </c>
      <c r="G660">
        <v>874.98579514038192</v>
      </c>
      <c r="H660">
        <v>11.122700785682818</v>
      </c>
      <c r="I660">
        <v>4.7360658492281997</v>
      </c>
      <c r="J660">
        <v>8.827708945439328</v>
      </c>
      <c r="K660">
        <v>889.81695407855966</v>
      </c>
      <c r="L660">
        <v>11.967791426081163</v>
      </c>
      <c r="M660">
        <v>0.41000059093290886</v>
      </c>
    </row>
    <row r="661" spans="1:13" x14ac:dyDescent="0.2">
      <c r="A661">
        <v>659</v>
      </c>
      <c r="B661">
        <v>600</v>
      </c>
      <c r="C661">
        <v>77.583333333333485</v>
      </c>
      <c r="D661">
        <v>99</v>
      </c>
      <c r="E661">
        <v>80.110337191023262</v>
      </c>
      <c r="F661">
        <v>49.900189558850009</v>
      </c>
      <c r="G661">
        <v>701.99078805277657</v>
      </c>
      <c r="H661">
        <v>9.0482163873612276</v>
      </c>
      <c r="I661">
        <v>3.9529921610207137</v>
      </c>
      <c r="J661">
        <v>7.3681121361057098</v>
      </c>
      <c r="K661">
        <v>713.8897884510103</v>
      </c>
      <c r="L661">
        <v>9.8114953206095485</v>
      </c>
      <c r="M661">
        <v>0.41000070368625285</v>
      </c>
    </row>
    <row r="662" spans="1:13" x14ac:dyDescent="0.2">
      <c r="A662">
        <v>660</v>
      </c>
      <c r="B662">
        <v>600</v>
      </c>
      <c r="C662">
        <v>80.083333333333371</v>
      </c>
      <c r="D662">
        <v>99.395798198994726</v>
      </c>
      <c r="E662">
        <v>89.547424228237716</v>
      </c>
      <c r="F662">
        <v>62.598525471548918</v>
      </c>
      <c r="G662">
        <v>935.70221376587483</v>
      </c>
      <c r="H662">
        <v>11.684106727565547</v>
      </c>
      <c r="I662">
        <v>5.0770642827131383</v>
      </c>
      <c r="J662">
        <v>9.4633071439201082</v>
      </c>
      <c r="K662">
        <v>951.56233180598599</v>
      </c>
      <c r="L662">
        <v>13.195569773681408</v>
      </c>
      <c r="M662">
        <v>0.41000047028554198</v>
      </c>
    </row>
    <row r="663" spans="1:13" x14ac:dyDescent="0.2">
      <c r="A663">
        <v>661</v>
      </c>
      <c r="B663">
        <v>600</v>
      </c>
      <c r="C663">
        <v>77.416666666666742</v>
      </c>
      <c r="D663">
        <v>99</v>
      </c>
      <c r="E663">
        <v>73.75059723936937</v>
      </c>
      <c r="F663">
        <v>42.291798974497638</v>
      </c>
      <c r="G663">
        <v>568.74565892554631</v>
      </c>
      <c r="H663">
        <v>7.3465531831071571</v>
      </c>
      <c r="I663">
        <v>3.4210469010336713</v>
      </c>
      <c r="J663">
        <v>6.3766018658595911</v>
      </c>
      <c r="K663">
        <v>578.38612447541811</v>
      </c>
      <c r="L663">
        <v>8.3040705904305732</v>
      </c>
      <c r="M663">
        <v>0.4100007228478541</v>
      </c>
    </row>
    <row r="664" spans="1:13" x14ac:dyDescent="0.2">
      <c r="A664">
        <v>662</v>
      </c>
      <c r="B664">
        <v>600</v>
      </c>
      <c r="C664">
        <v>78.166666666666714</v>
      </c>
      <c r="D664">
        <v>90</v>
      </c>
      <c r="E664">
        <v>76.740064404410646</v>
      </c>
      <c r="F664">
        <v>41.627153022617016</v>
      </c>
      <c r="G664">
        <v>572.0557896839141</v>
      </c>
      <c r="H664">
        <v>7.3184109554445254</v>
      </c>
      <c r="I664">
        <v>3.4395329015435459</v>
      </c>
      <c r="J664">
        <v>6.4110585303700756</v>
      </c>
      <c r="K664">
        <v>581.75228210511159</v>
      </c>
      <c r="L664">
        <v>8.5104304689854207</v>
      </c>
      <c r="M664">
        <v>0.41000064053322849</v>
      </c>
    </row>
    <row r="665" spans="1:13" x14ac:dyDescent="0.2">
      <c r="A665">
        <v>663</v>
      </c>
      <c r="B665">
        <v>600</v>
      </c>
      <c r="C665">
        <v>80.000000000000128</v>
      </c>
      <c r="D665">
        <v>37</v>
      </c>
      <c r="E665">
        <v>131.42342065499713</v>
      </c>
      <c r="F665">
        <v>50.192304819542812</v>
      </c>
      <c r="G665">
        <v>924.63093892063</v>
      </c>
      <c r="H665">
        <v>11.557886736507855</v>
      </c>
      <c r="I665">
        <v>4.6727351849392411</v>
      </c>
      <c r="J665">
        <v>8.7096648367926193</v>
      </c>
      <c r="K665">
        <v>940.3034093962932</v>
      </c>
      <c r="L665">
        <v>14.561363388843905</v>
      </c>
      <c r="M665">
        <v>0.41000047664554917</v>
      </c>
    </row>
    <row r="666" spans="1:13" x14ac:dyDescent="0.2">
      <c r="A666">
        <v>664</v>
      </c>
      <c r="B666">
        <v>600</v>
      </c>
      <c r="C666">
        <v>78.666666666666686</v>
      </c>
      <c r="D666">
        <v>86</v>
      </c>
      <c r="E666">
        <v>95.760719653299844</v>
      </c>
      <c r="F666">
        <v>61.938849615024751</v>
      </c>
      <c r="G666">
        <v>960.2980668744234</v>
      </c>
      <c r="H666">
        <v>12.207178816200294</v>
      </c>
      <c r="I666">
        <v>5.1050347091398951</v>
      </c>
      <c r="J666">
        <v>9.5154421419196566</v>
      </c>
      <c r="K666">
        <v>976.57528341546958</v>
      </c>
      <c r="L666">
        <v>13.294980738034589</v>
      </c>
      <c r="M666">
        <v>0.41000059093290886</v>
      </c>
    </row>
    <row r="667" spans="1:13" x14ac:dyDescent="0.2">
      <c r="A667">
        <v>665</v>
      </c>
      <c r="B667">
        <v>600</v>
      </c>
      <c r="C667">
        <v>79.083333333333414</v>
      </c>
      <c r="D667">
        <v>99</v>
      </c>
      <c r="E667">
        <v>84.74386468655247</v>
      </c>
      <c r="F667">
        <v>55.839511153978705</v>
      </c>
      <c r="G667">
        <v>809.97637255398888</v>
      </c>
      <c r="H667">
        <v>10.242061612906069</v>
      </c>
      <c r="I667">
        <v>4.5686233721501059</v>
      </c>
      <c r="J667">
        <v>8.5156074038212584</v>
      </c>
      <c r="K667">
        <v>823.70555706402672</v>
      </c>
      <c r="L667">
        <v>11.65297677182962</v>
      </c>
      <c r="M667">
        <v>0.41000055254620849</v>
      </c>
    </row>
    <row r="668" spans="1:13" x14ac:dyDescent="0.2">
      <c r="A668">
        <v>666</v>
      </c>
      <c r="B668">
        <v>600</v>
      </c>
      <c r="C668">
        <v>78.583333333333442</v>
      </c>
      <c r="D668">
        <v>99</v>
      </c>
      <c r="E668">
        <v>84.091703386042823</v>
      </c>
      <c r="F668">
        <v>54.983372622460521</v>
      </c>
      <c r="G668">
        <v>794.20853969963912</v>
      </c>
      <c r="H668">
        <v>10.10657738748214</v>
      </c>
      <c r="I668">
        <v>4.3228647511455298</v>
      </c>
      <c r="J668">
        <v>8.0575298250615646</v>
      </c>
      <c r="K668">
        <v>807.67052127705074</v>
      </c>
      <c r="L668">
        <v>10.80880144606485</v>
      </c>
      <c r="M668">
        <v>0.41000059892451662</v>
      </c>
    </row>
    <row r="669" spans="1:13" x14ac:dyDescent="0.2">
      <c r="A669">
        <v>667</v>
      </c>
      <c r="B669">
        <v>600</v>
      </c>
      <c r="C669">
        <v>74.166666666666885</v>
      </c>
      <c r="D669">
        <v>99</v>
      </c>
      <c r="E669">
        <v>71.028239777758515</v>
      </c>
      <c r="F669">
        <v>39.227188301839711</v>
      </c>
      <c r="G669">
        <v>516.83432958521291</v>
      </c>
      <c r="H669">
        <v>6.9685527584522884</v>
      </c>
      <c r="I669">
        <v>3.2358432490670488</v>
      </c>
      <c r="J669">
        <v>6.0313946860522814</v>
      </c>
      <c r="K669">
        <v>525.59532082570388</v>
      </c>
      <c r="L669">
        <v>8.2006658509635262</v>
      </c>
      <c r="M669">
        <v>0.41000122058932448</v>
      </c>
    </row>
    <row r="670" spans="1:13" x14ac:dyDescent="0.2">
      <c r="A670">
        <v>668</v>
      </c>
      <c r="B670">
        <v>600</v>
      </c>
      <c r="C670">
        <v>77.000000000000256</v>
      </c>
      <c r="D670">
        <v>100</v>
      </c>
      <c r="E670">
        <v>76.549250375518753</v>
      </c>
      <c r="F670">
        <v>46.022665234393969</v>
      </c>
      <c r="G670">
        <v>631.60332110422439</v>
      </c>
      <c r="H670">
        <v>8.2026405338210679</v>
      </c>
      <c r="I670">
        <v>3.853257182820768</v>
      </c>
      <c r="J670">
        <v>7.1822128291160618</v>
      </c>
      <c r="K670">
        <v>642.30930374559341</v>
      </c>
      <c r="L670">
        <v>9.7081505227769096</v>
      </c>
      <c r="M670">
        <v>0.41000077306581523</v>
      </c>
    </row>
    <row r="671" spans="1:13" x14ac:dyDescent="0.2">
      <c r="A671">
        <v>669</v>
      </c>
      <c r="B671">
        <v>600</v>
      </c>
      <c r="C671">
        <v>78.500000000000185</v>
      </c>
      <c r="D671">
        <v>100</v>
      </c>
      <c r="E671">
        <v>81.465339978002945</v>
      </c>
      <c r="F671">
        <v>52.123747217669369</v>
      </c>
      <c r="G671">
        <v>740.0016445999147</v>
      </c>
      <c r="H671">
        <v>9.4267725426740512</v>
      </c>
      <c r="I671">
        <v>4.12365595875879</v>
      </c>
      <c r="J671">
        <v>7.6862180032782659</v>
      </c>
      <c r="K671">
        <v>752.54481961502768</v>
      </c>
      <c r="L671">
        <v>10.217568484723046</v>
      </c>
      <c r="M671">
        <v>0.41000060702420055</v>
      </c>
    </row>
    <row r="672" spans="1:13" x14ac:dyDescent="0.2">
      <c r="A672">
        <v>670</v>
      </c>
      <c r="B672">
        <v>600</v>
      </c>
      <c r="C672">
        <v>78.083333333333456</v>
      </c>
      <c r="D672">
        <v>100</v>
      </c>
      <c r="E672">
        <v>80.372240260766262</v>
      </c>
      <c r="F672">
        <v>50.734341634652665</v>
      </c>
      <c r="G672">
        <v>714.99566181864441</v>
      </c>
      <c r="H672">
        <v>9.156828112938868</v>
      </c>
      <c r="I672">
        <v>4.1504536017391915</v>
      </c>
      <c r="J672">
        <v>7.7361670116294343</v>
      </c>
      <c r="K672">
        <v>727.11503242555693</v>
      </c>
      <c r="L672">
        <v>10.458613868169245</v>
      </c>
      <c r="M672">
        <v>0.41000064919561674</v>
      </c>
    </row>
    <row r="673" spans="1:13" x14ac:dyDescent="0.2">
      <c r="A673">
        <v>671</v>
      </c>
      <c r="B673">
        <v>600</v>
      </c>
      <c r="C673">
        <v>79.333333333333414</v>
      </c>
      <c r="D673">
        <v>100</v>
      </c>
      <c r="E673">
        <v>86.736167385605512</v>
      </c>
      <c r="F673">
        <v>59.086781932370911</v>
      </c>
      <c r="G673">
        <v>867.99692815099377</v>
      </c>
      <c r="H673">
        <v>10.941137749802431</v>
      </c>
      <c r="I673">
        <v>4.7015281815564549</v>
      </c>
      <c r="J673">
        <v>8.7633330504314166</v>
      </c>
      <c r="K673">
        <v>882.70953451477283</v>
      </c>
      <c r="L673">
        <v>11.897068642938928</v>
      </c>
      <c r="M673">
        <v>0.41000053072171699</v>
      </c>
    </row>
    <row r="674" spans="1:13" x14ac:dyDescent="0.2">
      <c r="A674">
        <v>672</v>
      </c>
      <c r="B674">
        <v>600</v>
      </c>
      <c r="C674">
        <v>76.083333333333542</v>
      </c>
      <c r="D674">
        <v>98</v>
      </c>
      <c r="E674">
        <v>74.498797344277051</v>
      </c>
      <c r="F674">
        <v>42.718351092057297</v>
      </c>
      <c r="G674">
        <v>577.6491002801838</v>
      </c>
      <c r="H674">
        <v>7.5923211427844324</v>
      </c>
      <c r="I674">
        <v>3.5151864322717459</v>
      </c>
      <c r="J674">
        <v>6.5520716351756674</v>
      </c>
      <c r="K674">
        <v>587.44065527753628</v>
      </c>
      <c r="L674">
        <v>8.860219240874315</v>
      </c>
      <c r="M674">
        <v>0.41000089616820251</v>
      </c>
    </row>
    <row r="675" spans="1:13" x14ac:dyDescent="0.2">
      <c r="A675">
        <v>673</v>
      </c>
      <c r="B675">
        <v>600</v>
      </c>
      <c r="C675">
        <v>78.250000000000199</v>
      </c>
      <c r="D675">
        <v>100</v>
      </c>
      <c r="E675">
        <v>77.612813063842623</v>
      </c>
      <c r="F675">
        <v>47.310412063394843</v>
      </c>
      <c r="G675">
        <v>654.17445169670623</v>
      </c>
      <c r="H675">
        <v>8.3600568906927109</v>
      </c>
      <c r="I675">
        <v>3.9004814997225612</v>
      </c>
      <c r="J675">
        <v>7.2702357869945207</v>
      </c>
      <c r="K675">
        <v>665.26286687309221</v>
      </c>
      <c r="L675">
        <v>9.6263711910842105</v>
      </c>
      <c r="M675">
        <v>0.41000063198642472</v>
      </c>
    </row>
    <row r="676" spans="1:13" x14ac:dyDescent="0.2">
      <c r="A676">
        <v>674</v>
      </c>
      <c r="B676">
        <v>600</v>
      </c>
      <c r="C676">
        <v>76.250000000000284</v>
      </c>
      <c r="D676">
        <v>100</v>
      </c>
      <c r="E676">
        <v>68.594972711385054</v>
      </c>
      <c r="F676">
        <v>36.955106372024979</v>
      </c>
      <c r="G676">
        <v>477.74131517729739</v>
      </c>
      <c r="H676">
        <v>6.2654598711776472</v>
      </c>
      <c r="I676">
        <v>3.0966941918532989</v>
      </c>
      <c r="J676">
        <v>5.7720301805280494</v>
      </c>
      <c r="K676">
        <v>485.83934399749319</v>
      </c>
      <c r="L676">
        <v>7.5465807021475246</v>
      </c>
      <c r="M676">
        <v>0.4100008724121415</v>
      </c>
    </row>
    <row r="677" spans="1:13" x14ac:dyDescent="0.2">
      <c r="A677">
        <v>675</v>
      </c>
      <c r="B677">
        <v>600</v>
      </c>
      <c r="C677">
        <v>78.666666666666686</v>
      </c>
      <c r="D677">
        <v>100</v>
      </c>
      <c r="E677">
        <v>79.90997727619019</v>
      </c>
      <c r="F677">
        <v>50.152420215706194</v>
      </c>
      <c r="G677">
        <v>704.57755875140379</v>
      </c>
      <c r="H677">
        <v>8.9564943909076735</v>
      </c>
      <c r="I677">
        <v>4.0369231789306399</v>
      </c>
      <c r="J677">
        <v>7.524553921585535</v>
      </c>
      <c r="K677">
        <v>716.52026892584581</v>
      </c>
      <c r="L677">
        <v>9.9457535665456884</v>
      </c>
      <c r="M677">
        <v>0.41000059093290886</v>
      </c>
    </row>
    <row r="678" spans="1:13" x14ac:dyDescent="0.2">
      <c r="A678">
        <v>676</v>
      </c>
      <c r="B678">
        <v>600</v>
      </c>
      <c r="C678">
        <v>78.500000000000185</v>
      </c>
      <c r="D678">
        <v>100</v>
      </c>
      <c r="E678">
        <v>79.740952607290538</v>
      </c>
      <c r="F678">
        <v>49.940480948859985</v>
      </c>
      <c r="G678">
        <v>700.79132976420783</v>
      </c>
      <c r="H678">
        <v>8.927278086168231</v>
      </c>
      <c r="I678">
        <v>4.0030406045809235</v>
      </c>
      <c r="J678">
        <v>7.461399076572083</v>
      </c>
      <c r="K678">
        <v>712.66988214642413</v>
      </c>
      <c r="L678">
        <v>9.8587900920288458</v>
      </c>
      <c r="M678">
        <v>0.41000060702420055</v>
      </c>
    </row>
    <row r="679" spans="1:13" x14ac:dyDescent="0.2">
      <c r="A679">
        <v>677</v>
      </c>
      <c r="B679">
        <v>600</v>
      </c>
      <c r="C679">
        <v>77.000000000000256</v>
      </c>
      <c r="D679">
        <v>100</v>
      </c>
      <c r="E679">
        <v>74.501505177902459</v>
      </c>
      <c r="F679">
        <v>43.593323006061212</v>
      </c>
      <c r="G679">
        <v>589.49250088677718</v>
      </c>
      <c r="H679">
        <v>7.6557467647633146</v>
      </c>
      <c r="I679">
        <v>3.6284351250724018</v>
      </c>
      <c r="J679">
        <v>6.7631595993893781</v>
      </c>
      <c r="K679">
        <v>599.48468470030969</v>
      </c>
      <c r="L679">
        <v>9.0753635222959943</v>
      </c>
      <c r="M679">
        <v>0.41000077306581523</v>
      </c>
    </row>
    <row r="680" spans="1:13" x14ac:dyDescent="0.2">
      <c r="A680">
        <v>678</v>
      </c>
      <c r="B680">
        <v>600</v>
      </c>
      <c r="C680">
        <v>77.916666666666728</v>
      </c>
      <c r="D680">
        <v>100</v>
      </c>
      <c r="E680">
        <v>75.467558627793764</v>
      </c>
      <c r="F680">
        <v>44.731193189763339</v>
      </c>
      <c r="G680">
        <v>609.13927930751572</v>
      </c>
      <c r="H680">
        <v>7.8178303226632968</v>
      </c>
      <c r="I680">
        <v>3.7401139761110782</v>
      </c>
      <c r="J680">
        <v>6.9713214838976301</v>
      </c>
      <c r="K680">
        <v>619.46437404887365</v>
      </c>
      <c r="L680">
        <v>9.331248018873886</v>
      </c>
      <c r="M680">
        <v>0.41000066687342057</v>
      </c>
    </row>
    <row r="681" spans="1:13" x14ac:dyDescent="0.2">
      <c r="A681">
        <v>679</v>
      </c>
      <c r="B681">
        <v>600</v>
      </c>
      <c r="C681">
        <v>79.000000000000171</v>
      </c>
      <c r="D681">
        <v>100</v>
      </c>
      <c r="E681">
        <v>79.929705892095996</v>
      </c>
      <c r="F681">
        <v>50.177187084821838</v>
      </c>
      <c r="G681">
        <v>705.02033065027706</v>
      </c>
      <c r="H681">
        <v>8.9243079829148808</v>
      </c>
      <c r="I681">
        <v>4.1608813138224843</v>
      </c>
      <c r="J681">
        <v>7.7556035672366876</v>
      </c>
      <c r="K681">
        <v>716.97050831703018</v>
      </c>
      <c r="L681">
        <v>10.46301802156502</v>
      </c>
      <c r="M681">
        <v>0.41000056001868546</v>
      </c>
    </row>
    <row r="682" spans="1:13" x14ac:dyDescent="0.2">
      <c r="A682">
        <v>680</v>
      </c>
      <c r="B682">
        <v>600</v>
      </c>
      <c r="C682">
        <v>80.250000000000114</v>
      </c>
      <c r="D682">
        <v>99</v>
      </c>
      <c r="E682">
        <v>88.398531188048139</v>
      </c>
      <c r="F682">
        <v>60.759637454171418</v>
      </c>
      <c r="G682">
        <v>901.84942381545341</v>
      </c>
      <c r="H682">
        <v>11.237999050659839</v>
      </c>
      <c r="I682">
        <v>4.8230699651770337</v>
      </c>
      <c r="J682">
        <v>8.9898787794539299</v>
      </c>
      <c r="K682">
        <v>917.13571893460323</v>
      </c>
      <c r="L682">
        <v>12.382990846123374</v>
      </c>
      <c r="M682">
        <v>0.41000045781898492</v>
      </c>
    </row>
    <row r="683" spans="1:13" x14ac:dyDescent="0.2">
      <c r="A683">
        <v>681</v>
      </c>
      <c r="B683">
        <v>600</v>
      </c>
      <c r="C683">
        <v>75.250000000000327</v>
      </c>
      <c r="D683">
        <v>84</v>
      </c>
      <c r="E683">
        <v>70.457997665249522</v>
      </c>
      <c r="F683">
        <v>32.751391854266323</v>
      </c>
      <c r="G683">
        <v>429.62269646081012</v>
      </c>
      <c r="H683">
        <v>5.7092717137648936</v>
      </c>
      <c r="I683">
        <v>2.7751782023518254</v>
      </c>
      <c r="J683">
        <v>5.1727459503295901</v>
      </c>
      <c r="K683">
        <v>436.90519611741263</v>
      </c>
      <c r="L683">
        <v>6.8952791862659151</v>
      </c>
      <c r="M683">
        <v>0.41000102501135577</v>
      </c>
    </row>
    <row r="684" spans="1:13" x14ac:dyDescent="0.2">
      <c r="A684">
        <v>682</v>
      </c>
      <c r="B684">
        <v>600</v>
      </c>
      <c r="C684">
        <v>77.333333333333499</v>
      </c>
      <c r="D684">
        <v>69</v>
      </c>
      <c r="E684">
        <v>96.635152681531636</v>
      </c>
      <c r="F684">
        <v>50.606843095267514</v>
      </c>
      <c r="G684">
        <v>788.50126345141962</v>
      </c>
      <c r="H684">
        <v>10.196137027389025</v>
      </c>
      <c r="I684">
        <v>4.2285045436004145</v>
      </c>
      <c r="J684">
        <v>7.881648729916896</v>
      </c>
      <c r="K684">
        <v>801.8666873511595</v>
      </c>
      <c r="L684">
        <v>11.113688311595419</v>
      </c>
      <c r="M684">
        <v>0.41000073262344178</v>
      </c>
    </row>
    <row r="685" spans="1:13" x14ac:dyDescent="0.2">
      <c r="A685">
        <v>683</v>
      </c>
      <c r="B685">
        <v>600</v>
      </c>
      <c r="C685">
        <v>78.000000000000213</v>
      </c>
      <c r="D685">
        <v>100</v>
      </c>
      <c r="E685">
        <v>80.422875560538344</v>
      </c>
      <c r="F685">
        <v>50.798288037551984</v>
      </c>
      <c r="G685">
        <v>716.14247999562917</v>
      </c>
      <c r="H685">
        <v>9.1813138460977832</v>
      </c>
      <c r="I685">
        <v>4.2440828136663189</v>
      </c>
      <c r="J685">
        <v>7.9106855799931379</v>
      </c>
      <c r="K685">
        <v>728.28130031928356</v>
      </c>
      <c r="L685">
        <v>10.74346130873441</v>
      </c>
      <c r="M685">
        <v>0.41000065797515273</v>
      </c>
    </row>
    <row r="686" spans="1:13" x14ac:dyDescent="0.2">
      <c r="A686">
        <v>684</v>
      </c>
      <c r="B686">
        <v>600</v>
      </c>
      <c r="C686">
        <v>76.416666666666785</v>
      </c>
      <c r="D686">
        <v>100</v>
      </c>
      <c r="E686">
        <v>75.680230703713491</v>
      </c>
      <c r="F686">
        <v>44.983658754948848</v>
      </c>
      <c r="G686">
        <v>613.51681056534994</v>
      </c>
      <c r="H686">
        <v>8.0285733116512414</v>
      </c>
      <c r="I686">
        <v>3.672978263779163</v>
      </c>
      <c r="J686">
        <v>6.8461850210236026</v>
      </c>
      <c r="K686">
        <v>623.91629868215898</v>
      </c>
      <c r="L686">
        <v>9.0745929973205914</v>
      </c>
      <c r="M686">
        <v>0.4100008492858177</v>
      </c>
    </row>
    <row r="687" spans="1:13" x14ac:dyDescent="0.2">
      <c r="A687">
        <v>685</v>
      </c>
      <c r="B687">
        <v>600</v>
      </c>
      <c r="C687">
        <v>79.5833333333334</v>
      </c>
      <c r="D687">
        <v>100</v>
      </c>
      <c r="E687">
        <v>79.248140636769349</v>
      </c>
      <c r="F687">
        <v>49.325107913542588</v>
      </c>
      <c r="G687">
        <v>689.82288591124177</v>
      </c>
      <c r="H687">
        <v>8.6679315507171673</v>
      </c>
      <c r="I687">
        <v>3.9664521529297767</v>
      </c>
      <c r="J687">
        <v>7.3932006578374212</v>
      </c>
      <c r="K687">
        <v>701.51540534019</v>
      </c>
      <c r="L687">
        <v>9.7128893101596816</v>
      </c>
      <c r="M687">
        <v>0.41000050975925018</v>
      </c>
    </row>
    <row r="688" spans="1:13" x14ac:dyDescent="0.2">
      <c r="A688">
        <v>686</v>
      </c>
      <c r="B688">
        <v>600</v>
      </c>
      <c r="C688">
        <v>75.500000000000313</v>
      </c>
      <c r="D688">
        <v>100</v>
      </c>
      <c r="E688">
        <v>73.8709539429572</v>
      </c>
      <c r="F688">
        <v>42.85853246552719</v>
      </c>
      <c r="G688">
        <v>576.87906282747338</v>
      </c>
      <c r="H688">
        <v>7.6407822891055757</v>
      </c>
      <c r="I688">
        <v>3.4495708540408012</v>
      </c>
      <c r="J688">
        <v>6.4297686002624435</v>
      </c>
      <c r="K688">
        <v>586.65765300992359</v>
      </c>
      <c r="L688">
        <v>8.5711042360724061</v>
      </c>
      <c r="M688">
        <v>0.41000098452541767</v>
      </c>
    </row>
    <row r="689" spans="1:13" x14ac:dyDescent="0.2">
      <c r="A689">
        <v>687</v>
      </c>
      <c r="B689">
        <v>600</v>
      </c>
      <c r="C689">
        <v>78.666666666666686</v>
      </c>
      <c r="D689">
        <v>98</v>
      </c>
      <c r="E689">
        <v>82.74505064369454</v>
      </c>
      <c r="F689">
        <v>52.698713024206931</v>
      </c>
      <c r="G689">
        <v>754.54341460994897</v>
      </c>
      <c r="H689">
        <v>9.5916535755501968</v>
      </c>
      <c r="I689">
        <v>4.1851450145253315</v>
      </c>
      <c r="J689">
        <v>7.8008294772140365</v>
      </c>
      <c r="K689">
        <v>767.33305459037865</v>
      </c>
      <c r="L689">
        <v>10.417802766083891</v>
      </c>
      <c r="M689">
        <v>0.41000059093290886</v>
      </c>
    </row>
    <row r="690" spans="1:13" x14ac:dyDescent="0.2">
      <c r="A690">
        <v>688</v>
      </c>
      <c r="B690">
        <v>600</v>
      </c>
      <c r="C690">
        <v>78.333333333333456</v>
      </c>
      <c r="D690">
        <v>99</v>
      </c>
      <c r="E690">
        <v>81.799145834177125</v>
      </c>
      <c r="F690">
        <v>52.026260761377912</v>
      </c>
      <c r="G690">
        <v>740.26460723489731</v>
      </c>
      <c r="H690">
        <v>9.4501864753391001</v>
      </c>
      <c r="I690">
        <v>4.1479150877081059</v>
      </c>
      <c r="J690">
        <v>7.7314353918138048</v>
      </c>
      <c r="K690">
        <v>752.81226060979873</v>
      </c>
      <c r="L690">
        <v>10.332257292212509</v>
      </c>
      <c r="M690">
        <v>0.41000062355366318</v>
      </c>
    </row>
    <row r="691" spans="1:13" x14ac:dyDescent="0.2">
      <c r="A691">
        <v>689</v>
      </c>
      <c r="B691">
        <v>600</v>
      </c>
      <c r="C691">
        <v>76.333333333333528</v>
      </c>
      <c r="D691">
        <v>100</v>
      </c>
      <c r="E691">
        <v>75.125277783055111</v>
      </c>
      <c r="F691">
        <v>44.326359366690269</v>
      </c>
      <c r="G691">
        <v>602.13336174527581</v>
      </c>
      <c r="H691">
        <v>7.8882099791957332</v>
      </c>
      <c r="I691">
        <v>3.6019301074843129</v>
      </c>
      <c r="J691">
        <v>6.7137560251338542</v>
      </c>
      <c r="K691">
        <v>612.33990530812162</v>
      </c>
      <c r="L691">
        <v>8.9382796632680428</v>
      </c>
      <c r="M691">
        <v>0.41000086077131626</v>
      </c>
    </row>
    <row r="692" spans="1:13" x14ac:dyDescent="0.2">
      <c r="A692">
        <v>690</v>
      </c>
      <c r="B692">
        <v>600</v>
      </c>
      <c r="C692">
        <v>77.583333333333485</v>
      </c>
      <c r="D692">
        <v>99</v>
      </c>
      <c r="E692">
        <v>80.891775475833583</v>
      </c>
      <c r="F692">
        <v>50.87844289020881</v>
      </c>
      <c r="G692">
        <v>719.5473528522474</v>
      </c>
      <c r="H692">
        <v>9.2745093815541928</v>
      </c>
      <c r="I692">
        <v>4.0210232966464279</v>
      </c>
      <c r="J692">
        <v>7.4949176079150561</v>
      </c>
      <c r="K692">
        <v>731.74394343983397</v>
      </c>
      <c r="L692">
        <v>10.00715453996586</v>
      </c>
      <c r="M692">
        <v>0.41000070368625285</v>
      </c>
    </row>
    <row r="693" spans="1:13" x14ac:dyDescent="0.2">
      <c r="A693">
        <v>691</v>
      </c>
      <c r="B693">
        <v>600</v>
      </c>
      <c r="C693">
        <v>76.666666666666771</v>
      </c>
      <c r="D693">
        <v>99</v>
      </c>
      <c r="E693">
        <v>82.736562720491818</v>
      </c>
      <c r="F693">
        <v>53.225533645386946</v>
      </c>
      <c r="G693">
        <v>762.04359180453514</v>
      </c>
      <c r="H693">
        <v>9.9396990235374005</v>
      </c>
      <c r="I693">
        <v>4.2481253286714091</v>
      </c>
      <c r="J693">
        <v>7.9182205567034636</v>
      </c>
      <c r="K693">
        <v>774.96065635536331</v>
      </c>
      <c r="L693">
        <v>10.755473967727358</v>
      </c>
      <c r="M693">
        <v>0.41000081574069358</v>
      </c>
    </row>
    <row r="694" spans="1:13" x14ac:dyDescent="0.2">
      <c r="A694">
        <v>692</v>
      </c>
      <c r="B694">
        <v>600</v>
      </c>
      <c r="C694">
        <v>78.583333333333442</v>
      </c>
      <c r="D694">
        <v>100</v>
      </c>
      <c r="E694">
        <v>79.823680807979514</v>
      </c>
      <c r="F694">
        <v>50.044157394275345</v>
      </c>
      <c r="G694">
        <v>702.64293180477773</v>
      </c>
      <c r="H694">
        <v>8.9413734694139144</v>
      </c>
      <c r="I694">
        <v>4.0113491384427737</v>
      </c>
      <c r="J694">
        <v>7.4768856261747878</v>
      </c>
      <c r="K694">
        <v>714.55285940015676</v>
      </c>
      <c r="L694">
        <v>9.8760114102056402</v>
      </c>
      <c r="M694">
        <v>0.41000059892451662</v>
      </c>
    </row>
    <row r="695" spans="1:13" x14ac:dyDescent="0.2">
      <c r="A695">
        <v>693</v>
      </c>
      <c r="B695">
        <v>600</v>
      </c>
      <c r="C695">
        <v>78.250000000000199</v>
      </c>
      <c r="D695">
        <v>100</v>
      </c>
      <c r="E695">
        <v>80.00069062305964</v>
      </c>
      <c r="F695">
        <v>50.26635032371496</v>
      </c>
      <c r="G695">
        <v>706.61462795984312</v>
      </c>
      <c r="H695">
        <v>9.0302188876657041</v>
      </c>
      <c r="I695">
        <v>4.0859077760703562</v>
      </c>
      <c r="J695">
        <v>7.6158579237098891</v>
      </c>
      <c r="K695">
        <v>718.59191680719005</v>
      </c>
      <c r="L695">
        <v>10.170847667604022</v>
      </c>
      <c r="M695">
        <v>0.41000063198642472</v>
      </c>
    </row>
    <row r="696" spans="1:13" x14ac:dyDescent="0.2">
      <c r="A696">
        <v>694</v>
      </c>
      <c r="B696">
        <v>600</v>
      </c>
      <c r="C696">
        <v>75.33333333333357</v>
      </c>
      <c r="D696">
        <v>92</v>
      </c>
      <c r="E696">
        <v>79.510596578495225</v>
      </c>
      <c r="F696">
        <v>45.680172241402865</v>
      </c>
      <c r="G696">
        <v>639.99866724341382</v>
      </c>
      <c r="H696">
        <v>8.4955575297798021</v>
      </c>
      <c r="I696">
        <v>3.7939578267161354</v>
      </c>
      <c r="J696">
        <v>7.0716828084177727</v>
      </c>
      <c r="K696">
        <v>650.84721791559707</v>
      </c>
      <c r="L696">
        <v>9.6760866424408274</v>
      </c>
      <c r="M696">
        <v>0.41000101133435901</v>
      </c>
    </row>
    <row r="697" spans="1:13" x14ac:dyDescent="0.2">
      <c r="A697">
        <v>695</v>
      </c>
      <c r="B697">
        <v>600</v>
      </c>
      <c r="C697">
        <v>76.583333333333528</v>
      </c>
      <c r="D697">
        <v>34</v>
      </c>
      <c r="E697">
        <v>111.16531715514895</v>
      </c>
      <c r="F697">
        <v>32.999504675796111</v>
      </c>
      <c r="G697">
        <v>554.92830038759109</v>
      </c>
      <c r="H697">
        <v>7.2460713869979063</v>
      </c>
      <c r="I697">
        <v>2.8824539268950717</v>
      </c>
      <c r="J697">
        <v>5.3727007025071227</v>
      </c>
      <c r="K697">
        <v>564.33465560838977</v>
      </c>
      <c r="L697">
        <v>7.8850581062160447</v>
      </c>
      <c r="M697">
        <v>0.41000082677253757</v>
      </c>
    </row>
    <row r="698" spans="1:13" x14ac:dyDescent="0.2">
      <c r="A698">
        <v>696</v>
      </c>
      <c r="B698">
        <v>600</v>
      </c>
      <c r="C698">
        <v>77.583333333333485</v>
      </c>
      <c r="D698">
        <v>99</v>
      </c>
      <c r="E698">
        <v>79.151225829760506</v>
      </c>
      <c r="F698">
        <v>48.712494129612494</v>
      </c>
      <c r="G698">
        <v>680.801188178708</v>
      </c>
      <c r="H698">
        <v>8.7750958734097537</v>
      </c>
      <c r="I698">
        <v>3.885325699936867</v>
      </c>
      <c r="J698">
        <v>7.2419863931721666</v>
      </c>
      <c r="K698">
        <v>692.3410171153912</v>
      </c>
      <c r="L698">
        <v>9.6150455335133103</v>
      </c>
      <c r="M698">
        <v>0.41000070368625285</v>
      </c>
    </row>
    <row r="699" spans="1:13" x14ac:dyDescent="0.2">
      <c r="A699">
        <v>697</v>
      </c>
      <c r="B699">
        <v>600</v>
      </c>
      <c r="C699">
        <v>78.083333333333456</v>
      </c>
      <c r="D699">
        <v>100</v>
      </c>
      <c r="E699">
        <v>75.61419140871044</v>
      </c>
      <c r="F699">
        <v>44.905186663695375</v>
      </c>
      <c r="G699">
        <v>612.15560393074043</v>
      </c>
      <c r="H699">
        <v>7.8397729425494918</v>
      </c>
      <c r="I699">
        <v>3.7278698400935251</v>
      </c>
      <c r="J699">
        <v>6.9484992359618349</v>
      </c>
      <c r="K699">
        <v>622.53180763282217</v>
      </c>
      <c r="L699">
        <v>9.2329549433851064</v>
      </c>
      <c r="M699">
        <v>0.41000064919561674</v>
      </c>
    </row>
    <row r="700" spans="1:13" x14ac:dyDescent="0.2">
      <c r="A700">
        <v>698</v>
      </c>
      <c r="B700">
        <v>600</v>
      </c>
      <c r="C700">
        <v>78.916666666666686</v>
      </c>
      <c r="D700">
        <v>99</v>
      </c>
      <c r="E700">
        <v>79.577642649257328</v>
      </c>
      <c r="F700">
        <v>49.238772259628462</v>
      </c>
      <c r="G700">
        <v>690.17348499524257</v>
      </c>
      <c r="H700">
        <v>8.745598542706345</v>
      </c>
      <c r="I700">
        <v>4.0795098634782638</v>
      </c>
      <c r="J700">
        <v>7.6039326439483004</v>
      </c>
      <c r="K700">
        <v>701.87201588854202</v>
      </c>
      <c r="L700">
        <v>10.275881969351214</v>
      </c>
      <c r="M700">
        <v>0.41000056759221798</v>
      </c>
    </row>
    <row r="701" spans="1:13" x14ac:dyDescent="0.2">
      <c r="A701">
        <v>699</v>
      </c>
      <c r="B701">
        <v>600</v>
      </c>
      <c r="C701">
        <v>78.000000000000213</v>
      </c>
      <c r="D701">
        <v>100</v>
      </c>
      <c r="E701">
        <v>82.096555200313389</v>
      </c>
      <c r="F701">
        <v>52.934613943050358</v>
      </c>
      <c r="G701">
        <v>754.67964185421761</v>
      </c>
      <c r="H701">
        <v>9.6753800237719965</v>
      </c>
      <c r="I701">
        <v>4.3756130811997505</v>
      </c>
      <c r="J701">
        <v>8.1558491727861142</v>
      </c>
      <c r="K701">
        <v>767.47167811834777</v>
      </c>
      <c r="L701">
        <v>11.143177016683079</v>
      </c>
      <c r="M701">
        <v>0.41000065797515273</v>
      </c>
    </row>
    <row r="702" spans="1:13" x14ac:dyDescent="0.2">
      <c r="A702">
        <v>700</v>
      </c>
      <c r="B702">
        <v>600</v>
      </c>
      <c r="C702">
        <v>76.583333333333528</v>
      </c>
      <c r="D702">
        <v>100</v>
      </c>
      <c r="E702">
        <v>70.940889460492571</v>
      </c>
      <c r="F702">
        <v>39.526024920099559</v>
      </c>
      <c r="G702">
        <v>520.4230250006201</v>
      </c>
      <c r="H702">
        <v>6.7955128400516056</v>
      </c>
      <c r="I702">
        <v>3.1998182698132438</v>
      </c>
      <c r="J702">
        <v>5.9642465420563724</v>
      </c>
      <c r="K702">
        <v>529.24449587319816</v>
      </c>
      <c r="L702">
        <v>7.7798600308853478</v>
      </c>
      <c r="M702">
        <v>0.41000082677253757</v>
      </c>
    </row>
    <row r="703" spans="1:13" x14ac:dyDescent="0.2">
      <c r="A703">
        <v>701</v>
      </c>
      <c r="B703">
        <v>600</v>
      </c>
      <c r="C703">
        <v>80.333333333333371</v>
      </c>
      <c r="D703">
        <v>99</v>
      </c>
      <c r="E703">
        <v>89.088192469187689</v>
      </c>
      <c r="F703">
        <v>61.711396017684223</v>
      </c>
      <c r="G703">
        <v>919.86194019535037</v>
      </c>
      <c r="H703">
        <v>11.450563570896472</v>
      </c>
      <c r="I703">
        <v>4.8868688291471827</v>
      </c>
      <c r="J703">
        <v>9.1087955808894367</v>
      </c>
      <c r="K703">
        <v>935.45353673067916</v>
      </c>
      <c r="L703">
        <v>12.518804970107146</v>
      </c>
      <c r="M703">
        <v>0.41000045171018551</v>
      </c>
    </row>
    <row r="704" spans="1:13" x14ac:dyDescent="0.2">
      <c r="A704">
        <v>702</v>
      </c>
      <c r="B704">
        <v>600</v>
      </c>
      <c r="C704">
        <v>77.583333333333485</v>
      </c>
      <c r="D704">
        <v>99</v>
      </c>
      <c r="E704">
        <v>82.879524673304246</v>
      </c>
      <c r="F704">
        <v>53.409631220546217</v>
      </c>
      <c r="G704">
        <v>765.39894007306759</v>
      </c>
      <c r="H704">
        <v>9.8655072834337201</v>
      </c>
      <c r="I704">
        <v>4.2321442915104956</v>
      </c>
      <c r="J704">
        <v>7.8884329757884348</v>
      </c>
      <c r="K704">
        <v>778.37273182039235</v>
      </c>
      <c r="L704">
        <v>10.605555069016379</v>
      </c>
      <c r="M704">
        <v>0.41000070368625285</v>
      </c>
    </row>
    <row r="705" spans="1:13" x14ac:dyDescent="0.2">
      <c r="A705">
        <v>703</v>
      </c>
      <c r="B705">
        <v>600</v>
      </c>
      <c r="C705">
        <v>76.916666666666771</v>
      </c>
      <c r="D705">
        <v>100</v>
      </c>
      <c r="E705">
        <v>76.366565700522813</v>
      </c>
      <c r="F705">
        <v>45.803261303082671</v>
      </c>
      <c r="G705">
        <v>627.77469863788383</v>
      </c>
      <c r="H705">
        <v>8.1617512282281641</v>
      </c>
      <c r="I705">
        <v>3.8421071995505889</v>
      </c>
      <c r="J705">
        <v>7.1614300084819913</v>
      </c>
      <c r="K705">
        <v>638.41579558409626</v>
      </c>
      <c r="L705">
        <v>9.7206823996152831</v>
      </c>
      <c r="M705">
        <v>0.41000078352053626</v>
      </c>
    </row>
    <row r="706" spans="1:13" x14ac:dyDescent="0.2">
      <c r="A706">
        <v>704</v>
      </c>
      <c r="B706">
        <v>600</v>
      </c>
      <c r="C706">
        <v>78.166666666666714</v>
      </c>
      <c r="D706">
        <v>99</v>
      </c>
      <c r="E706">
        <v>83.721939294942473</v>
      </c>
      <c r="F706">
        <v>54.500895112838791</v>
      </c>
      <c r="G706">
        <v>785.35189569924091</v>
      </c>
      <c r="H706">
        <v>10.047145787197106</v>
      </c>
      <c r="I706">
        <v>4.4160731537762725</v>
      </c>
      <c r="J706">
        <v>8.2312640331337779</v>
      </c>
      <c r="K706">
        <v>798.66381184788884</v>
      </c>
      <c r="L706">
        <v>11.20002998859395</v>
      </c>
      <c r="M706">
        <v>0.41000064053322849</v>
      </c>
    </row>
    <row r="707" spans="1:13" x14ac:dyDescent="0.2">
      <c r="A707">
        <v>705</v>
      </c>
      <c r="B707">
        <v>600</v>
      </c>
      <c r="C707">
        <v>77.000000000000256</v>
      </c>
      <c r="D707">
        <v>100</v>
      </c>
      <c r="E707">
        <v>74.146418820004371</v>
      </c>
      <c r="F707">
        <v>43.178767472031609</v>
      </c>
      <c r="G707">
        <v>582.36916287191764</v>
      </c>
      <c r="H707">
        <v>7.5632358814534504</v>
      </c>
      <c r="I707">
        <v>3.6319905613925392</v>
      </c>
      <c r="J707">
        <v>6.7697866941147051</v>
      </c>
      <c r="K707">
        <v>592.24060265104208</v>
      </c>
      <c r="L707">
        <v>9.0789015948651617</v>
      </c>
      <c r="M707">
        <v>0.41000077306581523</v>
      </c>
    </row>
    <row r="708" spans="1:13" x14ac:dyDescent="0.2">
      <c r="A708">
        <v>706</v>
      </c>
      <c r="B708">
        <v>600</v>
      </c>
      <c r="C708">
        <v>77.666666666666728</v>
      </c>
      <c r="D708">
        <v>100</v>
      </c>
      <c r="E708">
        <v>76.468700456164015</v>
      </c>
      <c r="F708">
        <v>45.925860327176899</v>
      </c>
      <c r="G708">
        <v>629.91353974362335</v>
      </c>
      <c r="H708">
        <v>8.1104747606475041</v>
      </c>
      <c r="I708">
        <v>3.6760399239411168</v>
      </c>
      <c r="J708">
        <v>6.8518917501232366</v>
      </c>
      <c r="K708">
        <v>640.59079424796744</v>
      </c>
      <c r="L708">
        <v>9.0161975695922578</v>
      </c>
      <c r="M708">
        <v>0.41000069429678165</v>
      </c>
    </row>
    <row r="709" spans="1:13" x14ac:dyDescent="0.2">
      <c r="A709">
        <v>707</v>
      </c>
      <c r="B709">
        <v>600</v>
      </c>
      <c r="C709">
        <v>77.666666666666728</v>
      </c>
      <c r="D709">
        <v>98</v>
      </c>
      <c r="E709">
        <v>81.853213290799374</v>
      </c>
      <c r="F709">
        <v>51.568847218566788</v>
      </c>
      <c r="G709">
        <v>734.02026996419852</v>
      </c>
      <c r="H709">
        <v>9.4509047634875287</v>
      </c>
      <c r="I709">
        <v>4.0825696842862929</v>
      </c>
      <c r="J709">
        <v>7.6096359446156434</v>
      </c>
      <c r="K709">
        <v>746.4621699064428</v>
      </c>
      <c r="L709">
        <v>10.200665932233974</v>
      </c>
      <c r="M709">
        <v>0.41000069429678165</v>
      </c>
    </row>
    <row r="710" spans="1:13" x14ac:dyDescent="0.2">
      <c r="A710">
        <v>708</v>
      </c>
      <c r="B710">
        <v>600</v>
      </c>
      <c r="C710">
        <v>78.250000000000199</v>
      </c>
      <c r="D710">
        <v>100</v>
      </c>
      <c r="E710">
        <v>80.561153550703878</v>
      </c>
      <c r="F710">
        <v>50.973121972661048</v>
      </c>
      <c r="G710">
        <v>719.28002814080571</v>
      </c>
      <c r="H710">
        <v>9.1920770369431803</v>
      </c>
      <c r="I710">
        <v>4.1563187618197786</v>
      </c>
      <c r="J710">
        <v>7.7470992764581128</v>
      </c>
      <c r="K710">
        <v>731.47199858450267</v>
      </c>
      <c r="L710">
        <v>10.36621343047455</v>
      </c>
      <c r="M710">
        <v>0.41000063198642472</v>
      </c>
    </row>
    <row r="711" spans="1:13" x14ac:dyDescent="0.2">
      <c r="A711">
        <v>709</v>
      </c>
      <c r="B711">
        <v>600</v>
      </c>
      <c r="C711">
        <v>79.5833333333334</v>
      </c>
      <c r="D711">
        <v>100</v>
      </c>
      <c r="E711">
        <v>81.416681792351497</v>
      </c>
      <c r="F711">
        <v>52.061500143366992</v>
      </c>
      <c r="G711">
        <v>738.87754476845828</v>
      </c>
      <c r="H711">
        <v>9.2843251698654363</v>
      </c>
      <c r="I711">
        <v>4.1278726137497097</v>
      </c>
      <c r="J711">
        <v>7.6940775652371096</v>
      </c>
      <c r="K711">
        <v>751.40154219485032</v>
      </c>
      <c r="L711">
        <v>10.193583487491267</v>
      </c>
      <c r="M711">
        <v>0.41000050975925018</v>
      </c>
    </row>
    <row r="712" spans="1:13" x14ac:dyDescent="0.2">
      <c r="A712">
        <v>710</v>
      </c>
      <c r="B712">
        <v>600</v>
      </c>
      <c r="C712">
        <v>76.666666666666771</v>
      </c>
      <c r="D712">
        <v>100</v>
      </c>
      <c r="E712">
        <v>74.055782420796035</v>
      </c>
      <c r="F712">
        <v>43.073268754757571</v>
      </c>
      <c r="G712">
        <v>580.55929290955521</v>
      </c>
      <c r="H712">
        <v>7.5725125162115798</v>
      </c>
      <c r="I712">
        <v>3.5028372136289585</v>
      </c>
      <c r="J712">
        <v>6.5290535202776478</v>
      </c>
      <c r="K712">
        <v>590.40009721884394</v>
      </c>
      <c r="L712">
        <v>8.6130125509865252</v>
      </c>
      <c r="M712">
        <v>0.41000081574069358</v>
      </c>
    </row>
    <row r="713" spans="1:13" x14ac:dyDescent="0.2">
      <c r="A713">
        <v>711</v>
      </c>
      <c r="B713">
        <v>600</v>
      </c>
      <c r="C713">
        <v>76.666666666666771</v>
      </c>
      <c r="D713">
        <v>99</v>
      </c>
      <c r="E713">
        <v>76.026534125056628</v>
      </c>
      <c r="F713">
        <v>44.942317223959279</v>
      </c>
      <c r="G713">
        <v>614.47918758777234</v>
      </c>
      <c r="H713">
        <v>8.0149459250578889</v>
      </c>
      <c r="I713">
        <v>3.5946822430759577</v>
      </c>
      <c r="J713">
        <v>6.7002464922198639</v>
      </c>
      <c r="K713">
        <v>624.89495305916239</v>
      </c>
      <c r="L713">
        <v>8.9039074806560219</v>
      </c>
      <c r="M713">
        <v>0.41000081574069358</v>
      </c>
    </row>
    <row r="714" spans="1:13" x14ac:dyDescent="0.2">
      <c r="A714">
        <v>712</v>
      </c>
      <c r="B714">
        <v>600</v>
      </c>
      <c r="C714">
        <v>77.250000000000242</v>
      </c>
      <c r="D714">
        <v>100</v>
      </c>
      <c r="E714">
        <v>79.656426299237367</v>
      </c>
      <c r="F714">
        <v>49.834662118396913</v>
      </c>
      <c r="G714">
        <v>698.90239454546338</v>
      </c>
      <c r="H714">
        <v>9.0472801882907596</v>
      </c>
      <c r="I714">
        <v>4.0643107013151534</v>
      </c>
      <c r="J714">
        <v>7.5756024255641261</v>
      </c>
      <c r="K714">
        <v>710.74909234013046</v>
      </c>
      <c r="L714">
        <v>10.186983021296966</v>
      </c>
      <c r="M714">
        <v>0.41000074253123181</v>
      </c>
    </row>
    <row r="715" spans="1:13" x14ac:dyDescent="0.2">
      <c r="A715">
        <v>713</v>
      </c>
      <c r="B715">
        <v>600</v>
      </c>
      <c r="C715">
        <v>79.000000000000171</v>
      </c>
      <c r="D715">
        <v>97</v>
      </c>
      <c r="E715">
        <v>87.724480287339176</v>
      </c>
      <c r="F715">
        <v>58.627749501653504</v>
      </c>
      <c r="G715">
        <v>866.58524550825882</v>
      </c>
      <c r="H715">
        <v>10.96943348744629</v>
      </c>
      <c r="I715">
        <v>4.836337569022235</v>
      </c>
      <c r="J715">
        <v>9.0146087027441464</v>
      </c>
      <c r="K715">
        <v>881.27396751668493</v>
      </c>
      <c r="L715">
        <v>12.522471715040339</v>
      </c>
      <c r="M715">
        <v>0.41000056001868546</v>
      </c>
    </row>
    <row r="716" spans="1:13" x14ac:dyDescent="0.2">
      <c r="A716">
        <v>714</v>
      </c>
      <c r="B716">
        <v>600</v>
      </c>
      <c r="C716">
        <v>75.916666666666814</v>
      </c>
      <c r="D716">
        <v>57</v>
      </c>
      <c r="E716">
        <v>90.409958453881799</v>
      </c>
      <c r="F716">
        <v>36.592937709295853</v>
      </c>
      <c r="G716">
        <v>549.84233856951778</v>
      </c>
      <c r="H716">
        <v>7.2427091798399568</v>
      </c>
      <c r="I716">
        <v>3.3366426609600683</v>
      </c>
      <c r="J716">
        <v>6.2192780260206293</v>
      </c>
      <c r="K716">
        <v>559.16257269600419</v>
      </c>
      <c r="L716">
        <v>8.8935848994694151</v>
      </c>
      <c r="M716">
        <v>0.41000092057114862</v>
      </c>
    </row>
    <row r="717" spans="1:13" x14ac:dyDescent="0.2">
      <c r="A717">
        <v>715</v>
      </c>
      <c r="B717">
        <v>600</v>
      </c>
      <c r="C717">
        <v>74.083333333333627</v>
      </c>
      <c r="D717">
        <v>99</v>
      </c>
      <c r="E717">
        <v>70.055282156380102</v>
      </c>
      <c r="F717">
        <v>38.159866715736854</v>
      </c>
      <c r="G717">
        <v>499.0087565323945</v>
      </c>
      <c r="H717">
        <v>6.7357762411571542</v>
      </c>
      <c r="I717">
        <v>3.1997377481874705</v>
      </c>
      <c r="J717">
        <v>5.9640964551490594</v>
      </c>
      <c r="K717">
        <v>507.46759611132961</v>
      </c>
      <c r="L717">
        <v>8.1262349912529785</v>
      </c>
      <c r="M717">
        <v>0.41000123709622555</v>
      </c>
    </row>
    <row r="718" spans="1:13" x14ac:dyDescent="0.2">
      <c r="A718">
        <v>716</v>
      </c>
      <c r="B718">
        <v>600</v>
      </c>
      <c r="C718">
        <v>76.666666666666771</v>
      </c>
      <c r="D718">
        <v>100</v>
      </c>
      <c r="E718">
        <v>74.598709918110515</v>
      </c>
      <c r="F718">
        <v>43.707152707104527</v>
      </c>
      <c r="G718">
        <v>591.45164018070568</v>
      </c>
      <c r="H718">
        <v>7.7145866110526722</v>
      </c>
      <c r="I718">
        <v>3.5200384222807544</v>
      </c>
      <c r="J718">
        <v>6.5611154189762422</v>
      </c>
      <c r="K718">
        <v>601.47707586059391</v>
      </c>
      <c r="L718">
        <v>8.6703377248607865</v>
      </c>
      <c r="M718">
        <v>0.41000081574069358</v>
      </c>
    </row>
    <row r="719" spans="1:13" x14ac:dyDescent="0.2">
      <c r="A719">
        <v>717</v>
      </c>
      <c r="B719">
        <v>600</v>
      </c>
      <c r="C719">
        <v>75.416666666666828</v>
      </c>
      <c r="D719">
        <v>100</v>
      </c>
      <c r="E719">
        <v>75.597517572611636</v>
      </c>
      <c r="F719">
        <v>44.885384582757823</v>
      </c>
      <c r="G719">
        <v>611.81179781755873</v>
      </c>
      <c r="H719">
        <v>8.1124216285200976</v>
      </c>
      <c r="I719">
        <v>3.6104719521645219</v>
      </c>
      <c r="J719">
        <v>6.7296774504464514</v>
      </c>
      <c r="K719">
        <v>622.18254157470199</v>
      </c>
      <c r="L719">
        <v>9.0366280295675505</v>
      </c>
      <c r="M719">
        <v>0.41000099783985799</v>
      </c>
    </row>
    <row r="720" spans="1:13" x14ac:dyDescent="0.2">
      <c r="A720">
        <v>718</v>
      </c>
      <c r="B720">
        <v>600</v>
      </c>
      <c r="C720">
        <v>76.166666666666799</v>
      </c>
      <c r="D720">
        <v>98</v>
      </c>
      <c r="E720">
        <v>70.281094239958179</v>
      </c>
      <c r="F720">
        <v>38.018325643674785</v>
      </c>
      <c r="G720">
        <v>498.03039818881342</v>
      </c>
      <c r="H720">
        <v>6.5386923175774081</v>
      </c>
      <c r="I720">
        <v>3.1679718908818835</v>
      </c>
      <c r="J720">
        <v>5.9048870286707977</v>
      </c>
      <c r="K720">
        <v>506.47235040916019</v>
      </c>
      <c r="L720">
        <v>7.8154974360537723</v>
      </c>
      <c r="M720">
        <v>0.41000088421039388</v>
      </c>
    </row>
    <row r="721" spans="1:13" x14ac:dyDescent="0.2">
      <c r="A721">
        <v>719</v>
      </c>
      <c r="B721">
        <v>600</v>
      </c>
      <c r="C721">
        <v>79.666666666666643</v>
      </c>
      <c r="D721">
        <v>72</v>
      </c>
      <c r="E721">
        <v>93.939094838118095</v>
      </c>
      <c r="F721">
        <v>49.901674624825951</v>
      </c>
      <c r="G721">
        <v>765.62260142509501</v>
      </c>
      <c r="H721">
        <v>9.610325540900778</v>
      </c>
      <c r="I721">
        <v>4.0425467001178514</v>
      </c>
      <c r="J721">
        <v>7.5350357877313163</v>
      </c>
      <c r="K721">
        <v>778.5999194197401</v>
      </c>
      <c r="L721">
        <v>10.471778368381356</v>
      </c>
      <c r="M721">
        <v>0.41000050295739809</v>
      </c>
    </row>
    <row r="722" spans="1:13" x14ac:dyDescent="0.2">
      <c r="A722">
        <v>720</v>
      </c>
      <c r="B722">
        <v>600</v>
      </c>
      <c r="C722">
        <v>76.250000000000284</v>
      </c>
      <c r="D722">
        <v>70</v>
      </c>
      <c r="E722">
        <v>86.386037011692082</v>
      </c>
      <c r="F722">
        <v>41.027497103825539</v>
      </c>
      <c r="G722">
        <v>601.37554122028234</v>
      </c>
      <c r="H722">
        <v>7.8868923438725256</v>
      </c>
      <c r="I722">
        <v>3.4950031324666528</v>
      </c>
      <c r="J722">
        <v>6.5144513186703685</v>
      </c>
      <c r="K722">
        <v>611.56925130950788</v>
      </c>
      <c r="L722">
        <v>9.0421300209801601</v>
      </c>
      <c r="M722">
        <v>0.4100008724121415</v>
      </c>
    </row>
    <row r="723" spans="1:13" x14ac:dyDescent="0.2">
      <c r="A723">
        <v>721</v>
      </c>
      <c r="B723">
        <v>600</v>
      </c>
      <c r="C723">
        <v>78.000000000000213</v>
      </c>
      <c r="D723">
        <v>80</v>
      </c>
      <c r="E723">
        <v>85.18723088093482</v>
      </c>
      <c r="F723">
        <v>45.596223178387952</v>
      </c>
      <c r="G723">
        <v>663.27549800460292</v>
      </c>
      <c r="H723">
        <v>8.5035320257000144</v>
      </c>
      <c r="I723">
        <v>3.9156963713555282</v>
      </c>
      <c r="J723">
        <v>7.2985952867763793</v>
      </c>
      <c r="K723">
        <v>674.51820782878406</v>
      </c>
      <c r="L723">
        <v>10.074494888315703</v>
      </c>
      <c r="M723">
        <v>0.41000065797515273</v>
      </c>
    </row>
    <row r="724" spans="1:13" x14ac:dyDescent="0.2">
      <c r="A724">
        <v>722</v>
      </c>
      <c r="B724">
        <v>600</v>
      </c>
      <c r="C724">
        <v>77.000000000000256</v>
      </c>
      <c r="D724">
        <v>100</v>
      </c>
      <c r="E724">
        <v>78.342281086809734</v>
      </c>
      <c r="F724">
        <v>48.20391442649801</v>
      </c>
      <c r="G724">
        <v>669.93405038096057</v>
      </c>
      <c r="H724">
        <v>8.7004422127397181</v>
      </c>
      <c r="I724">
        <v>4.0402312411707442</v>
      </c>
      <c r="J724">
        <v>7.5307199276248724</v>
      </c>
      <c r="K724">
        <v>681.28975747525101</v>
      </c>
      <c r="L724">
        <v>10.248105673273589</v>
      </c>
      <c r="M724">
        <v>0.41000077306581523</v>
      </c>
    </row>
    <row r="725" spans="1:13" x14ac:dyDescent="0.2">
      <c r="A725">
        <v>723</v>
      </c>
      <c r="B725">
        <v>600</v>
      </c>
      <c r="C725">
        <v>77.916666666666728</v>
      </c>
      <c r="D725">
        <v>100</v>
      </c>
      <c r="E725">
        <v>85.204973614109235</v>
      </c>
      <c r="F725">
        <v>57.019023314195984</v>
      </c>
      <c r="G725">
        <v>829.53385752319184</v>
      </c>
      <c r="H725">
        <v>10.646423839869833</v>
      </c>
      <c r="I725">
        <v>4.7186284803976228</v>
      </c>
      <c r="J725">
        <v>8.7952068600142077</v>
      </c>
      <c r="K725">
        <v>843.59470692339471</v>
      </c>
      <c r="L725">
        <v>12.184125927748228</v>
      </c>
      <c r="M725">
        <v>0.41000066687342057</v>
      </c>
    </row>
    <row r="726" spans="1:13" x14ac:dyDescent="0.2">
      <c r="A726">
        <v>724</v>
      </c>
      <c r="B726">
        <v>600</v>
      </c>
      <c r="C726">
        <v>78.666666666666686</v>
      </c>
      <c r="D726">
        <v>100</v>
      </c>
      <c r="E726">
        <v>80.908090434049939</v>
      </c>
      <c r="F726">
        <v>51.413099167022914</v>
      </c>
      <c r="G726">
        <v>727.18873382178924</v>
      </c>
      <c r="H726">
        <v>9.2439245824803695</v>
      </c>
      <c r="I726">
        <v>4.1159212896025279</v>
      </c>
      <c r="J726">
        <v>7.6718010989795493</v>
      </c>
      <c r="K726">
        <v>739.51470728245874</v>
      </c>
      <c r="L726">
        <v>10.175147197459728</v>
      </c>
      <c r="M726">
        <v>0.41000059093290886</v>
      </c>
    </row>
    <row r="727" spans="1:13" x14ac:dyDescent="0.2">
      <c r="A727">
        <v>725</v>
      </c>
      <c r="B727">
        <v>600</v>
      </c>
      <c r="C727">
        <v>78.4166666666667</v>
      </c>
      <c r="D727">
        <v>99</v>
      </c>
      <c r="E727">
        <v>80.266924239614255</v>
      </c>
      <c r="F727">
        <v>50.095454244988993</v>
      </c>
      <c r="G727">
        <v>705.48785378183641</v>
      </c>
      <c r="H727">
        <v>8.9966570089075812</v>
      </c>
      <c r="I727">
        <v>3.9723485711652695</v>
      </c>
      <c r="J727">
        <v>7.4041911857693741</v>
      </c>
      <c r="K727">
        <v>717.44602316249836</v>
      </c>
      <c r="L727">
        <v>9.7887837602630512</v>
      </c>
      <c r="M727">
        <v>0.41000061523342229</v>
      </c>
    </row>
    <row r="728" spans="1:13" x14ac:dyDescent="0.2">
      <c r="A728">
        <v>726</v>
      </c>
      <c r="B728">
        <v>600</v>
      </c>
      <c r="C728">
        <v>78.333333333333456</v>
      </c>
      <c r="D728">
        <v>92</v>
      </c>
      <c r="E728">
        <v>81.629546712434902</v>
      </c>
      <c r="F728">
        <v>48.147359937948721</v>
      </c>
      <c r="G728">
        <v>684.29893989605307</v>
      </c>
      <c r="H728">
        <v>8.7357311476091741</v>
      </c>
      <c r="I728">
        <v>3.9545154778174103</v>
      </c>
      <c r="J728">
        <v>7.3709514963977822</v>
      </c>
      <c r="K728">
        <v>695.8979624870434</v>
      </c>
      <c r="L728">
        <v>9.8450323323398798</v>
      </c>
      <c r="M728">
        <v>0.41000062355366318</v>
      </c>
    </row>
    <row r="729" spans="1:13" x14ac:dyDescent="0.2">
      <c r="A729">
        <v>727</v>
      </c>
      <c r="B729">
        <v>600</v>
      </c>
      <c r="C729">
        <v>77.000000000000256</v>
      </c>
      <c r="D729">
        <v>38</v>
      </c>
      <c r="E729">
        <v>132.96545583094652</v>
      </c>
      <c r="F729">
        <v>52.765630447359058</v>
      </c>
      <c r="G729">
        <v>978.23157915420722</v>
      </c>
      <c r="H729">
        <v>12.70430622278187</v>
      </c>
      <c r="I729">
        <v>4.8580010766788169</v>
      </c>
      <c r="J729">
        <v>9.0549880273603272</v>
      </c>
      <c r="K729">
        <v>994.81307889577636</v>
      </c>
      <c r="L729">
        <v>14.625764015936619</v>
      </c>
      <c r="M729">
        <v>0.41000077306581523</v>
      </c>
    </row>
    <row r="730" spans="1:13" x14ac:dyDescent="0.2">
      <c r="A730">
        <v>728</v>
      </c>
      <c r="B730">
        <v>600</v>
      </c>
      <c r="C730">
        <v>76.250000000000284</v>
      </c>
      <c r="D730">
        <v>82</v>
      </c>
      <c r="E730">
        <v>77.956856660599357</v>
      </c>
      <c r="F730">
        <v>39.139238574038835</v>
      </c>
      <c r="G730">
        <v>542.49451970763084</v>
      </c>
      <c r="H730">
        <v>7.1146822256738202</v>
      </c>
      <c r="I730">
        <v>3.294728565297989</v>
      </c>
      <c r="J730">
        <v>6.1411529642087386</v>
      </c>
      <c r="K730">
        <v>551.69015784028909</v>
      </c>
      <c r="L730">
        <v>8.30071838940448</v>
      </c>
      <c r="M730">
        <v>0.4100008724121415</v>
      </c>
    </row>
    <row r="731" spans="1:13" x14ac:dyDescent="0.2">
      <c r="A731">
        <v>729</v>
      </c>
      <c r="B731">
        <v>600</v>
      </c>
      <c r="C731">
        <v>77.333333333333499</v>
      </c>
      <c r="D731">
        <v>100</v>
      </c>
      <c r="E731">
        <v>77.155346350932476</v>
      </c>
      <c r="F731">
        <v>46.754340101575927</v>
      </c>
      <c r="G731">
        <v>644.40699123703132</v>
      </c>
      <c r="H731">
        <v>8.3328490246167668</v>
      </c>
      <c r="I731">
        <v>3.8030962833364441</v>
      </c>
      <c r="J731">
        <v>7.0887162783531101</v>
      </c>
      <c r="K731">
        <v>655.32995737679266</v>
      </c>
      <c r="L731">
        <v>9.3970618925702816</v>
      </c>
      <c r="M731">
        <v>0.41000073262344178</v>
      </c>
    </row>
    <row r="732" spans="1:13" x14ac:dyDescent="0.2">
      <c r="A732">
        <v>730</v>
      </c>
      <c r="B732">
        <v>600</v>
      </c>
      <c r="C732">
        <v>76.416666666666785</v>
      </c>
      <c r="D732">
        <v>100</v>
      </c>
      <c r="E732">
        <v>70.826233879870088</v>
      </c>
      <c r="F732">
        <v>39.398363225118594</v>
      </c>
      <c r="G732">
        <v>518.28529241331285</v>
      </c>
      <c r="H732">
        <v>6.7823593336529386</v>
      </c>
      <c r="I732">
        <v>3.2196760436635232</v>
      </c>
      <c r="J732">
        <v>6.0012601000252062</v>
      </c>
      <c r="K732">
        <v>527.07054759581115</v>
      </c>
      <c r="L732">
        <v>7.8191361338371843</v>
      </c>
      <c r="M732">
        <v>0.4100008492858177</v>
      </c>
    </row>
    <row r="733" spans="1:13" x14ac:dyDescent="0.2">
      <c r="A733">
        <v>731</v>
      </c>
      <c r="B733">
        <v>600</v>
      </c>
      <c r="C733">
        <v>77.083333333333499</v>
      </c>
      <c r="D733">
        <v>100</v>
      </c>
      <c r="E733">
        <v>79.444538212166265</v>
      </c>
      <c r="F733">
        <v>49.56989183883023</v>
      </c>
      <c r="G733">
        <v>694.18123912680539</v>
      </c>
      <c r="H733">
        <v>9.005594453536915</v>
      </c>
      <c r="I733">
        <v>4.1383261607118751</v>
      </c>
      <c r="J733">
        <v>7.7135622753250219</v>
      </c>
      <c r="K733">
        <v>705.94793548862788</v>
      </c>
      <c r="L733">
        <v>10.482514340777664</v>
      </c>
      <c r="M733">
        <v>0.41000076275059422</v>
      </c>
    </row>
    <row r="734" spans="1:13" x14ac:dyDescent="0.2">
      <c r="A734">
        <v>732</v>
      </c>
      <c r="B734">
        <v>600</v>
      </c>
      <c r="C734">
        <v>78.000000000000213</v>
      </c>
      <c r="D734">
        <v>100</v>
      </c>
      <c r="E734">
        <v>82.110165194331984</v>
      </c>
      <c r="F734">
        <v>52.952166433401629</v>
      </c>
      <c r="G734">
        <v>754.99805268348678</v>
      </c>
      <c r="H734">
        <v>9.6794622138908295</v>
      </c>
      <c r="I734">
        <v>4.3967855940811615</v>
      </c>
      <c r="J734">
        <v>8.1953133160879066</v>
      </c>
      <c r="K734">
        <v>767.79548610244797</v>
      </c>
      <c r="L734">
        <v>11.198185192151875</v>
      </c>
      <c r="M734">
        <v>0.41000065797515273</v>
      </c>
    </row>
    <row r="735" spans="1:13" x14ac:dyDescent="0.2">
      <c r="A735">
        <v>733</v>
      </c>
      <c r="B735">
        <v>600</v>
      </c>
      <c r="C735">
        <v>76.583333333333528</v>
      </c>
      <c r="D735">
        <v>99</v>
      </c>
      <c r="E735">
        <v>82.856228240987448</v>
      </c>
      <c r="F735">
        <v>53.379609837307328</v>
      </c>
      <c r="G735">
        <v>764.85142143553128</v>
      </c>
      <c r="H735">
        <v>9.9871785171124596</v>
      </c>
      <c r="I735">
        <v>4.2251344818081504</v>
      </c>
      <c r="J735">
        <v>7.8753671608726004</v>
      </c>
      <c r="K735">
        <v>777.81609481068699</v>
      </c>
      <c r="L735">
        <v>10.696290454312329</v>
      </c>
      <c r="M735">
        <v>0.41000082677253757</v>
      </c>
    </row>
    <row r="736" spans="1:13" x14ac:dyDescent="0.2">
      <c r="A736">
        <v>734</v>
      </c>
      <c r="B736">
        <v>600</v>
      </c>
      <c r="C736">
        <v>78.000000000000213</v>
      </c>
      <c r="D736">
        <v>100</v>
      </c>
      <c r="E736">
        <v>77.873523075717458</v>
      </c>
      <c r="F736">
        <v>47.628787695921645</v>
      </c>
      <c r="G736">
        <v>659.78077534859415</v>
      </c>
      <c r="H736">
        <v>8.4587278890845177</v>
      </c>
      <c r="I736">
        <v>3.9966618253483919</v>
      </c>
      <c r="J736">
        <v>7.4495094601088381</v>
      </c>
      <c r="K736">
        <v>670.96424862196682</v>
      </c>
      <c r="L736">
        <v>10.02687901606301</v>
      </c>
      <c r="M736">
        <v>0.41000065797515273</v>
      </c>
    </row>
    <row r="737" spans="1:13" x14ac:dyDescent="0.2">
      <c r="A737">
        <v>735</v>
      </c>
      <c r="B737">
        <v>600</v>
      </c>
      <c r="C737">
        <v>78.333333333333456</v>
      </c>
      <c r="D737">
        <v>100</v>
      </c>
      <c r="E737">
        <v>72.24015210657511</v>
      </c>
      <c r="F737">
        <v>40.987099387229598</v>
      </c>
      <c r="G737">
        <v>545.0220019713646</v>
      </c>
      <c r="H737">
        <v>6.9577276847408136</v>
      </c>
      <c r="I737">
        <v>3.364453264772477</v>
      </c>
      <c r="J737">
        <v>6.2711151253913817</v>
      </c>
      <c r="K737">
        <v>554.26024880309717</v>
      </c>
      <c r="L737">
        <v>8.0882441959899758</v>
      </c>
      <c r="M737">
        <v>0.41000062355366318</v>
      </c>
    </row>
    <row r="738" spans="1:13" x14ac:dyDescent="0.2">
      <c r="A738">
        <v>736</v>
      </c>
      <c r="B738">
        <v>600</v>
      </c>
      <c r="C738">
        <v>76.416666666666785</v>
      </c>
      <c r="D738">
        <v>100</v>
      </c>
      <c r="E738">
        <v>72.854048415291444</v>
      </c>
      <c r="F738">
        <v>41.686675476307542</v>
      </c>
      <c r="G738">
        <v>556.88527991893022</v>
      </c>
      <c r="H738">
        <v>7.2874845790917693</v>
      </c>
      <c r="I738">
        <v>3.3801684716175333</v>
      </c>
      <c r="J738">
        <v>6.3004072164352891</v>
      </c>
      <c r="K738">
        <v>566.32482868305635</v>
      </c>
      <c r="L738">
        <v>8.2716589349012999</v>
      </c>
      <c r="M738">
        <v>0.4100008492858177</v>
      </c>
    </row>
    <row r="739" spans="1:13" x14ac:dyDescent="0.2">
      <c r="A739">
        <v>737</v>
      </c>
      <c r="B739">
        <v>600</v>
      </c>
      <c r="C739">
        <v>79.000000000000171</v>
      </c>
      <c r="D739">
        <v>97</v>
      </c>
      <c r="E739">
        <v>82.167709491209777</v>
      </c>
      <c r="F739">
        <v>51.435619759226817</v>
      </c>
      <c r="G739">
        <v>733.6549890745614</v>
      </c>
      <c r="H739">
        <v>9.2867720136020235</v>
      </c>
      <c r="I739">
        <v>4.2201249168543429</v>
      </c>
      <c r="J739">
        <v>7.8660296679484487</v>
      </c>
      <c r="K739">
        <v>746.09052757520897</v>
      </c>
      <c r="L739">
        <v>10.70480781990871</v>
      </c>
      <c r="M739">
        <v>0.41000056001868546</v>
      </c>
    </row>
    <row r="740" spans="1:13" x14ac:dyDescent="0.2">
      <c r="A740">
        <v>738</v>
      </c>
      <c r="B740">
        <v>600</v>
      </c>
      <c r="C740">
        <v>74.666666666666856</v>
      </c>
      <c r="D740">
        <v>100</v>
      </c>
      <c r="E740">
        <v>71.078135305762217</v>
      </c>
      <c r="F740">
        <v>39.679110968824737</v>
      </c>
      <c r="G740">
        <v>522.98868699489526</v>
      </c>
      <c r="H740">
        <v>7.0043127722530434</v>
      </c>
      <c r="I740">
        <v>3.2347503697497793</v>
      </c>
      <c r="J740">
        <v>6.029357632338824</v>
      </c>
      <c r="K740">
        <v>531.85391712310229</v>
      </c>
      <c r="L740">
        <v>8.065100717027283</v>
      </c>
      <c r="M740">
        <v>0.4100011260717914</v>
      </c>
    </row>
    <row r="741" spans="1:13" x14ac:dyDescent="0.2">
      <c r="A741">
        <v>739</v>
      </c>
      <c r="B741">
        <v>600</v>
      </c>
      <c r="C741">
        <v>77.666666666666728</v>
      </c>
      <c r="D741">
        <v>100</v>
      </c>
      <c r="E741">
        <v>81.353134638814836</v>
      </c>
      <c r="F741">
        <v>51.980262024753287</v>
      </c>
      <c r="G741">
        <v>737.41065255349747</v>
      </c>
      <c r="H741">
        <v>9.4945577581995302</v>
      </c>
      <c r="I741">
        <v>4.1620452507942476</v>
      </c>
      <c r="J741">
        <v>7.7577730676500414</v>
      </c>
      <c r="K741">
        <v>749.91002066476665</v>
      </c>
      <c r="L741">
        <v>10.38179429510979</v>
      </c>
      <c r="M741">
        <v>0.41000069429678165</v>
      </c>
    </row>
    <row r="742" spans="1:13" x14ac:dyDescent="0.2">
      <c r="A742">
        <v>740</v>
      </c>
      <c r="B742">
        <v>600</v>
      </c>
      <c r="C742">
        <v>78.250000000000199</v>
      </c>
      <c r="D742">
        <v>99</v>
      </c>
      <c r="E742">
        <v>82.606210778963316</v>
      </c>
      <c r="F742">
        <v>53.057951479751623</v>
      </c>
      <c r="G742">
        <v>758.99236737957312</v>
      </c>
      <c r="H742">
        <v>9.6995829697069809</v>
      </c>
      <c r="I742">
        <v>4.2671660268165201</v>
      </c>
      <c r="J742">
        <v>7.9537111403849394</v>
      </c>
      <c r="K742">
        <v>771.85747157828428</v>
      </c>
      <c r="L742">
        <v>10.719389437807321</v>
      </c>
      <c r="M742">
        <v>0.41000063198642472</v>
      </c>
    </row>
    <row r="743" spans="1:13" x14ac:dyDescent="0.2">
      <c r="A743">
        <v>741</v>
      </c>
      <c r="B743">
        <v>600</v>
      </c>
      <c r="C743">
        <v>78.166666666666714</v>
      </c>
      <c r="D743">
        <v>99</v>
      </c>
      <c r="E743">
        <v>87.249328666263878</v>
      </c>
      <c r="F743">
        <v>59.190125929949602</v>
      </c>
      <c r="G743">
        <v>872.31327612453515</v>
      </c>
      <c r="H743">
        <v>11.159658116731784</v>
      </c>
      <c r="I743">
        <v>4.797256656693448</v>
      </c>
      <c r="J743">
        <v>8.9417645045544223</v>
      </c>
      <c r="K743">
        <v>887.09920998515599</v>
      </c>
      <c r="L743">
        <v>12.314873956604412</v>
      </c>
      <c r="M743">
        <v>0.41000064053322849</v>
      </c>
    </row>
    <row r="744" spans="1:13" x14ac:dyDescent="0.2">
      <c r="A744">
        <v>742</v>
      </c>
      <c r="B744">
        <v>600</v>
      </c>
      <c r="C744">
        <v>75.916666666666814</v>
      </c>
      <c r="D744">
        <v>99</v>
      </c>
      <c r="E744">
        <v>78.352327657541025</v>
      </c>
      <c r="F744">
        <v>47.734115720740505</v>
      </c>
      <c r="G744">
        <v>663.4509994375253</v>
      </c>
      <c r="H744">
        <v>8.7392008707467497</v>
      </c>
      <c r="I744">
        <v>3.9881865215502672</v>
      </c>
      <c r="J744">
        <v>7.433712062535446</v>
      </c>
      <c r="K744">
        <v>674.69698435439489</v>
      </c>
      <c r="L744">
        <v>10.287820811514004</v>
      </c>
      <c r="M744">
        <v>0.41000092057114862</v>
      </c>
    </row>
    <row r="745" spans="1:13" x14ac:dyDescent="0.2">
      <c r="A745">
        <v>743</v>
      </c>
      <c r="B745">
        <v>600</v>
      </c>
      <c r="C745">
        <v>76.000000000000298</v>
      </c>
      <c r="D745">
        <v>94</v>
      </c>
      <c r="E745">
        <v>80.402967746112481</v>
      </c>
      <c r="F745">
        <v>47.726753494005266</v>
      </c>
      <c r="G745">
        <v>672.74968582787881</v>
      </c>
      <c r="H745">
        <v>8.8519695503667908</v>
      </c>
      <c r="I745">
        <v>3.9933769383559481</v>
      </c>
      <c r="J745">
        <v>7.443386651176044</v>
      </c>
      <c r="K745">
        <v>684.15327610974578</v>
      </c>
      <c r="L745">
        <v>10.317817721474434</v>
      </c>
      <c r="M745">
        <v>0.41000090828772506</v>
      </c>
    </row>
    <row r="746" spans="1:13" x14ac:dyDescent="0.2">
      <c r="A746">
        <v>744</v>
      </c>
      <c r="B746">
        <v>600</v>
      </c>
      <c r="C746">
        <v>76.50000000000027</v>
      </c>
      <c r="D746">
        <v>60</v>
      </c>
      <c r="E746">
        <v>88.60936203052168</v>
      </c>
      <c r="F746">
        <v>36.999883039711349</v>
      </c>
      <c r="G746">
        <v>549.89839869349532</v>
      </c>
      <c r="H746">
        <v>7.1882143620064491</v>
      </c>
      <c r="I746">
        <v>3.1315735292862037</v>
      </c>
      <c r="J746">
        <v>5.8370429250441811</v>
      </c>
      <c r="K746">
        <v>559.21950477301584</v>
      </c>
      <c r="L746">
        <v>8.0659597850004783</v>
      </c>
      <c r="M746">
        <v>0.41000083795357306</v>
      </c>
    </row>
    <row r="747" spans="1:13" x14ac:dyDescent="0.2">
      <c r="A747">
        <v>745</v>
      </c>
      <c r="B747">
        <v>600</v>
      </c>
      <c r="C747">
        <v>77.666666666666728</v>
      </c>
      <c r="D747">
        <v>89</v>
      </c>
      <c r="E747">
        <v>86.814118636079527</v>
      </c>
      <c r="F747">
        <v>52.681800458475223</v>
      </c>
      <c r="G747">
        <v>774.28499757395036</v>
      </c>
      <c r="H747">
        <v>9.9693347327118005</v>
      </c>
      <c r="I747">
        <v>4.2892763912876841</v>
      </c>
      <c r="J747">
        <v>7.9949233761187024</v>
      </c>
      <c r="K747">
        <v>787.40939871217211</v>
      </c>
      <c r="L747">
        <v>10.892222221827335</v>
      </c>
      <c r="M747">
        <v>0.41000069429678165</v>
      </c>
    </row>
    <row r="748" spans="1:13" x14ac:dyDescent="0.2">
      <c r="A748">
        <v>746</v>
      </c>
      <c r="B748">
        <v>600</v>
      </c>
      <c r="C748">
        <v>75.416666666666828</v>
      </c>
      <c r="D748">
        <v>68</v>
      </c>
      <c r="E748">
        <v>81.363699895642895</v>
      </c>
      <c r="F748">
        <v>35.355759628232057</v>
      </c>
      <c r="G748">
        <v>501.60471685606598</v>
      </c>
      <c r="H748">
        <v>6.651112267704729</v>
      </c>
      <c r="I748">
        <v>3.0281433954466599</v>
      </c>
      <c r="J748">
        <v>5.6442560958931214</v>
      </c>
      <c r="K748">
        <v>510.10735443913507</v>
      </c>
      <c r="L748">
        <v>7.7204009946295011</v>
      </c>
      <c r="M748">
        <v>0.41000099783985799</v>
      </c>
    </row>
    <row r="749" spans="1:13" x14ac:dyDescent="0.2">
      <c r="A749">
        <v>747</v>
      </c>
      <c r="B749">
        <v>600</v>
      </c>
      <c r="C749">
        <v>80.000000000000128</v>
      </c>
      <c r="D749">
        <v>86</v>
      </c>
      <c r="E749">
        <v>90.332669481522601</v>
      </c>
      <c r="F749">
        <v>55.11604191123017</v>
      </c>
      <c r="G749">
        <v>827.7838228787798</v>
      </c>
      <c r="H749">
        <v>10.347297785984731</v>
      </c>
      <c r="I749">
        <v>4.6224270464452424</v>
      </c>
      <c r="J749">
        <v>8.6158938423956055</v>
      </c>
      <c r="K749">
        <v>841.81473724494163</v>
      </c>
      <c r="L749">
        <v>12.119091159173166</v>
      </c>
      <c r="M749">
        <v>0.41000047664554917</v>
      </c>
    </row>
    <row r="750" spans="1:13" x14ac:dyDescent="0.2">
      <c r="A750">
        <v>748</v>
      </c>
      <c r="B750">
        <v>600</v>
      </c>
      <c r="C750">
        <v>77.416666666666742</v>
      </c>
      <c r="D750">
        <v>100</v>
      </c>
      <c r="E750">
        <v>80.320731143384336</v>
      </c>
      <c r="F750">
        <v>50.669333026015487</v>
      </c>
      <c r="G750">
        <v>713.8300975166718</v>
      </c>
      <c r="H750">
        <v>9.2206255868676568</v>
      </c>
      <c r="I750">
        <v>4.0834230205983486</v>
      </c>
      <c r="J750">
        <v>7.6112265062410973</v>
      </c>
      <c r="K750">
        <v>725.92980211322492</v>
      </c>
      <c r="L750">
        <v>10.139017589205034</v>
      </c>
      <c r="M750">
        <v>0.4100007228478541</v>
      </c>
    </row>
    <row r="751" spans="1:13" x14ac:dyDescent="0.2">
      <c r="A751">
        <v>749</v>
      </c>
      <c r="B751">
        <v>600</v>
      </c>
      <c r="C751">
        <v>77.666666666666728</v>
      </c>
      <c r="D751">
        <v>95</v>
      </c>
      <c r="E751">
        <v>80.02618768913652</v>
      </c>
      <c r="F751">
        <v>47.783476451161789</v>
      </c>
      <c r="G751">
        <v>671.82838617596497</v>
      </c>
      <c r="H751">
        <v>8.6501508949694994</v>
      </c>
      <c r="I751">
        <v>3.8629530767024738</v>
      </c>
      <c r="J751">
        <v>7.2002853247017207</v>
      </c>
      <c r="K751">
        <v>683.21611196665538</v>
      </c>
      <c r="L751">
        <v>9.5923780874231834</v>
      </c>
      <c r="M751">
        <v>0.41000069429678165</v>
      </c>
    </row>
    <row r="752" spans="1:13" x14ac:dyDescent="0.2">
      <c r="A752">
        <v>750</v>
      </c>
      <c r="B752">
        <v>600</v>
      </c>
      <c r="C752">
        <v>78.250000000000199</v>
      </c>
      <c r="D752">
        <v>59</v>
      </c>
      <c r="E752">
        <v>101.03850525039394</v>
      </c>
      <c r="F752">
        <v>47.305944552333457</v>
      </c>
      <c r="G752">
        <v>755.1789080808303</v>
      </c>
      <c r="H752">
        <v>9.6508486655696917</v>
      </c>
      <c r="I752">
        <v>3.9083355868011966</v>
      </c>
      <c r="J752">
        <v>7.2848752782874113</v>
      </c>
      <c r="K752">
        <v>767.97937322209566</v>
      </c>
      <c r="L752">
        <v>10.444205216254494</v>
      </c>
      <c r="M752">
        <v>0.41000063198642472</v>
      </c>
    </row>
    <row r="753" spans="1:13" x14ac:dyDescent="0.2">
      <c r="A753">
        <v>751</v>
      </c>
      <c r="B753">
        <v>600</v>
      </c>
      <c r="C753">
        <v>79.5833333333334</v>
      </c>
      <c r="D753">
        <v>95</v>
      </c>
      <c r="E753">
        <v>84.982983504704052</v>
      </c>
      <c r="F753">
        <v>53.886184571182703</v>
      </c>
      <c r="G753">
        <v>782.84316196949339</v>
      </c>
      <c r="H753">
        <v>9.8367727158470295</v>
      </c>
      <c r="I753">
        <v>4.2669219914196983</v>
      </c>
      <c r="J753">
        <v>7.9532562747804247</v>
      </c>
      <c r="K753">
        <v>796.11237797855063</v>
      </c>
      <c r="L753">
        <v>10.679525270253263</v>
      </c>
      <c r="M753">
        <v>0.41000050975925018</v>
      </c>
    </row>
    <row r="754" spans="1:13" x14ac:dyDescent="0.2">
      <c r="A754">
        <v>752</v>
      </c>
      <c r="B754">
        <v>600</v>
      </c>
      <c r="C754">
        <v>79.5833333333334</v>
      </c>
      <c r="D754">
        <v>100</v>
      </c>
      <c r="E754">
        <v>81.465270961515856</v>
      </c>
      <c r="F754">
        <v>52.1236589004438</v>
      </c>
      <c r="G754">
        <v>740.00017126912735</v>
      </c>
      <c r="H754">
        <v>9.2984314714445233</v>
      </c>
      <c r="I754">
        <v>4.1346912026592246</v>
      </c>
      <c r="J754">
        <v>7.7067869574263268</v>
      </c>
      <c r="K754">
        <v>752.54319724971583</v>
      </c>
      <c r="L754">
        <v>10.21221080914996</v>
      </c>
      <c r="M754">
        <v>0.41000050975925018</v>
      </c>
    </row>
    <row r="755" spans="1:13" x14ac:dyDescent="0.2">
      <c r="A755">
        <v>753</v>
      </c>
      <c r="B755">
        <v>600</v>
      </c>
      <c r="C755">
        <v>78.000000000000213</v>
      </c>
      <c r="D755">
        <v>72</v>
      </c>
      <c r="E755">
        <v>87.318163642345993</v>
      </c>
      <c r="F755">
        <v>43.115315166317302</v>
      </c>
      <c r="G755">
        <v>635.6840725888195</v>
      </c>
      <c r="H755">
        <v>8.1497958024207406</v>
      </c>
      <c r="I755">
        <v>3.6599575026868769</v>
      </c>
      <c r="J755">
        <v>6.8219151960612789</v>
      </c>
      <c r="K755">
        <v>646.4590998429095</v>
      </c>
      <c r="L755">
        <v>9.485462723567414</v>
      </c>
      <c r="M755">
        <v>0.41000065797515273</v>
      </c>
    </row>
    <row r="756" spans="1:13" x14ac:dyDescent="0.2">
      <c r="A756">
        <v>754</v>
      </c>
      <c r="B756">
        <v>600</v>
      </c>
      <c r="C756">
        <v>76.083333333333542</v>
      </c>
      <c r="D756">
        <v>89</v>
      </c>
      <c r="E756">
        <v>78.91182420278345</v>
      </c>
      <c r="F756">
        <v>43.527533071340173</v>
      </c>
      <c r="G756">
        <v>607.33353808025333</v>
      </c>
      <c r="H756">
        <v>7.9824780470569774</v>
      </c>
      <c r="I756">
        <v>3.6723359686628698</v>
      </c>
      <c r="J756">
        <v>6.8449878260258519</v>
      </c>
      <c r="K756">
        <v>617.62826499485425</v>
      </c>
      <c r="L756">
        <v>9.3944580274333092</v>
      </c>
      <c r="M756">
        <v>0.41000089616820251</v>
      </c>
    </row>
    <row r="757" spans="1:13" x14ac:dyDescent="0.2">
      <c r="A757">
        <v>755</v>
      </c>
      <c r="B757">
        <v>600</v>
      </c>
      <c r="C757">
        <v>76.583333333333528</v>
      </c>
      <c r="D757">
        <v>98</v>
      </c>
      <c r="E757">
        <v>79.752586519578287</v>
      </c>
      <c r="F757">
        <v>48.955953192045257</v>
      </c>
      <c r="G757">
        <v>687.03024992713256</v>
      </c>
      <c r="H757">
        <v>8.9710152329984432</v>
      </c>
      <c r="I757">
        <v>3.868103871103032</v>
      </c>
      <c r="J757">
        <v>7.2098860598378973</v>
      </c>
      <c r="K757">
        <v>698.6758094953417</v>
      </c>
      <c r="L757">
        <v>9.6980302966036707</v>
      </c>
      <c r="M757">
        <v>0.41000082677253757</v>
      </c>
    </row>
    <row r="758" spans="1:13" x14ac:dyDescent="0.2">
      <c r="A758">
        <v>756</v>
      </c>
      <c r="B758">
        <v>600</v>
      </c>
      <c r="C758">
        <v>75.416666666666828</v>
      </c>
      <c r="D758">
        <v>99</v>
      </c>
      <c r="E758">
        <v>72.116508474840188</v>
      </c>
      <c r="F758">
        <v>40.438446229115833</v>
      </c>
      <c r="G758">
        <v>537.22448694886759</v>
      </c>
      <c r="H758">
        <v>7.1234186114766818</v>
      </c>
      <c r="I758">
        <v>3.2461283621272004</v>
      </c>
      <c r="J758">
        <v>6.0505654466490215</v>
      </c>
      <c r="K758">
        <v>546.33091071199817</v>
      </c>
      <c r="L758">
        <v>8.018359363622201</v>
      </c>
      <c r="M758">
        <v>0.41000099783985799</v>
      </c>
    </row>
    <row r="759" spans="1:13" x14ac:dyDescent="0.2">
      <c r="A759">
        <v>757</v>
      </c>
      <c r="B759">
        <v>600</v>
      </c>
      <c r="C759">
        <v>76.250000000000284</v>
      </c>
      <c r="D759">
        <v>100</v>
      </c>
      <c r="E759">
        <v>72.039739303923511</v>
      </c>
      <c r="F759">
        <v>40.759997287523277</v>
      </c>
      <c r="G759">
        <v>541.18234733052293</v>
      </c>
      <c r="H759">
        <v>7.0974734076133892</v>
      </c>
      <c r="I759">
        <v>3.3211435050625484</v>
      </c>
      <c r="J759">
        <v>6.1903886394455698</v>
      </c>
      <c r="K759">
        <v>550.35574328024813</v>
      </c>
      <c r="L759">
        <v>8.1986528292467522</v>
      </c>
      <c r="M759">
        <v>0.4100008724121415</v>
      </c>
    </row>
    <row r="760" spans="1:13" x14ac:dyDescent="0.2">
      <c r="A760">
        <v>758</v>
      </c>
      <c r="B760">
        <v>600</v>
      </c>
      <c r="C760">
        <v>78.4166666666667</v>
      </c>
      <c r="D760">
        <v>100</v>
      </c>
      <c r="E760">
        <v>82.752421964478188</v>
      </c>
      <c r="F760">
        <v>53.783778310242838</v>
      </c>
      <c r="G760">
        <v>770.11678132647648</v>
      </c>
      <c r="H760">
        <v>9.8208303676064954</v>
      </c>
      <c r="I760">
        <v>4.353906186026367</v>
      </c>
      <c r="J760">
        <v>8.1153889767499834</v>
      </c>
      <c r="K760">
        <v>783.17042479407905</v>
      </c>
      <c r="L760">
        <v>10.824036291605012</v>
      </c>
      <c r="M760">
        <v>0.41000061523342229</v>
      </c>
    </row>
    <row r="761" spans="1:13" x14ac:dyDescent="0.2">
      <c r="A761">
        <v>759</v>
      </c>
      <c r="B761">
        <v>600</v>
      </c>
      <c r="C761">
        <v>74.500000000000355</v>
      </c>
      <c r="D761">
        <v>43</v>
      </c>
      <c r="E761">
        <v>92.321432246991776</v>
      </c>
      <c r="F761">
        <v>28.784812422557636</v>
      </c>
      <c r="G761">
        <v>437.47518084512632</v>
      </c>
      <c r="H761">
        <v>5.8721500784580432</v>
      </c>
      <c r="I761">
        <v>2.5600273138585639</v>
      </c>
      <c r="J761">
        <v>4.7717191311436409</v>
      </c>
      <c r="K761">
        <v>444.89088665758248</v>
      </c>
      <c r="L761">
        <v>6.8328107864906977</v>
      </c>
      <c r="M761">
        <v>0.41000115673508558</v>
      </c>
    </row>
    <row r="762" spans="1:13" x14ac:dyDescent="0.2">
      <c r="A762">
        <v>760</v>
      </c>
      <c r="B762">
        <v>600</v>
      </c>
      <c r="C762">
        <v>77.500000000000227</v>
      </c>
      <c r="D762">
        <v>100</v>
      </c>
      <c r="E762">
        <v>79.280737688590861</v>
      </c>
      <c r="F762">
        <v>49.365693945317567</v>
      </c>
      <c r="G762">
        <v>690.54492081259411</v>
      </c>
      <c r="H762">
        <v>8.9102570427431242</v>
      </c>
      <c r="I762">
        <v>3.9032810818252166</v>
      </c>
      <c r="J762">
        <v>7.2754540201774773</v>
      </c>
      <c r="K762">
        <v>702.24992090525313</v>
      </c>
      <c r="L762">
        <v>9.6629927970674832</v>
      </c>
      <c r="M762">
        <v>0.41000071320270459</v>
      </c>
    </row>
    <row r="763" spans="1:13" x14ac:dyDescent="0.2">
      <c r="A763">
        <v>761</v>
      </c>
      <c r="B763">
        <v>600</v>
      </c>
      <c r="C763">
        <v>75.083333333333584</v>
      </c>
      <c r="D763">
        <v>100</v>
      </c>
      <c r="E763">
        <v>71.805375958455812</v>
      </c>
      <c r="F763">
        <v>40.495223682419059</v>
      </c>
      <c r="G763">
        <v>536.71322986756797</v>
      </c>
      <c r="H763">
        <v>7.1482339161052098</v>
      </c>
      <c r="I763">
        <v>3.3765769069820877</v>
      </c>
      <c r="J763">
        <v>6.2937127809544968</v>
      </c>
      <c r="K763">
        <v>545.81103833456928</v>
      </c>
      <c r="L763">
        <v>8.5378364790106964</v>
      </c>
      <c r="M763">
        <v>0.41000105292274208</v>
      </c>
    </row>
    <row r="764" spans="1:13" x14ac:dyDescent="0.2">
      <c r="A764">
        <v>762</v>
      </c>
      <c r="B764">
        <v>600</v>
      </c>
      <c r="C764">
        <v>76.916666666666771</v>
      </c>
      <c r="D764">
        <v>99</v>
      </c>
      <c r="E764">
        <v>78.375170388731362</v>
      </c>
      <c r="F764">
        <v>47.761952456424538</v>
      </c>
      <c r="G764">
        <v>663.94346445300187</v>
      </c>
      <c r="H764">
        <v>8.6319843699198398</v>
      </c>
      <c r="I764">
        <v>3.9830794197604611</v>
      </c>
      <c r="J764">
        <v>7.424192767493869</v>
      </c>
      <c r="K764">
        <v>675.19764017460716</v>
      </c>
      <c r="L764">
        <v>10.146562350046668</v>
      </c>
      <c r="M764">
        <v>0.41000078352053626</v>
      </c>
    </row>
    <row r="765" spans="1:13" x14ac:dyDescent="0.2">
      <c r="A765">
        <v>763</v>
      </c>
      <c r="B765">
        <v>600</v>
      </c>
      <c r="C765">
        <v>77.000000000000256</v>
      </c>
      <c r="D765">
        <v>100</v>
      </c>
      <c r="E765">
        <v>73.551437840007807</v>
      </c>
      <c r="F765">
        <v>42.488579864661588</v>
      </c>
      <c r="G765">
        <v>570.55094935638215</v>
      </c>
      <c r="H765">
        <v>7.4097525890438991</v>
      </c>
      <c r="I765">
        <v>3.6004310427950879</v>
      </c>
      <c r="J765">
        <v>6.7109618691427544</v>
      </c>
      <c r="K765">
        <v>580.22206468419097</v>
      </c>
      <c r="L765">
        <v>8.9800291412700428</v>
      </c>
      <c r="M765">
        <v>0.41000077306581523</v>
      </c>
    </row>
    <row r="766" spans="1:13" x14ac:dyDescent="0.2">
      <c r="A766">
        <v>764</v>
      </c>
      <c r="B766">
        <v>600</v>
      </c>
      <c r="C766">
        <v>76.666666666666771</v>
      </c>
      <c r="D766">
        <v>99</v>
      </c>
      <c r="E766">
        <v>78.354487579517382</v>
      </c>
      <c r="F766">
        <v>47.73674750947594</v>
      </c>
      <c r="G766">
        <v>663.49765887783678</v>
      </c>
      <c r="H766">
        <v>8.6543172897109031</v>
      </c>
      <c r="I766">
        <v>3.801322994035893</v>
      </c>
      <c r="J766">
        <v>7.0854109860874042</v>
      </c>
      <c r="K766">
        <v>674.74431481880913</v>
      </c>
      <c r="L766">
        <v>9.4907869467557244</v>
      </c>
      <c r="M766">
        <v>0.41000081574069358</v>
      </c>
    </row>
    <row r="767" spans="1:13" x14ac:dyDescent="0.2">
      <c r="A767">
        <v>765</v>
      </c>
      <c r="B767">
        <v>600</v>
      </c>
      <c r="C767">
        <v>78.166666666666714</v>
      </c>
      <c r="D767">
        <v>100</v>
      </c>
      <c r="E767">
        <v>80.748622742280006</v>
      </c>
      <c r="F767">
        <v>51.210631194551127</v>
      </c>
      <c r="G767">
        <v>723.54698190584884</v>
      </c>
      <c r="H767">
        <v>9.2564645872816431</v>
      </c>
      <c r="I767">
        <v>4.1975089650548645</v>
      </c>
      <c r="J767">
        <v>7.8238750513604183</v>
      </c>
      <c r="K767">
        <v>735.81128890693174</v>
      </c>
      <c r="L767">
        <v>10.536483519549192</v>
      </c>
      <c r="M767">
        <v>0.41000064053322849</v>
      </c>
    </row>
    <row r="768" spans="1:13" x14ac:dyDescent="0.2">
      <c r="A768">
        <v>766</v>
      </c>
      <c r="B768">
        <v>600</v>
      </c>
      <c r="C768">
        <v>77.583333333333485</v>
      </c>
      <c r="D768">
        <v>100</v>
      </c>
      <c r="E768">
        <v>78.079678563237763</v>
      </c>
      <c r="F768">
        <v>47.88129798314273</v>
      </c>
      <c r="G768">
        <v>664.23450452653947</v>
      </c>
      <c r="H768">
        <v>8.5615618198909331</v>
      </c>
      <c r="I768">
        <v>3.8121785947229463</v>
      </c>
      <c r="J768">
        <v>7.1056450973400667</v>
      </c>
      <c r="K768">
        <v>675.49352212106623</v>
      </c>
      <c r="L768">
        <v>9.396382625987906</v>
      </c>
      <c r="M768">
        <v>0.41000070368625285</v>
      </c>
    </row>
    <row r="769" spans="1:13" x14ac:dyDescent="0.2">
      <c r="A769">
        <v>767</v>
      </c>
      <c r="B769">
        <v>600</v>
      </c>
      <c r="C769">
        <v>77.333333333333499</v>
      </c>
      <c r="D769">
        <v>99</v>
      </c>
      <c r="E769">
        <v>81.532839172668218</v>
      </c>
      <c r="F769">
        <v>51.68805706776498</v>
      </c>
      <c r="G769">
        <v>734.14711084908015</v>
      </c>
      <c r="H769">
        <v>9.4932816058070504</v>
      </c>
      <c r="I769">
        <v>4.1207278945656602</v>
      </c>
      <c r="J769">
        <v>7.6807602881000188</v>
      </c>
      <c r="K769">
        <v>746.59120928757534</v>
      </c>
      <c r="L769">
        <v>10.330592340570869</v>
      </c>
      <c r="M769">
        <v>0.41000073262344178</v>
      </c>
    </row>
    <row r="770" spans="1:13" x14ac:dyDescent="0.2">
      <c r="A770">
        <v>768</v>
      </c>
      <c r="B770">
        <v>600</v>
      </c>
      <c r="C770">
        <v>80.9166666666666</v>
      </c>
      <c r="D770">
        <v>89.873864427090552</v>
      </c>
      <c r="E770">
        <v>95.023915279289113</v>
      </c>
      <c r="F770">
        <v>63.73663615308373</v>
      </c>
      <c r="G770">
        <v>984.02244668385242</v>
      </c>
      <c r="H770">
        <v>12.16093651926492</v>
      </c>
      <c r="I770">
        <v>5.3505857224642996</v>
      </c>
      <c r="J770">
        <v>9.9731327538943138</v>
      </c>
      <c r="K770">
        <v>1000.7014906266922</v>
      </c>
      <c r="L770">
        <v>14.184515378035227</v>
      </c>
      <c r="M770">
        <v>0.41000041117100455</v>
      </c>
    </row>
    <row r="771" spans="1:13" x14ac:dyDescent="0.2">
      <c r="A771">
        <v>769</v>
      </c>
      <c r="B771">
        <v>600</v>
      </c>
      <c r="C771">
        <v>79.250000000000156</v>
      </c>
      <c r="D771">
        <v>100</v>
      </c>
      <c r="E771">
        <v>86.653703794100949</v>
      </c>
      <c r="F771">
        <v>58.97448294223102</v>
      </c>
      <c r="G771">
        <v>865.89847146647855</v>
      </c>
      <c r="H771">
        <v>10.926163677810433</v>
      </c>
      <c r="I771">
        <v>4.7202442705784433</v>
      </c>
      <c r="J771">
        <v>8.7982185844891756</v>
      </c>
      <c r="K771">
        <v>880.57551956037094</v>
      </c>
      <c r="L771">
        <v>12.00167458193399</v>
      </c>
      <c r="M771">
        <v>0.41000053789904578</v>
      </c>
    </row>
    <row r="772" spans="1:13" x14ac:dyDescent="0.2">
      <c r="A772">
        <v>770</v>
      </c>
      <c r="B772">
        <v>600</v>
      </c>
      <c r="C772">
        <v>77.583333333333485</v>
      </c>
      <c r="D772">
        <v>100</v>
      </c>
      <c r="E772">
        <v>79.3707584541757</v>
      </c>
      <c r="F772">
        <v>49.477863954511889</v>
      </c>
      <c r="G772">
        <v>692.54196076103801</v>
      </c>
      <c r="H772">
        <v>8.926426991549345</v>
      </c>
      <c r="I772">
        <v>3.9550405866954375</v>
      </c>
      <c r="J772">
        <v>7.3719302641107873</v>
      </c>
      <c r="K772">
        <v>704.28080008362701</v>
      </c>
      <c r="L772">
        <v>9.7942566858478362</v>
      </c>
      <c r="M772">
        <v>0.41000070368625285</v>
      </c>
    </row>
    <row r="773" spans="1:13" x14ac:dyDescent="0.2">
      <c r="A773">
        <v>771</v>
      </c>
      <c r="B773">
        <v>600</v>
      </c>
      <c r="C773">
        <v>76.416666666666785</v>
      </c>
      <c r="D773">
        <v>100</v>
      </c>
      <c r="E773">
        <v>75.673512605327602</v>
      </c>
      <c r="F773">
        <v>44.975672753078051</v>
      </c>
      <c r="G773">
        <v>613.37823163876124</v>
      </c>
      <c r="H773">
        <v>8.0267598469630563</v>
      </c>
      <c r="I773">
        <v>3.681911694304048</v>
      </c>
      <c r="J773">
        <v>6.862836336074646</v>
      </c>
      <c r="K773">
        <v>623.77537075734324</v>
      </c>
      <c r="L773">
        <v>9.1016184317126463</v>
      </c>
      <c r="M773">
        <v>0.4100008492858177</v>
      </c>
    </row>
    <row r="774" spans="1:13" x14ac:dyDescent="0.2">
      <c r="A774">
        <v>772</v>
      </c>
      <c r="B774">
        <v>600</v>
      </c>
      <c r="C774">
        <v>74.083333333333627</v>
      </c>
      <c r="D774">
        <v>98</v>
      </c>
      <c r="E774">
        <v>71.552833713868822</v>
      </c>
      <c r="F774">
        <v>39.406660537538578</v>
      </c>
      <c r="G774">
        <v>521.28417133635878</v>
      </c>
      <c r="H774">
        <v>7.0364567559463227</v>
      </c>
      <c r="I774">
        <v>3.306614795749613</v>
      </c>
      <c r="J774">
        <v>6.1633081001856711</v>
      </c>
      <c r="K774">
        <v>530.12060781698017</v>
      </c>
      <c r="L774">
        <v>8.4513351191777026</v>
      </c>
      <c r="M774">
        <v>0.41000123709622555</v>
      </c>
    </row>
    <row r="775" spans="1:13" x14ac:dyDescent="0.2">
      <c r="A775">
        <v>773</v>
      </c>
      <c r="B775">
        <v>600</v>
      </c>
      <c r="C775">
        <v>77.083333333333499</v>
      </c>
      <c r="D775">
        <v>62</v>
      </c>
      <c r="E775">
        <v>96.260737775202145</v>
      </c>
      <c r="F775">
        <v>45.121127432083</v>
      </c>
      <c r="G775">
        <v>701.54370179406897</v>
      </c>
      <c r="H775">
        <v>9.1011074827338483</v>
      </c>
      <c r="I775">
        <v>3.9350430787783028</v>
      </c>
      <c r="J775">
        <v>7.3346562512177123</v>
      </c>
      <c r="K775">
        <v>713.43519533823815</v>
      </c>
      <c r="L775">
        <v>10.506576464166628</v>
      </c>
      <c r="M775">
        <v>0.41000076275059422</v>
      </c>
    </row>
    <row r="776" spans="1:13" x14ac:dyDescent="0.2">
      <c r="A776">
        <v>774</v>
      </c>
      <c r="B776">
        <v>600</v>
      </c>
      <c r="C776">
        <v>77.166666666666757</v>
      </c>
      <c r="D776">
        <v>98</v>
      </c>
      <c r="E776">
        <v>81.283470913468364</v>
      </c>
      <c r="F776">
        <v>50.85345187116878</v>
      </c>
      <c r="G776">
        <v>721.08868548868588</v>
      </c>
      <c r="H776">
        <v>9.3445617989894405</v>
      </c>
      <c r="I776">
        <v>4.1211778903769805</v>
      </c>
      <c r="J776">
        <v>7.6815990500968878</v>
      </c>
      <c r="K776">
        <v>733.31146298919987</v>
      </c>
      <c r="L776">
        <v>10.44318945702749</v>
      </c>
      <c r="M776">
        <v>0.41000075257301194</v>
      </c>
    </row>
    <row r="777" spans="1:13" x14ac:dyDescent="0.2">
      <c r="A777">
        <v>775</v>
      </c>
      <c r="B777">
        <v>600</v>
      </c>
      <c r="C777">
        <v>77.000000000000256</v>
      </c>
      <c r="D777">
        <v>100</v>
      </c>
      <c r="E777">
        <v>77.497696849498382</v>
      </c>
      <c r="F777">
        <v>47.170173450951012</v>
      </c>
      <c r="G777">
        <v>651.70805446821521</v>
      </c>
      <c r="H777">
        <v>8.4637409671196497</v>
      </c>
      <c r="I777">
        <v>3.9067543529782705</v>
      </c>
      <c r="J777">
        <v>7.2819279645447716</v>
      </c>
      <c r="K777">
        <v>662.75482209156928</v>
      </c>
      <c r="L777">
        <v>9.8819641021989355</v>
      </c>
      <c r="M777">
        <v>0.41000077306581523</v>
      </c>
    </row>
    <row r="778" spans="1:13" x14ac:dyDescent="0.2">
      <c r="A778">
        <v>776</v>
      </c>
      <c r="B778">
        <v>600</v>
      </c>
      <c r="C778">
        <v>78.083333333333456</v>
      </c>
      <c r="D778">
        <v>99</v>
      </c>
      <c r="E778">
        <v>76.985430734499332</v>
      </c>
      <c r="F778">
        <v>46.083150685860012</v>
      </c>
      <c r="G778">
        <v>634.39389826835088</v>
      </c>
      <c r="H778">
        <v>8.1245750045039475</v>
      </c>
      <c r="I778">
        <v>3.8147237900777551</v>
      </c>
      <c r="J778">
        <v>7.1103891706947895</v>
      </c>
      <c r="K778">
        <v>645.14704709770444</v>
      </c>
      <c r="L778">
        <v>9.4952296864058727</v>
      </c>
      <c r="M778">
        <v>0.41000064919561674</v>
      </c>
    </row>
    <row r="779" spans="1:13" x14ac:dyDescent="0.2">
      <c r="A779">
        <v>777</v>
      </c>
      <c r="B779">
        <v>600</v>
      </c>
      <c r="C779">
        <v>74.41666666666687</v>
      </c>
      <c r="D779">
        <v>60</v>
      </c>
      <c r="E779">
        <v>91.246602303575074</v>
      </c>
      <c r="F779">
        <v>39.235079367623371</v>
      </c>
      <c r="G779">
        <v>592.50809364790416</v>
      </c>
      <c r="H779">
        <v>7.9620348530513221</v>
      </c>
      <c r="I779">
        <v>3.1942664931187186</v>
      </c>
      <c r="J779">
        <v>5.9538984028307889</v>
      </c>
      <c r="K779">
        <v>602.55180102963243</v>
      </c>
      <c r="L779">
        <v>8.5098017578003962</v>
      </c>
      <c r="M779">
        <v>0.41000117237844025</v>
      </c>
    </row>
    <row r="780" spans="1:13" x14ac:dyDescent="0.2">
      <c r="A780">
        <v>778</v>
      </c>
      <c r="B780">
        <v>600</v>
      </c>
      <c r="C780">
        <v>75.33333333333357</v>
      </c>
      <c r="D780">
        <v>76</v>
      </c>
      <c r="E780">
        <v>80.925705712570931</v>
      </c>
      <c r="F780">
        <v>39.09097155236627</v>
      </c>
      <c r="G780">
        <v>552.96928791711991</v>
      </c>
      <c r="H780">
        <v>7.3403002820856393</v>
      </c>
      <c r="I780">
        <v>3.30716174422394</v>
      </c>
      <c r="J780">
        <v>6.1643275754407085</v>
      </c>
      <c r="K780">
        <v>562.34261265538589</v>
      </c>
      <c r="L780">
        <v>8.472014116462363</v>
      </c>
      <c r="M780">
        <v>0.41000101133435901</v>
      </c>
    </row>
    <row r="781" spans="1:13" x14ac:dyDescent="0.2">
      <c r="A781">
        <v>779</v>
      </c>
      <c r="B781">
        <v>600</v>
      </c>
      <c r="C781">
        <v>76.000000000000298</v>
      </c>
      <c r="D781">
        <v>63</v>
      </c>
      <c r="E781">
        <v>93.084545154961674</v>
      </c>
      <c r="F781">
        <v>42.873169679632305</v>
      </c>
      <c r="G781">
        <v>654.52029840048044</v>
      </c>
      <c r="H781">
        <v>8.6121091894799715</v>
      </c>
      <c r="I781">
        <v>3.8141528143076049</v>
      </c>
      <c r="J781">
        <v>7.1093249101726084</v>
      </c>
      <c r="K781">
        <v>665.61488747477995</v>
      </c>
      <c r="L781">
        <v>10.234622248355198</v>
      </c>
      <c r="M781">
        <v>0.41000090828772506</v>
      </c>
    </row>
    <row r="782" spans="1:13" x14ac:dyDescent="0.2">
      <c r="A782">
        <v>780</v>
      </c>
      <c r="B782">
        <v>600</v>
      </c>
      <c r="C782">
        <v>76.083333333333542</v>
      </c>
      <c r="D782">
        <v>100</v>
      </c>
      <c r="E782">
        <v>75.982421459240285</v>
      </c>
      <c r="F782">
        <v>45.343614991242575</v>
      </c>
      <c r="G782">
        <v>619.76992864641841</v>
      </c>
      <c r="H782">
        <v>8.1459355353307785</v>
      </c>
      <c r="I782">
        <v>3.759841032863338</v>
      </c>
      <c r="J782">
        <v>7.0080913939670779</v>
      </c>
      <c r="K782">
        <v>630.27546105199667</v>
      </c>
      <c r="L782">
        <v>9.5259751027355044</v>
      </c>
      <c r="M782">
        <v>0.41000089616820251</v>
      </c>
    </row>
    <row r="783" spans="1:13" x14ac:dyDescent="0.2">
      <c r="A783">
        <v>781</v>
      </c>
      <c r="B783">
        <v>600</v>
      </c>
      <c r="C783">
        <v>77.250000000000242</v>
      </c>
      <c r="D783">
        <v>100</v>
      </c>
      <c r="E783">
        <v>79.547454445909494</v>
      </c>
      <c r="F783">
        <v>49.698405417813539</v>
      </c>
      <c r="G783">
        <v>696.47193925642034</v>
      </c>
      <c r="H783">
        <v>9.0158179839018526</v>
      </c>
      <c r="I783">
        <v>4.0974336074107276</v>
      </c>
      <c r="J783">
        <v>7.6373412999267973</v>
      </c>
      <c r="K783">
        <v>708.27743978300327</v>
      </c>
      <c r="L783">
        <v>10.263744562139539</v>
      </c>
      <c r="M783">
        <v>0.41000074253123181</v>
      </c>
    </row>
    <row r="784" spans="1:13" x14ac:dyDescent="0.2">
      <c r="A784">
        <v>782</v>
      </c>
      <c r="B784">
        <v>600</v>
      </c>
      <c r="C784">
        <v>76.166666666666799</v>
      </c>
      <c r="D784">
        <v>100</v>
      </c>
      <c r="E784">
        <v>78.439806285703384</v>
      </c>
      <c r="F784">
        <v>48.32400340988837</v>
      </c>
      <c r="G784">
        <v>672.0581791619569</v>
      </c>
      <c r="H784">
        <v>8.8235209517981055</v>
      </c>
      <c r="I784">
        <v>3.9372881915496474</v>
      </c>
      <c r="J784">
        <v>7.3388409907728747</v>
      </c>
      <c r="K784">
        <v>683.45002001828061</v>
      </c>
      <c r="L784">
        <v>10.0005048171166</v>
      </c>
      <c r="M784">
        <v>0.41000088421039388</v>
      </c>
    </row>
    <row r="785" spans="1:13" x14ac:dyDescent="0.2">
      <c r="A785">
        <v>783</v>
      </c>
      <c r="B785">
        <v>600</v>
      </c>
      <c r="C785">
        <v>78.083333333333456</v>
      </c>
      <c r="D785">
        <v>98</v>
      </c>
      <c r="E785">
        <v>79.575146359417914</v>
      </c>
      <c r="F785">
        <v>48.738353010007238</v>
      </c>
      <c r="G785">
        <v>683.14740568271918</v>
      </c>
      <c r="H785">
        <v>8.7489529009526326</v>
      </c>
      <c r="I785">
        <v>4.0209093098566235</v>
      </c>
      <c r="J785">
        <v>7.494705144187555</v>
      </c>
      <c r="K785">
        <v>694.72693970053479</v>
      </c>
      <c r="L785">
        <v>10.103412471377466</v>
      </c>
      <c r="M785">
        <v>0.41000064919561674</v>
      </c>
    </row>
    <row r="786" spans="1:13" x14ac:dyDescent="0.2">
      <c r="A786">
        <v>784</v>
      </c>
      <c r="B786">
        <v>600</v>
      </c>
      <c r="C786">
        <v>74.250000000000369</v>
      </c>
      <c r="D786">
        <v>64</v>
      </c>
      <c r="E786">
        <v>81.168049762595402</v>
      </c>
      <c r="F786">
        <v>33.116168052457596</v>
      </c>
      <c r="G786">
        <v>469.21494737154291</v>
      </c>
      <c r="H786">
        <v>6.3193932305931382</v>
      </c>
      <c r="I786">
        <v>2.9036656971522685</v>
      </c>
      <c r="J786">
        <v>5.4122380189231469</v>
      </c>
      <c r="K786">
        <v>477.16871708218667</v>
      </c>
      <c r="L786">
        <v>7.5914020768928117</v>
      </c>
      <c r="M786">
        <v>0.41000120430267928</v>
      </c>
    </row>
    <row r="787" spans="1:13" x14ac:dyDescent="0.2">
      <c r="A787">
        <v>785</v>
      </c>
      <c r="B787">
        <v>600</v>
      </c>
      <c r="C787">
        <v>75.916666666666814</v>
      </c>
      <c r="D787">
        <v>70</v>
      </c>
      <c r="E787">
        <v>91.581369464780195</v>
      </c>
      <c r="F787">
        <v>46.110750230840395</v>
      </c>
      <c r="G787">
        <v>697.73166592947325</v>
      </c>
      <c r="H787">
        <v>9.1907573997295966</v>
      </c>
      <c r="I787">
        <v>4.0368517314427868</v>
      </c>
      <c r="J787">
        <v>7.5244207482624166</v>
      </c>
      <c r="K787">
        <v>709.55873348641046</v>
      </c>
      <c r="L787">
        <v>10.842147615444055</v>
      </c>
      <c r="M787">
        <v>0.41000092057114862</v>
      </c>
    </row>
    <row r="788" spans="1:13" x14ac:dyDescent="0.2">
      <c r="A788">
        <v>786</v>
      </c>
      <c r="B788">
        <v>600</v>
      </c>
      <c r="C788">
        <v>76.583333333333528</v>
      </c>
      <c r="D788">
        <v>66</v>
      </c>
      <c r="E788">
        <v>90.586729561309696</v>
      </c>
      <c r="F788">
        <v>42.536620075303077</v>
      </c>
      <c r="G788">
        <v>639.83209905571437</v>
      </c>
      <c r="H788">
        <v>8.3547172890843893</v>
      </c>
      <c r="I788">
        <v>3.4974464433958716</v>
      </c>
      <c r="J788">
        <v>6.5190054862923974</v>
      </c>
      <c r="K788">
        <v>650.67762270477613</v>
      </c>
      <c r="L788">
        <v>9.06183484359339</v>
      </c>
      <c r="M788">
        <v>0.41000082677253757</v>
      </c>
    </row>
    <row r="789" spans="1:13" x14ac:dyDescent="0.2">
      <c r="A789">
        <v>787</v>
      </c>
      <c r="B789">
        <v>600</v>
      </c>
      <c r="C789">
        <v>77.083333333333499</v>
      </c>
      <c r="D789">
        <v>100</v>
      </c>
      <c r="E789">
        <v>77.257356165114444</v>
      </c>
      <c r="F789">
        <v>46.878052965790125</v>
      </c>
      <c r="G789">
        <v>646.57724000380392</v>
      </c>
      <c r="H789">
        <v>8.3880290595087903</v>
      </c>
      <c r="I789">
        <v>3.9405215096405386</v>
      </c>
      <c r="J789">
        <v>7.3448676787335287</v>
      </c>
      <c r="K789">
        <v>657.53702633735566</v>
      </c>
      <c r="L789">
        <v>9.9077534112286223</v>
      </c>
      <c r="M789">
        <v>0.41000076275059422</v>
      </c>
    </row>
    <row r="790" spans="1:13" x14ac:dyDescent="0.2">
      <c r="A790">
        <v>788</v>
      </c>
      <c r="B790">
        <v>600</v>
      </c>
      <c r="C790">
        <v>74.500000000000355</v>
      </c>
      <c r="D790">
        <v>53</v>
      </c>
      <c r="E790">
        <v>91.032333849566953</v>
      </c>
      <c r="F790">
        <v>34.495075929691104</v>
      </c>
      <c r="G790">
        <v>520.26033505309488</v>
      </c>
      <c r="H790">
        <v>6.9833602020549312</v>
      </c>
      <c r="I790">
        <v>2.9688596805269487</v>
      </c>
      <c r="J790">
        <v>5.533755229313976</v>
      </c>
      <c r="K790">
        <v>529.07934412965653</v>
      </c>
      <c r="L790">
        <v>7.8942387674509567</v>
      </c>
      <c r="M790">
        <v>0.41000115673508558</v>
      </c>
    </row>
    <row r="791" spans="1:13" x14ac:dyDescent="0.2">
      <c r="A791">
        <v>789</v>
      </c>
      <c r="B791">
        <v>600</v>
      </c>
      <c r="C791">
        <v>74.583333333333613</v>
      </c>
      <c r="D791">
        <v>8</v>
      </c>
      <c r="E791">
        <v>188.04507400022169</v>
      </c>
      <c r="F791">
        <v>22.217940058155527</v>
      </c>
      <c r="G791">
        <v>497.48961354682558</v>
      </c>
      <c r="H791">
        <v>6.6702518017451231</v>
      </c>
      <c r="I791">
        <v>2.4783200790768367</v>
      </c>
      <c r="J791">
        <v>4.6194223281954079</v>
      </c>
      <c r="K791">
        <v>505.92261955562037</v>
      </c>
      <c r="L791">
        <v>8.5859949472909687</v>
      </c>
      <c r="M791">
        <v>0.41000114130046439</v>
      </c>
    </row>
    <row r="792" spans="1:13" x14ac:dyDescent="0.2">
      <c r="A792">
        <v>790</v>
      </c>
      <c r="B792">
        <v>600</v>
      </c>
      <c r="C792">
        <v>80.166666666666629</v>
      </c>
      <c r="D792">
        <v>18</v>
      </c>
      <c r="E792">
        <v>196.4247082938607</v>
      </c>
      <c r="F792">
        <v>54.544959067727056</v>
      </c>
      <c r="G792">
        <v>1250.6874174978277</v>
      </c>
      <c r="H792">
        <v>15.601090446958354</v>
      </c>
      <c r="I792">
        <v>5.4132172182143794</v>
      </c>
      <c r="J792">
        <v>10.089873659299869</v>
      </c>
      <c r="K792">
        <v>1271.8865096055288</v>
      </c>
      <c r="L792">
        <v>20.76905939657216</v>
      </c>
      <c r="M792">
        <v>0.41000046401039802</v>
      </c>
    </row>
    <row r="793" spans="1:13" x14ac:dyDescent="0.2">
      <c r="A793">
        <v>791</v>
      </c>
      <c r="B793">
        <v>600</v>
      </c>
      <c r="C793">
        <v>75.416666666666828</v>
      </c>
      <c r="D793">
        <v>99</v>
      </c>
      <c r="E793">
        <v>75.281276959187011</v>
      </c>
      <c r="F793">
        <v>44.065533286328957</v>
      </c>
      <c r="G793">
        <v>599.26687111498791</v>
      </c>
      <c r="H793">
        <v>7.9460800589832479</v>
      </c>
      <c r="I793">
        <v>3.5661267540343431</v>
      </c>
      <c r="J793">
        <v>6.6470209767648516</v>
      </c>
      <c r="K793">
        <v>609.42496741951811</v>
      </c>
      <c r="L793">
        <v>8.9154609658926525</v>
      </c>
      <c r="M793">
        <v>0.41000099783985799</v>
      </c>
    </row>
    <row r="794" spans="1:13" x14ac:dyDescent="0.2">
      <c r="A794">
        <v>792</v>
      </c>
      <c r="B794">
        <v>600</v>
      </c>
      <c r="C794">
        <v>75.916666666666814</v>
      </c>
      <c r="D794">
        <v>100</v>
      </c>
      <c r="E794">
        <v>76.556802974445546</v>
      </c>
      <c r="F794">
        <v>46.031747175172498</v>
      </c>
      <c r="G794">
        <v>631.76175088275966</v>
      </c>
      <c r="H794">
        <v>8.3217793749649847</v>
      </c>
      <c r="I794">
        <v>3.8987256566203379</v>
      </c>
      <c r="J794">
        <v>7.2669630132718313</v>
      </c>
      <c r="K794">
        <v>642.47057960938162</v>
      </c>
      <c r="L794">
        <v>9.9943767752155797</v>
      </c>
      <c r="M794">
        <v>0.41000092057114862</v>
      </c>
    </row>
    <row r="795" spans="1:13" x14ac:dyDescent="0.2">
      <c r="A795">
        <v>793</v>
      </c>
      <c r="B795">
        <v>600</v>
      </c>
      <c r="C795">
        <v>79.083333333333414</v>
      </c>
      <c r="D795">
        <v>99</v>
      </c>
      <c r="E795">
        <v>82.982259825385682</v>
      </c>
      <c r="F795">
        <v>53.542123471263494</v>
      </c>
      <c r="G795">
        <v>767.81577667604211</v>
      </c>
      <c r="H795">
        <v>9.7089455427950444</v>
      </c>
      <c r="I795">
        <v>4.3641875513945161</v>
      </c>
      <c r="J795">
        <v>8.1345527519003085</v>
      </c>
      <c r="K795">
        <v>780.830334661807</v>
      </c>
      <c r="L795">
        <v>11.058670003619429</v>
      </c>
      <c r="M795">
        <v>0.41000055254620849</v>
      </c>
    </row>
    <row r="796" spans="1:13" x14ac:dyDescent="0.2">
      <c r="A796">
        <v>794</v>
      </c>
      <c r="B796">
        <v>600</v>
      </c>
      <c r="C796">
        <v>78.250000000000199</v>
      </c>
      <c r="D796">
        <v>100</v>
      </c>
      <c r="E796">
        <v>81.470057858115098</v>
      </c>
      <c r="F796">
        <v>52.129784649323099</v>
      </c>
      <c r="G796">
        <v>740.11067259180959</v>
      </c>
      <c r="H796">
        <v>9.4582833558058486</v>
      </c>
      <c r="I796">
        <v>4.2359003866630758</v>
      </c>
      <c r="J796">
        <v>7.8954340851129086</v>
      </c>
      <c r="K796">
        <v>752.65572749709827</v>
      </c>
      <c r="L796">
        <v>10.596314989603568</v>
      </c>
      <c r="M796">
        <v>0.41000063198642472</v>
      </c>
    </row>
    <row r="797" spans="1:13" x14ac:dyDescent="0.2">
      <c r="A797">
        <v>795</v>
      </c>
      <c r="B797">
        <v>600</v>
      </c>
      <c r="C797">
        <v>78.4166666666667</v>
      </c>
      <c r="D797">
        <v>100</v>
      </c>
      <c r="E797">
        <v>81.514416667339518</v>
      </c>
      <c r="F797">
        <v>52.186567343843635</v>
      </c>
      <c r="G797">
        <v>741.13657637953736</v>
      </c>
      <c r="H797">
        <v>9.4512634607379855</v>
      </c>
      <c r="I797">
        <v>4.1918945942174179</v>
      </c>
      <c r="J797">
        <v>7.8134102408525949</v>
      </c>
      <c r="K797">
        <v>753.69899920091041</v>
      </c>
      <c r="L797">
        <v>10.37663875267272</v>
      </c>
      <c r="M797">
        <v>0.41000061523342229</v>
      </c>
    </row>
    <row r="798" spans="1:13" x14ac:dyDescent="0.2">
      <c r="A798">
        <v>796</v>
      </c>
      <c r="B798">
        <v>600</v>
      </c>
      <c r="C798">
        <v>78.166666666666714</v>
      </c>
      <c r="D798">
        <v>100</v>
      </c>
      <c r="E798">
        <v>78.370539572003409</v>
      </c>
      <c r="F798">
        <v>48.238695524371991</v>
      </c>
      <c r="G798">
        <v>670.5492961372338</v>
      </c>
      <c r="H798">
        <v>8.578455814122389</v>
      </c>
      <c r="I798">
        <v>3.9696304243335589</v>
      </c>
      <c r="J798">
        <v>7.3991247424670252</v>
      </c>
      <c r="K798">
        <v>681.91527876565306</v>
      </c>
      <c r="L798">
        <v>9.8787135970387432</v>
      </c>
      <c r="M798">
        <v>0.41000064053322849</v>
      </c>
    </row>
    <row r="799" spans="1:13" x14ac:dyDescent="0.2">
      <c r="A799">
        <v>797</v>
      </c>
      <c r="B799">
        <v>600</v>
      </c>
      <c r="C799">
        <v>75.58333333333357</v>
      </c>
      <c r="D799">
        <v>98</v>
      </c>
      <c r="E799">
        <v>70.202599599278926</v>
      </c>
      <c r="F799">
        <v>37.933450234546108</v>
      </c>
      <c r="G799">
        <v>496.61609750054339</v>
      </c>
      <c r="H799">
        <v>6.5704445093787234</v>
      </c>
      <c r="I799">
        <v>3.0397216532629803</v>
      </c>
      <c r="J799">
        <v>5.6658371915432992</v>
      </c>
      <c r="K799">
        <v>505.03415099111999</v>
      </c>
      <c r="L799">
        <v>7.4623354759249052</v>
      </c>
      <c r="M799">
        <v>0.41000097138863545</v>
      </c>
    </row>
    <row r="800" spans="1:13" x14ac:dyDescent="0.2">
      <c r="A800">
        <v>798</v>
      </c>
      <c r="B800">
        <v>600</v>
      </c>
      <c r="C800">
        <v>77.083333333333499</v>
      </c>
      <c r="D800">
        <v>100</v>
      </c>
      <c r="E800">
        <v>79.859142196336393</v>
      </c>
      <c r="F800">
        <v>50.088631151188522</v>
      </c>
      <c r="G800">
        <v>703.43732860287889</v>
      </c>
      <c r="H800">
        <v>9.1256734521454366</v>
      </c>
      <c r="I800">
        <v>4.1475910036405716</v>
      </c>
      <c r="J800">
        <v>7.7308313208584742</v>
      </c>
      <c r="K800">
        <v>715.36092000626115</v>
      </c>
      <c r="L800">
        <v>10.520150582971391</v>
      </c>
      <c r="M800">
        <v>0.41000076275059422</v>
      </c>
    </row>
    <row r="801" spans="1:13" x14ac:dyDescent="0.2">
      <c r="A801">
        <v>799</v>
      </c>
      <c r="B801">
        <v>600</v>
      </c>
      <c r="C801">
        <v>76.083333333333542</v>
      </c>
      <c r="D801">
        <v>100</v>
      </c>
      <c r="E801">
        <v>73.729736542189073</v>
      </c>
      <c r="F801">
        <v>42.694825754185388</v>
      </c>
      <c r="G801">
        <v>574.07697935340241</v>
      </c>
      <c r="H801">
        <v>7.5453710320271741</v>
      </c>
      <c r="I801">
        <v>3.5870032308647435</v>
      </c>
      <c r="J801">
        <v>6.6859333287320464</v>
      </c>
      <c r="K801">
        <v>583.80798441049728</v>
      </c>
      <c r="L801">
        <v>9.0163025999899222</v>
      </c>
      <c r="M801">
        <v>0.41000089616820251</v>
      </c>
    </row>
    <row r="802" spans="1:13" x14ac:dyDescent="0.2">
      <c r="A802">
        <v>800</v>
      </c>
      <c r="B802">
        <v>600</v>
      </c>
      <c r="C802">
        <v>78.4166666666667</v>
      </c>
      <c r="D802">
        <v>70</v>
      </c>
      <c r="E802">
        <v>93.498943270179581</v>
      </c>
      <c r="F802">
        <v>48.061943254527492</v>
      </c>
      <c r="G802">
        <v>735.51216731390969</v>
      </c>
      <c r="H802">
        <v>9.3795387967767407</v>
      </c>
      <c r="I802">
        <v>3.9549624405341128</v>
      </c>
      <c r="J802">
        <v>7.3717846049098092</v>
      </c>
      <c r="K802">
        <v>747.97925520369972</v>
      </c>
      <c r="L802">
        <v>10.201675134422864</v>
      </c>
      <c r="M802">
        <v>0.41000061523342229</v>
      </c>
    </row>
    <row r="803" spans="1:13" x14ac:dyDescent="0.2">
      <c r="A803">
        <v>801</v>
      </c>
      <c r="B803">
        <v>600</v>
      </c>
      <c r="C803">
        <v>77.583333333333485</v>
      </c>
      <c r="D803">
        <v>96</v>
      </c>
      <c r="E803">
        <v>84.657334184896072</v>
      </c>
      <c r="F803">
        <v>54.036883243934625</v>
      </c>
      <c r="G803">
        <v>783.39221668229686</v>
      </c>
      <c r="H803">
        <v>10.097429216098329</v>
      </c>
      <c r="I803">
        <v>4.3093805156386225</v>
      </c>
      <c r="J803">
        <v>8.0323961148902558</v>
      </c>
      <c r="K803">
        <v>796.67100104374504</v>
      </c>
      <c r="L803">
        <v>10.861145868955855</v>
      </c>
      <c r="M803">
        <v>0.41000070368625285</v>
      </c>
    </row>
    <row r="804" spans="1:13" x14ac:dyDescent="0.2">
      <c r="A804">
        <v>802</v>
      </c>
      <c r="B804">
        <v>600</v>
      </c>
      <c r="C804">
        <v>76.416666666666785</v>
      </c>
      <c r="D804">
        <v>98</v>
      </c>
      <c r="E804">
        <v>78.098175354983979</v>
      </c>
      <c r="F804">
        <v>46.945906751157132</v>
      </c>
      <c r="G804">
        <v>651.34213768755205</v>
      </c>
      <c r="H804">
        <v>8.5235612347334921</v>
      </c>
      <c r="I804">
        <v>3.758705231046179</v>
      </c>
      <c r="J804">
        <v>7.0059743355939963</v>
      </c>
      <c r="K804">
        <v>662.38278841498175</v>
      </c>
      <c r="L804">
        <v>9.3668395549058552</v>
      </c>
      <c r="M804">
        <v>0.4100008492858177</v>
      </c>
    </row>
    <row r="805" spans="1:13" x14ac:dyDescent="0.2">
      <c r="A805">
        <v>803</v>
      </c>
      <c r="B805">
        <v>600</v>
      </c>
      <c r="C805">
        <v>76.333333333333528</v>
      </c>
      <c r="D805">
        <v>100</v>
      </c>
      <c r="E805">
        <v>74.475846912203707</v>
      </c>
      <c r="F805">
        <v>43.56330115747167</v>
      </c>
      <c r="G805">
        <v>588.9759237150422</v>
      </c>
      <c r="H805">
        <v>7.7158417953935459</v>
      </c>
      <c r="I805">
        <v>3.5572733179393063</v>
      </c>
      <c r="J805">
        <v>6.6305187659632914</v>
      </c>
      <c r="K805">
        <v>598.95944033242563</v>
      </c>
      <c r="L805">
        <v>8.8044361178247694</v>
      </c>
      <c r="M805">
        <v>0.41000086077131626</v>
      </c>
    </row>
    <row r="806" spans="1:13" x14ac:dyDescent="0.2">
      <c r="A806">
        <v>804</v>
      </c>
      <c r="B806">
        <v>600</v>
      </c>
      <c r="C806">
        <v>77.916666666666728</v>
      </c>
      <c r="D806">
        <v>100</v>
      </c>
      <c r="E806">
        <v>79.661770923314592</v>
      </c>
      <c r="F806">
        <v>49.841349751343408</v>
      </c>
      <c r="G806">
        <v>699.021820318962</v>
      </c>
      <c r="H806">
        <v>8.9714030415267771</v>
      </c>
      <c r="I806">
        <v>4.1828401816026153</v>
      </c>
      <c r="J806">
        <v>7.7965334233040355</v>
      </c>
      <c r="K806">
        <v>710.8704512745536</v>
      </c>
      <c r="L806">
        <v>10.598827596222909</v>
      </c>
      <c r="M806">
        <v>0.41000066687342057</v>
      </c>
    </row>
    <row r="807" spans="1:13" x14ac:dyDescent="0.2">
      <c r="A807">
        <v>805</v>
      </c>
      <c r="B807">
        <v>600</v>
      </c>
      <c r="C807">
        <v>76.000000000000298</v>
      </c>
      <c r="D807">
        <v>99</v>
      </c>
      <c r="E807">
        <v>72.117050713997216</v>
      </c>
      <c r="F807">
        <v>40.439054339294579</v>
      </c>
      <c r="G807">
        <v>537.23484749769648</v>
      </c>
      <c r="H807">
        <v>7.0688795723380835</v>
      </c>
      <c r="I807">
        <v>3.4182103202346603</v>
      </c>
      <c r="J807">
        <v>6.3713146695893013</v>
      </c>
      <c r="K807">
        <v>546.34136395554651</v>
      </c>
      <c r="L807">
        <v>8.5865296401110651</v>
      </c>
      <c r="M807">
        <v>0.41000090828772506</v>
      </c>
    </row>
    <row r="808" spans="1:13" x14ac:dyDescent="0.2">
      <c r="A808">
        <v>806</v>
      </c>
      <c r="B808">
        <v>600</v>
      </c>
      <c r="C808">
        <v>77.416666666666742</v>
      </c>
      <c r="D808">
        <v>100</v>
      </c>
      <c r="E808">
        <v>76.11020712702215</v>
      </c>
      <c r="F808">
        <v>45.496259151479016</v>
      </c>
      <c r="G808">
        <v>622.42593999775283</v>
      </c>
      <c r="H808">
        <v>8.0399475564833445</v>
      </c>
      <c r="I808">
        <v>3.6709570187082066</v>
      </c>
      <c r="J808">
        <v>6.8424175558400862</v>
      </c>
      <c r="K808">
        <v>632.97630770206331</v>
      </c>
      <c r="L808">
        <v>8.9877549128158361</v>
      </c>
      <c r="M808">
        <v>0.4100007228478541</v>
      </c>
    </row>
    <row r="809" spans="1:13" x14ac:dyDescent="0.2">
      <c r="A809">
        <v>807</v>
      </c>
      <c r="B809">
        <v>600</v>
      </c>
      <c r="C809">
        <v>76.583333333333528</v>
      </c>
      <c r="D809">
        <v>100</v>
      </c>
      <c r="E809">
        <v>78.638646224317</v>
      </c>
      <c r="F809">
        <v>48.56931050849181</v>
      </c>
      <c r="G809">
        <v>676.40195093348291</v>
      </c>
      <c r="H809">
        <v>8.8322343973903958</v>
      </c>
      <c r="I809">
        <v>3.884546933716909</v>
      </c>
      <c r="J809">
        <v>7.2405348251946107</v>
      </c>
      <c r="K809">
        <v>687.86735469479345</v>
      </c>
      <c r="L809">
        <v>9.70109118161613</v>
      </c>
      <c r="M809">
        <v>0.41000082677253757</v>
      </c>
    </row>
    <row r="810" spans="1:13" x14ac:dyDescent="0.2">
      <c r="A810">
        <v>808</v>
      </c>
      <c r="B810">
        <v>600</v>
      </c>
      <c r="C810">
        <v>78.166666666666714</v>
      </c>
      <c r="D810">
        <v>100</v>
      </c>
      <c r="E810">
        <v>81.293347863802154</v>
      </c>
      <c r="F810">
        <v>51.903889053962381</v>
      </c>
      <c r="G810">
        <v>736.03246236416032</v>
      </c>
      <c r="H810">
        <v>9.4161935483687849</v>
      </c>
      <c r="I810">
        <v>4.2490742507390644</v>
      </c>
      <c r="J810">
        <v>7.9199892837633996</v>
      </c>
      <c r="K810">
        <v>748.50840146271037</v>
      </c>
      <c r="L810">
        <v>10.686042275107672</v>
      </c>
      <c r="M810">
        <v>0.41000064053322849</v>
      </c>
    </row>
    <row r="811" spans="1:13" x14ac:dyDescent="0.2">
      <c r="A811">
        <v>809</v>
      </c>
      <c r="B811">
        <v>600</v>
      </c>
      <c r="C811">
        <v>77.000000000000256</v>
      </c>
      <c r="D811">
        <v>100</v>
      </c>
      <c r="E811">
        <v>80.0484152475304</v>
      </c>
      <c r="F811">
        <v>50.32634126183919</v>
      </c>
      <c r="G811">
        <v>707.68762762493782</v>
      </c>
      <c r="H811">
        <v>9.1907484107134483</v>
      </c>
      <c r="I811">
        <v>4.1922282451259916</v>
      </c>
      <c r="J811">
        <v>7.8140321437576716</v>
      </c>
      <c r="K811">
        <v>719.6832761652563</v>
      </c>
      <c r="L811">
        <v>10.691852709066502</v>
      </c>
      <c r="M811">
        <v>0.41000077306581523</v>
      </c>
    </row>
    <row r="812" spans="1:13" x14ac:dyDescent="0.2">
      <c r="A812">
        <v>810</v>
      </c>
      <c r="B812">
        <v>600</v>
      </c>
      <c r="C812">
        <v>76.416666666666785</v>
      </c>
      <c r="D812">
        <v>100</v>
      </c>
      <c r="E812">
        <v>78.714608293631727</v>
      </c>
      <c r="F812">
        <v>48.663188199268973</v>
      </c>
      <c r="G812">
        <v>678.06582094025839</v>
      </c>
      <c r="H812">
        <v>8.8732713754450252</v>
      </c>
      <c r="I812">
        <v>3.9155993919298298</v>
      </c>
      <c r="J812">
        <v>7.2984145236343512</v>
      </c>
      <c r="K812">
        <v>689.55945457155963</v>
      </c>
      <c r="L812">
        <v>9.7768081607616484</v>
      </c>
      <c r="M812">
        <v>0.4100008492858177</v>
      </c>
    </row>
    <row r="813" spans="1:13" x14ac:dyDescent="0.2">
      <c r="A813">
        <v>811</v>
      </c>
      <c r="B813">
        <v>600</v>
      </c>
      <c r="C813">
        <v>79.250000000000156</v>
      </c>
      <c r="D813">
        <v>100</v>
      </c>
      <c r="E813">
        <v>81.924180711590267</v>
      </c>
      <c r="F813">
        <v>52.712558394982331</v>
      </c>
      <c r="G813">
        <v>750.65408267837938</v>
      </c>
      <c r="H813">
        <v>9.4719758066672295</v>
      </c>
      <c r="I813">
        <v>4.2610790639095484</v>
      </c>
      <c r="J813">
        <v>7.9423654499712004</v>
      </c>
      <c r="K813">
        <v>763.3777291986097</v>
      </c>
      <c r="L813">
        <v>10.641603322216044</v>
      </c>
      <c r="M813">
        <v>0.41000053789904578</v>
      </c>
    </row>
    <row r="814" spans="1:13" x14ac:dyDescent="0.2">
      <c r="A814">
        <v>812</v>
      </c>
      <c r="B814">
        <v>600</v>
      </c>
      <c r="C814">
        <v>79.166666666666671</v>
      </c>
      <c r="D814">
        <v>99</v>
      </c>
      <c r="E814">
        <v>80.090989911300483</v>
      </c>
      <c r="F814">
        <v>49.876089888829362</v>
      </c>
      <c r="G814">
        <v>701.55963792099578</v>
      </c>
      <c r="H814">
        <v>8.8618059526862627</v>
      </c>
      <c r="I814">
        <v>4.0320605589284781</v>
      </c>
      <c r="J814">
        <v>7.5154903241910125</v>
      </c>
      <c r="K814">
        <v>713.45113848679318</v>
      </c>
      <c r="L814">
        <v>10.057265480057785</v>
      </c>
      <c r="M814">
        <v>0.4100005451734387</v>
      </c>
    </row>
    <row r="815" spans="1:13" x14ac:dyDescent="0.2">
      <c r="A815">
        <v>813</v>
      </c>
      <c r="B815">
        <v>600</v>
      </c>
      <c r="C815">
        <v>76.250000000000284</v>
      </c>
      <c r="D815">
        <v>96</v>
      </c>
      <c r="E815">
        <v>70.236219337913667</v>
      </c>
      <c r="F815">
        <v>37.194897583810409</v>
      </c>
      <c r="G815">
        <v>487.07422454773746</v>
      </c>
      <c r="H815">
        <v>6.3878586825932544</v>
      </c>
      <c r="I815">
        <v>3.1028456789793313</v>
      </c>
      <c r="J815">
        <v>5.7834961397564415</v>
      </c>
      <c r="K815">
        <v>495.3304523066833</v>
      </c>
      <c r="L815">
        <v>7.6076847936272944</v>
      </c>
      <c r="M815">
        <v>0.4100008724121415</v>
      </c>
    </row>
    <row r="816" spans="1:13" x14ac:dyDescent="0.2">
      <c r="A816">
        <v>814</v>
      </c>
      <c r="B816">
        <v>600</v>
      </c>
      <c r="C816">
        <v>77.250000000000242</v>
      </c>
      <c r="D816">
        <v>66</v>
      </c>
      <c r="E816">
        <v>81.485566620607798</v>
      </c>
      <c r="F816">
        <v>34.418758140671287</v>
      </c>
      <c r="G816">
        <v>488.7096097839854</v>
      </c>
      <c r="H816">
        <v>6.326337990731183</v>
      </c>
      <c r="I816">
        <v>2.9899282225000761</v>
      </c>
      <c r="J816">
        <v>5.5730255778193403</v>
      </c>
      <c r="K816">
        <v>496.99344898906622</v>
      </c>
      <c r="L816">
        <v>7.5348197703139599</v>
      </c>
      <c r="M816">
        <v>0.41000074253123181</v>
      </c>
    </row>
    <row r="817" spans="1:13" x14ac:dyDescent="0.2">
      <c r="A817">
        <v>815</v>
      </c>
      <c r="B817">
        <v>600</v>
      </c>
      <c r="C817">
        <v>77.916666666666728</v>
      </c>
      <c r="D817">
        <v>45</v>
      </c>
      <c r="E817">
        <v>112.48360380662294</v>
      </c>
      <c r="F817">
        <v>44.717842215470057</v>
      </c>
      <c r="G817">
        <v>756.83154407198913</v>
      </c>
      <c r="H817">
        <v>9.7133460201752513</v>
      </c>
      <c r="I817">
        <v>4.2272224504583589</v>
      </c>
      <c r="J817">
        <v>7.8792589943305833</v>
      </c>
      <c r="K817">
        <v>769.66006730344964</v>
      </c>
      <c r="L817">
        <v>11.931868368119943</v>
      </c>
      <c r="M817">
        <v>0.41000066687342057</v>
      </c>
    </row>
    <row r="818" spans="1:13" x14ac:dyDescent="0.2">
      <c r="A818">
        <v>816</v>
      </c>
      <c r="B818">
        <v>600</v>
      </c>
      <c r="C818">
        <v>77.083333333333499</v>
      </c>
      <c r="D818">
        <v>98</v>
      </c>
      <c r="E818">
        <v>78.776113303536363</v>
      </c>
      <c r="F818">
        <v>47.764480233233321</v>
      </c>
      <c r="G818">
        <v>665.8266638761695</v>
      </c>
      <c r="H818">
        <v>8.6377513151502878</v>
      </c>
      <c r="I818">
        <v>3.9607423141303779</v>
      </c>
      <c r="J818">
        <v>7.3825579014545717</v>
      </c>
      <c r="K818">
        <v>677.11273693871885</v>
      </c>
      <c r="L818">
        <v>10.0103990072981</v>
      </c>
      <c r="M818">
        <v>0.41000076275059422</v>
      </c>
    </row>
    <row r="819" spans="1:13" x14ac:dyDescent="0.2">
      <c r="A819">
        <v>817</v>
      </c>
      <c r="B819">
        <v>600</v>
      </c>
      <c r="C819">
        <v>76.416666666666785</v>
      </c>
      <c r="D819">
        <v>100</v>
      </c>
      <c r="E819">
        <v>78.370554557434986</v>
      </c>
      <c r="F819">
        <v>48.238713972062783</v>
      </c>
      <c r="G819">
        <v>670.54938515947356</v>
      </c>
      <c r="H819">
        <v>8.774910165663762</v>
      </c>
      <c r="I819">
        <v>3.877635611134425</v>
      </c>
      <c r="J819">
        <v>7.2276525836615564</v>
      </c>
      <c r="K819">
        <v>681.9156105710864</v>
      </c>
      <c r="L819">
        <v>9.6712993017467568</v>
      </c>
      <c r="M819">
        <v>0.4100008492858177</v>
      </c>
    </row>
    <row r="820" spans="1:13" x14ac:dyDescent="0.2">
      <c r="A820">
        <v>818</v>
      </c>
      <c r="B820">
        <v>600</v>
      </c>
      <c r="C820">
        <v>77.500000000000227</v>
      </c>
      <c r="D820">
        <v>100</v>
      </c>
      <c r="E820">
        <v>79.241374493659293</v>
      </c>
      <c r="F820">
        <v>49.316685596271256</v>
      </c>
      <c r="G820">
        <v>689.67278398546898</v>
      </c>
      <c r="H820">
        <v>8.8990036643286068</v>
      </c>
      <c r="I820">
        <v>3.8819457771069921</v>
      </c>
      <c r="J820">
        <v>7.2356864438154549</v>
      </c>
      <c r="K820">
        <v>701.36300102588245</v>
      </c>
      <c r="L820">
        <v>9.6087826280846969</v>
      </c>
      <c r="M820">
        <v>0.41000071320270459</v>
      </c>
    </row>
    <row r="821" spans="1:13" x14ac:dyDescent="0.2">
      <c r="A821">
        <v>819</v>
      </c>
      <c r="B821">
        <v>600</v>
      </c>
      <c r="C821">
        <v>78.166666666666714</v>
      </c>
      <c r="D821">
        <v>100</v>
      </c>
      <c r="E821">
        <v>79.955295859278564</v>
      </c>
      <c r="F821">
        <v>50.209321273276174</v>
      </c>
      <c r="G821">
        <v>705.59475697352445</v>
      </c>
      <c r="H821">
        <v>9.0267985966762136</v>
      </c>
      <c r="I821">
        <v>4.1023884808443567</v>
      </c>
      <c r="J821">
        <v>7.6465768515272252</v>
      </c>
      <c r="K821">
        <v>717.5547691555721</v>
      </c>
      <c r="L821">
        <v>10.269193780531918</v>
      </c>
      <c r="M821">
        <v>0.41000064053322849</v>
      </c>
    </row>
    <row r="822" spans="1:13" x14ac:dyDescent="0.2">
      <c r="A822">
        <v>820</v>
      </c>
      <c r="B822">
        <v>600</v>
      </c>
      <c r="C822">
        <v>76.50000000000027</v>
      </c>
      <c r="D822">
        <v>99</v>
      </c>
      <c r="E822">
        <v>75.921440032919662</v>
      </c>
      <c r="F822">
        <v>44.818152481216295</v>
      </c>
      <c r="G822">
        <v>612.31996352700196</v>
      </c>
      <c r="H822">
        <v>8.0041825297647033</v>
      </c>
      <c r="I822">
        <v>3.5983250781233624</v>
      </c>
      <c r="J822">
        <v>6.7070364923082231</v>
      </c>
      <c r="K822">
        <v>622.69915238844214</v>
      </c>
      <c r="L822">
        <v>8.8991914667458083</v>
      </c>
      <c r="M822">
        <v>0.41000083795357306</v>
      </c>
    </row>
    <row r="823" spans="1:13" x14ac:dyDescent="0.2">
      <c r="A823">
        <v>821</v>
      </c>
      <c r="B823">
        <v>600</v>
      </c>
      <c r="C823">
        <v>75.083333333333584</v>
      </c>
      <c r="D823">
        <v>100</v>
      </c>
      <c r="E823">
        <v>70.285440229043132</v>
      </c>
      <c r="F823">
        <v>38.799007842769569</v>
      </c>
      <c r="G823">
        <v>508.27411038825073</v>
      </c>
      <c r="H823">
        <v>6.7694665090554809</v>
      </c>
      <c r="I823">
        <v>3.2510691885159866</v>
      </c>
      <c r="J823">
        <v>6.0597748155004405</v>
      </c>
      <c r="K823">
        <v>516.88984826784201</v>
      </c>
      <c r="L823">
        <v>8.1711492249471558</v>
      </c>
      <c r="M823">
        <v>0.41000105292274208</v>
      </c>
    </row>
    <row r="824" spans="1:13" x14ac:dyDescent="0.2">
      <c r="A824">
        <v>822</v>
      </c>
      <c r="B824">
        <v>600</v>
      </c>
      <c r="C824">
        <v>78.500000000000185</v>
      </c>
      <c r="D824">
        <v>99</v>
      </c>
      <c r="E824">
        <v>78.564925936463339</v>
      </c>
      <c r="F824">
        <v>47.993507088243923</v>
      </c>
      <c r="G824">
        <v>668.041885358385</v>
      </c>
      <c r="H824">
        <v>8.5100877115717637</v>
      </c>
      <c r="I824">
        <v>3.8247577159455712</v>
      </c>
      <c r="J824">
        <v>7.1290917352200758</v>
      </c>
      <c r="K824">
        <v>679.36532814614611</v>
      </c>
      <c r="L824">
        <v>9.3796105717058484</v>
      </c>
      <c r="M824">
        <v>0.41000060702420055</v>
      </c>
    </row>
    <row r="825" spans="1:13" x14ac:dyDescent="0.2">
      <c r="A825">
        <v>823</v>
      </c>
      <c r="B825">
        <v>600</v>
      </c>
      <c r="C825">
        <v>79.5833333333334</v>
      </c>
      <c r="D825">
        <v>90</v>
      </c>
      <c r="E825">
        <v>85.01394049061814</v>
      </c>
      <c r="F825">
        <v>51.087268667272731</v>
      </c>
      <c r="G825">
        <v>742.32855878523674</v>
      </c>
      <c r="H825">
        <v>9.3276886967778356</v>
      </c>
      <c r="I825">
        <v>4.088023304264869</v>
      </c>
      <c r="J825">
        <v>7.6198011263091683</v>
      </c>
      <c r="K825">
        <v>754.91105100683615</v>
      </c>
      <c r="L825">
        <v>10.235880376246406</v>
      </c>
      <c r="M825">
        <v>0.41000050975925018</v>
      </c>
    </row>
    <row r="826" spans="1:13" x14ac:dyDescent="0.2">
      <c r="A826">
        <v>824</v>
      </c>
      <c r="B826">
        <v>600</v>
      </c>
      <c r="C826">
        <v>77.250000000000242</v>
      </c>
      <c r="D826">
        <v>97</v>
      </c>
      <c r="E826">
        <v>81.46792141436427</v>
      </c>
      <c r="F826">
        <v>50.563239098333419</v>
      </c>
      <c r="G826">
        <v>717.85931194340083</v>
      </c>
      <c r="H826">
        <v>9.2926771772608223</v>
      </c>
      <c r="I826">
        <v>4.1237287450667139</v>
      </c>
      <c r="J826">
        <v>7.6863536720721592</v>
      </c>
      <c r="K826">
        <v>730.02733768498092</v>
      </c>
      <c r="L826">
        <v>10.394727997728276</v>
      </c>
      <c r="M826">
        <v>0.41000074253123181</v>
      </c>
    </row>
    <row r="827" spans="1:13" x14ac:dyDescent="0.2">
      <c r="A827">
        <v>825</v>
      </c>
      <c r="B827">
        <v>600</v>
      </c>
      <c r="C827">
        <v>76.916666666666771</v>
      </c>
      <c r="D827">
        <v>100</v>
      </c>
      <c r="E827">
        <v>75.8321833419065</v>
      </c>
      <c r="F827">
        <v>45.164478704568083</v>
      </c>
      <c r="G827">
        <v>616.65639064839081</v>
      </c>
      <c r="H827">
        <v>8.0172011785272801</v>
      </c>
      <c r="I827">
        <v>3.791662093419085</v>
      </c>
      <c r="J827">
        <v>7.0674037155994123</v>
      </c>
      <c r="K827">
        <v>627.1090266810769</v>
      </c>
      <c r="L827">
        <v>9.5695150422649462</v>
      </c>
      <c r="M827">
        <v>0.41000078352053626</v>
      </c>
    </row>
    <row r="828" spans="1:13" x14ac:dyDescent="0.2">
      <c r="A828">
        <v>826</v>
      </c>
      <c r="B828">
        <v>600</v>
      </c>
      <c r="C828">
        <v>78.583333333333442</v>
      </c>
      <c r="D828">
        <v>99</v>
      </c>
      <c r="E828">
        <v>86.498946319999163</v>
      </c>
      <c r="F828">
        <v>58.176382189465549</v>
      </c>
      <c r="G828">
        <v>853.34891128530035</v>
      </c>
      <c r="H828">
        <v>10.859158998328304</v>
      </c>
      <c r="I828">
        <v>4.5834926480893321</v>
      </c>
      <c r="J828">
        <v>8.5433227364200039</v>
      </c>
      <c r="K828">
        <v>867.81333309467993</v>
      </c>
      <c r="L828">
        <v>11.557817788904474</v>
      </c>
      <c r="M828">
        <v>0.41000059892451662</v>
      </c>
    </row>
    <row r="829" spans="1:13" x14ac:dyDescent="0.2">
      <c r="A829">
        <v>827</v>
      </c>
      <c r="B829">
        <v>600</v>
      </c>
      <c r="C829">
        <v>80.500000000000099</v>
      </c>
      <c r="D829">
        <v>99</v>
      </c>
      <c r="E829">
        <v>88.212966553568322</v>
      </c>
      <c r="F829">
        <v>60.504814081167623</v>
      </c>
      <c r="G829">
        <v>897.0397693687629</v>
      </c>
      <c r="H829">
        <v>11.143351172282756</v>
      </c>
      <c r="I829">
        <v>4.7343521203285572</v>
      </c>
      <c r="J829">
        <v>8.8245146697643175</v>
      </c>
      <c r="K829">
        <v>912.24451316617137</v>
      </c>
      <c r="L829">
        <v>12.056271117806638</v>
      </c>
      <c r="M829">
        <v>0.41000043973603301</v>
      </c>
    </row>
    <row r="830" spans="1:13" x14ac:dyDescent="0.2">
      <c r="A830">
        <v>828</v>
      </c>
      <c r="B830">
        <v>600</v>
      </c>
      <c r="C830">
        <v>75.250000000000327</v>
      </c>
      <c r="D830">
        <v>95</v>
      </c>
      <c r="E830">
        <v>71.330734238502728</v>
      </c>
      <c r="F830">
        <v>37.963555127084319</v>
      </c>
      <c r="G830">
        <v>501.34479871850402</v>
      </c>
      <c r="H830">
        <v>6.6623893517408881</v>
      </c>
      <c r="I830">
        <v>3.112630091047198</v>
      </c>
      <c r="J830">
        <v>5.8017336273013935</v>
      </c>
      <c r="K830">
        <v>509.84305394241073</v>
      </c>
      <c r="L830">
        <v>7.7583652167163315</v>
      </c>
      <c r="M830">
        <v>0.41000102501135577</v>
      </c>
    </row>
    <row r="831" spans="1:13" x14ac:dyDescent="0.2">
      <c r="A831">
        <v>829</v>
      </c>
      <c r="B831">
        <v>600</v>
      </c>
      <c r="C831">
        <v>78.250000000000199</v>
      </c>
      <c r="D831">
        <v>67</v>
      </c>
      <c r="E831">
        <v>98.437524713424537</v>
      </c>
      <c r="F831">
        <v>50.990122234959905</v>
      </c>
      <c r="G831">
        <v>802.51062289230424</v>
      </c>
      <c r="H831">
        <v>10.255726810125267</v>
      </c>
      <c r="I831">
        <v>4.2942390429769857</v>
      </c>
      <c r="J831">
        <v>8.0041734258657691</v>
      </c>
      <c r="K831">
        <v>816.11337204738072</v>
      </c>
      <c r="L831">
        <v>11.373647468685594</v>
      </c>
      <c r="M831">
        <v>0.41000063198642472</v>
      </c>
    </row>
    <row r="832" spans="1:13" x14ac:dyDescent="0.2">
      <c r="A832">
        <v>830</v>
      </c>
      <c r="B832">
        <v>600</v>
      </c>
      <c r="C832">
        <v>77.083333333333499</v>
      </c>
      <c r="D832">
        <v>100</v>
      </c>
      <c r="E832">
        <v>74.369931559420522</v>
      </c>
      <c r="F832">
        <v>43.439482719674174</v>
      </c>
      <c r="G832">
        <v>586.84689977033736</v>
      </c>
      <c r="H832">
        <v>7.6131489699935493</v>
      </c>
      <c r="I832">
        <v>3.569046995545099</v>
      </c>
      <c r="J832">
        <v>6.6524641109880678</v>
      </c>
      <c r="K832">
        <v>596.7942289277205</v>
      </c>
      <c r="L832">
        <v>8.8825926505207811</v>
      </c>
      <c r="M832">
        <v>0.41000076275059422</v>
      </c>
    </row>
    <row r="833" spans="1:13" x14ac:dyDescent="0.2">
      <c r="A833">
        <v>831</v>
      </c>
      <c r="B833">
        <v>600</v>
      </c>
      <c r="C833">
        <v>79.250000000000156</v>
      </c>
      <c r="D833">
        <v>99</v>
      </c>
      <c r="E833">
        <v>82.813930776913423</v>
      </c>
      <c r="F833">
        <v>53.325123991718478</v>
      </c>
      <c r="G833">
        <v>763.85860714976195</v>
      </c>
      <c r="H833">
        <v>9.6385944119843607</v>
      </c>
      <c r="I833">
        <v>4.2722892864188653</v>
      </c>
      <c r="J833">
        <v>7.9632605525048739</v>
      </c>
      <c r="K833">
        <v>776.80607141203677</v>
      </c>
      <c r="L833">
        <v>10.708084407287128</v>
      </c>
      <c r="M833">
        <v>0.41000053789904578</v>
      </c>
    </row>
    <row r="834" spans="1:13" x14ac:dyDescent="0.2">
      <c r="A834">
        <v>832</v>
      </c>
      <c r="B834">
        <v>600</v>
      </c>
      <c r="C834">
        <v>75.33333333333357</v>
      </c>
      <c r="D834">
        <v>100</v>
      </c>
      <c r="E834">
        <v>72.801488386053677</v>
      </c>
      <c r="F834">
        <v>41.626548068982061</v>
      </c>
      <c r="G834">
        <v>555.86333592637391</v>
      </c>
      <c r="H834">
        <v>7.3787168485801615</v>
      </c>
      <c r="I834">
        <v>3.38944076351547</v>
      </c>
      <c r="J834">
        <v>6.3176901463475668</v>
      </c>
      <c r="K834">
        <v>565.28571737066602</v>
      </c>
      <c r="L834">
        <v>8.4482021685193516</v>
      </c>
      <c r="M834">
        <v>0.41000101133435901</v>
      </c>
    </row>
    <row r="835" spans="1:13" x14ac:dyDescent="0.2">
      <c r="A835">
        <v>833</v>
      </c>
      <c r="B835">
        <v>600</v>
      </c>
      <c r="C835">
        <v>79.916666666666643</v>
      </c>
      <c r="D835">
        <v>100</v>
      </c>
      <c r="E835">
        <v>86.03001319606463</v>
      </c>
      <c r="F835">
        <v>58.128599611273593</v>
      </c>
      <c r="G835">
        <v>850.12723822782959</v>
      </c>
      <c r="H835">
        <v>10.637671385541145</v>
      </c>
      <c r="I835">
        <v>4.7866829869232461</v>
      </c>
      <c r="J835">
        <v>8.922055893612761</v>
      </c>
      <c r="K835">
        <v>864.53688235114453</v>
      </c>
      <c r="L835">
        <v>12.358444980178168</v>
      </c>
      <c r="M835">
        <v>0.41000048309156739</v>
      </c>
    </row>
    <row r="836" spans="1:13" x14ac:dyDescent="0.2">
      <c r="A836">
        <v>834</v>
      </c>
      <c r="B836">
        <v>600</v>
      </c>
      <c r="C836">
        <v>78.166666666666714</v>
      </c>
      <c r="D836">
        <v>99</v>
      </c>
      <c r="E836">
        <v>78.393689961152205</v>
      </c>
      <c r="F836">
        <v>47.784526836491828</v>
      </c>
      <c r="G836">
        <v>664.34292554306467</v>
      </c>
      <c r="H836">
        <v>8.4990566167556203</v>
      </c>
      <c r="I836">
        <v>3.9106828388564678</v>
      </c>
      <c r="J836">
        <v>7.2892503986141053</v>
      </c>
      <c r="K836">
        <v>675.60370859739567</v>
      </c>
      <c r="L836">
        <v>9.7348366612658808</v>
      </c>
      <c r="M836">
        <v>0.41000064053322849</v>
      </c>
    </row>
    <row r="837" spans="1:13" x14ac:dyDescent="0.2">
      <c r="A837">
        <v>835</v>
      </c>
      <c r="B837">
        <v>600</v>
      </c>
      <c r="C837">
        <v>78.583333333333442</v>
      </c>
      <c r="D837">
        <v>100</v>
      </c>
      <c r="E837">
        <v>80.461333650573053</v>
      </c>
      <c r="F837">
        <v>50.846882973427078</v>
      </c>
      <c r="G837">
        <v>717.01432698879273</v>
      </c>
      <c r="H837">
        <v>9.1242544261564156</v>
      </c>
      <c r="I837">
        <v>4.0257616399853475</v>
      </c>
      <c r="J837">
        <v>7.5037495619484575</v>
      </c>
      <c r="K837">
        <v>729.16785238945613</v>
      </c>
      <c r="L837">
        <v>9.9374478410902682</v>
      </c>
      <c r="M837">
        <v>0.41000059892451662</v>
      </c>
    </row>
    <row r="838" spans="1:13" x14ac:dyDescent="0.2">
      <c r="A838">
        <v>836</v>
      </c>
      <c r="B838">
        <v>600</v>
      </c>
      <c r="C838">
        <v>78.916666666666686</v>
      </c>
      <c r="D838">
        <v>100</v>
      </c>
      <c r="E838">
        <v>84.435094814435345</v>
      </c>
      <c r="F838">
        <v>55.993275309443803</v>
      </c>
      <c r="G838">
        <v>810.59348179085896</v>
      </c>
      <c r="H838">
        <v>10.271511912872551</v>
      </c>
      <c r="I838">
        <v>4.618059926820961</v>
      </c>
      <c r="J838">
        <v>8.6077538244565908</v>
      </c>
      <c r="K838">
        <v>824.33314738914385</v>
      </c>
      <c r="L838">
        <v>11.84402230063113</v>
      </c>
      <c r="M838">
        <v>0.41000056759221798</v>
      </c>
    </row>
    <row r="839" spans="1:13" x14ac:dyDescent="0.2">
      <c r="A839">
        <v>837</v>
      </c>
      <c r="B839">
        <v>600</v>
      </c>
      <c r="C839">
        <v>78.4166666666667</v>
      </c>
      <c r="D839">
        <v>98</v>
      </c>
      <c r="E839">
        <v>79.073674334010533</v>
      </c>
      <c r="F839">
        <v>48.126003300518668</v>
      </c>
      <c r="G839">
        <v>672.24550580697553</v>
      </c>
      <c r="H839">
        <v>8.5727375873365599</v>
      </c>
      <c r="I839">
        <v>3.8086162515735622</v>
      </c>
      <c r="J839">
        <v>7.0990051287484848</v>
      </c>
      <c r="K839">
        <v>683.64021030930769</v>
      </c>
      <c r="L839">
        <v>9.3436253404660636</v>
      </c>
      <c r="M839">
        <v>0.41000061523342229</v>
      </c>
    </row>
    <row r="840" spans="1:13" x14ac:dyDescent="0.2">
      <c r="A840">
        <v>838</v>
      </c>
      <c r="B840">
        <v>600</v>
      </c>
      <c r="C840">
        <v>78.333333333333456</v>
      </c>
      <c r="D840">
        <v>99</v>
      </c>
      <c r="E840">
        <v>77.794351336399231</v>
      </c>
      <c r="F840">
        <v>47.056671414481123</v>
      </c>
      <c r="G840">
        <v>651.4944680886058</v>
      </c>
      <c r="H840">
        <v>8.316950656450274</v>
      </c>
      <c r="I840">
        <v>3.7535732079899229</v>
      </c>
      <c r="J840">
        <v>6.9964085889840115</v>
      </c>
      <c r="K840">
        <v>662.53744742511162</v>
      </c>
      <c r="L840">
        <v>9.2199088327448706</v>
      </c>
      <c r="M840">
        <v>0.41000062355366318</v>
      </c>
    </row>
    <row r="841" spans="1:13" x14ac:dyDescent="0.2">
      <c r="A841">
        <v>839</v>
      </c>
      <c r="B841">
        <v>600</v>
      </c>
      <c r="C841">
        <v>77.166666666666757</v>
      </c>
      <c r="D841">
        <v>97</v>
      </c>
      <c r="E841">
        <v>80.254710772095038</v>
      </c>
      <c r="F841">
        <v>49.068488870872805</v>
      </c>
      <c r="G841">
        <v>690.96779588430445</v>
      </c>
      <c r="H841">
        <v>8.9542262965568504</v>
      </c>
      <c r="I841">
        <v>3.9524329328368695</v>
      </c>
      <c r="J841">
        <v>7.3670697722961211</v>
      </c>
      <c r="K841">
        <v>702.68001076033011</v>
      </c>
      <c r="L841">
        <v>9.9841020729375405</v>
      </c>
      <c r="M841">
        <v>0.41000075257301194</v>
      </c>
    </row>
    <row r="842" spans="1:13" x14ac:dyDescent="0.2">
      <c r="A842">
        <v>840</v>
      </c>
      <c r="B842">
        <v>600</v>
      </c>
      <c r="C842">
        <v>77.083333333333499</v>
      </c>
      <c r="D842">
        <v>99</v>
      </c>
      <c r="E842">
        <v>78.047399383091673</v>
      </c>
      <c r="F842">
        <v>47.363299466272366</v>
      </c>
      <c r="G842">
        <v>656.90051915294123</v>
      </c>
      <c r="H842">
        <v>8.5219526809030022</v>
      </c>
      <c r="I842">
        <v>3.8979816116685591</v>
      </c>
      <c r="J842">
        <v>7.2655761634083111</v>
      </c>
      <c r="K842">
        <v>668.03528989165932</v>
      </c>
      <c r="L842">
        <v>9.8280338357783581</v>
      </c>
      <c r="M842">
        <v>0.41000076275059422</v>
      </c>
    </row>
    <row r="843" spans="1:13" x14ac:dyDescent="0.2">
      <c r="A843">
        <v>841</v>
      </c>
      <c r="B843">
        <v>600</v>
      </c>
      <c r="C843">
        <v>77.083333333333499</v>
      </c>
      <c r="D843">
        <v>100</v>
      </c>
      <c r="E843">
        <v>74.592867348560091</v>
      </c>
      <c r="F843">
        <v>43.700306688457658</v>
      </c>
      <c r="G843">
        <v>591.33382360288283</v>
      </c>
      <c r="H843">
        <v>7.6713577116049496</v>
      </c>
      <c r="I843">
        <v>3.6395698755894688</v>
      </c>
      <c r="J843">
        <v>6.7839140271937906</v>
      </c>
      <c r="K843">
        <v>601.35720821575865</v>
      </c>
      <c r="L843">
        <v>9.0632716369000406</v>
      </c>
      <c r="M843">
        <v>0.41000076275059422</v>
      </c>
    </row>
    <row r="844" spans="1:13" x14ac:dyDescent="0.2">
      <c r="A844">
        <v>842</v>
      </c>
      <c r="B844">
        <v>600</v>
      </c>
      <c r="C844">
        <v>78.250000000000199</v>
      </c>
      <c r="D844">
        <v>100</v>
      </c>
      <c r="E844">
        <v>78.902910949436958</v>
      </c>
      <c r="F844">
        <v>48.896292783536936</v>
      </c>
      <c r="G844">
        <v>682.20141554249801</v>
      </c>
      <c r="H844">
        <v>8.7182289526197607</v>
      </c>
      <c r="I844">
        <v>3.9729549353971838</v>
      </c>
      <c r="J844">
        <v>7.4053214080096623</v>
      </c>
      <c r="K844">
        <v>693.76489453473562</v>
      </c>
      <c r="L844">
        <v>9.8511734341294677</v>
      </c>
      <c r="M844">
        <v>0.41000063198642472</v>
      </c>
    </row>
    <row r="845" spans="1:13" x14ac:dyDescent="0.2">
      <c r="A845">
        <v>843</v>
      </c>
      <c r="B845">
        <v>600</v>
      </c>
      <c r="C845">
        <v>78.250000000000199</v>
      </c>
      <c r="D845">
        <v>43</v>
      </c>
      <c r="E845">
        <v>106.90949395680862</v>
      </c>
      <c r="F845">
        <v>38.600318192329368</v>
      </c>
      <c r="G845">
        <v>635.45698965693225</v>
      </c>
      <c r="H845">
        <v>8.1208560978521493</v>
      </c>
      <c r="I845">
        <v>3.363271208598869</v>
      </c>
      <c r="J845">
        <v>6.2689118520016187</v>
      </c>
      <c r="K845">
        <v>646.22813932469592</v>
      </c>
      <c r="L845">
        <v>9.1647448766110635</v>
      </c>
      <c r="M845">
        <v>0.41000063198642472</v>
      </c>
    </row>
    <row r="846" spans="1:13" x14ac:dyDescent="0.2">
      <c r="A846">
        <v>844</v>
      </c>
      <c r="B846">
        <v>600</v>
      </c>
      <c r="C846">
        <v>73.250000000000412</v>
      </c>
      <c r="D846">
        <v>7</v>
      </c>
      <c r="E846">
        <v>164.52973326306892</v>
      </c>
      <c r="F846">
        <v>14.882528011076715</v>
      </c>
      <c r="G846">
        <v>309.85218674759881</v>
      </c>
      <c r="H846">
        <v>4.2300639829023492</v>
      </c>
      <c r="I846">
        <v>1.7127424459327412</v>
      </c>
      <c r="J846">
        <v>3.1924369914869355</v>
      </c>
      <c r="K846">
        <v>315.10467441948134</v>
      </c>
      <c r="L846">
        <v>5.6046136422359281</v>
      </c>
      <c r="M846">
        <v>0.41000141495500048</v>
      </c>
    </row>
    <row r="847" spans="1:13" x14ac:dyDescent="0.2">
      <c r="A847">
        <v>845</v>
      </c>
      <c r="B847">
        <v>600</v>
      </c>
      <c r="C847">
        <v>77.083333333333499</v>
      </c>
      <c r="D847">
        <v>99</v>
      </c>
      <c r="E847">
        <v>75.720265937916466</v>
      </c>
      <c r="F847">
        <v>44.580951875417703</v>
      </c>
      <c r="G847">
        <v>608.19969832216475</v>
      </c>
      <c r="H847">
        <v>7.8901582485037416</v>
      </c>
      <c r="I847">
        <v>3.7238990525675919</v>
      </c>
      <c r="J847">
        <v>6.9410979544596305</v>
      </c>
      <c r="K847">
        <v>618.5089673921716</v>
      </c>
      <c r="L847">
        <v>9.3132036974980554</v>
      </c>
      <c r="M847">
        <v>0.41000076275059422</v>
      </c>
    </row>
    <row r="848" spans="1:13" x14ac:dyDescent="0.2">
      <c r="A848">
        <v>846</v>
      </c>
      <c r="B848">
        <v>600</v>
      </c>
      <c r="C848">
        <v>77.666666666666728</v>
      </c>
      <c r="D848">
        <v>100</v>
      </c>
      <c r="E848">
        <v>71.196348797380253</v>
      </c>
      <c r="F848">
        <v>39.811205228726827</v>
      </c>
      <c r="G848">
        <v>525.20531538513887</v>
      </c>
      <c r="H848">
        <v>6.7623001980919115</v>
      </c>
      <c r="I848">
        <v>3.2119157967642509</v>
      </c>
      <c r="J848">
        <v>5.9867955205298244</v>
      </c>
      <c r="K848">
        <v>534.10772891586532</v>
      </c>
      <c r="L848">
        <v>7.7289488634671688</v>
      </c>
      <c r="M848">
        <v>0.41000069429678165</v>
      </c>
    </row>
    <row r="849" spans="1:13" x14ac:dyDescent="0.2">
      <c r="A849">
        <v>847</v>
      </c>
      <c r="B849">
        <v>600</v>
      </c>
      <c r="C849">
        <v>75.58333333333357</v>
      </c>
      <c r="D849">
        <v>100</v>
      </c>
      <c r="E849">
        <v>73.442418414927332</v>
      </c>
      <c r="F849">
        <v>42.362718350498454</v>
      </c>
      <c r="G849">
        <v>568.40121392132653</v>
      </c>
      <c r="H849">
        <v>7.5201924664342856</v>
      </c>
      <c r="I849">
        <v>3.3665162820245551</v>
      </c>
      <c r="J849">
        <v>6.2749604511175292</v>
      </c>
      <c r="K849">
        <v>578.03608449233775</v>
      </c>
      <c r="L849">
        <v>8.3662912940941805</v>
      </c>
      <c r="M849">
        <v>0.41000097138863545</v>
      </c>
    </row>
    <row r="850" spans="1:13" x14ac:dyDescent="0.2">
      <c r="A850">
        <v>848</v>
      </c>
      <c r="B850">
        <v>600</v>
      </c>
      <c r="C850">
        <v>78.083333333333456</v>
      </c>
      <c r="D850">
        <v>99</v>
      </c>
      <c r="E850">
        <v>81.849165301476503</v>
      </c>
      <c r="F850">
        <v>52.089907428397339</v>
      </c>
      <c r="G850">
        <v>741.41701668570636</v>
      </c>
      <c r="H850">
        <v>9.4952019212683698</v>
      </c>
      <c r="I850">
        <v>4.2785675355025266</v>
      </c>
      <c r="J850">
        <v>7.9749627875163585</v>
      </c>
      <c r="K850">
        <v>753.98423643166984</v>
      </c>
      <c r="L850">
        <v>10.836903632507919</v>
      </c>
      <c r="M850">
        <v>0.41000064919561674</v>
      </c>
    </row>
    <row r="851" spans="1:13" x14ac:dyDescent="0.2">
      <c r="A851">
        <v>849</v>
      </c>
      <c r="B851">
        <v>600</v>
      </c>
      <c r="C851">
        <v>77.916666666666728</v>
      </c>
      <c r="D851">
        <v>100</v>
      </c>
      <c r="E851">
        <v>72.6059010089932</v>
      </c>
      <c r="F851">
        <v>41.403182010218131</v>
      </c>
      <c r="G851">
        <v>552.07135084023935</v>
      </c>
      <c r="H851">
        <v>7.0854077113185738</v>
      </c>
      <c r="I851">
        <v>3.4761056054104702</v>
      </c>
      <c r="J851">
        <v>6.4792275962916488</v>
      </c>
      <c r="K851">
        <v>561.42912695984057</v>
      </c>
      <c r="L851">
        <v>8.5836413640980354</v>
      </c>
      <c r="M851">
        <v>0.41000066687342057</v>
      </c>
    </row>
    <row r="852" spans="1:13" x14ac:dyDescent="0.2">
      <c r="A852">
        <v>850</v>
      </c>
      <c r="B852">
        <v>600</v>
      </c>
      <c r="C852">
        <v>77.500000000000227</v>
      </c>
      <c r="D852">
        <v>99</v>
      </c>
      <c r="E852">
        <v>76.845964287647504</v>
      </c>
      <c r="F852">
        <v>45.916333883907505</v>
      </c>
      <c r="G852">
        <v>631.47338567623467</v>
      </c>
      <c r="H852">
        <v>8.1480436861449395</v>
      </c>
      <c r="I852">
        <v>3.6250594719457179</v>
      </c>
      <c r="J852">
        <v>6.7568676084729118</v>
      </c>
      <c r="K852">
        <v>642.17710069184034</v>
      </c>
      <c r="L852">
        <v>8.9005445972913044</v>
      </c>
      <c r="M852">
        <v>0.41000071320270459</v>
      </c>
    </row>
    <row r="853" spans="1:13" x14ac:dyDescent="0.2">
      <c r="A853">
        <v>851</v>
      </c>
      <c r="B853">
        <v>600</v>
      </c>
      <c r="C853">
        <v>75.916666666666814</v>
      </c>
      <c r="D853">
        <v>99</v>
      </c>
      <c r="E853">
        <v>76.386540443452191</v>
      </c>
      <c r="F853">
        <v>45.368953149436656</v>
      </c>
      <c r="G853">
        <v>621.91056028954608</v>
      </c>
      <c r="H853">
        <v>8.1920161618820408</v>
      </c>
      <c r="I853">
        <v>3.8298702627925079</v>
      </c>
      <c r="J853">
        <v>7.1386211794827741</v>
      </c>
      <c r="K853">
        <v>632.45240405281982</v>
      </c>
      <c r="L853">
        <v>9.8144476625724124</v>
      </c>
      <c r="M853">
        <v>0.41000092057114862</v>
      </c>
    </row>
    <row r="854" spans="1:13" x14ac:dyDescent="0.2">
      <c r="A854">
        <v>852</v>
      </c>
      <c r="B854">
        <v>600</v>
      </c>
      <c r="C854">
        <v>76.583333333333528</v>
      </c>
      <c r="D854">
        <v>63</v>
      </c>
      <c r="E854">
        <v>94.361407263645319</v>
      </c>
      <c r="F854">
        <v>44.057439050523641</v>
      </c>
      <c r="G854">
        <v>677.60988417759393</v>
      </c>
      <c r="H854">
        <v>8.8480071927433155</v>
      </c>
      <c r="I854">
        <v>3.800674083488742</v>
      </c>
      <c r="J854">
        <v>7.0842014603704415</v>
      </c>
      <c r="K854">
        <v>689.09576310510022</v>
      </c>
      <c r="L854">
        <v>9.9574528041548511</v>
      </c>
      <c r="M854">
        <v>0.41000082677253757</v>
      </c>
    </row>
    <row r="855" spans="1:13" x14ac:dyDescent="0.2">
      <c r="A855">
        <v>853</v>
      </c>
      <c r="B855">
        <v>600</v>
      </c>
      <c r="C855">
        <v>79.666666666666643</v>
      </c>
      <c r="D855">
        <v>59</v>
      </c>
      <c r="E855">
        <v>110.39391006910556</v>
      </c>
      <c r="F855">
        <v>56.471864262585314</v>
      </c>
      <c r="G855">
        <v>946.05097286048044</v>
      </c>
      <c r="H855">
        <v>11.875116814148294</v>
      </c>
      <c r="I855">
        <v>4.660433427936475</v>
      </c>
      <c r="J855">
        <v>8.6867351872068497</v>
      </c>
      <c r="K855">
        <v>962.08655526243876</v>
      </c>
      <c r="L855">
        <v>12.891366170494139</v>
      </c>
      <c r="M855">
        <v>0.41000050295739809</v>
      </c>
    </row>
    <row r="856" spans="1:13" x14ac:dyDescent="0.2">
      <c r="A856">
        <v>854</v>
      </c>
      <c r="B856">
        <v>600</v>
      </c>
      <c r="C856">
        <v>74.250000000000369</v>
      </c>
      <c r="D856">
        <v>95</v>
      </c>
      <c r="E856">
        <v>69.691709164608213</v>
      </c>
      <c r="F856">
        <v>36.238959346254539</v>
      </c>
      <c r="G856">
        <v>472.54825324103547</v>
      </c>
      <c r="H856">
        <v>6.3642862389364732</v>
      </c>
      <c r="I856">
        <v>2.9927648158857338</v>
      </c>
      <c r="J856">
        <v>5.5783127975502955</v>
      </c>
      <c r="K856">
        <v>480.55852658058029</v>
      </c>
      <c r="L856">
        <v>7.4931965369652476</v>
      </c>
      <c r="M856">
        <v>0.41000120430267928</v>
      </c>
    </row>
    <row r="857" spans="1:13" x14ac:dyDescent="0.2">
      <c r="A857">
        <v>855</v>
      </c>
      <c r="B857">
        <v>600</v>
      </c>
      <c r="C857">
        <v>75.000000000000341</v>
      </c>
      <c r="D857">
        <v>96</v>
      </c>
      <c r="E857">
        <v>71.540477855323047</v>
      </c>
      <c r="F857">
        <v>38.589112262604381</v>
      </c>
      <c r="G857">
        <v>510.42150638052431</v>
      </c>
      <c r="H857">
        <v>6.8056200850736266</v>
      </c>
      <c r="I857">
        <v>3.2424262484244544</v>
      </c>
      <c r="J857">
        <v>6.0436649551247985</v>
      </c>
      <c r="K857">
        <v>519.07365722726115</v>
      </c>
      <c r="L857">
        <v>8.2347391295542085</v>
      </c>
      <c r="M857">
        <v>0.41000106716216822</v>
      </c>
    </row>
    <row r="858" spans="1:13" x14ac:dyDescent="0.2">
      <c r="A858">
        <v>856</v>
      </c>
      <c r="B858">
        <v>600</v>
      </c>
      <c r="C858">
        <v>79.250000000000156</v>
      </c>
      <c r="D858">
        <v>70</v>
      </c>
      <c r="E858">
        <v>99.450237627905523</v>
      </c>
      <c r="F858">
        <v>54.375037781385174</v>
      </c>
      <c r="G858">
        <v>860.56889766635322</v>
      </c>
      <c r="H858">
        <v>10.858913535222101</v>
      </c>
      <c r="I858">
        <v>4.4678369744699964</v>
      </c>
      <c r="J858">
        <v>8.3277483214724999</v>
      </c>
      <c r="K858">
        <v>875.15560905962536</v>
      </c>
      <c r="L858">
        <v>11.91119699194747</v>
      </c>
      <c r="M858">
        <v>0.41000053789904578</v>
      </c>
    </row>
    <row r="859" spans="1:13" x14ac:dyDescent="0.2">
      <c r="A859">
        <v>857</v>
      </c>
      <c r="B859">
        <v>600</v>
      </c>
      <c r="C859">
        <v>74.666666666666856</v>
      </c>
      <c r="D859">
        <v>100</v>
      </c>
      <c r="E859">
        <v>66.202568037213922</v>
      </c>
      <c r="F859">
        <v>34.422273741376522</v>
      </c>
      <c r="G859">
        <v>436.4754542339403</v>
      </c>
      <c r="H859">
        <v>5.8456534049188287</v>
      </c>
      <c r="I859">
        <v>2.8714116932196432</v>
      </c>
      <c r="J859">
        <v>5.352118719887498</v>
      </c>
      <c r="K859">
        <v>443.87419046537121</v>
      </c>
      <c r="L859">
        <v>7.0081413960681997</v>
      </c>
      <c r="M859">
        <v>0.4100011260717914</v>
      </c>
    </row>
    <row r="860" spans="1:13" x14ac:dyDescent="0.2">
      <c r="A860">
        <v>858</v>
      </c>
      <c r="B860">
        <v>600</v>
      </c>
      <c r="C860">
        <v>79.666666666666643</v>
      </c>
      <c r="D860">
        <v>68</v>
      </c>
      <c r="E860">
        <v>102.21117662532755</v>
      </c>
      <c r="F860">
        <v>55.795036965559504</v>
      </c>
      <c r="G860">
        <v>896.31269665932325</v>
      </c>
      <c r="H860">
        <v>11.250786987355523</v>
      </c>
      <c r="I860">
        <v>4.5893313611688002</v>
      </c>
      <c r="J860">
        <v>8.5542057058132333</v>
      </c>
      <c r="K860">
        <v>911.50521431166919</v>
      </c>
      <c r="L860">
        <v>12.27067063788394</v>
      </c>
      <c r="M860">
        <v>0.41000050295739809</v>
      </c>
    </row>
    <row r="861" spans="1:13" x14ac:dyDescent="0.2">
      <c r="A861">
        <v>859</v>
      </c>
      <c r="B861">
        <v>600</v>
      </c>
      <c r="C861">
        <v>77.250000000000242</v>
      </c>
      <c r="D861">
        <v>96</v>
      </c>
      <c r="E861">
        <v>83.077277950681918</v>
      </c>
      <c r="F861">
        <v>52.038603219830421</v>
      </c>
      <c r="G861">
        <v>746.71976655105118</v>
      </c>
      <c r="H861">
        <v>9.6662752951592079</v>
      </c>
      <c r="I861">
        <v>4.2123438492263778</v>
      </c>
      <c r="J861">
        <v>7.8515262800118881</v>
      </c>
      <c r="K861">
        <v>759.3769894775628</v>
      </c>
      <c r="L861">
        <v>10.672521649935431</v>
      </c>
      <c r="M861">
        <v>0.41000074253123181</v>
      </c>
    </row>
    <row r="862" spans="1:13" x14ac:dyDescent="0.2">
      <c r="A862">
        <v>860</v>
      </c>
      <c r="B862">
        <v>600</v>
      </c>
      <c r="C862">
        <v>78.500000000000185</v>
      </c>
      <c r="D862">
        <v>100</v>
      </c>
      <c r="E862">
        <v>82.561382302411872</v>
      </c>
      <c r="F862">
        <v>53.535737841875111</v>
      </c>
      <c r="G862">
        <v>765.60071556631726</v>
      </c>
      <c r="H862">
        <v>9.7528753575326803</v>
      </c>
      <c r="I862">
        <v>4.2420890744765263</v>
      </c>
      <c r="J862">
        <v>7.9069693839264223</v>
      </c>
      <c r="K862">
        <v>778.57779992433382</v>
      </c>
      <c r="L862">
        <v>10.552350070021664</v>
      </c>
      <c r="M862">
        <v>0.41000060702420055</v>
      </c>
    </row>
    <row r="863" spans="1:13" x14ac:dyDescent="0.2">
      <c r="A863">
        <v>861</v>
      </c>
      <c r="B863">
        <v>600</v>
      </c>
      <c r="C863">
        <v>78.250000000000199</v>
      </c>
      <c r="D863">
        <v>99</v>
      </c>
      <c r="E863">
        <v>77.706464746375175</v>
      </c>
      <c r="F863">
        <v>46.95040883284279</v>
      </c>
      <c r="G863">
        <v>649.62316128054965</v>
      </c>
      <c r="H863">
        <v>8.3018934348951827</v>
      </c>
      <c r="I863">
        <v>3.822772828214914</v>
      </c>
      <c r="J863">
        <v>7.1253920376792426</v>
      </c>
      <c r="K863">
        <v>660.6344309835963</v>
      </c>
      <c r="L863">
        <v>9.4382745826528929</v>
      </c>
      <c r="M863">
        <v>0.41000063198642472</v>
      </c>
    </row>
    <row r="864" spans="1:13" x14ac:dyDescent="0.2">
      <c r="A864">
        <v>862</v>
      </c>
      <c r="B864">
        <v>600</v>
      </c>
      <c r="C864">
        <v>76.083333333333542</v>
      </c>
      <c r="D864">
        <v>98</v>
      </c>
      <c r="E864">
        <v>72.295633762435756</v>
      </c>
      <c r="F864">
        <v>40.229079508800609</v>
      </c>
      <c r="G864">
        <v>535.16580645645001</v>
      </c>
      <c r="H864">
        <v>7.0339426916510215</v>
      </c>
      <c r="I864">
        <v>3.3586994422057717</v>
      </c>
      <c r="J864">
        <v>6.2603903862176544</v>
      </c>
      <c r="K864">
        <v>544.23724000335437</v>
      </c>
      <c r="L864">
        <v>8.399357924862926</v>
      </c>
      <c r="M864">
        <v>0.41000089616820251</v>
      </c>
    </row>
    <row r="865" spans="1:13" x14ac:dyDescent="0.2">
      <c r="A865">
        <v>863</v>
      </c>
      <c r="B865">
        <v>600</v>
      </c>
      <c r="C865">
        <v>76.083333333333542</v>
      </c>
      <c r="D865">
        <v>100</v>
      </c>
      <c r="E865">
        <v>71.86332312910551</v>
      </c>
      <c r="F865">
        <v>40.560609608087738</v>
      </c>
      <c r="G865">
        <v>537.81624399916768</v>
      </c>
      <c r="H865">
        <v>7.0687786724972561</v>
      </c>
      <c r="I865">
        <v>3.361766491392836</v>
      </c>
      <c r="J865">
        <v>6.2661071600984819</v>
      </c>
      <c r="K865">
        <v>546.93260431035503</v>
      </c>
      <c r="L865">
        <v>8.3863165794451859</v>
      </c>
      <c r="M865">
        <v>0.41000089616820251</v>
      </c>
    </row>
    <row r="866" spans="1:13" x14ac:dyDescent="0.2">
      <c r="A866">
        <v>864</v>
      </c>
      <c r="B866">
        <v>600</v>
      </c>
      <c r="C866">
        <v>77.083333333333499</v>
      </c>
      <c r="D866">
        <v>100</v>
      </c>
      <c r="E866">
        <v>80.152671347674001</v>
      </c>
      <c r="F866">
        <v>50.457517995991431</v>
      </c>
      <c r="G866">
        <v>710.03545398682058</v>
      </c>
      <c r="H866">
        <v>9.2112707544235981</v>
      </c>
      <c r="I866">
        <v>4.1788320823598113</v>
      </c>
      <c r="J866">
        <v>7.7890625952652588</v>
      </c>
      <c r="K866">
        <v>722.07088669845791</v>
      </c>
      <c r="L866">
        <v>10.609630761445162</v>
      </c>
      <c r="M866">
        <v>0.41000076275059422</v>
      </c>
    </row>
    <row r="867" spans="1:13" x14ac:dyDescent="0.2">
      <c r="A867">
        <v>865</v>
      </c>
      <c r="B867">
        <v>600</v>
      </c>
      <c r="C867">
        <v>79.5833333333334</v>
      </c>
      <c r="D867">
        <v>100</v>
      </c>
      <c r="E867">
        <v>81.032568072189534</v>
      </c>
      <c r="F867">
        <v>51.571419655677069</v>
      </c>
      <c r="G867">
        <v>730.03918966679112</v>
      </c>
      <c r="H867">
        <v>9.1732673047135975</v>
      </c>
      <c r="I867">
        <v>4.0632436845781026</v>
      </c>
      <c r="J867">
        <v>7.5736135779647764</v>
      </c>
      <c r="K867">
        <v>742.41337669857785</v>
      </c>
      <c r="L867">
        <v>10.020742954950578</v>
      </c>
      <c r="M867">
        <v>0.41000050975925018</v>
      </c>
    </row>
    <row r="868" spans="1:13" x14ac:dyDescent="0.2">
      <c r="A868">
        <v>866</v>
      </c>
      <c r="B868">
        <v>600</v>
      </c>
      <c r="C868">
        <v>77.083333333333499</v>
      </c>
      <c r="D868">
        <v>99</v>
      </c>
      <c r="E868">
        <v>77.039288489158196</v>
      </c>
      <c r="F868">
        <v>46.147651284493733</v>
      </c>
      <c r="G868">
        <v>635.52375375484758</v>
      </c>
      <c r="H868">
        <v>8.2446324811439506</v>
      </c>
      <c r="I868">
        <v>3.798180809547747</v>
      </c>
      <c r="J868">
        <v>7.0795541650470586</v>
      </c>
      <c r="K868">
        <v>646.29617833169925</v>
      </c>
      <c r="L868">
        <v>9.543407924243688</v>
      </c>
      <c r="M868">
        <v>0.41000076275059422</v>
      </c>
    </row>
    <row r="869" spans="1:13" x14ac:dyDescent="0.2">
      <c r="A869">
        <v>867</v>
      </c>
      <c r="B869">
        <v>600</v>
      </c>
      <c r="C869">
        <v>76.000000000000298</v>
      </c>
      <c r="D869">
        <v>100</v>
      </c>
      <c r="E869">
        <v>72.319653134623991</v>
      </c>
      <c r="F869">
        <v>41.077362473847849</v>
      </c>
      <c r="G869">
        <v>546.54935271848035</v>
      </c>
      <c r="H869">
        <v>7.1914388515589236</v>
      </c>
      <c r="I869">
        <v>3.4648511939057598</v>
      </c>
      <c r="J869">
        <v>6.4582501284357123</v>
      </c>
      <c r="K869">
        <v>555.81375672864556</v>
      </c>
      <c r="L869">
        <v>8.7103966510647179</v>
      </c>
      <c r="M869">
        <v>0.41000090828772506</v>
      </c>
    </row>
    <row r="870" spans="1:13" x14ac:dyDescent="0.2">
      <c r="A870">
        <v>868</v>
      </c>
      <c r="B870">
        <v>600</v>
      </c>
      <c r="C870">
        <v>77.666666666666728</v>
      </c>
      <c r="D870">
        <v>100</v>
      </c>
      <c r="E870">
        <v>72.130964863532071</v>
      </c>
      <c r="F870">
        <v>40.863293271544691</v>
      </c>
      <c r="G870">
        <v>542.928129449322</v>
      </c>
      <c r="H870">
        <v>6.9904909371157284</v>
      </c>
      <c r="I870">
        <v>3.309087061882539</v>
      </c>
      <c r="J870">
        <v>6.1679162383644721</v>
      </c>
      <c r="K870">
        <v>552.13095086836506</v>
      </c>
      <c r="L870">
        <v>7.9908275611488753</v>
      </c>
      <c r="M870">
        <v>0.41000069429678165</v>
      </c>
    </row>
    <row r="871" spans="1:13" x14ac:dyDescent="0.2">
      <c r="A871">
        <v>869</v>
      </c>
      <c r="B871">
        <v>600</v>
      </c>
      <c r="C871">
        <v>78.4166666666667</v>
      </c>
      <c r="D871">
        <v>100</v>
      </c>
      <c r="E871">
        <v>84.675091102721836</v>
      </c>
      <c r="F871">
        <v>56.312035570224097</v>
      </c>
      <c r="G871">
        <v>816.46931162810677</v>
      </c>
      <c r="H871">
        <v>10.411935961251091</v>
      </c>
      <c r="I871">
        <v>4.4898238637447063</v>
      </c>
      <c r="J871">
        <v>8.3687304077254545</v>
      </c>
      <c r="K871">
        <v>830.30864035676348</v>
      </c>
      <c r="L871">
        <v>11.236352799793789</v>
      </c>
      <c r="M871">
        <v>0.41000061523342229</v>
      </c>
    </row>
    <row r="872" spans="1:13" x14ac:dyDescent="0.2">
      <c r="A872">
        <v>870</v>
      </c>
      <c r="B872">
        <v>600</v>
      </c>
      <c r="C872">
        <v>77.916666666666728</v>
      </c>
      <c r="D872">
        <v>99</v>
      </c>
      <c r="E872">
        <v>76.58223584154554</v>
      </c>
      <c r="F872">
        <v>45.60171322068782</v>
      </c>
      <c r="G872">
        <v>625.97327149050307</v>
      </c>
      <c r="H872">
        <v>8.0338815592363968</v>
      </c>
      <c r="I872">
        <v>3.8215820661061111</v>
      </c>
      <c r="J872">
        <v>7.1231725370104577</v>
      </c>
      <c r="K872">
        <v>636.58370748314633</v>
      </c>
      <c r="L872">
        <v>9.5769053455869084</v>
      </c>
      <c r="M872">
        <v>0.41000066687342057</v>
      </c>
    </row>
    <row r="873" spans="1:13" x14ac:dyDescent="0.2">
      <c r="A873">
        <v>871</v>
      </c>
      <c r="B873">
        <v>600</v>
      </c>
      <c r="C873">
        <v>79.666666666666643</v>
      </c>
      <c r="D873">
        <v>100</v>
      </c>
      <c r="E873">
        <v>88.33704655568819</v>
      </c>
      <c r="F873">
        <v>61.28802570143985</v>
      </c>
      <c r="G873">
        <v>909.34746919684358</v>
      </c>
      <c r="H873">
        <v>11.41440337903988</v>
      </c>
      <c r="I873">
        <v>4.8308714092492773</v>
      </c>
      <c r="J873">
        <v>9.0044201477153347</v>
      </c>
      <c r="K873">
        <v>924.760926497382</v>
      </c>
      <c r="L873">
        <v>12.254080879384318</v>
      </c>
      <c r="M873">
        <v>0.41000050295739809</v>
      </c>
    </row>
    <row r="874" spans="1:13" x14ac:dyDescent="0.2">
      <c r="A874">
        <v>872</v>
      </c>
      <c r="B874">
        <v>600</v>
      </c>
      <c r="C874">
        <v>77.916666666666728</v>
      </c>
      <c r="D874">
        <v>100</v>
      </c>
      <c r="E874">
        <v>78.28360758558857</v>
      </c>
      <c r="F874">
        <v>48.13173799034908</v>
      </c>
      <c r="G874">
        <v>668.65813398481112</v>
      </c>
      <c r="H874">
        <v>8.5817086714628097</v>
      </c>
      <c r="I874">
        <v>4.0276532067470816</v>
      </c>
      <c r="J874">
        <v>7.5072753154652023</v>
      </c>
      <c r="K874">
        <v>679.99209128735356</v>
      </c>
      <c r="L874">
        <v>10.157062805100304</v>
      </c>
      <c r="M874">
        <v>0.41000066687342057</v>
      </c>
    </row>
    <row r="875" spans="1:13" x14ac:dyDescent="0.2">
      <c r="A875">
        <v>873</v>
      </c>
      <c r="B875">
        <v>600</v>
      </c>
      <c r="C875">
        <v>76.166666666666799</v>
      </c>
      <c r="D875">
        <v>100</v>
      </c>
      <c r="E875">
        <v>72.167223003074625</v>
      </c>
      <c r="F875">
        <v>40.90438517646578</v>
      </c>
      <c r="G875">
        <v>543.62270885395219</v>
      </c>
      <c r="H875">
        <v>7.1372784532247424</v>
      </c>
      <c r="I875">
        <v>3.4161660455468965</v>
      </c>
      <c r="J875">
        <v>6.3675042787453799</v>
      </c>
      <c r="K875">
        <v>552.83748158816729</v>
      </c>
      <c r="L875">
        <v>8.4884197104248376</v>
      </c>
      <c r="M875">
        <v>0.41000088421039388</v>
      </c>
    </row>
    <row r="876" spans="1:13" x14ac:dyDescent="0.2">
      <c r="A876">
        <v>874</v>
      </c>
      <c r="B876">
        <v>600</v>
      </c>
      <c r="C876">
        <v>82.083333333333286</v>
      </c>
      <c r="D876">
        <v>41</v>
      </c>
      <c r="E876">
        <v>139.1396600744753</v>
      </c>
      <c r="F876">
        <v>62.341265515466269</v>
      </c>
      <c r="G876">
        <v>1184.6871191010143</v>
      </c>
      <c r="H876">
        <v>14.432736476357544</v>
      </c>
      <c r="I876">
        <v>5.4153791960520294</v>
      </c>
      <c r="J876">
        <v>10.093903440917108</v>
      </c>
      <c r="K876">
        <v>1204.7672574605051</v>
      </c>
      <c r="L876">
        <v>17.740853873271998</v>
      </c>
      <c r="M876">
        <v>0.41000034068081376</v>
      </c>
    </row>
    <row r="877" spans="1:13" x14ac:dyDescent="0.2">
      <c r="A877">
        <v>875</v>
      </c>
      <c r="B877">
        <v>600</v>
      </c>
      <c r="C877">
        <v>74.916666666666856</v>
      </c>
      <c r="D877">
        <v>20</v>
      </c>
      <c r="E877">
        <v>131.10611432361335</v>
      </c>
      <c r="F877">
        <v>27.000124657001127</v>
      </c>
      <c r="G877">
        <v>496.73500861295759</v>
      </c>
      <c r="H877">
        <v>6.6305006711406849</v>
      </c>
      <c r="I877">
        <v>2.8943527720611368</v>
      </c>
      <c r="J877">
        <v>5.3948793514653062</v>
      </c>
      <c r="K877">
        <v>505.1551721028149</v>
      </c>
      <c r="L877">
        <v>8.7012636683569617</v>
      </c>
      <c r="M877">
        <v>0.41000108159416432</v>
      </c>
    </row>
    <row r="878" spans="1:13" x14ac:dyDescent="0.2">
      <c r="A878">
        <v>876</v>
      </c>
      <c r="B878">
        <v>600</v>
      </c>
      <c r="C878">
        <v>78.000000000000213</v>
      </c>
      <c r="D878">
        <v>100</v>
      </c>
      <c r="E878">
        <v>78.762684058939556</v>
      </c>
      <c r="F878">
        <v>48.72264944817347</v>
      </c>
      <c r="G878">
        <v>679.12038956833328</v>
      </c>
      <c r="H878">
        <v>8.7066716611324537</v>
      </c>
      <c r="I878">
        <v>4.0940566135231293</v>
      </c>
      <c r="J878">
        <v>7.6310468099219557</v>
      </c>
      <c r="K878">
        <v>690.63167484657913</v>
      </c>
      <c r="L878">
        <v>10.30378673152439</v>
      </c>
      <c r="M878">
        <v>0.41000065797515273</v>
      </c>
    </row>
    <row r="879" spans="1:13" x14ac:dyDescent="0.2">
      <c r="A879">
        <v>877</v>
      </c>
      <c r="B879">
        <v>600</v>
      </c>
      <c r="C879">
        <v>79.416666666666657</v>
      </c>
      <c r="D879">
        <v>100</v>
      </c>
      <c r="E879">
        <v>84.512017802524596</v>
      </c>
      <c r="F879">
        <v>56.095345000770045</v>
      </c>
      <c r="G879">
        <v>812.47406412957105</v>
      </c>
      <c r="H879">
        <v>10.230523367843498</v>
      </c>
      <c r="I879">
        <v>4.4416738576239174</v>
      </c>
      <c r="J879">
        <v>8.2789820272579995</v>
      </c>
      <c r="K879">
        <v>826.24554429337172</v>
      </c>
      <c r="L879">
        <v>11.089275925366112</v>
      </c>
      <c r="M879">
        <v>0.41000052364015721</v>
      </c>
    </row>
    <row r="880" spans="1:13" x14ac:dyDescent="0.2">
      <c r="A880">
        <v>878</v>
      </c>
      <c r="B880">
        <v>600</v>
      </c>
      <c r="C880">
        <v>77.083333333333499</v>
      </c>
      <c r="D880">
        <v>100</v>
      </c>
      <c r="E880">
        <v>81.501415954984452</v>
      </c>
      <c r="F880">
        <v>52.169922228177803</v>
      </c>
      <c r="G880">
        <v>740.83563531353343</v>
      </c>
      <c r="H880">
        <v>9.6108406743377106</v>
      </c>
      <c r="I880">
        <v>4.2603974117985555</v>
      </c>
      <c r="J880">
        <v>7.941094896176244</v>
      </c>
      <c r="K880">
        <v>753.39314549015148</v>
      </c>
      <c r="L880">
        <v>10.865474135736992</v>
      </c>
      <c r="M880">
        <v>0.41000076275059422</v>
      </c>
    </row>
    <row r="881" spans="1:13" x14ac:dyDescent="0.2">
      <c r="A881">
        <v>879</v>
      </c>
      <c r="B881">
        <v>600</v>
      </c>
      <c r="C881">
        <v>76.50000000000027</v>
      </c>
      <c r="D881">
        <v>99</v>
      </c>
      <c r="E881">
        <v>72.54795620262891</v>
      </c>
      <c r="F881">
        <v>40.923751632066931</v>
      </c>
      <c r="G881">
        <v>545.44119746193451</v>
      </c>
      <c r="H881">
        <v>7.1299502936200341</v>
      </c>
      <c r="I881">
        <v>3.3004148913722613</v>
      </c>
      <c r="J881">
        <v>6.1517518944496938</v>
      </c>
      <c r="K881">
        <v>554.6867513201795</v>
      </c>
      <c r="L881">
        <v>8.0640016962957137</v>
      </c>
      <c r="M881">
        <v>0.41000083795357306</v>
      </c>
    </row>
    <row r="882" spans="1:13" x14ac:dyDescent="0.2">
      <c r="A882">
        <v>880</v>
      </c>
      <c r="B882">
        <v>600</v>
      </c>
      <c r="C882">
        <v>79.500000000000142</v>
      </c>
      <c r="D882">
        <v>98</v>
      </c>
      <c r="E882">
        <v>85.241261529296168</v>
      </c>
      <c r="F882">
        <v>55.926249253001984</v>
      </c>
      <c r="G882">
        <v>813.82471381212974</v>
      </c>
      <c r="H882">
        <v>10.236788852982746</v>
      </c>
      <c r="I882">
        <v>4.4407588976454404</v>
      </c>
      <c r="J882">
        <v>8.277276603253382</v>
      </c>
      <c r="K882">
        <v>827.61907776140765</v>
      </c>
      <c r="L882">
        <v>11.138700742214365</v>
      </c>
      <c r="M882">
        <v>0.41000051665308856</v>
      </c>
    </row>
    <row r="883" spans="1:13" x14ac:dyDescent="0.2">
      <c r="A883">
        <v>881</v>
      </c>
      <c r="B883">
        <v>600</v>
      </c>
      <c r="C883">
        <v>76.416666666666785</v>
      </c>
      <c r="D883">
        <v>67</v>
      </c>
      <c r="E883">
        <v>91.314655435717683</v>
      </c>
      <c r="F883">
        <v>43.877881756982546</v>
      </c>
      <c r="G883">
        <v>662.89082419553722</v>
      </c>
      <c r="H883">
        <v>8.6746890843472571</v>
      </c>
      <c r="I883">
        <v>3.6957971186425778</v>
      </c>
      <c r="J883">
        <v>6.888717835307693</v>
      </c>
      <c r="K883">
        <v>674.12723227799995</v>
      </c>
      <c r="L883">
        <v>9.5898747595677953</v>
      </c>
      <c r="M883">
        <v>0.4100008492858177</v>
      </c>
    </row>
    <row r="884" spans="1:13" x14ac:dyDescent="0.2">
      <c r="A884">
        <v>882</v>
      </c>
      <c r="B884">
        <v>600</v>
      </c>
      <c r="C884">
        <v>77.250000000000242</v>
      </c>
      <c r="D884">
        <v>91</v>
      </c>
      <c r="E884">
        <v>78.841468017072728</v>
      </c>
      <c r="F884">
        <v>44.426354532884368</v>
      </c>
      <c r="G884">
        <v>619.57372944268479</v>
      </c>
      <c r="H884">
        <v>8.0203719021706519</v>
      </c>
      <c r="I884">
        <v>3.6815028800562239</v>
      </c>
      <c r="J884">
        <v>6.8620743337487857</v>
      </c>
      <c r="K884">
        <v>630.07577206194912</v>
      </c>
      <c r="L884">
        <v>9.1964362190022779</v>
      </c>
      <c r="M884">
        <v>0.41000074253123181</v>
      </c>
    </row>
    <row r="885" spans="1:13" x14ac:dyDescent="0.2">
      <c r="A885">
        <v>883</v>
      </c>
      <c r="B885">
        <v>600</v>
      </c>
      <c r="C885">
        <v>79.166666666666671</v>
      </c>
      <c r="D885">
        <v>98</v>
      </c>
      <c r="E885">
        <v>90.175415130440285</v>
      </c>
      <c r="F885">
        <v>62.588170600103858</v>
      </c>
      <c r="G885">
        <v>939.11537121310801</v>
      </c>
      <c r="H885">
        <v>11.862509952165572</v>
      </c>
      <c r="I885">
        <v>5.0706578588665279</v>
      </c>
      <c r="J885">
        <v>9.4513659997512161</v>
      </c>
      <c r="K885">
        <v>955.03346336735922</v>
      </c>
      <c r="L885">
        <v>13.135827380053843</v>
      </c>
      <c r="M885">
        <v>0.4100005451734387</v>
      </c>
    </row>
    <row r="886" spans="1:13" x14ac:dyDescent="0.2">
      <c r="A886">
        <v>884</v>
      </c>
      <c r="B886">
        <v>600</v>
      </c>
      <c r="C886">
        <v>76.583333333333528</v>
      </c>
      <c r="D886">
        <v>67</v>
      </c>
      <c r="E886">
        <v>88.313310094372412</v>
      </c>
      <c r="F886">
        <v>41.040912664784685</v>
      </c>
      <c r="G886">
        <v>608.84596136762889</v>
      </c>
      <c r="H886">
        <v>7.9501104857579197</v>
      </c>
      <c r="I886">
        <v>3.3758624683974467</v>
      </c>
      <c r="J886">
        <v>6.2923811153726872</v>
      </c>
      <c r="K886">
        <v>619.16625208513699</v>
      </c>
      <c r="L886">
        <v>8.6887474631587143</v>
      </c>
      <c r="M886">
        <v>0.41000082677253757</v>
      </c>
    </row>
    <row r="887" spans="1:13" x14ac:dyDescent="0.2">
      <c r="A887">
        <v>885</v>
      </c>
      <c r="B887">
        <v>600</v>
      </c>
      <c r="C887">
        <v>77.583333333333485</v>
      </c>
      <c r="D887">
        <v>72</v>
      </c>
      <c r="E887">
        <v>89.446849892552635</v>
      </c>
      <c r="F887">
        <v>45.243112907734996</v>
      </c>
      <c r="G887">
        <v>675.86509919237687</v>
      </c>
      <c r="H887">
        <v>8.7114728145096745</v>
      </c>
      <c r="I887">
        <v>3.7637873820764858</v>
      </c>
      <c r="J887">
        <v>7.0154471240941012</v>
      </c>
      <c r="K887">
        <v>687.32125961686074</v>
      </c>
      <c r="L887">
        <v>9.6310944583295424</v>
      </c>
      <c r="M887">
        <v>0.41000070368625285</v>
      </c>
    </row>
    <row r="888" spans="1:13" x14ac:dyDescent="0.2">
      <c r="A888">
        <v>886</v>
      </c>
      <c r="B888">
        <v>600</v>
      </c>
      <c r="C888">
        <v>76.583333333333528</v>
      </c>
      <c r="D888">
        <v>90</v>
      </c>
      <c r="E888">
        <v>84.062253706461604</v>
      </c>
      <c r="F888">
        <v>49.949880010296305</v>
      </c>
      <c r="G888">
        <v>721.36422203405368</v>
      </c>
      <c r="H888">
        <v>9.4193369580072037</v>
      </c>
      <c r="I888">
        <v>4.009166829905384</v>
      </c>
      <c r="J888">
        <v>7.4728179494974523</v>
      </c>
      <c r="K888">
        <v>733.59176226094087</v>
      </c>
      <c r="L888">
        <v>10.186968871000468</v>
      </c>
      <c r="M888">
        <v>0.41000082677253757</v>
      </c>
    </row>
    <row r="889" spans="1:13" x14ac:dyDescent="0.2">
      <c r="A889">
        <v>887</v>
      </c>
      <c r="B889">
        <v>600</v>
      </c>
      <c r="C889">
        <v>77.666666666666728</v>
      </c>
      <c r="D889">
        <v>67</v>
      </c>
      <c r="E889">
        <v>92.510924596927154</v>
      </c>
      <c r="F889">
        <v>45.035058072628317</v>
      </c>
      <c r="G889">
        <v>685.21384906449543</v>
      </c>
      <c r="H889">
        <v>8.822495910701651</v>
      </c>
      <c r="I889">
        <v>3.8663798181072857</v>
      </c>
      <c r="J889">
        <v>7.206672540740513</v>
      </c>
      <c r="K889">
        <v>696.82846312619756</v>
      </c>
      <c r="L889">
        <v>9.9944713856188976</v>
      </c>
      <c r="M889">
        <v>0.41000069429678165</v>
      </c>
    </row>
    <row r="890" spans="1:13" x14ac:dyDescent="0.2">
      <c r="A890">
        <v>888</v>
      </c>
      <c r="B890">
        <v>600</v>
      </c>
      <c r="C890">
        <v>77.583333333333485</v>
      </c>
      <c r="D890">
        <v>91</v>
      </c>
      <c r="E890">
        <v>84.431066638515858</v>
      </c>
      <c r="F890">
        <v>50.949018896772095</v>
      </c>
      <c r="G890">
        <v>737.55035140763118</v>
      </c>
      <c r="H890">
        <v>9.5065566239436698</v>
      </c>
      <c r="I890">
        <v>4.0958330613482277</v>
      </c>
      <c r="J890">
        <v>7.6343579894654754</v>
      </c>
      <c r="K890">
        <v>750.05209939988129</v>
      </c>
      <c r="L890">
        <v>10.312492537102459</v>
      </c>
      <c r="M890">
        <v>0.41000070368625285</v>
      </c>
    </row>
    <row r="891" spans="1:13" x14ac:dyDescent="0.2">
      <c r="A891">
        <v>889</v>
      </c>
      <c r="B891">
        <v>600</v>
      </c>
      <c r="C891">
        <v>78.166666666666714</v>
      </c>
      <c r="D891">
        <v>74</v>
      </c>
      <c r="E891">
        <v>89.090321084252494</v>
      </c>
      <c r="F891">
        <v>46.129914471704097</v>
      </c>
      <c r="G891">
        <v>687.61515760189411</v>
      </c>
      <c r="H891">
        <v>8.7967824000242256</v>
      </c>
      <c r="I891">
        <v>3.9233707205007087</v>
      </c>
      <c r="J891">
        <v>7.3128997586220104</v>
      </c>
      <c r="K891">
        <v>699.27041096113624</v>
      </c>
      <c r="L891">
        <v>10.131448742134239</v>
      </c>
      <c r="M891">
        <v>0.41000064053322849</v>
      </c>
    </row>
    <row r="892" spans="1:13" x14ac:dyDescent="0.2">
      <c r="A892">
        <v>890</v>
      </c>
      <c r="B892">
        <v>600</v>
      </c>
      <c r="C892">
        <v>80.250000000000114</v>
      </c>
      <c r="D892">
        <v>98</v>
      </c>
      <c r="E892">
        <v>87.054921969158457</v>
      </c>
      <c r="F892">
        <v>58.331429313405252</v>
      </c>
      <c r="G892">
        <v>858.61463273645199</v>
      </c>
      <c r="H892">
        <v>10.699247759955773</v>
      </c>
      <c r="I892">
        <v>4.5743823543253503</v>
      </c>
      <c r="J892">
        <v>8.5263417601590863</v>
      </c>
      <c r="K892">
        <v>873.16810066916037</v>
      </c>
      <c r="L892">
        <v>11.678317084168549</v>
      </c>
      <c r="M892">
        <v>0.41000045781898492</v>
      </c>
    </row>
    <row r="893" spans="1:13" x14ac:dyDescent="0.2">
      <c r="A893">
        <v>891</v>
      </c>
      <c r="B893">
        <v>600</v>
      </c>
      <c r="C893">
        <v>75.083333333333584</v>
      </c>
      <c r="D893">
        <v>99</v>
      </c>
      <c r="E893">
        <v>74.31867815844636</v>
      </c>
      <c r="F893">
        <v>42.945832829311868</v>
      </c>
      <c r="G893">
        <v>579.95981045162478</v>
      </c>
      <c r="H893">
        <v>7.7242150115643442</v>
      </c>
      <c r="I893">
        <v>3.5624573516743467</v>
      </c>
      <c r="J893">
        <v>6.6401814569885307</v>
      </c>
      <c r="K893">
        <v>589.7906902966198</v>
      </c>
      <c r="L893">
        <v>9.0937682177176846</v>
      </c>
      <c r="M893">
        <v>0.41000105292274208</v>
      </c>
    </row>
    <row r="894" spans="1:13" x14ac:dyDescent="0.2">
      <c r="A894">
        <v>892</v>
      </c>
      <c r="B894">
        <v>600</v>
      </c>
      <c r="C894">
        <v>77.583333333333485</v>
      </c>
      <c r="D894">
        <v>100</v>
      </c>
      <c r="E894">
        <v>79.300755646028946</v>
      </c>
      <c r="F894">
        <v>49.390626233960077</v>
      </c>
      <c r="G894">
        <v>690.98870947229204</v>
      </c>
      <c r="H894">
        <v>8.9064065667749599</v>
      </c>
      <c r="I894">
        <v>3.9250989241512593</v>
      </c>
      <c r="J894">
        <v>7.3161210142614337</v>
      </c>
      <c r="K894">
        <v>702.70122061790516</v>
      </c>
      <c r="L894">
        <v>9.7190239792355033</v>
      </c>
      <c r="M894">
        <v>0.41000070368625285</v>
      </c>
    </row>
    <row r="895" spans="1:13" x14ac:dyDescent="0.2">
      <c r="A895">
        <v>893</v>
      </c>
      <c r="B895">
        <v>600</v>
      </c>
      <c r="C895">
        <v>77.000000000000256</v>
      </c>
      <c r="D895">
        <v>99</v>
      </c>
      <c r="E895">
        <v>76.480324518223668</v>
      </c>
      <c r="F895">
        <v>45.480425596058339</v>
      </c>
      <c r="G895">
        <v>623.8555769471667</v>
      </c>
      <c r="H895">
        <v>8.1020204798333069</v>
      </c>
      <c r="I895">
        <v>3.731579687425981</v>
      </c>
      <c r="J895">
        <v>6.9554141424529004</v>
      </c>
      <c r="K895">
        <v>634.43023156715947</v>
      </c>
      <c r="L895">
        <v>9.4039375231672757</v>
      </c>
      <c r="M895">
        <v>0.41000077306581523</v>
      </c>
    </row>
    <row r="896" spans="1:13" x14ac:dyDescent="0.2">
      <c r="A896">
        <v>894</v>
      </c>
      <c r="B896">
        <v>600</v>
      </c>
      <c r="C896">
        <v>78.333333333333456</v>
      </c>
      <c r="D896">
        <v>100</v>
      </c>
      <c r="E896">
        <v>84.585645707108654</v>
      </c>
      <c r="F896">
        <v>56.193129480412992</v>
      </c>
      <c r="G896">
        <v>814.27637215203958</v>
      </c>
      <c r="H896">
        <v>10.395017516834532</v>
      </c>
      <c r="I896">
        <v>4.4906406871092512</v>
      </c>
      <c r="J896">
        <v>8.3702529116668227</v>
      </c>
      <c r="K896">
        <v>828.07854176717285</v>
      </c>
      <c r="L896">
        <v>11.29540959242734</v>
      </c>
      <c r="M896">
        <v>0.41000062355366318</v>
      </c>
    </row>
    <row r="897" spans="1:13" x14ac:dyDescent="0.2">
      <c r="A897">
        <v>895</v>
      </c>
      <c r="B897">
        <v>600</v>
      </c>
      <c r="C897">
        <v>75.500000000000313</v>
      </c>
      <c r="D897">
        <v>99</v>
      </c>
      <c r="E897">
        <v>74.12353952905552</v>
      </c>
      <c r="F897">
        <v>42.720603076491017</v>
      </c>
      <c r="G897">
        <v>576.09266010157671</v>
      </c>
      <c r="H897">
        <v>7.6303663589612496</v>
      </c>
      <c r="I897">
        <v>3.4346400098425804</v>
      </c>
      <c r="J897">
        <v>6.4019385085602609</v>
      </c>
      <c r="K897">
        <v>585.85792008976182</v>
      </c>
      <c r="L897">
        <v>8.5439356428978286</v>
      </c>
      <c r="M897">
        <v>0.41000098452541767</v>
      </c>
    </row>
    <row r="898" spans="1:13" x14ac:dyDescent="0.2">
      <c r="A898">
        <v>896</v>
      </c>
      <c r="B898">
        <v>600</v>
      </c>
      <c r="C898">
        <v>78.250000000000199</v>
      </c>
      <c r="D898">
        <v>100</v>
      </c>
      <c r="E898">
        <v>83.342131901067177</v>
      </c>
      <c r="F898">
        <v>54.553057031068306</v>
      </c>
      <c r="G898">
        <v>784.15904296538167</v>
      </c>
      <c r="H898">
        <v>10.021201827033606</v>
      </c>
      <c r="I898">
        <v>4.4210798285525099</v>
      </c>
      <c r="J898">
        <v>8.2405961389608748</v>
      </c>
      <c r="K898">
        <v>797.45072840214186</v>
      </c>
      <c r="L898">
        <v>11.132815331673578</v>
      </c>
      <c r="M898">
        <v>0.41000063198642472</v>
      </c>
    </row>
    <row r="899" spans="1:13" x14ac:dyDescent="0.2">
      <c r="A899">
        <v>897</v>
      </c>
      <c r="B899">
        <v>600</v>
      </c>
      <c r="C899">
        <v>77.500000000000227</v>
      </c>
      <c r="D899">
        <v>99</v>
      </c>
      <c r="E899">
        <v>76.06799371478435</v>
      </c>
      <c r="F899">
        <v>44.991347423992281</v>
      </c>
      <c r="G899">
        <v>615.33236807283572</v>
      </c>
      <c r="H899">
        <v>7.9397724912623726</v>
      </c>
      <c r="I899">
        <v>3.5767018187039969</v>
      </c>
      <c r="J899">
        <v>6.6667321877054926</v>
      </c>
      <c r="K899">
        <v>625.76248667660911</v>
      </c>
      <c r="L899">
        <v>8.7572753650225152</v>
      </c>
      <c r="M899">
        <v>0.41000071320270459</v>
      </c>
    </row>
    <row r="900" spans="1:13" x14ac:dyDescent="0.2">
      <c r="A900">
        <v>898</v>
      </c>
      <c r="B900">
        <v>600</v>
      </c>
      <c r="C900">
        <v>78.083333333333456</v>
      </c>
      <c r="D900">
        <v>100</v>
      </c>
      <c r="E900">
        <v>78.959930642028951</v>
      </c>
      <c r="F900">
        <v>48.966988755370863</v>
      </c>
      <c r="G900">
        <v>683.45662590877714</v>
      </c>
      <c r="H900">
        <v>8.7529130319160213</v>
      </c>
      <c r="I900">
        <v>4.0344325670865198</v>
      </c>
      <c r="J900">
        <v>7.5199115882320964</v>
      </c>
      <c r="K900">
        <v>695.04140129338543</v>
      </c>
      <c r="L900">
        <v>10.115501600507832</v>
      </c>
      <c r="M900">
        <v>0.41000064919561674</v>
      </c>
    </row>
    <row r="901" spans="1:13" x14ac:dyDescent="0.2">
      <c r="A901">
        <v>899</v>
      </c>
      <c r="B901">
        <v>600</v>
      </c>
      <c r="C901">
        <v>77.916666666666728</v>
      </c>
      <c r="D901">
        <v>100</v>
      </c>
      <c r="E901">
        <v>81.860583115975345</v>
      </c>
      <c r="F901">
        <v>52.630748831174323</v>
      </c>
      <c r="G901">
        <v>749.17193121328842</v>
      </c>
      <c r="H901">
        <v>9.6150408284058315</v>
      </c>
      <c r="I901">
        <v>4.401028868535251</v>
      </c>
      <c r="J901">
        <v>8.2032224949398884</v>
      </c>
      <c r="K901">
        <v>761.8706216936281</v>
      </c>
      <c r="L901">
        <v>11.237205910084716</v>
      </c>
      <c r="M901">
        <v>0.41000066687342057</v>
      </c>
    </row>
    <row r="902" spans="1:13" x14ac:dyDescent="0.2">
      <c r="A902">
        <v>900</v>
      </c>
      <c r="B902">
        <v>600</v>
      </c>
      <c r="C902">
        <v>75.250000000000327</v>
      </c>
      <c r="D902">
        <v>100</v>
      </c>
      <c r="E902">
        <v>73.437516512708385</v>
      </c>
      <c r="F902">
        <v>42.357063553787832</v>
      </c>
      <c r="G902">
        <v>568.30462680982225</v>
      </c>
      <c r="H902">
        <v>7.5522209542833192</v>
      </c>
      <c r="I902">
        <v>3.4652358791995383</v>
      </c>
      <c r="J902">
        <v>6.4589671560103232</v>
      </c>
      <c r="K902">
        <v>577.93791267596055</v>
      </c>
      <c r="L902">
        <v>8.710633870430156</v>
      </c>
      <c r="M902">
        <v>0.41000102501135577</v>
      </c>
    </row>
    <row r="903" spans="1:13" x14ac:dyDescent="0.2">
      <c r="A903">
        <v>901</v>
      </c>
      <c r="B903">
        <v>600</v>
      </c>
      <c r="C903">
        <v>77.666666666666728</v>
      </c>
      <c r="D903">
        <v>97</v>
      </c>
      <c r="E903">
        <v>84.116423742862182</v>
      </c>
      <c r="F903">
        <v>53.904275824371069</v>
      </c>
      <c r="G903">
        <v>778.74604466719745</v>
      </c>
      <c r="H903">
        <v>10.026773107302963</v>
      </c>
      <c r="I903">
        <v>4.2512593217176908</v>
      </c>
      <c r="J903">
        <v>7.9240621094458348</v>
      </c>
      <c r="K903">
        <v>791.94606211172993</v>
      </c>
      <c r="L903">
        <v>10.701678085308236</v>
      </c>
      <c r="M903">
        <v>0.41000069429678165</v>
      </c>
    </row>
    <row r="904" spans="1:13" x14ac:dyDescent="0.2">
      <c r="A904">
        <v>902</v>
      </c>
      <c r="B904">
        <v>600</v>
      </c>
      <c r="C904">
        <v>78.583333333333442</v>
      </c>
      <c r="D904">
        <v>99</v>
      </c>
      <c r="E904">
        <v>84.643621791414532</v>
      </c>
      <c r="F904">
        <v>55.707484991315503</v>
      </c>
      <c r="G904">
        <v>807.54042057595439</v>
      </c>
      <c r="H904">
        <v>10.276230166396012</v>
      </c>
      <c r="I904">
        <v>4.3943609645865678</v>
      </c>
      <c r="J904">
        <v>8.1907939694064638</v>
      </c>
      <c r="K904">
        <v>821.22837999895444</v>
      </c>
      <c r="L904">
        <v>11.008698978708855</v>
      </c>
      <c r="M904">
        <v>0.41000059892451662</v>
      </c>
    </row>
    <row r="905" spans="1:13" x14ac:dyDescent="0.2">
      <c r="A905">
        <v>903</v>
      </c>
      <c r="B905">
        <v>600</v>
      </c>
      <c r="C905">
        <v>79.000000000000171</v>
      </c>
      <c r="D905">
        <v>100</v>
      </c>
      <c r="E905">
        <v>80.590445286578316</v>
      </c>
      <c r="F905">
        <v>51.010195986646899</v>
      </c>
      <c r="G905">
        <v>719.94581200271909</v>
      </c>
      <c r="H905">
        <v>9.1132381266166753</v>
      </c>
      <c r="I905">
        <v>4.1958752800582664</v>
      </c>
      <c r="J905">
        <v>7.8208299721496095</v>
      </c>
      <c r="K905">
        <v>732.14897833684722</v>
      </c>
      <c r="L905">
        <v>10.576831772586464</v>
      </c>
      <c r="M905">
        <v>0.41000056001868546</v>
      </c>
    </row>
    <row r="906" spans="1:13" x14ac:dyDescent="0.2">
      <c r="A906">
        <v>904</v>
      </c>
      <c r="B906">
        <v>600</v>
      </c>
      <c r="C906">
        <v>78.083333333333456</v>
      </c>
      <c r="D906">
        <v>44</v>
      </c>
      <c r="E906">
        <v>104.17329422809496</v>
      </c>
      <c r="F906">
        <v>37.502079801800527</v>
      </c>
      <c r="G906">
        <v>608.71970815979898</v>
      </c>
      <c r="H906">
        <v>7.7957700084499217</v>
      </c>
      <c r="I906">
        <v>3.5592504768397286</v>
      </c>
      <c r="J906">
        <v>6.634204057483184</v>
      </c>
      <c r="K906">
        <v>619.03767249563214</v>
      </c>
      <c r="L906">
        <v>9.7059981954823709</v>
      </c>
      <c r="M906">
        <v>0.41000064919561674</v>
      </c>
    </row>
    <row r="907" spans="1:13" x14ac:dyDescent="0.2">
      <c r="A907">
        <v>905</v>
      </c>
      <c r="B907">
        <v>600</v>
      </c>
      <c r="C907">
        <v>76.916666666666771</v>
      </c>
      <c r="D907">
        <v>79</v>
      </c>
      <c r="E907">
        <v>86.921083092924036</v>
      </c>
      <c r="F907">
        <v>46.877801012837949</v>
      </c>
      <c r="G907">
        <v>689.44351283442847</v>
      </c>
      <c r="H907">
        <v>8.9635126262330775</v>
      </c>
      <c r="I907">
        <v>3.9698236605131569</v>
      </c>
      <c r="J907">
        <v>7.3994849217393401</v>
      </c>
      <c r="K907">
        <v>701.12992720398915</v>
      </c>
      <c r="L907">
        <v>10.39073533812862</v>
      </c>
      <c r="M907">
        <v>0.41000078352053626</v>
      </c>
    </row>
    <row r="908" spans="1:13" x14ac:dyDescent="0.2">
      <c r="A908">
        <v>906</v>
      </c>
      <c r="B908">
        <v>600</v>
      </c>
      <c r="C908">
        <v>76.000000000000298</v>
      </c>
      <c r="D908">
        <v>66</v>
      </c>
      <c r="E908">
        <v>89.61096957529908</v>
      </c>
      <c r="F908">
        <v>41.625184317778995</v>
      </c>
      <c r="G908">
        <v>622.43959425656021</v>
      </c>
      <c r="H908">
        <v>8.1899946612704966</v>
      </c>
      <c r="I908">
        <v>3.6547795999810839</v>
      </c>
      <c r="J908">
        <v>6.8122639328631562</v>
      </c>
      <c r="K908">
        <v>632.9903923582026</v>
      </c>
      <c r="L908">
        <v>9.7077645627263038</v>
      </c>
      <c r="M908">
        <v>0.41000090828772506</v>
      </c>
    </row>
    <row r="909" spans="1:13" x14ac:dyDescent="0.2">
      <c r="A909">
        <v>907</v>
      </c>
      <c r="B909">
        <v>600</v>
      </c>
      <c r="C909">
        <v>79.166666666666671</v>
      </c>
      <c r="D909">
        <v>100</v>
      </c>
      <c r="E909">
        <v>88.022300866380036</v>
      </c>
      <c r="F909">
        <v>60.852064184223224</v>
      </c>
      <c r="G909">
        <v>901.12521742206377</v>
      </c>
      <c r="H909">
        <v>11.382634325331331</v>
      </c>
      <c r="I909">
        <v>4.9016673686569616</v>
      </c>
      <c r="J909">
        <v>9.1363790655302157</v>
      </c>
      <c r="K909">
        <v>916.3993729658232</v>
      </c>
      <c r="L909">
        <v>12.596613817452988</v>
      </c>
      <c r="M909">
        <v>0.4100005451734387</v>
      </c>
    </row>
    <row r="910" spans="1:13" x14ac:dyDescent="0.2">
      <c r="A910">
        <v>908</v>
      </c>
      <c r="B910">
        <v>600</v>
      </c>
      <c r="C910">
        <v>76.333333333333528</v>
      </c>
      <c r="D910">
        <v>99</v>
      </c>
      <c r="E910">
        <v>69.814232858491565</v>
      </c>
      <c r="F910">
        <v>37.897714208422258</v>
      </c>
      <c r="G910">
        <v>494.65139766812428</v>
      </c>
      <c r="H910">
        <v>6.4801493144295588</v>
      </c>
      <c r="I910">
        <v>3.1236887055009204</v>
      </c>
      <c r="J910">
        <v>5.8223461425925818</v>
      </c>
      <c r="K910">
        <v>503.03605355911947</v>
      </c>
      <c r="L910">
        <v>7.6000042970753707</v>
      </c>
      <c r="M910">
        <v>0.41000086077131626</v>
      </c>
    </row>
    <row r="911" spans="1:13" x14ac:dyDescent="0.2">
      <c r="A911">
        <v>909</v>
      </c>
      <c r="B911">
        <v>600</v>
      </c>
      <c r="C911">
        <v>77.666666666666728</v>
      </c>
      <c r="D911">
        <v>63</v>
      </c>
      <c r="E911">
        <v>96.927091530712914</v>
      </c>
      <c r="F911">
        <v>46.485851780319443</v>
      </c>
      <c r="G911">
        <v>725.48351653094892</v>
      </c>
      <c r="H911">
        <v>9.3409894832310965</v>
      </c>
      <c r="I911">
        <v>4.0111663113165301</v>
      </c>
      <c r="J911">
        <v>7.4765448486794597</v>
      </c>
      <c r="K911">
        <v>737.7807155209249</v>
      </c>
      <c r="L911">
        <v>10.513171236740671</v>
      </c>
      <c r="M911">
        <v>0.41000069429678165</v>
      </c>
    </row>
    <row r="912" spans="1:13" x14ac:dyDescent="0.2">
      <c r="A912">
        <v>910</v>
      </c>
      <c r="B912">
        <v>600</v>
      </c>
      <c r="C912">
        <v>76.166666666666799</v>
      </c>
      <c r="D912">
        <v>90</v>
      </c>
      <c r="E912">
        <v>82.782562469734941</v>
      </c>
      <c r="F912">
        <v>48.440667819761295</v>
      </c>
      <c r="G912">
        <v>693.74736759766188</v>
      </c>
      <c r="H912">
        <v>9.1082805373872304</v>
      </c>
      <c r="I912">
        <v>4.0369710548297837</v>
      </c>
      <c r="J912">
        <v>7.5246431590489911</v>
      </c>
      <c r="K912">
        <v>705.50685487303588</v>
      </c>
      <c r="L912">
        <v>10.391318103837865</v>
      </c>
      <c r="M912">
        <v>0.41000088421039388</v>
      </c>
    </row>
    <row r="913" spans="1:13" x14ac:dyDescent="0.2">
      <c r="A913">
        <v>911</v>
      </c>
      <c r="B913">
        <v>600</v>
      </c>
      <c r="C913">
        <v>77.083333333333499</v>
      </c>
      <c r="D913">
        <v>100</v>
      </c>
      <c r="E913">
        <v>71.941098652952704</v>
      </c>
      <c r="F913">
        <v>40.648452184780332</v>
      </c>
      <c r="G913">
        <v>539.29877854794779</v>
      </c>
      <c r="H913">
        <v>6.9963084784598486</v>
      </c>
      <c r="I913">
        <v>3.4122300247120023</v>
      </c>
      <c r="J913">
        <v>6.3601678000223716</v>
      </c>
      <c r="K913">
        <v>548.44014483358478</v>
      </c>
      <c r="L913">
        <v>8.4182180298609079</v>
      </c>
      <c r="M913">
        <v>0.41000076275059422</v>
      </c>
    </row>
    <row r="914" spans="1:13" x14ac:dyDescent="0.2">
      <c r="A914">
        <v>912</v>
      </c>
      <c r="B914">
        <v>600</v>
      </c>
      <c r="C914">
        <v>77.916666666666728</v>
      </c>
      <c r="D914">
        <v>98</v>
      </c>
      <c r="E914">
        <v>77.757573002575157</v>
      </c>
      <c r="F914">
        <v>46.537317982047675</v>
      </c>
      <c r="G914">
        <v>644.13809395672854</v>
      </c>
      <c r="H914">
        <v>8.2670129705676327</v>
      </c>
      <c r="I914">
        <v>3.9206194357401127</v>
      </c>
      <c r="J914">
        <v>7.3077715484438253</v>
      </c>
      <c r="K914">
        <v>655.05642917586226</v>
      </c>
      <c r="L914">
        <v>9.8610848731354288</v>
      </c>
      <c r="M914">
        <v>0.41000066687342057</v>
      </c>
    </row>
    <row r="915" spans="1:13" x14ac:dyDescent="0.2">
      <c r="A915">
        <v>913</v>
      </c>
      <c r="B915">
        <v>600</v>
      </c>
      <c r="C915">
        <v>79.666666666666643</v>
      </c>
      <c r="D915">
        <v>57</v>
      </c>
      <c r="E915">
        <v>94.723522552129722</v>
      </c>
      <c r="F915">
        <v>40.168019319047936</v>
      </c>
      <c r="G915">
        <v>619.08062120617672</v>
      </c>
      <c r="H915">
        <v>7.7708864586549398</v>
      </c>
      <c r="I915">
        <v>3.359043970428099</v>
      </c>
      <c r="J915">
        <v>6.2610325637056832</v>
      </c>
      <c r="K915">
        <v>629.57404978412205</v>
      </c>
      <c r="L915">
        <v>8.7236276982338321</v>
      </c>
      <c r="M915">
        <v>0.41000050295739809</v>
      </c>
    </row>
    <row r="916" spans="1:13" x14ac:dyDescent="0.2">
      <c r="A916">
        <v>914</v>
      </c>
      <c r="B916">
        <v>600</v>
      </c>
      <c r="C916">
        <v>77.333333333333499</v>
      </c>
      <c r="D916">
        <v>73</v>
      </c>
      <c r="E916">
        <v>84.061552252389632</v>
      </c>
      <c r="F916">
        <v>40.514226527909692</v>
      </c>
      <c r="G916">
        <v>585.09420485862267</v>
      </c>
      <c r="H916">
        <v>7.5658733386890704</v>
      </c>
      <c r="I916">
        <v>3.433089135622815</v>
      </c>
      <c r="J916">
        <v>6.3990477830807366</v>
      </c>
      <c r="K916">
        <v>595.01179463519077</v>
      </c>
      <c r="L916">
        <v>8.6748928601480486</v>
      </c>
      <c r="M916">
        <v>0.41000073262344178</v>
      </c>
    </row>
    <row r="917" spans="1:13" x14ac:dyDescent="0.2">
      <c r="A917">
        <v>915</v>
      </c>
      <c r="B917">
        <v>600</v>
      </c>
      <c r="C917">
        <v>75.166666666666842</v>
      </c>
      <c r="D917">
        <v>91</v>
      </c>
      <c r="E917">
        <v>75.36943943467773</v>
      </c>
      <c r="F917">
        <v>40.599608345576513</v>
      </c>
      <c r="G917">
        <v>552.48428376761251</v>
      </c>
      <c r="H917">
        <v>7.3501235091034749</v>
      </c>
      <c r="I917">
        <v>3.3287366291929263</v>
      </c>
      <c r="J917">
        <v>6.2045417133139349</v>
      </c>
      <c r="K917">
        <v>561.84941347615427</v>
      </c>
      <c r="L917">
        <v>8.4765850645270895</v>
      </c>
      <c r="M917">
        <v>0.41000103887331629</v>
      </c>
    </row>
    <row r="918" spans="1:13" x14ac:dyDescent="0.2">
      <c r="A918">
        <v>916</v>
      </c>
      <c r="B918">
        <v>600</v>
      </c>
      <c r="C918">
        <v>77.500000000000227</v>
      </c>
      <c r="D918">
        <v>53</v>
      </c>
      <c r="E918">
        <v>109.80464827949348</v>
      </c>
      <c r="F918">
        <v>50.188844996440316</v>
      </c>
      <c r="G918">
        <v>838.346127376818</v>
      </c>
      <c r="H918">
        <v>10.817369385507297</v>
      </c>
      <c r="I918">
        <v>4.3492436601948823</v>
      </c>
      <c r="J918">
        <v>8.1066983414629679</v>
      </c>
      <c r="K918">
        <v>852.55641435869711</v>
      </c>
      <c r="L918">
        <v>11.860642874778486</v>
      </c>
      <c r="M918">
        <v>0.41000071320270459</v>
      </c>
    </row>
    <row r="919" spans="1:13" x14ac:dyDescent="0.2">
      <c r="A919">
        <v>917</v>
      </c>
      <c r="B919">
        <v>600</v>
      </c>
      <c r="C919">
        <v>75.58333333333357</v>
      </c>
      <c r="D919">
        <v>70</v>
      </c>
      <c r="E919">
        <v>89.253919939236624</v>
      </c>
      <c r="F919">
        <v>43.79681404196149</v>
      </c>
      <c r="G919">
        <v>653.49018810498831</v>
      </c>
      <c r="H919">
        <v>8.6459561822048894</v>
      </c>
      <c r="I919">
        <v>3.6298737667892977</v>
      </c>
      <c r="J919">
        <v>6.7658411310145326</v>
      </c>
      <c r="K919">
        <v>664.56738714610231</v>
      </c>
      <c r="L919">
        <v>9.4853433696002405</v>
      </c>
      <c r="M919">
        <v>0.41000097138863545</v>
      </c>
    </row>
    <row r="920" spans="1:13" x14ac:dyDescent="0.2">
      <c r="A920">
        <v>918</v>
      </c>
      <c r="B920">
        <v>600</v>
      </c>
      <c r="C920">
        <v>77.000000000000256</v>
      </c>
      <c r="D920">
        <v>99</v>
      </c>
      <c r="E920">
        <v>73.398378898257931</v>
      </c>
      <c r="F920">
        <v>41.888808957411733</v>
      </c>
      <c r="G920">
        <v>561.85912605963654</v>
      </c>
      <c r="H920">
        <v>7.2968717670082421</v>
      </c>
      <c r="I920">
        <v>3.4412087188962603</v>
      </c>
      <c r="J920">
        <v>6.4141821414655356</v>
      </c>
      <c r="K920">
        <v>571.3829107667417</v>
      </c>
      <c r="L920">
        <v>8.5796686099505628</v>
      </c>
      <c r="M920">
        <v>0.41000077306581523</v>
      </c>
    </row>
    <row r="921" spans="1:13" x14ac:dyDescent="0.2">
      <c r="A921">
        <v>919</v>
      </c>
      <c r="B921">
        <v>600</v>
      </c>
      <c r="C921">
        <v>78.916666666666686</v>
      </c>
      <c r="D921">
        <v>98</v>
      </c>
      <c r="E921">
        <v>83.431089734112987</v>
      </c>
      <c r="F921">
        <v>53.576185469137926</v>
      </c>
      <c r="G921">
        <v>770.56497468861085</v>
      </c>
      <c r="H921">
        <v>9.7642869020732075</v>
      </c>
      <c r="I921">
        <v>4.4153568600689423</v>
      </c>
      <c r="J921">
        <v>8.2299289097277573</v>
      </c>
      <c r="K921">
        <v>783.62615185300353</v>
      </c>
      <c r="L921">
        <v>11.283260985484503</v>
      </c>
      <c r="M921">
        <v>0.41000056759221798</v>
      </c>
    </row>
    <row r="922" spans="1:13" x14ac:dyDescent="0.2">
      <c r="A922">
        <v>920</v>
      </c>
      <c r="B922">
        <v>600</v>
      </c>
      <c r="C922">
        <v>77.083333333333499</v>
      </c>
      <c r="D922">
        <v>100</v>
      </c>
      <c r="E922">
        <v>75.807172176177929</v>
      </c>
      <c r="F922">
        <v>45.134691088659359</v>
      </c>
      <c r="G922">
        <v>616.13898477367024</v>
      </c>
      <c r="H922">
        <v>7.9931543970638126</v>
      </c>
      <c r="I922">
        <v>3.7338714677176998</v>
      </c>
      <c r="J922">
        <v>6.9596858671345752</v>
      </c>
      <c r="K922">
        <v>626.58282845868951</v>
      </c>
      <c r="L922">
        <v>9.3383390827412232</v>
      </c>
      <c r="M922">
        <v>0.41000076275059422</v>
      </c>
    </row>
    <row r="923" spans="1:13" x14ac:dyDescent="0.2">
      <c r="A923">
        <v>921</v>
      </c>
      <c r="B923">
        <v>600</v>
      </c>
      <c r="C923">
        <v>76.666666666666771</v>
      </c>
      <c r="D923">
        <v>100</v>
      </c>
      <c r="E923">
        <v>80.354994018328384</v>
      </c>
      <c r="F923">
        <v>50.71257086213614</v>
      </c>
      <c r="G923">
        <v>714.60510808024731</v>
      </c>
      <c r="H923">
        <v>9.3209361923510397</v>
      </c>
      <c r="I923">
        <v>4.0608293626388763</v>
      </c>
      <c r="J923">
        <v>7.569113443874885</v>
      </c>
      <c r="K923">
        <v>726.71806383329795</v>
      </c>
      <c r="L923">
        <v>10.204359658225256</v>
      </c>
      <c r="M923">
        <v>0.41000081574069358</v>
      </c>
    </row>
    <row r="924" spans="1:13" x14ac:dyDescent="0.2">
      <c r="A924">
        <v>922</v>
      </c>
      <c r="B924">
        <v>600</v>
      </c>
      <c r="C924">
        <v>77.500000000000227</v>
      </c>
      <c r="D924">
        <v>100</v>
      </c>
      <c r="E924">
        <v>79.189654718179426</v>
      </c>
      <c r="F924">
        <v>49.25232993520369</v>
      </c>
      <c r="G924">
        <v>688.52788979768377</v>
      </c>
      <c r="H924">
        <v>8.8842308360991193</v>
      </c>
      <c r="I924">
        <v>3.9091607768883772</v>
      </c>
      <c r="J924">
        <v>7.286413377238353</v>
      </c>
      <c r="K924">
        <v>700.19870044443587</v>
      </c>
      <c r="L924">
        <v>9.6747236299145776</v>
      </c>
      <c r="M924">
        <v>0.41000071320270459</v>
      </c>
    </row>
    <row r="925" spans="1:13" x14ac:dyDescent="0.2">
      <c r="A925">
        <v>923</v>
      </c>
      <c r="B925">
        <v>600</v>
      </c>
      <c r="C925">
        <v>75.500000000000313</v>
      </c>
      <c r="D925">
        <v>100</v>
      </c>
      <c r="E925">
        <v>71.516389634440714</v>
      </c>
      <c r="F925">
        <v>40.169927233991061</v>
      </c>
      <c r="G925">
        <v>531.23370031149102</v>
      </c>
      <c r="H925">
        <v>7.0362079511455473</v>
      </c>
      <c r="I925">
        <v>3.2515709280256999</v>
      </c>
      <c r="J925">
        <v>6.0607100242790306</v>
      </c>
      <c r="K925">
        <v>540.23856282286658</v>
      </c>
      <c r="L925">
        <v>8.0114436517734262</v>
      </c>
      <c r="M925">
        <v>0.41000098452541767</v>
      </c>
    </row>
    <row r="926" spans="1:13" x14ac:dyDescent="0.2">
      <c r="A926">
        <v>924</v>
      </c>
      <c r="B926">
        <v>600</v>
      </c>
      <c r="C926">
        <v>78.000000000000213</v>
      </c>
      <c r="D926">
        <v>99</v>
      </c>
      <c r="E926">
        <v>79.608850027757398</v>
      </c>
      <c r="F926">
        <v>49.277399046065582</v>
      </c>
      <c r="G926">
        <v>690.86233694374005</v>
      </c>
      <c r="H926">
        <v>8.8572094479966434</v>
      </c>
      <c r="I926">
        <v>4.0846361732869161</v>
      </c>
      <c r="J926">
        <v>7.613487741448119</v>
      </c>
      <c r="K926">
        <v>702.57265159591816</v>
      </c>
      <c r="L926">
        <v>10.309821694480767</v>
      </c>
      <c r="M926">
        <v>0.41000065797515273</v>
      </c>
    </row>
    <row r="927" spans="1:13" x14ac:dyDescent="0.2">
      <c r="A927">
        <v>925</v>
      </c>
      <c r="B927">
        <v>600</v>
      </c>
      <c r="C927">
        <v>78.583333333333442</v>
      </c>
      <c r="D927">
        <v>100</v>
      </c>
      <c r="E927">
        <v>83.865651978392165</v>
      </c>
      <c r="F927">
        <v>55.240568130671505</v>
      </c>
      <c r="G927">
        <v>796.7545405410275</v>
      </c>
      <c r="H927">
        <v>10.138976125654631</v>
      </c>
      <c r="I927">
        <v>4.3544872574608533</v>
      </c>
      <c r="J927">
        <v>8.1164720549130536</v>
      </c>
      <c r="K927">
        <v>810.25967730339323</v>
      </c>
      <c r="L927">
        <v>10.87924838483924</v>
      </c>
      <c r="M927">
        <v>0.41000059892451662</v>
      </c>
    </row>
    <row r="928" spans="1:13" x14ac:dyDescent="0.2">
      <c r="A928">
        <v>926</v>
      </c>
      <c r="B928">
        <v>600</v>
      </c>
      <c r="C928">
        <v>77.333333333333499</v>
      </c>
      <c r="D928">
        <v>99</v>
      </c>
      <c r="E928">
        <v>76.577452476344362</v>
      </c>
      <c r="F928">
        <v>45.59601678643012</v>
      </c>
      <c r="G928">
        <v>625.87371231634381</v>
      </c>
      <c r="H928">
        <v>8.0931945558147742</v>
      </c>
      <c r="I928">
        <v>3.6892465927949218</v>
      </c>
      <c r="J928">
        <v>6.876508094678325</v>
      </c>
      <c r="K928">
        <v>636.48253168106669</v>
      </c>
      <c r="L928">
        <v>9.0937497329062857</v>
      </c>
      <c r="M928">
        <v>0.41000073262344178</v>
      </c>
    </row>
    <row r="929" spans="1:13" x14ac:dyDescent="0.2">
      <c r="A929">
        <v>927</v>
      </c>
      <c r="B929">
        <v>600</v>
      </c>
      <c r="C929">
        <v>76.50000000000027</v>
      </c>
      <c r="D929">
        <v>100</v>
      </c>
      <c r="E929">
        <v>75.454303700681592</v>
      </c>
      <c r="F929">
        <v>44.715481627135006</v>
      </c>
      <c r="G929">
        <v>608.86688821411292</v>
      </c>
      <c r="H929">
        <v>7.9590442903805325</v>
      </c>
      <c r="I929">
        <v>3.5946888179460603</v>
      </c>
      <c r="J929">
        <v>6.7002587473365516</v>
      </c>
      <c r="K929">
        <v>619.18754538793871</v>
      </c>
      <c r="L929">
        <v>8.876056590722726</v>
      </c>
      <c r="M929">
        <v>0.41000083795357306</v>
      </c>
    </row>
    <row r="930" spans="1:13" x14ac:dyDescent="0.2">
      <c r="A930">
        <v>928</v>
      </c>
      <c r="B930">
        <v>600</v>
      </c>
      <c r="C930">
        <v>76.250000000000284</v>
      </c>
      <c r="D930">
        <v>98</v>
      </c>
      <c r="E930">
        <v>73.652164352389889</v>
      </c>
      <c r="F930">
        <v>41.752932584428933</v>
      </c>
      <c r="G930">
        <v>561.09043920056752</v>
      </c>
      <c r="H930">
        <v>7.3585631370565956</v>
      </c>
      <c r="I930">
        <v>3.4016817543389042</v>
      </c>
      <c r="J930">
        <v>6.3405065318525695</v>
      </c>
      <c r="K930">
        <v>570.60129037260026</v>
      </c>
      <c r="L930">
        <v>8.442486342467868</v>
      </c>
      <c r="M930">
        <v>0.4100008724121415</v>
      </c>
    </row>
    <row r="931" spans="1:13" x14ac:dyDescent="0.2">
      <c r="A931">
        <v>929</v>
      </c>
      <c r="B931">
        <v>600</v>
      </c>
      <c r="C931">
        <v>76.916666666666771</v>
      </c>
      <c r="D931">
        <v>51</v>
      </c>
      <c r="E931">
        <v>105.46914681869184</v>
      </c>
      <c r="F931">
        <v>44.556485054962984</v>
      </c>
      <c r="G931">
        <v>728.11058861967285</v>
      </c>
      <c r="H931">
        <v>9.4662265042644247</v>
      </c>
      <c r="I931">
        <v>4.0190904337306916</v>
      </c>
      <c r="J931">
        <v>7.4913148811382886</v>
      </c>
      <c r="K931">
        <v>740.45242937540388</v>
      </c>
      <c r="L931">
        <v>11.118121917432342</v>
      </c>
      <c r="M931">
        <v>0.41000078352053626</v>
      </c>
    </row>
    <row r="932" spans="1:13" x14ac:dyDescent="0.2">
      <c r="A932">
        <v>930</v>
      </c>
      <c r="B932">
        <v>600</v>
      </c>
      <c r="C932">
        <v>78.250000000000199</v>
      </c>
      <c r="D932">
        <v>20</v>
      </c>
      <c r="E932">
        <v>133.87207423780447</v>
      </c>
      <c r="F932">
        <v>28.151391204959783</v>
      </c>
      <c r="G932">
        <v>523.83922217507529</v>
      </c>
      <c r="H932">
        <v>6.6944309543140443</v>
      </c>
      <c r="I932">
        <v>2.7507745697976147</v>
      </c>
      <c r="J932">
        <v>5.1272592167709492</v>
      </c>
      <c r="K932">
        <v>532.71842368789339</v>
      </c>
      <c r="L932">
        <v>8.3022710689166921</v>
      </c>
      <c r="M932">
        <v>0.41000063198642472</v>
      </c>
    </row>
    <row r="933" spans="1:13" x14ac:dyDescent="0.2">
      <c r="A933">
        <v>931</v>
      </c>
      <c r="B933">
        <v>600</v>
      </c>
      <c r="C933">
        <v>84.249999999999844</v>
      </c>
      <c r="D933">
        <v>7</v>
      </c>
      <c r="E933">
        <v>260.57361004517196</v>
      </c>
      <c r="F933">
        <v>37.329208453282455</v>
      </c>
      <c r="G933">
        <v>998.38141161926444</v>
      </c>
      <c r="H933">
        <v>11.850224470258352</v>
      </c>
      <c r="I933">
        <v>3.5645488933986345</v>
      </c>
      <c r="J933">
        <v>6.6440799504168391</v>
      </c>
      <c r="K933">
        <v>1015.3035438976922</v>
      </c>
      <c r="L933">
        <v>15.178615433700431</v>
      </c>
      <c r="M933">
        <v>0.41000024025138232</v>
      </c>
    </row>
    <row r="934" spans="1:13" x14ac:dyDescent="0.2">
      <c r="A934">
        <v>932</v>
      </c>
      <c r="B934">
        <v>600</v>
      </c>
      <c r="C934">
        <v>81.333333333333329</v>
      </c>
      <c r="D934">
        <v>96</v>
      </c>
      <c r="E934">
        <v>89.88964629776325</v>
      </c>
      <c r="F934">
        <v>60.922884489021797</v>
      </c>
      <c r="G934">
        <v>912.5494544011882</v>
      </c>
      <c r="H934">
        <v>11.219870340998217</v>
      </c>
      <c r="I934">
        <v>4.8070667390277819</v>
      </c>
      <c r="J934">
        <v>8.9600498397535535</v>
      </c>
      <c r="K934">
        <v>928.01699902976759</v>
      </c>
      <c r="L934">
        <v>12.441165484918226</v>
      </c>
      <c r="M934">
        <v>0.4100003844615458</v>
      </c>
    </row>
    <row r="935" spans="1:13" x14ac:dyDescent="0.2">
      <c r="A935">
        <v>933</v>
      </c>
      <c r="B935">
        <v>600</v>
      </c>
      <c r="C935">
        <v>78.583333333333442</v>
      </c>
      <c r="D935">
        <v>86</v>
      </c>
      <c r="E935">
        <v>83.208197432232225</v>
      </c>
      <c r="F935">
        <v>46.764959254944131</v>
      </c>
      <c r="G935">
        <v>671.62241003986992</v>
      </c>
      <c r="H935">
        <v>8.5466266388954697</v>
      </c>
      <c r="I935">
        <v>3.852797209206154</v>
      </c>
      <c r="J935">
        <v>7.181355469163381</v>
      </c>
      <c r="K935">
        <v>683.00653405640708</v>
      </c>
      <c r="L935">
        <v>9.6014847037996152</v>
      </c>
      <c r="M935">
        <v>0.41000059892451662</v>
      </c>
    </row>
    <row r="936" spans="1:13" x14ac:dyDescent="0.2">
      <c r="A936">
        <v>934</v>
      </c>
      <c r="B936">
        <v>600</v>
      </c>
      <c r="C936">
        <v>79.250000000000156</v>
      </c>
      <c r="D936">
        <v>64</v>
      </c>
      <c r="E936">
        <v>103.37647224489166</v>
      </c>
      <c r="F936">
        <v>53.717188074408249</v>
      </c>
      <c r="G936">
        <v>868.27831751860958</v>
      </c>
      <c r="H936">
        <v>10.956193280991895</v>
      </c>
      <c r="I936">
        <v>4.3951470015317513</v>
      </c>
      <c r="J936">
        <v>8.1922590895279601</v>
      </c>
      <c r="K936">
        <v>882.995704192733</v>
      </c>
      <c r="L936">
        <v>11.897705495898316</v>
      </c>
      <c r="M936">
        <v>0.41000053789904578</v>
      </c>
    </row>
    <row r="937" spans="1:13" x14ac:dyDescent="0.2">
      <c r="A937">
        <v>935</v>
      </c>
      <c r="B937">
        <v>600</v>
      </c>
      <c r="C937">
        <v>76.333333333333528</v>
      </c>
      <c r="D937">
        <v>65</v>
      </c>
      <c r="E937">
        <v>90.624690000178305</v>
      </c>
      <c r="F937">
        <v>41.927243043404388</v>
      </c>
      <c r="G937">
        <v>630.80980712082533</v>
      </c>
      <c r="H937">
        <v>8.26388393608066</v>
      </c>
      <c r="I937">
        <v>3.5674343935496609</v>
      </c>
      <c r="J937">
        <v>6.6494583290767206</v>
      </c>
      <c r="K937">
        <v>641.50243467693269</v>
      </c>
      <c r="L937">
        <v>9.2923879495381261</v>
      </c>
      <c r="M937">
        <v>0.41000086077131626</v>
      </c>
    </row>
    <row r="938" spans="1:13" x14ac:dyDescent="0.2">
      <c r="A938">
        <v>936</v>
      </c>
      <c r="B938">
        <v>600</v>
      </c>
      <c r="C938">
        <v>76.083333333333542</v>
      </c>
      <c r="D938">
        <v>89</v>
      </c>
      <c r="E938">
        <v>78.639788186699946</v>
      </c>
      <c r="F938">
        <v>43.227941806727941</v>
      </c>
      <c r="G938">
        <v>602.01991152922847</v>
      </c>
      <c r="H938">
        <v>7.9126384866930142</v>
      </c>
      <c r="I938">
        <v>3.6742794968183858</v>
      </c>
      <c r="J938">
        <v>6.8486104320939152</v>
      </c>
      <c r="K938">
        <v>612.22456876903118</v>
      </c>
      <c r="L938">
        <v>9.3906728324218154</v>
      </c>
      <c r="M938">
        <v>0.41000089616820251</v>
      </c>
    </row>
    <row r="939" spans="1:13" x14ac:dyDescent="0.2">
      <c r="A939">
        <v>937</v>
      </c>
      <c r="B939">
        <v>600</v>
      </c>
      <c r="C939">
        <v>79.166666666666671</v>
      </c>
      <c r="D939">
        <v>99</v>
      </c>
      <c r="E939">
        <v>85.056856618521962</v>
      </c>
      <c r="F939">
        <v>56.252746773862945</v>
      </c>
      <c r="G939">
        <v>817.61072711750592</v>
      </c>
      <c r="H939">
        <v>10.327714447800076</v>
      </c>
      <c r="I939">
        <v>4.5431746915127098</v>
      </c>
      <c r="J939">
        <v>8.4681727707599421</v>
      </c>
      <c r="K939">
        <v>831.46930434827698</v>
      </c>
      <c r="L939">
        <v>11.544560181052647</v>
      </c>
      <c r="M939">
        <v>0.4100005451734387</v>
      </c>
    </row>
    <row r="940" spans="1:13" x14ac:dyDescent="0.2">
      <c r="A940">
        <v>938</v>
      </c>
      <c r="B940">
        <v>600</v>
      </c>
      <c r="C940">
        <v>76.250000000000284</v>
      </c>
      <c r="D940">
        <v>99</v>
      </c>
      <c r="E940">
        <v>74.040125105741183</v>
      </c>
      <c r="F940">
        <v>42.624506494933939</v>
      </c>
      <c r="G940">
        <v>574.44446881304827</v>
      </c>
      <c r="H940">
        <v>7.5336979516465066</v>
      </c>
      <c r="I940">
        <v>3.4767338130539187</v>
      </c>
      <c r="J940">
        <v>6.4803985331853093</v>
      </c>
      <c r="K940">
        <v>584.18167955087984</v>
      </c>
      <c r="L940">
        <v>8.6455872222955534</v>
      </c>
      <c r="M940">
        <v>0.4100008724121415</v>
      </c>
    </row>
    <row r="941" spans="1:13" x14ac:dyDescent="0.2">
      <c r="A941">
        <v>939</v>
      </c>
      <c r="B941">
        <v>600</v>
      </c>
      <c r="C941">
        <v>77.916666666666728</v>
      </c>
      <c r="D941">
        <v>99</v>
      </c>
      <c r="E941">
        <v>78.481628609807245</v>
      </c>
      <c r="F941">
        <v>47.891792193931515</v>
      </c>
      <c r="G941">
        <v>666.24092883220897</v>
      </c>
      <c r="H941">
        <v>8.5506857176326214</v>
      </c>
      <c r="I941">
        <v>4.0011136175443687</v>
      </c>
      <c r="J941">
        <v>7.4578073020398286</v>
      </c>
      <c r="K941">
        <v>677.5339137774306</v>
      </c>
      <c r="L941">
        <v>10.096736449791379</v>
      </c>
      <c r="M941">
        <v>0.41000066687342057</v>
      </c>
    </row>
    <row r="942" spans="1:13" x14ac:dyDescent="0.2">
      <c r="A942">
        <v>940</v>
      </c>
      <c r="B942">
        <v>600</v>
      </c>
      <c r="C942">
        <v>75.58333333333357</v>
      </c>
      <c r="D942">
        <v>99</v>
      </c>
      <c r="E942">
        <v>71.544459549338299</v>
      </c>
      <c r="F942">
        <v>39.799451848936044</v>
      </c>
      <c r="G942">
        <v>526.44681675872062</v>
      </c>
      <c r="H942">
        <v>6.9651177520447938</v>
      </c>
      <c r="I942">
        <v>3.1997040250057074</v>
      </c>
      <c r="J942">
        <v>5.9640335974011318</v>
      </c>
      <c r="K942">
        <v>535.37052560690961</v>
      </c>
      <c r="L942">
        <v>7.8957904854895702</v>
      </c>
      <c r="M942">
        <v>0.41000097138863545</v>
      </c>
    </row>
    <row r="943" spans="1:13" x14ac:dyDescent="0.2">
      <c r="A943">
        <v>941</v>
      </c>
      <c r="B943">
        <v>600</v>
      </c>
      <c r="C943">
        <v>76.166666666666799</v>
      </c>
      <c r="D943">
        <v>100</v>
      </c>
      <c r="E943">
        <v>72.060610725349434</v>
      </c>
      <c r="F943">
        <v>40.78361875879726</v>
      </c>
      <c r="G943">
        <v>541.58141403555464</v>
      </c>
      <c r="H943">
        <v>7.1104780836177728</v>
      </c>
      <c r="I943">
        <v>3.3968913641641252</v>
      </c>
      <c r="J943">
        <v>6.3315775660095532</v>
      </c>
      <c r="K943">
        <v>550.76158544144278</v>
      </c>
      <c r="L943">
        <v>8.4325001769014207</v>
      </c>
      <c r="M943">
        <v>0.41000088421039388</v>
      </c>
    </row>
    <row r="944" spans="1:13" x14ac:dyDescent="0.2">
      <c r="A944">
        <v>942</v>
      </c>
      <c r="B944">
        <v>600</v>
      </c>
      <c r="C944">
        <v>76.000000000000298</v>
      </c>
      <c r="D944">
        <v>100</v>
      </c>
      <c r="E944">
        <v>76.597218665589637</v>
      </c>
      <c r="F944">
        <v>46.080361952035773</v>
      </c>
      <c r="G944">
        <v>632.61081392059566</v>
      </c>
      <c r="H944">
        <v>8.3238264989551727</v>
      </c>
      <c r="I944">
        <v>3.8651700569088172</v>
      </c>
      <c r="J944">
        <v>7.204417627043461</v>
      </c>
      <c r="K944">
        <v>643.3340214995801</v>
      </c>
      <c r="L944">
        <v>9.8653627031234166</v>
      </c>
      <c r="M944">
        <v>0.41000090828772506</v>
      </c>
    </row>
    <row r="945" spans="1:13" x14ac:dyDescent="0.2">
      <c r="A945">
        <v>943</v>
      </c>
      <c r="B945">
        <v>600</v>
      </c>
      <c r="C945">
        <v>75.916666666666814</v>
      </c>
      <c r="D945">
        <v>100</v>
      </c>
      <c r="E945">
        <v>77.13858630307692</v>
      </c>
      <c r="F945">
        <v>46.734029911668642</v>
      </c>
      <c r="G945">
        <v>644.05063586794984</v>
      </c>
      <c r="H945">
        <v>8.4836527227391691</v>
      </c>
      <c r="I945">
        <v>3.9343791829567887</v>
      </c>
      <c r="J945">
        <v>7.3334187939548707</v>
      </c>
      <c r="K945">
        <v>654.96777028000406</v>
      </c>
      <c r="L945">
        <v>10.108704718546866</v>
      </c>
      <c r="M945">
        <v>0.41000092057114862</v>
      </c>
    </row>
    <row r="946" spans="1:13" x14ac:dyDescent="0.2">
      <c r="A946">
        <v>944</v>
      </c>
      <c r="B946">
        <v>600</v>
      </c>
      <c r="C946">
        <v>76.416666666666785</v>
      </c>
      <c r="D946">
        <v>100</v>
      </c>
      <c r="E946">
        <v>75.657272689607865</v>
      </c>
      <c r="F946">
        <v>44.956370814105497</v>
      </c>
      <c r="G946">
        <v>613.04331799600436</v>
      </c>
      <c r="H946">
        <v>8.0223771166325424</v>
      </c>
      <c r="I946">
        <v>3.6416799334288976</v>
      </c>
      <c r="J946">
        <v>6.7878470334182612</v>
      </c>
      <c r="K946">
        <v>623.43478012189757</v>
      </c>
      <c r="L946">
        <v>9.0006138124093322</v>
      </c>
      <c r="M946">
        <v>0.4100008492858177</v>
      </c>
    </row>
    <row r="947" spans="1:13" x14ac:dyDescent="0.2">
      <c r="A947">
        <v>945</v>
      </c>
      <c r="B947">
        <v>600</v>
      </c>
      <c r="C947">
        <v>79.000000000000171</v>
      </c>
      <c r="D947">
        <v>100</v>
      </c>
      <c r="E947">
        <v>83.768315026595786</v>
      </c>
      <c r="F947">
        <v>55.112414874410575</v>
      </c>
      <c r="G947">
        <v>794.40352405229601</v>
      </c>
      <c r="H947">
        <v>10.055740810788537</v>
      </c>
      <c r="I947">
        <v>4.5472153214467763</v>
      </c>
      <c r="J947">
        <v>8.4757042338243718</v>
      </c>
      <c r="K947">
        <v>807.8687573779273</v>
      </c>
      <c r="L947">
        <v>11.603600732764482</v>
      </c>
      <c r="M947">
        <v>0.41000056001868546</v>
      </c>
    </row>
    <row r="948" spans="1:13" x14ac:dyDescent="0.2">
      <c r="A948">
        <v>946</v>
      </c>
      <c r="B948">
        <v>600</v>
      </c>
      <c r="C948">
        <v>76.666666666666771</v>
      </c>
      <c r="D948">
        <v>99</v>
      </c>
      <c r="E948">
        <v>80.559212516714496</v>
      </c>
      <c r="F948">
        <v>50.460959060429062</v>
      </c>
      <c r="G948">
        <v>712.04334755868058</v>
      </c>
      <c r="H948">
        <v>9.2875219246784297</v>
      </c>
      <c r="I948">
        <v>4.0396729674766618</v>
      </c>
      <c r="J948">
        <v>7.5296793429201516</v>
      </c>
      <c r="K948">
        <v>724.11288003991751</v>
      </c>
      <c r="L948">
        <v>10.157850393583727</v>
      </c>
      <c r="M948">
        <v>0.41000081574069358</v>
      </c>
    </row>
    <row r="949" spans="1:13" x14ac:dyDescent="0.2">
      <c r="A949">
        <v>947</v>
      </c>
      <c r="B949">
        <v>600</v>
      </c>
      <c r="C949">
        <v>77.416666666666742</v>
      </c>
      <c r="D949">
        <v>100</v>
      </c>
      <c r="E949">
        <v>82.015455825566946</v>
      </c>
      <c r="F949">
        <v>52.830082305326606</v>
      </c>
      <c r="G949">
        <v>752.78389938926284</v>
      </c>
      <c r="H949">
        <v>9.7237963322617276</v>
      </c>
      <c r="I949">
        <v>4.2361255394330071</v>
      </c>
      <c r="J949">
        <v>7.8958537547679528</v>
      </c>
      <c r="K949">
        <v>765.54388644968344</v>
      </c>
      <c r="L949">
        <v>10.576138649219365</v>
      </c>
      <c r="M949">
        <v>0.4100007228478541</v>
      </c>
    </row>
    <row r="950" spans="1:13" x14ac:dyDescent="0.2">
      <c r="A950">
        <v>948</v>
      </c>
      <c r="B950">
        <v>600</v>
      </c>
      <c r="C950">
        <v>75.666666666666814</v>
      </c>
      <c r="D950">
        <v>100</v>
      </c>
      <c r="E950">
        <v>70.820470132657235</v>
      </c>
      <c r="F950">
        <v>39.391951110455345</v>
      </c>
      <c r="G950">
        <v>518.17787450938101</v>
      </c>
      <c r="H950">
        <v>6.8481657424147135</v>
      </c>
      <c r="I950">
        <v>3.2178994328729398</v>
      </c>
      <c r="J950">
        <v>5.9979486167249574</v>
      </c>
      <c r="K950">
        <v>526.96140637244503</v>
      </c>
      <c r="L950">
        <v>7.9193063242490593</v>
      </c>
      <c r="M950">
        <v>0.41000095842714079</v>
      </c>
    </row>
    <row r="951" spans="1:13" x14ac:dyDescent="0.2">
      <c r="A951">
        <v>949</v>
      </c>
      <c r="B951">
        <v>600</v>
      </c>
      <c r="C951">
        <v>79.416666666666657</v>
      </c>
      <c r="D951">
        <v>99</v>
      </c>
      <c r="E951">
        <v>86.738620399063308</v>
      </c>
      <c r="F951">
        <v>58.499222843371157</v>
      </c>
      <c r="G951">
        <v>859.37881341075661</v>
      </c>
      <c r="H951">
        <v>10.821139308425058</v>
      </c>
      <c r="I951">
        <v>4.5958774655541701</v>
      </c>
      <c r="J951">
        <v>8.5664072051335882</v>
      </c>
      <c r="K951">
        <v>873.94533165987241</v>
      </c>
      <c r="L951">
        <v>11.572578416312416</v>
      </c>
      <c r="M951">
        <v>0.41000052364015721</v>
      </c>
    </row>
    <row r="952" spans="1:13" x14ac:dyDescent="0.2">
      <c r="A952">
        <v>950</v>
      </c>
      <c r="B952">
        <v>600</v>
      </c>
      <c r="C952">
        <v>78.333333333333456</v>
      </c>
      <c r="D952">
        <v>99</v>
      </c>
      <c r="E952">
        <v>78.59675613482959</v>
      </c>
      <c r="F952">
        <v>48.032403638867272</v>
      </c>
      <c r="G952">
        <v>668.73081520113828</v>
      </c>
      <c r="H952">
        <v>8.5369891302272833</v>
      </c>
      <c r="I952">
        <v>3.8681882280150135</v>
      </c>
      <c r="J952">
        <v>7.2100432954613476</v>
      </c>
      <c r="K952">
        <v>680.06595453949183</v>
      </c>
      <c r="L952">
        <v>9.5291620218512243</v>
      </c>
      <c r="M952">
        <v>0.41000062355366318</v>
      </c>
    </row>
    <row r="953" spans="1:13" x14ac:dyDescent="0.2">
      <c r="A953">
        <v>951</v>
      </c>
      <c r="B953">
        <v>600</v>
      </c>
      <c r="C953">
        <v>78.000000000000213</v>
      </c>
      <c r="D953">
        <v>100</v>
      </c>
      <c r="E953">
        <v>83.723656705856882</v>
      </c>
      <c r="F953">
        <v>55.053667797116688</v>
      </c>
      <c r="G953">
        <v>793.3261298952234</v>
      </c>
      <c r="H953">
        <v>10.170847819169502</v>
      </c>
      <c r="I953">
        <v>4.5547193921130624</v>
      </c>
      <c r="J953">
        <v>8.4896913180112996</v>
      </c>
      <c r="K953">
        <v>806.77323520996049</v>
      </c>
      <c r="L953">
        <v>11.664092185604993</v>
      </c>
      <c r="M953">
        <v>0.41000065797515273</v>
      </c>
    </row>
    <row r="954" spans="1:13" x14ac:dyDescent="0.2">
      <c r="A954">
        <v>952</v>
      </c>
      <c r="B954">
        <v>600</v>
      </c>
      <c r="C954">
        <v>78.333333333333456</v>
      </c>
      <c r="D954">
        <v>100</v>
      </c>
      <c r="E954">
        <v>82.367283494273167</v>
      </c>
      <c r="F954">
        <v>53.284312588933389</v>
      </c>
      <c r="G954">
        <v>761.02880315241168</v>
      </c>
      <c r="H954">
        <v>9.7152613168392836</v>
      </c>
      <c r="I954">
        <v>4.2990844659220544</v>
      </c>
      <c r="J954">
        <v>8.0132049690998208</v>
      </c>
      <c r="K954">
        <v>773.92841436838114</v>
      </c>
      <c r="L954">
        <v>10.73022643334761</v>
      </c>
      <c r="M954">
        <v>0.41000062355366318</v>
      </c>
    </row>
    <row r="955" spans="1:13" x14ac:dyDescent="0.2">
      <c r="A955">
        <v>953</v>
      </c>
      <c r="B955">
        <v>600</v>
      </c>
      <c r="C955">
        <v>76.916666666666771</v>
      </c>
      <c r="D955">
        <v>98</v>
      </c>
      <c r="E955">
        <v>77.994487060246357</v>
      </c>
      <c r="F955">
        <v>46.821332530911306</v>
      </c>
      <c r="G955">
        <v>649.14389894338728</v>
      </c>
      <c r="H955">
        <v>8.4395739840960307</v>
      </c>
      <c r="I955">
        <v>3.9126604112578249</v>
      </c>
      <c r="J955">
        <v>7.2929364608719931</v>
      </c>
      <c r="K955">
        <v>660.14721458463043</v>
      </c>
      <c r="L955">
        <v>9.9545932681983658</v>
      </c>
      <c r="M955">
        <v>0.41000078352053626</v>
      </c>
    </row>
    <row r="956" spans="1:13" x14ac:dyDescent="0.2">
      <c r="A956">
        <v>954</v>
      </c>
      <c r="B956">
        <v>600</v>
      </c>
      <c r="C956">
        <v>75.166666666666842</v>
      </c>
      <c r="D956">
        <v>100</v>
      </c>
      <c r="E956">
        <v>68.791602093135893</v>
      </c>
      <c r="F956">
        <v>37.167275695357603</v>
      </c>
      <c r="G956">
        <v>481.23376022320537</v>
      </c>
      <c r="H956">
        <v>6.4022229741446237</v>
      </c>
      <c r="I956">
        <v>3.0822640191177944</v>
      </c>
      <c r="J956">
        <v>5.7451333068365225</v>
      </c>
      <c r="K956">
        <v>489.39112635475539</v>
      </c>
      <c r="L956">
        <v>7.6569098082410063</v>
      </c>
      <c r="M956">
        <v>0.41000103887331629</v>
      </c>
    </row>
    <row r="957" spans="1:13" x14ac:dyDescent="0.2">
      <c r="A957">
        <v>955</v>
      </c>
      <c r="B957">
        <v>600</v>
      </c>
      <c r="C957">
        <v>80.083333333333371</v>
      </c>
      <c r="D957">
        <v>39</v>
      </c>
      <c r="E957">
        <v>131.05381988678477</v>
      </c>
      <c r="F957">
        <v>52.608250139538463</v>
      </c>
      <c r="G957">
        <v>967.65140249170565</v>
      </c>
      <c r="H957">
        <v>12.083056014464582</v>
      </c>
      <c r="I957">
        <v>4.6482167207046485</v>
      </c>
      <c r="J957">
        <v>8.6639640646871356</v>
      </c>
      <c r="K957">
        <v>984.05305810330356</v>
      </c>
      <c r="L957">
        <v>14.446097966916955</v>
      </c>
      <c r="M957">
        <v>0.41000047028554198</v>
      </c>
    </row>
    <row r="958" spans="1:13" x14ac:dyDescent="0.2">
      <c r="A958">
        <v>956</v>
      </c>
      <c r="B958">
        <v>600</v>
      </c>
      <c r="C958">
        <v>76.583333333333528</v>
      </c>
      <c r="D958">
        <v>98</v>
      </c>
      <c r="E958">
        <v>77.645831951405938</v>
      </c>
      <c r="F958">
        <v>46.403661741957549</v>
      </c>
      <c r="G958">
        <v>641.78502005494954</v>
      </c>
      <c r="H958">
        <v>8.3802178897272857</v>
      </c>
      <c r="I958">
        <v>3.758308569472498</v>
      </c>
      <c r="J958">
        <v>7.0052349850372746</v>
      </c>
      <c r="K958">
        <v>652.66364684296479</v>
      </c>
      <c r="L958">
        <v>9.3541649333878034</v>
      </c>
      <c r="M958">
        <v>0.41000082677253757</v>
      </c>
    </row>
    <row r="959" spans="1:13" x14ac:dyDescent="0.2">
      <c r="A959">
        <v>957</v>
      </c>
      <c r="B959">
        <v>600</v>
      </c>
      <c r="C959">
        <v>76.583333333333528</v>
      </c>
      <c r="D959">
        <v>100</v>
      </c>
      <c r="E959">
        <v>68.545182911293409</v>
      </c>
      <c r="F959">
        <v>36.90147796438383</v>
      </c>
      <c r="G959">
        <v>476.85942234360505</v>
      </c>
      <c r="H959">
        <v>6.2266736323430312</v>
      </c>
      <c r="I959">
        <v>2.9826814496158924</v>
      </c>
      <c r="J959">
        <v>5.5595180794331638</v>
      </c>
      <c r="K959">
        <v>484.94246498860241</v>
      </c>
      <c r="L959">
        <v>7.1874770613379937</v>
      </c>
      <c r="M959">
        <v>0.41000082677253757</v>
      </c>
    </row>
    <row r="960" spans="1:13" x14ac:dyDescent="0.2">
      <c r="A960">
        <v>958</v>
      </c>
      <c r="B960">
        <v>600</v>
      </c>
      <c r="C960">
        <v>76.583333333333528</v>
      </c>
      <c r="D960">
        <v>98</v>
      </c>
      <c r="E960">
        <v>85.135348840823596</v>
      </c>
      <c r="F960">
        <v>55.787358311127591</v>
      </c>
      <c r="G960">
        <v>811.25360329383784</v>
      </c>
      <c r="H960">
        <v>10.5930829592231</v>
      </c>
      <c r="I960">
        <v>4.4482972114875041</v>
      </c>
      <c r="J960">
        <v>8.2913275144221874</v>
      </c>
      <c r="K960">
        <v>825.00482045361309</v>
      </c>
      <c r="L960">
        <v>11.340393001578915</v>
      </c>
      <c r="M960">
        <v>0.41000082677253757</v>
      </c>
    </row>
    <row r="961" spans="1:13" x14ac:dyDescent="0.2">
      <c r="A961">
        <v>959</v>
      </c>
      <c r="B961">
        <v>600</v>
      </c>
      <c r="C961">
        <v>75.250000000000327</v>
      </c>
      <c r="D961">
        <v>97</v>
      </c>
      <c r="E961">
        <v>69.368326760810092</v>
      </c>
      <c r="F961">
        <v>36.659290344595448</v>
      </c>
      <c r="G961">
        <v>476.81992186226091</v>
      </c>
      <c r="H961">
        <v>6.3364773669403167</v>
      </c>
      <c r="I961">
        <v>3.0227290814764443</v>
      </c>
      <c r="J961">
        <v>5.6341641779616847</v>
      </c>
      <c r="K961">
        <v>484.90245787776655</v>
      </c>
      <c r="L961">
        <v>7.4796000609797808</v>
      </c>
      <c r="M961">
        <v>0.41000102501135577</v>
      </c>
    </row>
    <row r="962" spans="1:13" x14ac:dyDescent="0.2">
      <c r="A962">
        <v>960</v>
      </c>
      <c r="B962">
        <v>600</v>
      </c>
      <c r="C962">
        <v>76.083333333333542</v>
      </c>
      <c r="D962">
        <v>100</v>
      </c>
      <c r="E962">
        <v>81.221344958027004</v>
      </c>
      <c r="F962">
        <v>51.811985451355056</v>
      </c>
      <c r="G962">
        <v>734.37434688401356</v>
      </c>
      <c r="H962">
        <v>9.6522367607975248</v>
      </c>
      <c r="I962">
        <v>4.2767449493004177</v>
      </c>
      <c r="J962">
        <v>7.971565609134049</v>
      </c>
      <c r="K962">
        <v>746.82250408303253</v>
      </c>
      <c r="L962">
        <v>11.023043005701677</v>
      </c>
      <c r="M962">
        <v>0.41000089616820251</v>
      </c>
    </row>
    <row r="963" spans="1:13" x14ac:dyDescent="0.2">
      <c r="A963">
        <v>961</v>
      </c>
      <c r="B963">
        <v>600</v>
      </c>
      <c r="C963">
        <v>74.916666666666856</v>
      </c>
      <c r="D963">
        <v>99</v>
      </c>
      <c r="E963">
        <v>67.764834890341845</v>
      </c>
      <c r="F963">
        <v>35.705395249750509</v>
      </c>
      <c r="G963">
        <v>458.53417989031408</v>
      </c>
      <c r="H963">
        <v>6.1205897204491153</v>
      </c>
      <c r="I963">
        <v>3.0391034393007139</v>
      </c>
      <c r="J963">
        <v>5.6646848822007705</v>
      </c>
      <c r="K963">
        <v>466.30680048966553</v>
      </c>
      <c r="L963">
        <v>7.6391745486631386</v>
      </c>
      <c r="M963">
        <v>0.41000108159416432</v>
      </c>
    </row>
    <row r="964" spans="1:13" x14ac:dyDescent="0.2">
      <c r="A964">
        <v>962</v>
      </c>
      <c r="B964">
        <v>600</v>
      </c>
      <c r="C964">
        <v>77.583333333333485</v>
      </c>
      <c r="D964">
        <v>99</v>
      </c>
      <c r="E964">
        <v>76.262429081805607</v>
      </c>
      <c r="F964">
        <v>45.221643738378333</v>
      </c>
      <c r="G964">
        <v>619.34267546973933</v>
      </c>
      <c r="H964">
        <v>7.9829345925207917</v>
      </c>
      <c r="I964">
        <v>3.627902339663641</v>
      </c>
      <c r="J964">
        <v>6.7621665231381929</v>
      </c>
      <c r="K964">
        <v>629.84076015614914</v>
      </c>
      <c r="L964">
        <v>8.8894858836058575</v>
      </c>
      <c r="M964">
        <v>0.41000070368625285</v>
      </c>
    </row>
    <row r="965" spans="1:13" x14ac:dyDescent="0.2">
      <c r="A965">
        <v>963</v>
      </c>
      <c r="B965">
        <v>600</v>
      </c>
      <c r="C965">
        <v>76.083333333333542</v>
      </c>
      <c r="D965">
        <v>100</v>
      </c>
      <c r="E965">
        <v>74.722818146362172</v>
      </c>
      <c r="F965">
        <v>43.852702932626038</v>
      </c>
      <c r="G965">
        <v>593.95872436226216</v>
      </c>
      <c r="H965">
        <v>7.8066864100187585</v>
      </c>
      <c r="I965">
        <v>3.6587093818328369</v>
      </c>
      <c r="J965">
        <v>6.8195887825402357</v>
      </c>
      <c r="K965">
        <v>604.02673885917636</v>
      </c>
      <c r="L965">
        <v>9.2285664552832714</v>
      </c>
      <c r="M965">
        <v>0.41000089616820251</v>
      </c>
    </row>
    <row r="966" spans="1:13" x14ac:dyDescent="0.2">
      <c r="A966">
        <v>964</v>
      </c>
      <c r="B966">
        <v>600</v>
      </c>
      <c r="C966">
        <v>77.000000000000256</v>
      </c>
      <c r="D966">
        <v>99</v>
      </c>
      <c r="E966">
        <v>76.571021850037951</v>
      </c>
      <c r="F966">
        <v>45.588359215584589</v>
      </c>
      <c r="G966">
        <v>625.73993368229867</v>
      </c>
      <c r="H966">
        <v>8.1264926452246318</v>
      </c>
      <c r="I966">
        <v>3.7765938181732892</v>
      </c>
      <c r="J966">
        <v>7.0393174616463918</v>
      </c>
      <c r="K966">
        <v>636.34652906292774</v>
      </c>
      <c r="L966">
        <v>9.5232624032824162</v>
      </c>
      <c r="M966">
        <v>0.41000077306581523</v>
      </c>
    </row>
    <row r="967" spans="1:13" x14ac:dyDescent="0.2">
      <c r="A967">
        <v>965</v>
      </c>
      <c r="B967">
        <v>600</v>
      </c>
      <c r="C967">
        <v>77.083333333333499</v>
      </c>
      <c r="D967">
        <v>99</v>
      </c>
      <c r="E967">
        <v>76.349349167971098</v>
      </c>
      <c r="F967">
        <v>45.324785198918804</v>
      </c>
      <c r="G967">
        <v>621.14048758554816</v>
      </c>
      <c r="H967">
        <v>8.0580387578665533</v>
      </c>
      <c r="I967">
        <v>3.7432504348092546</v>
      </c>
      <c r="J967">
        <v>6.9771676324496816</v>
      </c>
      <c r="K967">
        <v>631.66910908019861</v>
      </c>
      <c r="L967">
        <v>9.3832239327837303</v>
      </c>
      <c r="M967">
        <v>0.41000076275059422</v>
      </c>
    </row>
    <row r="968" spans="1:13" x14ac:dyDescent="0.2">
      <c r="A968">
        <v>966</v>
      </c>
      <c r="B968">
        <v>600</v>
      </c>
      <c r="C968">
        <v>79.250000000000156</v>
      </c>
      <c r="D968">
        <v>99</v>
      </c>
      <c r="E968">
        <v>84.533200099358908</v>
      </c>
      <c r="F968">
        <v>55.562233588333655</v>
      </c>
      <c r="G968">
        <v>804.86242521196527</v>
      </c>
      <c r="H968">
        <v>10.155992747154116</v>
      </c>
      <c r="I968">
        <v>4.4266732266603874</v>
      </c>
      <c r="J968">
        <v>8.2510218577080838</v>
      </c>
      <c r="K968">
        <v>818.50490745794548</v>
      </c>
      <c r="L968">
        <v>11.165289340994766</v>
      </c>
      <c r="M968">
        <v>0.41000053789904578</v>
      </c>
    </row>
    <row r="969" spans="1:13" x14ac:dyDescent="0.2">
      <c r="A969">
        <v>967</v>
      </c>
      <c r="B969">
        <v>600</v>
      </c>
      <c r="C969">
        <v>78.083333333333456</v>
      </c>
      <c r="D969">
        <v>100</v>
      </c>
      <c r="E969">
        <v>82.764188692661946</v>
      </c>
      <c r="F969">
        <v>53.79907463822412</v>
      </c>
      <c r="G969">
        <v>770.3954234461105</v>
      </c>
      <c r="H969">
        <v>9.8663234592884859</v>
      </c>
      <c r="I969">
        <v>4.4510547395892344</v>
      </c>
      <c r="J969">
        <v>8.2964673617693094</v>
      </c>
      <c r="K969">
        <v>783.45383505502025</v>
      </c>
      <c r="L969">
        <v>11.309250342522166</v>
      </c>
      <c r="M969">
        <v>0.41000064919561674</v>
      </c>
    </row>
    <row r="970" spans="1:13" x14ac:dyDescent="0.2">
      <c r="A970">
        <v>968</v>
      </c>
      <c r="B970">
        <v>600</v>
      </c>
      <c r="C970">
        <v>77.333333333333499</v>
      </c>
      <c r="D970">
        <v>100</v>
      </c>
      <c r="E970">
        <v>76.322344617958677</v>
      </c>
      <c r="F970">
        <v>45.750230677873603</v>
      </c>
      <c r="G970">
        <v>626.85011362063119</v>
      </c>
      <c r="H970">
        <v>8.1058204347495231</v>
      </c>
      <c r="I970">
        <v>3.6788209871988609</v>
      </c>
      <c r="J970">
        <v>6.8570754654219206</v>
      </c>
      <c r="K970">
        <v>637.47548339298544</v>
      </c>
      <c r="L970">
        <v>9.0637630747948155</v>
      </c>
      <c r="M970">
        <v>0.41000073262344178</v>
      </c>
    </row>
    <row r="971" spans="1:13" x14ac:dyDescent="0.2">
      <c r="A971">
        <v>969</v>
      </c>
      <c r="B971">
        <v>600</v>
      </c>
      <c r="C971">
        <v>80.250000000000114</v>
      </c>
      <c r="D971">
        <v>100</v>
      </c>
      <c r="E971">
        <v>87.191178319162148</v>
      </c>
      <c r="F971">
        <v>59.708336959210854</v>
      </c>
      <c r="G971">
        <v>879.63117241640532</v>
      </c>
      <c r="H971">
        <v>10.96113610487731</v>
      </c>
      <c r="I971">
        <v>4.7626857961184017</v>
      </c>
      <c r="J971">
        <v>8.8773267402020526</v>
      </c>
      <c r="K971">
        <v>894.54086947056953</v>
      </c>
      <c r="L971">
        <v>12.166340971750611</v>
      </c>
      <c r="M971">
        <v>0.41000045781898492</v>
      </c>
    </row>
    <row r="972" spans="1:13" x14ac:dyDescent="0.2">
      <c r="A972">
        <v>970</v>
      </c>
      <c r="B972">
        <v>600</v>
      </c>
      <c r="C972">
        <v>78.000000000000213</v>
      </c>
      <c r="D972">
        <v>100</v>
      </c>
      <c r="E972">
        <v>77.467765971135236</v>
      </c>
      <c r="F972">
        <v>47.133744701644936</v>
      </c>
      <c r="G972">
        <v>651.06787073109513</v>
      </c>
      <c r="H972">
        <v>8.3470239837319653</v>
      </c>
      <c r="I972">
        <v>3.9281499041000489</v>
      </c>
      <c r="J972">
        <v>7.3218078361603887</v>
      </c>
      <c r="K972">
        <v>662.10365777358038</v>
      </c>
      <c r="L972">
        <v>9.8414600322085075</v>
      </c>
      <c r="M972">
        <v>0.41000065797515273</v>
      </c>
    </row>
    <row r="973" spans="1:13" x14ac:dyDescent="0.2">
      <c r="A973">
        <v>971</v>
      </c>
      <c r="B973">
        <v>600</v>
      </c>
      <c r="C973">
        <v>76.083333333333542</v>
      </c>
      <c r="D973">
        <v>100</v>
      </c>
      <c r="E973">
        <v>75.013105229570456</v>
      </c>
      <c r="F973">
        <v>44.194087274857885</v>
      </c>
      <c r="G973">
        <v>599.84810162058648</v>
      </c>
      <c r="H973">
        <v>7.8840933400295929</v>
      </c>
      <c r="I973">
        <v>3.6721170400975449</v>
      </c>
      <c r="J973">
        <v>6.8445797578705392</v>
      </c>
      <c r="K973">
        <v>610.01594516821172</v>
      </c>
      <c r="L973">
        <v>9.2725627599633693</v>
      </c>
      <c r="M973">
        <v>0.41000089616820251</v>
      </c>
    </row>
    <row r="974" spans="1:13" x14ac:dyDescent="0.2">
      <c r="A974">
        <v>972</v>
      </c>
      <c r="B974">
        <v>600</v>
      </c>
      <c r="C974">
        <v>79.083333333333414</v>
      </c>
      <c r="D974">
        <v>100</v>
      </c>
      <c r="E974">
        <v>83.2207712527387</v>
      </c>
      <c r="F974">
        <v>54.394295217568221</v>
      </c>
      <c r="G974">
        <v>781.25669351848012</v>
      </c>
      <c r="H974">
        <v>9.8789044491272406</v>
      </c>
      <c r="I974">
        <v>4.4565736392702329</v>
      </c>
      <c r="J974">
        <v>8.3067542204477771</v>
      </c>
      <c r="K974">
        <v>794.49907645515316</v>
      </c>
      <c r="L974">
        <v>11.302480349002144</v>
      </c>
      <c r="M974">
        <v>0.41000055254620849</v>
      </c>
    </row>
    <row r="975" spans="1:13" x14ac:dyDescent="0.2">
      <c r="A975">
        <v>973</v>
      </c>
      <c r="B975">
        <v>600</v>
      </c>
      <c r="C975">
        <v>78.583333333333442</v>
      </c>
      <c r="D975">
        <v>100</v>
      </c>
      <c r="E975">
        <v>81.168763595692582</v>
      </c>
      <c r="F975">
        <v>51.744922712275851</v>
      </c>
      <c r="G975">
        <v>733.16551506521739</v>
      </c>
      <c r="H975">
        <v>9.3297838608511103</v>
      </c>
      <c r="I975">
        <v>4.0781298883577044</v>
      </c>
      <c r="J975">
        <v>7.6013604629220959</v>
      </c>
      <c r="K975">
        <v>745.59280608973108</v>
      </c>
      <c r="L975">
        <v>10.091834176856509</v>
      </c>
      <c r="M975">
        <v>0.41000059892451662</v>
      </c>
    </row>
    <row r="976" spans="1:13" x14ac:dyDescent="0.2">
      <c r="A976">
        <v>974</v>
      </c>
      <c r="B976">
        <v>600</v>
      </c>
      <c r="C976">
        <v>76.416666666666785</v>
      </c>
      <c r="D976">
        <v>100</v>
      </c>
      <c r="E976">
        <v>77.897967612900132</v>
      </c>
      <c r="F976">
        <v>47.658693788705861</v>
      </c>
      <c r="G976">
        <v>660.30771040961986</v>
      </c>
      <c r="H976">
        <v>8.6408860686100617</v>
      </c>
      <c r="I976">
        <v>3.8547964518516502</v>
      </c>
      <c r="J976">
        <v>7.1850819233022367</v>
      </c>
      <c r="K976">
        <v>671.50033312115477</v>
      </c>
      <c r="L976">
        <v>9.5997273827354892</v>
      </c>
      <c r="M976">
        <v>0.4100008492858177</v>
      </c>
    </row>
    <row r="977" spans="1:13" x14ac:dyDescent="0.2">
      <c r="A977">
        <v>975</v>
      </c>
      <c r="B977">
        <v>600</v>
      </c>
      <c r="C977">
        <v>78.166666666666714</v>
      </c>
      <c r="D977">
        <v>100</v>
      </c>
      <c r="E977">
        <v>81.600265422973607</v>
      </c>
      <c r="F977">
        <v>52.296548160422937</v>
      </c>
      <c r="G977">
        <v>743.12441279022823</v>
      </c>
      <c r="H977">
        <v>9.5069221252481153</v>
      </c>
      <c r="I977">
        <v>4.2670930476771947</v>
      </c>
      <c r="J977">
        <v>7.9535751121662512</v>
      </c>
      <c r="K977">
        <v>755.72056226825168</v>
      </c>
      <c r="L977">
        <v>10.742400294665121</v>
      </c>
      <c r="M977">
        <v>0.41000064053322849</v>
      </c>
    </row>
    <row r="978" spans="1:13" x14ac:dyDescent="0.2">
      <c r="A978">
        <v>976</v>
      </c>
      <c r="B978">
        <v>600</v>
      </c>
      <c r="C978">
        <v>75.416666666666828</v>
      </c>
      <c r="D978">
        <v>99</v>
      </c>
      <c r="E978">
        <v>69.398181522658035</v>
      </c>
      <c r="F978">
        <v>37.447364420785583</v>
      </c>
      <c r="G978">
        <v>487.18443506632241</v>
      </c>
      <c r="H978">
        <v>6.4599041113766367</v>
      </c>
      <c r="I978">
        <v>3.0205409407706667</v>
      </c>
      <c r="J978">
        <v>5.6300856305138236</v>
      </c>
      <c r="K978">
        <v>495.44263629186997</v>
      </c>
      <c r="L978">
        <v>7.3848845172803097</v>
      </c>
      <c r="M978">
        <v>0.41000099783985799</v>
      </c>
    </row>
    <row r="979" spans="1:13" x14ac:dyDescent="0.2">
      <c r="A979">
        <v>977</v>
      </c>
      <c r="B979">
        <v>600</v>
      </c>
      <c r="C979">
        <v>76.416666666666785</v>
      </c>
      <c r="D979">
        <v>52</v>
      </c>
      <c r="E979">
        <v>107.09761942904603</v>
      </c>
      <c r="F979">
        <v>46.843880007452704</v>
      </c>
      <c r="G979">
        <v>771.90504327679116</v>
      </c>
      <c r="H979">
        <v>10.101265560874024</v>
      </c>
      <c r="I979">
        <v>4.2200816845314959</v>
      </c>
      <c r="J979">
        <v>7.8659490857996195</v>
      </c>
      <c r="K979">
        <v>784.98930957010555</v>
      </c>
      <c r="L979">
        <v>11.386830025268068</v>
      </c>
      <c r="M979">
        <v>0.4100008492858177</v>
      </c>
    </row>
    <row r="980" spans="1:13" x14ac:dyDescent="0.2">
      <c r="A980">
        <v>978</v>
      </c>
      <c r="B980">
        <v>600</v>
      </c>
      <c r="C980">
        <v>75.666666666666814</v>
      </c>
      <c r="D980">
        <v>72</v>
      </c>
      <c r="E980">
        <v>79.779041251278471</v>
      </c>
      <c r="F980">
        <v>35.991504689668488</v>
      </c>
      <c r="G980">
        <v>505.1829813131875</v>
      </c>
      <c r="H980">
        <v>6.676427065813038</v>
      </c>
      <c r="I980">
        <v>3.0930631230808969</v>
      </c>
      <c r="J980">
        <v>5.7652621119867593</v>
      </c>
      <c r="K980">
        <v>513.74623928178255</v>
      </c>
      <c r="L980">
        <v>7.8563766288220869</v>
      </c>
      <c r="M980">
        <v>0.41000095842714079</v>
      </c>
    </row>
    <row r="981" spans="1:13" x14ac:dyDescent="0.2">
      <c r="A981">
        <v>979</v>
      </c>
      <c r="B981">
        <v>600</v>
      </c>
      <c r="C981">
        <v>74.583333333333613</v>
      </c>
      <c r="D981">
        <v>51</v>
      </c>
      <c r="E981">
        <v>87.382567064915889</v>
      </c>
      <c r="F981">
        <v>30.58508243635972</v>
      </c>
      <c r="G981">
        <v>451.12145308956087</v>
      </c>
      <c r="H981">
        <v>6.0485557956142015</v>
      </c>
      <c r="I981">
        <v>2.7326428020424069</v>
      </c>
      <c r="J981">
        <v>5.0934628183455857</v>
      </c>
      <c r="K981">
        <v>458.7684668583064</v>
      </c>
      <c r="L981">
        <v>7.1954824365453609</v>
      </c>
      <c r="M981">
        <v>0.41000114130046439</v>
      </c>
    </row>
    <row r="982" spans="1:13" x14ac:dyDescent="0.2">
      <c r="A982">
        <v>980</v>
      </c>
      <c r="B982">
        <v>600</v>
      </c>
      <c r="C982">
        <v>78.583333333333442</v>
      </c>
      <c r="D982">
        <v>21</v>
      </c>
      <c r="E982">
        <v>158.20451107920482</v>
      </c>
      <c r="F982">
        <v>41.28068563495188</v>
      </c>
      <c r="G982">
        <v>841.30128618017955</v>
      </c>
      <c r="H982">
        <v>10.705848816714887</v>
      </c>
      <c r="I982">
        <v>3.884635529071188</v>
      </c>
      <c r="J982">
        <v>7.2406999609900975</v>
      </c>
      <c r="K982">
        <v>855.56149851671967</v>
      </c>
      <c r="L982">
        <v>12.793015931999143</v>
      </c>
      <c r="M982">
        <v>0.41000059892451662</v>
      </c>
    </row>
    <row r="983" spans="1:13" x14ac:dyDescent="0.2">
      <c r="A983">
        <v>981</v>
      </c>
      <c r="B983">
        <v>600</v>
      </c>
      <c r="C983">
        <v>74.250000000000369</v>
      </c>
      <c r="D983">
        <v>8</v>
      </c>
      <c r="E983">
        <v>205.65122530075143</v>
      </c>
      <c r="F983">
        <v>26.573115258682844</v>
      </c>
      <c r="G983">
        <v>624.73348153469271</v>
      </c>
      <c r="H983">
        <v>8.4139189432281434</v>
      </c>
      <c r="I983">
        <v>2.8590120191842736</v>
      </c>
      <c r="J983">
        <v>5.3290065595233429</v>
      </c>
      <c r="K983">
        <v>635.3234814281127</v>
      </c>
      <c r="L983">
        <v>10.447778712702403</v>
      </c>
      <c r="M983">
        <v>0.41000120430267928</v>
      </c>
    </row>
    <row r="984" spans="1:13" x14ac:dyDescent="0.2">
      <c r="A984">
        <v>982</v>
      </c>
      <c r="B984">
        <v>600</v>
      </c>
      <c r="C984">
        <v>79.083333333333414</v>
      </c>
      <c r="D984">
        <v>20</v>
      </c>
      <c r="E984">
        <v>148.20703526264842</v>
      </c>
      <c r="F984">
        <v>34.503052300206022</v>
      </c>
      <c r="G984">
        <v>678.60949673115033</v>
      </c>
      <c r="H984">
        <v>8.5809420029228622</v>
      </c>
      <c r="I984">
        <v>3.2341732732944211</v>
      </c>
      <c r="J984">
        <v>6.0282819632701221</v>
      </c>
      <c r="K984">
        <v>690.1119989109468</v>
      </c>
      <c r="L984">
        <v>10.587746494853205</v>
      </c>
      <c r="M984">
        <v>0.41000055254620849</v>
      </c>
    </row>
    <row r="985" spans="1:13" x14ac:dyDescent="0.2">
      <c r="A985">
        <v>983</v>
      </c>
      <c r="B985">
        <v>600</v>
      </c>
      <c r="C985">
        <v>76.50000000000027</v>
      </c>
      <c r="D985">
        <v>23</v>
      </c>
      <c r="E985">
        <v>140.38440475372465</v>
      </c>
      <c r="F985">
        <v>35.60044668182276</v>
      </c>
      <c r="G985">
        <v>679.81382634914485</v>
      </c>
      <c r="H985">
        <v>8.8864552463940196</v>
      </c>
      <c r="I985">
        <v>3.4682305712575863</v>
      </c>
      <c r="J985">
        <v>6.4645490610579426</v>
      </c>
      <c r="K985">
        <v>691.33707647094968</v>
      </c>
      <c r="L985">
        <v>10.454411039863301</v>
      </c>
      <c r="M985">
        <v>0.41000083795357306</v>
      </c>
    </row>
    <row r="986" spans="1:13" x14ac:dyDescent="0.2">
      <c r="A986">
        <v>984</v>
      </c>
      <c r="B986">
        <v>600</v>
      </c>
      <c r="C986">
        <v>80.166666666666629</v>
      </c>
      <c r="D986">
        <v>22</v>
      </c>
      <c r="E986">
        <v>154.31444770147368</v>
      </c>
      <c r="F986">
        <v>41.145821702860189</v>
      </c>
      <c r="G986">
        <v>827.25813083949549</v>
      </c>
      <c r="H986">
        <v>10.319228243320117</v>
      </c>
      <c r="I986">
        <v>3.936673094472487</v>
      </c>
      <c r="J986">
        <v>7.3376944910950366</v>
      </c>
      <c r="K986">
        <v>841.28011672274431</v>
      </c>
      <c r="L986">
        <v>13.319814791085385</v>
      </c>
      <c r="M986">
        <v>0.41000046401039802</v>
      </c>
    </row>
    <row r="987" spans="1:13" x14ac:dyDescent="0.2">
      <c r="A987">
        <v>985</v>
      </c>
      <c r="B987">
        <v>600</v>
      </c>
      <c r="C987">
        <v>76.50000000000027</v>
      </c>
      <c r="D987">
        <v>95</v>
      </c>
      <c r="E987">
        <v>80.605385381842765</v>
      </c>
      <c r="F987">
        <v>48.477655052816395</v>
      </c>
      <c r="G987">
        <v>684.27089388017635</v>
      </c>
      <c r="H987">
        <v>8.9447175670610974</v>
      </c>
      <c r="I987">
        <v>3.8922887477960479</v>
      </c>
      <c r="J987">
        <v>7.2549650471501357</v>
      </c>
      <c r="K987">
        <v>695.86969395695303</v>
      </c>
      <c r="L987">
        <v>9.7787986711740782</v>
      </c>
      <c r="M987">
        <v>0.41000083795357306</v>
      </c>
    </row>
    <row r="988" spans="1:13" x14ac:dyDescent="0.2">
      <c r="A988">
        <v>986</v>
      </c>
      <c r="B988">
        <v>600</v>
      </c>
      <c r="C988">
        <v>76.416666666666785</v>
      </c>
      <c r="D988">
        <v>100</v>
      </c>
      <c r="E988">
        <v>71.813332980158265</v>
      </c>
      <c r="F988">
        <v>40.504199033433167</v>
      </c>
      <c r="G988">
        <v>536.86477465041435</v>
      </c>
      <c r="H988">
        <v>7.0254932342475049</v>
      </c>
      <c r="I988">
        <v>3.3092066106370455</v>
      </c>
      <c r="J988">
        <v>6.1681390692209606</v>
      </c>
      <c r="K988">
        <v>545.96496350940515</v>
      </c>
      <c r="L988">
        <v>8.0661566981703459</v>
      </c>
      <c r="M988">
        <v>0.4100008492858177</v>
      </c>
    </row>
    <row r="989" spans="1:13" x14ac:dyDescent="0.2">
      <c r="A989">
        <v>987</v>
      </c>
      <c r="B989">
        <v>600</v>
      </c>
      <c r="C989">
        <v>75.58333333333357</v>
      </c>
      <c r="D989">
        <v>100</v>
      </c>
      <c r="E989">
        <v>71.213520222395402</v>
      </c>
      <c r="F989">
        <v>39.830411201376691</v>
      </c>
      <c r="G989">
        <v>525.52746870646752</v>
      </c>
      <c r="H989">
        <v>6.9529543820039583</v>
      </c>
      <c r="I989">
        <v>3.2196795509858314</v>
      </c>
      <c r="J989">
        <v>6.0012666374386416</v>
      </c>
      <c r="K989">
        <v>534.43559384498769</v>
      </c>
      <c r="L989">
        <v>7.9352137619607097</v>
      </c>
      <c r="M989">
        <v>0.41000097138863545</v>
      </c>
    </row>
    <row r="990" spans="1:13" x14ac:dyDescent="0.2">
      <c r="A990">
        <v>988</v>
      </c>
      <c r="B990">
        <v>600</v>
      </c>
      <c r="C990">
        <v>78.500000000000185</v>
      </c>
      <c r="D990">
        <v>100</v>
      </c>
      <c r="E990">
        <v>85.278172028302436</v>
      </c>
      <c r="F990">
        <v>57.1170339042636</v>
      </c>
      <c r="G990">
        <v>831.34860300982757</v>
      </c>
      <c r="H990">
        <v>10.590428063819434</v>
      </c>
      <c r="I990">
        <v>4.5185482823597871</v>
      </c>
      <c r="J990">
        <v>8.4222707965699648</v>
      </c>
      <c r="K990">
        <v>845.44012713307427</v>
      </c>
      <c r="L990">
        <v>11.349886591069476</v>
      </c>
      <c r="M990">
        <v>0.41000060702420055</v>
      </c>
    </row>
    <row r="991" spans="1:13" x14ac:dyDescent="0.2">
      <c r="A991">
        <v>989</v>
      </c>
      <c r="B991">
        <v>600</v>
      </c>
      <c r="C991">
        <v>79.666666666666643</v>
      </c>
      <c r="D991">
        <v>98</v>
      </c>
      <c r="E991">
        <v>82.536115866567656</v>
      </c>
      <c r="F991">
        <v>52.432916032947375</v>
      </c>
      <c r="G991">
        <v>749.70467678621242</v>
      </c>
      <c r="H991">
        <v>9.4105189554754727</v>
      </c>
      <c r="I991">
        <v>4.1337942485883321</v>
      </c>
      <c r="J991">
        <v>7.7051150952252216</v>
      </c>
      <c r="K991">
        <v>762.41218564843496</v>
      </c>
      <c r="L991">
        <v>10.255329211659332</v>
      </c>
      <c r="M991">
        <v>0.41000050295739809</v>
      </c>
    </row>
    <row r="992" spans="1:13" x14ac:dyDescent="0.2">
      <c r="A992">
        <v>990</v>
      </c>
      <c r="B992">
        <v>600</v>
      </c>
      <c r="C992">
        <v>76.916666666666771</v>
      </c>
      <c r="D992">
        <v>100</v>
      </c>
      <c r="E992">
        <v>75.663797716426885</v>
      </c>
      <c r="F992">
        <v>44.964125631702586</v>
      </c>
      <c r="G992">
        <v>613.17793776960036</v>
      </c>
      <c r="H992">
        <v>7.9719775224649991</v>
      </c>
      <c r="I992">
        <v>3.7703893154927508</v>
      </c>
      <c r="J992">
        <v>7.0277526849818281</v>
      </c>
      <c r="K992">
        <v>623.57161227614279</v>
      </c>
      <c r="L992">
        <v>9.5097523901520375</v>
      </c>
      <c r="M992">
        <v>0.41000078352053626</v>
      </c>
    </row>
    <row r="993" spans="1:13" x14ac:dyDescent="0.2">
      <c r="A993">
        <v>991</v>
      </c>
      <c r="B993">
        <v>600</v>
      </c>
      <c r="C993">
        <v>79.250000000000156</v>
      </c>
      <c r="D993">
        <v>99</v>
      </c>
      <c r="E993">
        <v>86.761212713190375</v>
      </c>
      <c r="F993">
        <v>58.529700730422384</v>
      </c>
      <c r="G993">
        <v>859.94850651035756</v>
      </c>
      <c r="H993">
        <v>10.851085255651178</v>
      </c>
      <c r="I993">
        <v>4.6580554117545114</v>
      </c>
      <c r="J993">
        <v>8.6823027246123221</v>
      </c>
      <c r="K993">
        <v>874.52470222409727</v>
      </c>
      <c r="L993">
        <v>11.850234296090225</v>
      </c>
      <c r="M993">
        <v>0.41000053789904578</v>
      </c>
    </row>
    <row r="994" spans="1:13" x14ac:dyDescent="0.2">
      <c r="A994">
        <v>992</v>
      </c>
      <c r="B994">
        <v>600</v>
      </c>
      <c r="C994">
        <v>74.583333333333613</v>
      </c>
      <c r="D994">
        <v>100</v>
      </c>
      <c r="E994">
        <v>70.726797473242712</v>
      </c>
      <c r="F994">
        <v>39.287814311968908</v>
      </c>
      <c r="G994">
        <v>516.43540328111794</v>
      </c>
      <c r="H994">
        <v>6.9242735635456896</v>
      </c>
      <c r="I994">
        <v>3.1565056396835849</v>
      </c>
      <c r="J994">
        <v>5.8835147058407911</v>
      </c>
      <c r="K994">
        <v>525.1895616402735</v>
      </c>
      <c r="L994">
        <v>7.8569300982043746</v>
      </c>
      <c r="M994">
        <v>0.41000114130046439</v>
      </c>
    </row>
    <row r="995" spans="1:13" x14ac:dyDescent="0.2">
      <c r="A995">
        <v>993</v>
      </c>
      <c r="B995">
        <v>600</v>
      </c>
      <c r="C995">
        <v>76.583333333333528</v>
      </c>
      <c r="D995">
        <v>100</v>
      </c>
      <c r="E995">
        <v>80.235922270641893</v>
      </c>
      <c r="F995">
        <v>50.562388273603041</v>
      </c>
      <c r="G995">
        <v>711.9135514935864</v>
      </c>
      <c r="H995">
        <v>9.2959332077508314</v>
      </c>
      <c r="I995">
        <v>4.0793663019159299</v>
      </c>
      <c r="J995">
        <v>7.6036650548293183</v>
      </c>
      <c r="K995">
        <v>723.9808973960603</v>
      </c>
      <c r="L995">
        <v>10.237514414045586</v>
      </c>
      <c r="M995">
        <v>0.41000082677253757</v>
      </c>
    </row>
    <row r="996" spans="1:13" x14ac:dyDescent="0.2">
      <c r="A996">
        <v>994</v>
      </c>
      <c r="B996">
        <v>600</v>
      </c>
      <c r="C996">
        <v>78.333333333333456</v>
      </c>
      <c r="D996">
        <v>100</v>
      </c>
      <c r="E996">
        <v>79.950646640370053</v>
      </c>
      <c r="F996">
        <v>50.203482326987334</v>
      </c>
      <c r="G996">
        <v>705.4903761487883</v>
      </c>
      <c r="H996">
        <v>9.0062601210483475</v>
      </c>
      <c r="I996">
        <v>4.0720349532349545</v>
      </c>
      <c r="J996">
        <v>7.5899999128330933</v>
      </c>
      <c r="K996">
        <v>717.44859840165202</v>
      </c>
      <c r="L996">
        <v>10.079026661482082</v>
      </c>
      <c r="M996">
        <v>0.41000062355366318</v>
      </c>
    </row>
    <row r="997" spans="1:13" x14ac:dyDescent="0.2">
      <c r="A997">
        <v>995</v>
      </c>
      <c r="B997">
        <v>600</v>
      </c>
      <c r="C997">
        <v>77.500000000000227</v>
      </c>
      <c r="D997">
        <v>99</v>
      </c>
      <c r="E997">
        <v>79.78019020645101</v>
      </c>
      <c r="F997">
        <v>49.489744392084518</v>
      </c>
      <c r="G997">
        <v>694.65234502049293</v>
      </c>
      <c r="H997">
        <v>8.9632560647805271</v>
      </c>
      <c r="I997">
        <v>3.9356543857427688</v>
      </c>
      <c r="J997">
        <v>7.3357956863798108</v>
      </c>
      <c r="K997">
        <v>706.42696752189761</v>
      </c>
      <c r="L997">
        <v>9.7596557665005061</v>
      </c>
      <c r="M997">
        <v>0.41000071320270459</v>
      </c>
    </row>
    <row r="998" spans="1:13" x14ac:dyDescent="0.2">
      <c r="A998">
        <v>996</v>
      </c>
      <c r="B998">
        <v>600</v>
      </c>
      <c r="C998">
        <v>76.916666666666771</v>
      </c>
      <c r="D998">
        <v>99</v>
      </c>
      <c r="E998">
        <v>69.401920289718404</v>
      </c>
      <c r="F998">
        <v>37.451399418271087</v>
      </c>
      <c r="G998">
        <v>487.2514046672128</v>
      </c>
      <c r="H998">
        <v>6.334796160353787</v>
      </c>
      <c r="I998">
        <v>3.1922476198585419</v>
      </c>
      <c r="J998">
        <v>5.950135358543414</v>
      </c>
      <c r="K998">
        <v>495.51056108987831</v>
      </c>
      <c r="L998">
        <v>7.8733069676523746</v>
      </c>
      <c r="M998">
        <v>0.41000078352053626</v>
      </c>
    </row>
    <row r="999" spans="1:13" x14ac:dyDescent="0.2">
      <c r="A999">
        <v>997</v>
      </c>
      <c r="B999">
        <v>600</v>
      </c>
      <c r="C999">
        <v>75.916666666666814</v>
      </c>
      <c r="D999">
        <v>100</v>
      </c>
      <c r="E999">
        <v>69.256521083414924</v>
      </c>
      <c r="F999">
        <v>37.671353614571977</v>
      </c>
      <c r="G999">
        <v>489.55337990677407</v>
      </c>
      <c r="H999">
        <v>6.448562633239602</v>
      </c>
      <c r="I999">
        <v>3.2440059792770279</v>
      </c>
      <c r="J999">
        <v>6.0466094674315514</v>
      </c>
      <c r="K999">
        <v>497.85167161347385</v>
      </c>
      <c r="L999">
        <v>8.0977516074095792</v>
      </c>
      <c r="M999">
        <v>0.41000092057114862</v>
      </c>
    </row>
    <row r="1000" spans="1:13" x14ac:dyDescent="0.2">
      <c r="A1000">
        <v>998</v>
      </c>
      <c r="B1000">
        <v>600</v>
      </c>
      <c r="C1000">
        <v>78.583333333333442</v>
      </c>
      <c r="D1000">
        <v>99</v>
      </c>
      <c r="E1000">
        <v>83.88920601883693</v>
      </c>
      <c r="F1000">
        <v>54.718885589241708</v>
      </c>
      <c r="G1000">
        <v>789.35085582922784</v>
      </c>
      <c r="H1000">
        <v>10.044761686055908</v>
      </c>
      <c r="I1000">
        <v>4.2954318731497692</v>
      </c>
      <c r="J1000">
        <v>8.0063967812670427</v>
      </c>
      <c r="K1000">
        <v>802.73049876697041</v>
      </c>
      <c r="L1000">
        <v>10.73261786515682</v>
      </c>
      <c r="M1000">
        <v>0.41000059892451662</v>
      </c>
    </row>
    <row r="1001" spans="1:13" x14ac:dyDescent="0.2">
      <c r="A1001">
        <v>999</v>
      </c>
      <c r="B1001">
        <v>600</v>
      </c>
      <c r="C1001">
        <v>76.916666666666771</v>
      </c>
      <c r="D1001">
        <v>100</v>
      </c>
      <c r="E1001">
        <v>78.372570633284369</v>
      </c>
      <c r="F1001">
        <v>48.241195877612761</v>
      </c>
      <c r="G1001">
        <v>670.59335641241989</v>
      </c>
      <c r="H1001">
        <v>8.7184401700422836</v>
      </c>
      <c r="I1001">
        <v>4.031369081479947</v>
      </c>
      <c r="J1001">
        <v>7.5142014566261812</v>
      </c>
      <c r="K1001">
        <v>681.96025114798908</v>
      </c>
      <c r="L1001">
        <v>10.269475984877912</v>
      </c>
      <c r="M1001">
        <v>0.41000078352053626</v>
      </c>
    </row>
    <row r="1002" spans="1:13" x14ac:dyDescent="0.2">
      <c r="A1002">
        <v>1000</v>
      </c>
      <c r="B1002">
        <v>600</v>
      </c>
      <c r="C1002">
        <v>76.916666666666771</v>
      </c>
      <c r="D1002">
        <v>99</v>
      </c>
      <c r="E1002">
        <v>77.021557329408481</v>
      </c>
      <c r="F1002">
        <v>46.126411285273768</v>
      </c>
      <c r="G1002">
        <v>635.15158308440994</v>
      </c>
      <c r="H1002">
        <v>8.2576587183238441</v>
      </c>
      <c r="I1002">
        <v>3.8586874466454528</v>
      </c>
      <c r="J1002">
        <v>7.1923344765059687</v>
      </c>
      <c r="K1002">
        <v>645.91772193295901</v>
      </c>
      <c r="L1002">
        <v>9.7859513882385158</v>
      </c>
      <c r="M1002">
        <v>0.41000078352053626</v>
      </c>
    </row>
    <row r="1003" spans="1:13" x14ac:dyDescent="0.2">
      <c r="A1003">
        <v>1001</v>
      </c>
      <c r="B1003">
        <v>600</v>
      </c>
      <c r="C1003">
        <v>78.4166666666667</v>
      </c>
      <c r="D1003">
        <v>98</v>
      </c>
      <c r="E1003">
        <v>76.59205112474281</v>
      </c>
      <c r="F1003">
        <v>45.152661754478594</v>
      </c>
      <c r="G1003">
        <v>619.85247956725777</v>
      </c>
      <c r="H1003">
        <v>7.9046012272126358</v>
      </c>
      <c r="I1003">
        <v>3.5874901393668455</v>
      </c>
      <c r="J1003">
        <v>6.6868408935076324</v>
      </c>
      <c r="K1003">
        <v>630.3591111158438</v>
      </c>
      <c r="L1003">
        <v>8.7261412140355521</v>
      </c>
      <c r="M1003">
        <v>0.41000061523342229</v>
      </c>
    </row>
    <row r="1004" spans="1:13" x14ac:dyDescent="0.2">
      <c r="A1004">
        <v>1002</v>
      </c>
      <c r="B1004">
        <v>600</v>
      </c>
      <c r="C1004">
        <v>78.4166666666667</v>
      </c>
      <c r="D1004">
        <v>99</v>
      </c>
      <c r="E1004">
        <v>81.041424053754497</v>
      </c>
      <c r="F1004">
        <v>51.06686573959886</v>
      </c>
      <c r="G1004">
        <v>722.93968503513702</v>
      </c>
      <c r="H1004">
        <v>9.2192095859953689</v>
      </c>
      <c r="I1004">
        <v>4.1106631738650989</v>
      </c>
      <c r="J1004">
        <v>7.6620003240728778</v>
      </c>
      <c r="K1004">
        <v>735.19366667253871</v>
      </c>
      <c r="L1004">
        <v>10.15866593858938</v>
      </c>
      <c r="M1004">
        <v>0.41000061523342229</v>
      </c>
    </row>
    <row r="1005" spans="1:13" x14ac:dyDescent="0.2">
      <c r="A1005">
        <v>1003</v>
      </c>
      <c r="B1005">
        <v>600</v>
      </c>
      <c r="C1005">
        <v>77.416666666666742</v>
      </c>
      <c r="D1005">
        <v>100</v>
      </c>
      <c r="E1005">
        <v>82.050401699039483</v>
      </c>
      <c r="F1005">
        <v>52.875112517606205</v>
      </c>
      <c r="G1005">
        <v>753.60038778768774</v>
      </c>
      <c r="H1005">
        <v>9.7343430069453643</v>
      </c>
      <c r="I1005">
        <v>4.2386058550169574</v>
      </c>
      <c r="J1005">
        <v>7.9004768965833314</v>
      </c>
      <c r="K1005">
        <v>766.37421465181194</v>
      </c>
      <c r="L1005">
        <v>10.583656019200854</v>
      </c>
      <c r="M1005">
        <v>0.4100007228478541</v>
      </c>
    </row>
    <row r="1006" spans="1:13" x14ac:dyDescent="0.2">
      <c r="A1006">
        <v>1004</v>
      </c>
      <c r="B1006">
        <v>600</v>
      </c>
      <c r="C1006">
        <v>76.250000000000284</v>
      </c>
      <c r="D1006">
        <v>100</v>
      </c>
      <c r="E1006">
        <v>76.124361784751173</v>
      </c>
      <c r="F1006">
        <v>45.51318313272342</v>
      </c>
      <c r="G1006">
        <v>622.72038917894622</v>
      </c>
      <c r="H1006">
        <v>8.1668247761172967</v>
      </c>
      <c r="I1006">
        <v>3.7089142189038151</v>
      </c>
      <c r="J1006">
        <v>6.9131672300164304</v>
      </c>
      <c r="K1006">
        <v>633.27590844908332</v>
      </c>
      <c r="L1006">
        <v>9.2902857343745424</v>
      </c>
      <c r="M1006">
        <v>0.4100008724121415</v>
      </c>
    </row>
    <row r="1007" spans="1:13" x14ac:dyDescent="0.2">
      <c r="A1007">
        <v>1005</v>
      </c>
      <c r="B1007">
        <v>600</v>
      </c>
      <c r="C1007">
        <v>78.500000000000185</v>
      </c>
      <c r="D1007">
        <v>34</v>
      </c>
      <c r="E1007">
        <v>117.94321365457718</v>
      </c>
      <c r="F1007">
        <v>37.146227350496822</v>
      </c>
      <c r="G1007">
        <v>645.126827770521</v>
      </c>
      <c r="H1007">
        <v>8.2181761499429236</v>
      </c>
      <c r="I1007">
        <v>3.3007476641979845</v>
      </c>
      <c r="J1007">
        <v>6.1523721606672579</v>
      </c>
      <c r="K1007">
        <v>656.06185577582391</v>
      </c>
      <c r="L1007">
        <v>9.3308433099445782</v>
      </c>
      <c r="M1007">
        <v>0.41000060702420055</v>
      </c>
    </row>
    <row r="1008" spans="1:13" x14ac:dyDescent="0.2">
      <c r="A1008">
        <v>1006</v>
      </c>
      <c r="B1008">
        <v>600</v>
      </c>
      <c r="C1008">
        <v>80.000000000000128</v>
      </c>
      <c r="D1008">
        <v>13</v>
      </c>
      <c r="E1008">
        <v>219.36933655933615</v>
      </c>
      <c r="F1008">
        <v>49.134334405424795</v>
      </c>
      <c r="G1008">
        <v>1196.503100193961</v>
      </c>
      <c r="H1008">
        <v>14.95628875242449</v>
      </c>
      <c r="I1008">
        <v>4.7371985056925601</v>
      </c>
      <c r="J1008">
        <v>8.8298201410858521</v>
      </c>
      <c r="K1008">
        <v>1216.783796764335</v>
      </c>
      <c r="L1008">
        <v>19.276311613153492</v>
      </c>
      <c r="M1008">
        <v>0.41000047664554917</v>
      </c>
    </row>
    <row r="1009" spans="1:13" x14ac:dyDescent="0.2">
      <c r="A1009">
        <v>1007</v>
      </c>
      <c r="B1009">
        <v>600</v>
      </c>
      <c r="C1009">
        <v>98.333333333331893</v>
      </c>
      <c r="D1009">
        <v>7</v>
      </c>
      <c r="E1009">
        <v>395.30538802021601</v>
      </c>
      <c r="F1009">
        <v>85.911912892418158</v>
      </c>
      <c r="G1009">
        <v>2883.3224141118835</v>
      </c>
      <c r="H1009">
        <v>29.321922855375515</v>
      </c>
      <c r="I1009">
        <v>7.4569203074300621</v>
      </c>
      <c r="J1009">
        <v>13.899199081882688</v>
      </c>
      <c r="K1009">
        <v>2932.192408869224</v>
      </c>
      <c r="L1009">
        <v>31.203138616084289</v>
      </c>
      <c r="M1009">
        <v>0.41000002481614511</v>
      </c>
    </row>
    <row r="1010" spans="1:13" x14ac:dyDescent="0.2">
      <c r="A1010">
        <v>1008</v>
      </c>
      <c r="B1010">
        <v>600</v>
      </c>
      <c r="C1010">
        <v>81.250000000000071</v>
      </c>
      <c r="D1010">
        <v>22</v>
      </c>
      <c r="E1010">
        <v>159.23347418145315</v>
      </c>
      <c r="F1010">
        <v>43.81081210556718</v>
      </c>
      <c r="G1010">
        <v>896.02415124509662</v>
      </c>
      <c r="H1010">
        <v>11.027989553785796</v>
      </c>
      <c r="I1010">
        <v>4.316900069442549</v>
      </c>
      <c r="J1010">
        <v>8.0464120586068013</v>
      </c>
      <c r="K1010">
        <v>911.21160306878915</v>
      </c>
      <c r="L1010">
        <v>14.918862906615594</v>
      </c>
      <c r="M1010">
        <v>0.4100003896608938</v>
      </c>
    </row>
    <row r="1011" spans="1:13" x14ac:dyDescent="0.2">
      <c r="A1011">
        <v>1009</v>
      </c>
      <c r="B1011">
        <v>600</v>
      </c>
      <c r="C1011">
        <v>74.333333333333613</v>
      </c>
      <c r="D1011">
        <v>21</v>
      </c>
      <c r="E1011">
        <v>133.70262500394659</v>
      </c>
      <c r="F1011">
        <v>29.484179323848309</v>
      </c>
      <c r="G1011">
        <v>548.26076593570826</v>
      </c>
      <c r="H1011">
        <v>7.3757053713323701</v>
      </c>
      <c r="I1011">
        <v>2.7840774547312388</v>
      </c>
      <c r="J1011">
        <v>5.1893335596108825</v>
      </c>
      <c r="K1011">
        <v>557.55444418001798</v>
      </c>
      <c r="L1011">
        <v>8.255429764615398</v>
      </c>
      <c r="M1011">
        <v>0.41000118823335113</v>
      </c>
    </row>
    <row r="1012" spans="1:13" x14ac:dyDescent="0.2">
      <c r="A1012">
        <v>1010</v>
      </c>
      <c r="B1012">
        <v>600</v>
      </c>
      <c r="C1012">
        <v>78.333333333333456</v>
      </c>
      <c r="D1012">
        <v>92</v>
      </c>
      <c r="E1012">
        <v>86.417573904652031</v>
      </c>
      <c r="F1012">
        <v>53.961230953047497</v>
      </c>
      <c r="G1012">
        <v>791.11407945744861</v>
      </c>
      <c r="H1012">
        <v>10.099328673924861</v>
      </c>
      <c r="I1012">
        <v>4.3530434676091385</v>
      </c>
      <c r="J1012">
        <v>8.1137809275100423</v>
      </c>
      <c r="K1012">
        <v>804.52364294598965</v>
      </c>
      <c r="L1012">
        <v>11.01829822431235</v>
      </c>
      <c r="M1012">
        <v>0.41000062355366318</v>
      </c>
    </row>
    <row r="1013" spans="1:13" x14ac:dyDescent="0.2">
      <c r="A1013">
        <v>1011</v>
      </c>
      <c r="B1013">
        <v>600</v>
      </c>
      <c r="C1013">
        <v>75.250000000000327</v>
      </c>
      <c r="D1013">
        <v>98</v>
      </c>
      <c r="E1013">
        <v>71.462884976662693</v>
      </c>
      <c r="F1013">
        <v>39.307646949066289</v>
      </c>
      <c r="G1013">
        <v>519.6184249040848</v>
      </c>
      <c r="H1013">
        <v>6.9052282379280072</v>
      </c>
      <c r="I1013">
        <v>3.2245769494484793</v>
      </c>
      <c r="J1013">
        <v>6.010395059549821</v>
      </c>
      <c r="K1013">
        <v>528.42643489075806</v>
      </c>
      <c r="L1013">
        <v>8.0441235072489778</v>
      </c>
      <c r="M1013">
        <v>0.41000102501135577</v>
      </c>
    </row>
    <row r="1014" spans="1:13" x14ac:dyDescent="0.2">
      <c r="A1014">
        <v>1012</v>
      </c>
      <c r="B1014">
        <v>600</v>
      </c>
      <c r="C1014">
        <v>74.666666666666856</v>
      </c>
      <c r="D1014">
        <v>100</v>
      </c>
      <c r="E1014">
        <v>66.729022899899292</v>
      </c>
      <c r="F1014">
        <v>34.971914873265035</v>
      </c>
      <c r="G1014">
        <v>445.36226159692518</v>
      </c>
      <c r="H1014">
        <v>5.9646731463873754</v>
      </c>
      <c r="I1014">
        <v>2.8702438801026218</v>
      </c>
      <c r="J1014">
        <v>5.3499419945994804</v>
      </c>
      <c r="K1014">
        <v>452.91163893080625</v>
      </c>
      <c r="L1014">
        <v>7.0260519153255316</v>
      </c>
      <c r="M1014">
        <v>0.4100011260717914</v>
      </c>
    </row>
    <row r="1015" spans="1:13" x14ac:dyDescent="0.2">
      <c r="A1015">
        <v>1013</v>
      </c>
      <c r="B1015">
        <v>600</v>
      </c>
      <c r="C1015">
        <v>77.916666666666728</v>
      </c>
      <c r="D1015">
        <v>100</v>
      </c>
      <c r="E1015">
        <v>78.907054523812704</v>
      </c>
      <c r="F1015">
        <v>48.901428481150752</v>
      </c>
      <c r="G1015">
        <v>682.29254456392198</v>
      </c>
      <c r="H1015">
        <v>8.756695759109153</v>
      </c>
      <c r="I1015">
        <v>4.1013559610603423</v>
      </c>
      <c r="J1015">
        <v>7.6446523039335359</v>
      </c>
      <c r="K1015">
        <v>693.85760924330589</v>
      </c>
      <c r="L1015">
        <v>10.362307495294804</v>
      </c>
      <c r="M1015">
        <v>0.41000066687342057</v>
      </c>
    </row>
    <row r="1016" spans="1:13" x14ac:dyDescent="0.2">
      <c r="A1016">
        <v>1014</v>
      </c>
      <c r="B1016">
        <v>600</v>
      </c>
      <c r="C1016">
        <v>78.500000000000185</v>
      </c>
      <c r="D1016">
        <v>100</v>
      </c>
      <c r="E1016">
        <v>77.103469334304293</v>
      </c>
      <c r="F1016">
        <v>46.691488714502412</v>
      </c>
      <c r="G1016">
        <v>643.30513162616955</v>
      </c>
      <c r="H1016">
        <v>8.1949698296327131</v>
      </c>
      <c r="I1016">
        <v>3.722184060805207</v>
      </c>
      <c r="J1016">
        <v>6.9379013248932093</v>
      </c>
      <c r="K1016">
        <v>654.20928151960652</v>
      </c>
      <c r="L1016">
        <v>9.0776349039027036</v>
      </c>
      <c r="M1016">
        <v>0.41000060702420055</v>
      </c>
    </row>
    <row r="1017" spans="1:13" x14ac:dyDescent="0.2">
      <c r="A1017">
        <v>1015</v>
      </c>
      <c r="B1017">
        <v>600</v>
      </c>
      <c r="C1017">
        <v>75.500000000000313</v>
      </c>
      <c r="D1017">
        <v>100</v>
      </c>
      <c r="E1017">
        <v>77.755874449970264</v>
      </c>
      <c r="F1017">
        <v>47.484984553610587</v>
      </c>
      <c r="G1017">
        <v>657.24687969799288</v>
      </c>
      <c r="H1017">
        <v>8.7052566847415918</v>
      </c>
      <c r="I1017">
        <v>3.7855699264739329</v>
      </c>
      <c r="J1017">
        <v>7.0560483252077022</v>
      </c>
      <c r="K1017">
        <v>668.38777265007923</v>
      </c>
      <c r="L1017">
        <v>9.5406085057970795</v>
      </c>
      <c r="M1017">
        <v>0.41000098452541767</v>
      </c>
    </row>
    <row r="1018" spans="1:13" x14ac:dyDescent="0.2">
      <c r="A1018">
        <v>1016</v>
      </c>
      <c r="B1018">
        <v>600</v>
      </c>
      <c r="C1018">
        <v>77.666666666666728</v>
      </c>
      <c r="D1018">
        <v>100</v>
      </c>
      <c r="E1018">
        <v>81.309166731111134</v>
      </c>
      <c r="F1018">
        <v>51.92409096815144</v>
      </c>
      <c r="G1018">
        <v>736.3969134466779</v>
      </c>
      <c r="H1018">
        <v>9.4815053233477755</v>
      </c>
      <c r="I1018">
        <v>4.1521506617722537</v>
      </c>
      <c r="J1018">
        <v>7.7393302176556453</v>
      </c>
      <c r="K1018">
        <v>748.87909832602463</v>
      </c>
      <c r="L1018">
        <v>10.355679206224606</v>
      </c>
      <c r="M1018">
        <v>0.41000069429678165</v>
      </c>
    </row>
    <row r="1019" spans="1:13" x14ac:dyDescent="0.2">
      <c r="A1019">
        <v>1017</v>
      </c>
      <c r="B1019">
        <v>600</v>
      </c>
      <c r="C1019">
        <v>77.166666666666757</v>
      </c>
      <c r="D1019">
        <v>99</v>
      </c>
      <c r="E1019">
        <v>72.276892374321932</v>
      </c>
      <c r="F1019">
        <v>40.618512839641276</v>
      </c>
      <c r="G1019">
        <v>540.27025009953911</v>
      </c>
      <c r="H1019">
        <v>7.0013423339033061</v>
      </c>
      <c r="I1019">
        <v>3.360681352939956</v>
      </c>
      <c r="J1019">
        <v>6.2640845348368233</v>
      </c>
      <c r="K1019">
        <v>549.42807380417594</v>
      </c>
      <c r="L1019">
        <v>8.255416177701667</v>
      </c>
      <c r="M1019">
        <v>0.41000075257301194</v>
      </c>
    </row>
    <row r="1020" spans="1:13" x14ac:dyDescent="0.2">
      <c r="A1020">
        <v>1018</v>
      </c>
      <c r="B1020">
        <v>600</v>
      </c>
      <c r="C1020">
        <v>78.333333333333456</v>
      </c>
      <c r="D1020">
        <v>100</v>
      </c>
      <c r="E1020">
        <v>78.010965231237435</v>
      </c>
      <c r="F1020">
        <v>47.797060038495594</v>
      </c>
      <c r="G1020">
        <v>662.74809160683196</v>
      </c>
      <c r="H1020">
        <v>8.4606139354063519</v>
      </c>
      <c r="I1020">
        <v>3.8603845111332658</v>
      </c>
      <c r="J1020">
        <v>7.1954976908355359</v>
      </c>
      <c r="K1020">
        <v>673.98182242022631</v>
      </c>
      <c r="L1020">
        <v>9.4893685525234392</v>
      </c>
      <c r="M1020">
        <v>0.41000062355366318</v>
      </c>
    </row>
    <row r="1021" spans="1:13" x14ac:dyDescent="0.2">
      <c r="A1021">
        <v>1019</v>
      </c>
      <c r="B1021">
        <v>600</v>
      </c>
      <c r="C1021">
        <v>75.416666666666828</v>
      </c>
      <c r="D1021">
        <v>100</v>
      </c>
      <c r="E1021">
        <v>74.774022313887571</v>
      </c>
      <c r="F1021">
        <v>43.912824072399751</v>
      </c>
      <c r="G1021">
        <v>594.99489616785115</v>
      </c>
      <c r="H1021">
        <v>7.8894350873085068</v>
      </c>
      <c r="I1021">
        <v>3.599478874504745</v>
      </c>
      <c r="J1021">
        <v>6.7091870913415548</v>
      </c>
      <c r="K1021">
        <v>605.08057876988039</v>
      </c>
      <c r="L1021">
        <v>8.9825692109121587</v>
      </c>
      <c r="M1021">
        <v>0.41000099783985799</v>
      </c>
    </row>
    <row r="1022" spans="1:13" x14ac:dyDescent="0.2">
      <c r="A1022">
        <v>1020</v>
      </c>
      <c r="B1022">
        <v>600</v>
      </c>
      <c r="C1022">
        <v>75.500000000000313</v>
      </c>
      <c r="D1022">
        <v>100</v>
      </c>
      <c r="E1022">
        <v>71.871703044287486</v>
      </c>
      <c r="F1022">
        <v>40.570069629440304</v>
      </c>
      <c r="G1022">
        <v>537.97576676159144</v>
      </c>
      <c r="H1022">
        <v>7.1255068445243603</v>
      </c>
      <c r="I1022">
        <v>3.2756377081036696</v>
      </c>
      <c r="J1022">
        <v>6.1055688874252922</v>
      </c>
      <c r="K1022">
        <v>547.09491302678407</v>
      </c>
      <c r="L1022">
        <v>8.0817942696711054</v>
      </c>
      <c r="M1022">
        <v>0.41000098452541767</v>
      </c>
    </row>
    <row r="1023" spans="1:13" x14ac:dyDescent="0.2">
      <c r="A1023">
        <v>1021</v>
      </c>
      <c r="B1023">
        <v>600</v>
      </c>
      <c r="C1023">
        <v>79.166666666666671</v>
      </c>
      <c r="D1023">
        <v>99</v>
      </c>
      <c r="E1023">
        <v>83.437095948846675</v>
      </c>
      <c r="F1023">
        <v>54.130674145899683</v>
      </c>
      <c r="G1023">
        <v>778.57052286052863</v>
      </c>
      <c r="H1023">
        <v>9.8345750256066768</v>
      </c>
      <c r="I1023">
        <v>4.3836608856862531</v>
      </c>
      <c r="J1023">
        <v>8.1708497403285243</v>
      </c>
      <c r="K1023">
        <v>791.76736502856659</v>
      </c>
      <c r="L1023">
        <v>11.073451058328866</v>
      </c>
      <c r="M1023">
        <v>0.4100005451734387</v>
      </c>
    </row>
    <row r="1024" spans="1:13" x14ac:dyDescent="0.2">
      <c r="A1024">
        <v>1022</v>
      </c>
      <c r="B1024">
        <v>600</v>
      </c>
      <c r="C1024">
        <v>73.500000000000398</v>
      </c>
      <c r="D1024">
        <v>100</v>
      </c>
      <c r="E1024">
        <v>65.118614408645939</v>
      </c>
      <c r="F1024">
        <v>33.304290304492007</v>
      </c>
      <c r="G1024">
        <v>418.51878523885085</v>
      </c>
      <c r="H1024">
        <v>5.6941331325013413</v>
      </c>
      <c r="I1024">
        <v>2.7134398729085558</v>
      </c>
      <c r="J1024">
        <v>5.0576698469870562</v>
      </c>
      <c r="K1024">
        <v>425.61330437344049</v>
      </c>
      <c r="L1024">
        <v>6.6229453985069853</v>
      </c>
      <c r="M1024">
        <v>0.41000135906705326</v>
      </c>
    </row>
    <row r="1025" spans="1:13" x14ac:dyDescent="0.2">
      <c r="A1025">
        <v>1023</v>
      </c>
      <c r="B1025">
        <v>600</v>
      </c>
      <c r="C1025">
        <v>76.666666666666771</v>
      </c>
      <c r="D1025">
        <v>100</v>
      </c>
      <c r="E1025">
        <v>77.55351125044858</v>
      </c>
      <c r="F1025">
        <v>47.238142517200068</v>
      </c>
      <c r="G1025">
        <v>652.90306444089003</v>
      </c>
      <c r="H1025">
        <v>8.516126927489859</v>
      </c>
      <c r="I1025">
        <v>3.798715215345648</v>
      </c>
      <c r="J1025">
        <v>7.0805502615948699</v>
      </c>
      <c r="K1025">
        <v>663.97013608812426</v>
      </c>
      <c r="L1025">
        <v>9.4587832673890926</v>
      </c>
      <c r="M1025">
        <v>0.41000081574069358</v>
      </c>
    </row>
    <row r="1026" spans="1:13" x14ac:dyDescent="0.2">
      <c r="A1026">
        <v>1024</v>
      </c>
      <c r="B1026">
        <v>600</v>
      </c>
      <c r="C1026">
        <v>77.083333333333499</v>
      </c>
      <c r="D1026">
        <v>100</v>
      </c>
      <c r="E1026">
        <v>78.917139540905069</v>
      </c>
      <c r="F1026">
        <v>48.91392934716071</v>
      </c>
      <c r="G1026">
        <v>682.51436103544461</v>
      </c>
      <c r="H1026">
        <v>8.8542403593787213</v>
      </c>
      <c r="I1026">
        <v>4.0527765725828031</v>
      </c>
      <c r="J1026">
        <v>7.5541035835653361</v>
      </c>
      <c r="K1026">
        <v>694.08329836222879</v>
      </c>
      <c r="L1026">
        <v>10.247679582463762</v>
      </c>
      <c r="M1026">
        <v>0.41000076275059422</v>
      </c>
    </row>
    <row r="1027" spans="1:13" x14ac:dyDescent="0.2">
      <c r="A1027">
        <v>1025</v>
      </c>
      <c r="B1027">
        <v>600</v>
      </c>
      <c r="C1027">
        <v>77.166666666666757</v>
      </c>
      <c r="D1027">
        <v>100</v>
      </c>
      <c r="E1027">
        <v>80.619983416297657</v>
      </c>
      <c r="F1027">
        <v>51.047595504866607</v>
      </c>
      <c r="G1027">
        <v>720.61725117860158</v>
      </c>
      <c r="H1027">
        <v>9.3384524990747408</v>
      </c>
      <c r="I1027">
        <v>4.1504061359877396</v>
      </c>
      <c r="J1027">
        <v>7.7360785386537536</v>
      </c>
      <c r="K1027">
        <v>732.83203765555038</v>
      </c>
      <c r="L1027">
        <v>10.496463427231404</v>
      </c>
      <c r="M1027">
        <v>0.41000075257301194</v>
      </c>
    </row>
    <row r="1028" spans="1:13" x14ac:dyDescent="0.2">
      <c r="A1028">
        <v>1026</v>
      </c>
      <c r="B1028">
        <v>600</v>
      </c>
      <c r="C1028">
        <v>77.583333333333485</v>
      </c>
      <c r="D1028">
        <v>99</v>
      </c>
      <c r="E1028">
        <v>74.991724505633783</v>
      </c>
      <c r="F1028">
        <v>43.727208912943759</v>
      </c>
      <c r="G1028">
        <v>593.41918574660701</v>
      </c>
      <c r="H1028">
        <v>7.6487972384095277</v>
      </c>
      <c r="I1028">
        <v>3.4927315273051298</v>
      </c>
      <c r="J1028">
        <v>6.5102171990775943</v>
      </c>
      <c r="K1028">
        <v>603.47785780853667</v>
      </c>
      <c r="L1028">
        <v>8.5182132308402831</v>
      </c>
      <c r="M1028">
        <v>0.41000070368625285</v>
      </c>
    </row>
    <row r="1029" spans="1:13" x14ac:dyDescent="0.2">
      <c r="A1029">
        <v>1027</v>
      </c>
      <c r="B1029">
        <v>600</v>
      </c>
      <c r="C1029">
        <v>79.166666666666671</v>
      </c>
      <c r="D1029">
        <v>98</v>
      </c>
      <c r="E1029">
        <v>86.773769040597585</v>
      </c>
      <c r="F1029">
        <v>57.955262889479478</v>
      </c>
      <c r="G1029">
        <v>851.57568206276085</v>
      </c>
      <c r="H1029">
        <v>10.756745457634873</v>
      </c>
      <c r="I1029">
        <v>4.638591087770954</v>
      </c>
      <c r="J1029">
        <v>8.6460225307939496</v>
      </c>
      <c r="K1029">
        <v>866.00996841235417</v>
      </c>
      <c r="L1029">
        <v>11.865603616479708</v>
      </c>
      <c r="M1029">
        <v>0.4100005451734387</v>
      </c>
    </row>
    <row r="1030" spans="1:13" x14ac:dyDescent="0.2">
      <c r="A1030">
        <v>1028</v>
      </c>
      <c r="B1030">
        <v>600</v>
      </c>
      <c r="C1030">
        <v>78.166666666666714</v>
      </c>
      <c r="D1030">
        <v>100</v>
      </c>
      <c r="E1030">
        <v>82.963198520366277</v>
      </c>
      <c r="F1030">
        <v>54.05810978138733</v>
      </c>
      <c r="G1030">
        <v>775.11811458571503</v>
      </c>
      <c r="H1030">
        <v>9.9162232143161777</v>
      </c>
      <c r="I1030">
        <v>4.386611630571756</v>
      </c>
      <c r="J1030">
        <v>8.1763497307954438</v>
      </c>
      <c r="K1030">
        <v>788.25656551856241</v>
      </c>
      <c r="L1030">
        <v>11.094714883198357</v>
      </c>
      <c r="M1030">
        <v>0.41000064053322849</v>
      </c>
    </row>
    <row r="1031" spans="1:13" x14ac:dyDescent="0.2">
      <c r="A1031">
        <v>1029</v>
      </c>
      <c r="B1031">
        <v>600</v>
      </c>
      <c r="C1031">
        <v>74.916666666666856</v>
      </c>
      <c r="D1031">
        <v>33</v>
      </c>
      <c r="E1031">
        <v>126.98985988565968</v>
      </c>
      <c r="F1031">
        <v>41.796691844456959</v>
      </c>
      <c r="G1031">
        <v>755.70916385751343</v>
      </c>
      <c r="H1031">
        <v>10.087330329577462</v>
      </c>
      <c r="I1031">
        <v>3.8902845960130459</v>
      </c>
      <c r="J1031">
        <v>7.2512294427083797</v>
      </c>
      <c r="K1031">
        <v>768.51920261083524</v>
      </c>
      <c r="L1031">
        <v>11.549176105970428</v>
      </c>
      <c r="M1031">
        <v>0.41000108159416432</v>
      </c>
    </row>
    <row r="1032" spans="1:13" x14ac:dyDescent="0.2">
      <c r="A1032">
        <v>1030</v>
      </c>
      <c r="B1032">
        <v>600</v>
      </c>
      <c r="C1032">
        <v>77.333333333333499</v>
      </c>
      <c r="D1032">
        <v>90</v>
      </c>
      <c r="E1032">
        <v>79.877283098665131</v>
      </c>
      <c r="F1032">
        <v>45.100251114932874</v>
      </c>
      <c r="G1032">
        <v>633.45965662665071</v>
      </c>
      <c r="H1032">
        <v>8.191288663275639</v>
      </c>
      <c r="I1032">
        <v>3.7112775962962177</v>
      </c>
      <c r="J1032">
        <v>6.9175724068895015</v>
      </c>
      <c r="K1032">
        <v>644.19706089806505</v>
      </c>
      <c r="L1032">
        <v>9.250613737516046</v>
      </c>
      <c r="M1032">
        <v>0.41000073262344178</v>
      </c>
    </row>
    <row r="1033" spans="1:13" x14ac:dyDescent="0.2">
      <c r="A1033">
        <v>1031</v>
      </c>
      <c r="B1033">
        <v>600</v>
      </c>
      <c r="C1033">
        <v>76.916666666666771</v>
      </c>
      <c r="D1033">
        <v>100</v>
      </c>
      <c r="E1033">
        <v>77.041615244276073</v>
      </c>
      <c r="F1033">
        <v>46.616604895676986</v>
      </c>
      <c r="G1033">
        <v>641.99250103198312</v>
      </c>
      <c r="H1033">
        <v>8.3465980632543744</v>
      </c>
      <c r="I1033">
        <v>3.9150132961752009</v>
      </c>
      <c r="J1033">
        <v>7.2973220804756762</v>
      </c>
      <c r="K1033">
        <v>652.87459688109163</v>
      </c>
      <c r="L1033">
        <v>9.928025496459508</v>
      </c>
      <c r="M1033">
        <v>0.41000078352053626</v>
      </c>
    </row>
    <row r="1034" spans="1:13" x14ac:dyDescent="0.2">
      <c r="A1034">
        <v>1032</v>
      </c>
      <c r="B1034">
        <v>600</v>
      </c>
      <c r="C1034">
        <v>77.083333333333499</v>
      </c>
      <c r="D1034">
        <v>100</v>
      </c>
      <c r="E1034">
        <v>77.649075599404654</v>
      </c>
      <c r="F1034">
        <v>47.354631470358441</v>
      </c>
      <c r="G1034">
        <v>654.95236389893648</v>
      </c>
      <c r="H1034">
        <v>8.496679315445645</v>
      </c>
      <c r="I1034">
        <v>3.9330577665623609</v>
      </c>
      <c r="J1034">
        <v>7.3309557624647912</v>
      </c>
      <c r="K1034">
        <v>666.05411249581687</v>
      </c>
      <c r="L1034">
        <v>9.9030657634459338</v>
      </c>
      <c r="M1034">
        <v>0.41000076275059422</v>
      </c>
    </row>
    <row r="1035" spans="1:13" x14ac:dyDescent="0.2">
      <c r="A1035">
        <v>1033</v>
      </c>
      <c r="B1035">
        <v>600</v>
      </c>
      <c r="C1035">
        <v>76.583333333333528</v>
      </c>
      <c r="D1035">
        <v>100</v>
      </c>
      <c r="E1035">
        <v>81.089168552254051</v>
      </c>
      <c r="F1035">
        <v>51.643489111576237</v>
      </c>
      <c r="G1035">
        <v>731.33710412015489</v>
      </c>
      <c r="H1035">
        <v>9.5495595750183195</v>
      </c>
      <c r="I1035">
        <v>4.1335592129568877</v>
      </c>
      <c r="J1035">
        <v>7.7046770045794721</v>
      </c>
      <c r="K1035">
        <v>743.73369045878565</v>
      </c>
      <c r="L1035">
        <v>10.406312839350026</v>
      </c>
      <c r="M1035">
        <v>0.41000082677253757</v>
      </c>
    </row>
    <row r="1036" spans="1:13" x14ac:dyDescent="0.2">
      <c r="A1036">
        <v>1034</v>
      </c>
      <c r="B1036">
        <v>600</v>
      </c>
      <c r="C1036">
        <v>75.916666666666814</v>
      </c>
      <c r="D1036">
        <v>99</v>
      </c>
      <c r="E1036">
        <v>73.034004064895029</v>
      </c>
      <c r="F1036">
        <v>41.473940344446163</v>
      </c>
      <c r="G1036">
        <v>554.78834183869708</v>
      </c>
      <c r="H1036">
        <v>7.3078596070958861</v>
      </c>
      <c r="I1036">
        <v>3.4842888321575458</v>
      </c>
      <c r="J1036">
        <v>6.494480581840719</v>
      </c>
      <c r="K1036">
        <v>564.1924143770799</v>
      </c>
      <c r="L1036">
        <v>8.8232204250680102</v>
      </c>
      <c r="M1036">
        <v>0.41000092057114862</v>
      </c>
    </row>
    <row r="1037" spans="1:13" x14ac:dyDescent="0.2">
      <c r="A1037">
        <v>1035</v>
      </c>
      <c r="B1037">
        <v>600</v>
      </c>
      <c r="C1037">
        <v>78.250000000000199</v>
      </c>
      <c r="D1037">
        <v>99</v>
      </c>
      <c r="E1037">
        <v>84.782533449811865</v>
      </c>
      <c r="F1037">
        <v>55.890482099870468</v>
      </c>
      <c r="G1037">
        <v>810.91709952362783</v>
      </c>
      <c r="H1037">
        <v>10.363157821388189</v>
      </c>
      <c r="I1037">
        <v>4.4789519412444685</v>
      </c>
      <c r="J1037">
        <v>8.3484658737082356</v>
      </c>
      <c r="K1037">
        <v>824.66234049081493</v>
      </c>
      <c r="L1037">
        <v>11.332938109479546</v>
      </c>
      <c r="M1037">
        <v>0.41000063198642472</v>
      </c>
    </row>
    <row r="1038" spans="1:13" x14ac:dyDescent="0.2">
      <c r="A1038">
        <v>1036</v>
      </c>
      <c r="B1038">
        <v>600</v>
      </c>
      <c r="C1038">
        <v>78.583333333333442</v>
      </c>
      <c r="D1038">
        <v>100</v>
      </c>
      <c r="E1038">
        <v>87.830593629319097</v>
      </c>
      <c r="F1038">
        <v>60.587288614909973</v>
      </c>
      <c r="G1038">
        <v>896.13931505677942</v>
      </c>
      <c r="H1038">
        <v>11.403681633808418</v>
      </c>
      <c r="I1038">
        <v>4.764121215153228</v>
      </c>
      <c r="J1038">
        <v>8.8800022649640784</v>
      </c>
      <c r="K1038">
        <v>911.32904212097219</v>
      </c>
      <c r="L1038">
        <v>12.06974652592393</v>
      </c>
      <c r="M1038">
        <v>0.41000059892451662</v>
      </c>
    </row>
    <row r="1039" spans="1:13" x14ac:dyDescent="0.2">
      <c r="A1039">
        <v>1037</v>
      </c>
      <c r="B1039">
        <v>600</v>
      </c>
      <c r="C1039">
        <v>79.333333333333414</v>
      </c>
      <c r="D1039">
        <v>100</v>
      </c>
      <c r="E1039">
        <v>86.352615636296335</v>
      </c>
      <c r="F1039">
        <v>58.565367829358138</v>
      </c>
      <c r="G1039">
        <v>858.26287086371167</v>
      </c>
      <c r="H1039">
        <v>10.818439548702235</v>
      </c>
      <c r="I1039">
        <v>4.6563111742894963</v>
      </c>
      <c r="J1039">
        <v>8.6790515830186319</v>
      </c>
      <c r="K1039">
        <v>872.81048430119631</v>
      </c>
      <c r="L1039">
        <v>11.76631457039343</v>
      </c>
      <c r="M1039">
        <v>0.41000053072171699</v>
      </c>
    </row>
    <row r="1040" spans="1:13" x14ac:dyDescent="0.2">
      <c r="A1040">
        <v>1038</v>
      </c>
      <c r="B1040">
        <v>600</v>
      </c>
      <c r="C1040">
        <v>75.500000000000313</v>
      </c>
      <c r="D1040">
        <v>98</v>
      </c>
      <c r="E1040">
        <v>70.888285470044664</v>
      </c>
      <c r="F1040">
        <v>38.678079524848826</v>
      </c>
      <c r="G1040">
        <v>509.05261135376531</v>
      </c>
      <c r="H1040">
        <v>6.7424186934273269</v>
      </c>
      <c r="I1040">
        <v>3.0608801576493643</v>
      </c>
      <c r="J1040">
        <v>5.7052752239503519</v>
      </c>
      <c r="K1040">
        <v>517.68148556413553</v>
      </c>
      <c r="L1040">
        <v>7.5237986583899072</v>
      </c>
      <c r="M1040">
        <v>0.41000098452541767</v>
      </c>
    </row>
    <row r="1041" spans="1:13" x14ac:dyDescent="0.2">
      <c r="A1041">
        <v>1039</v>
      </c>
      <c r="B1041">
        <v>600</v>
      </c>
      <c r="C1041">
        <v>78.166666666666714</v>
      </c>
      <c r="D1041">
        <v>100</v>
      </c>
      <c r="E1041">
        <v>76.84963346703428</v>
      </c>
      <c r="F1041">
        <v>46.384564384904898</v>
      </c>
      <c r="G1041">
        <v>637.92948662281822</v>
      </c>
      <c r="H1041">
        <v>8.1611448182023612</v>
      </c>
      <c r="I1041">
        <v>3.7881341862174431</v>
      </c>
      <c r="J1041">
        <v>7.0608279333037141</v>
      </c>
      <c r="K1041">
        <v>648.74255510992236</v>
      </c>
      <c r="L1041">
        <v>9.3745817846592363</v>
      </c>
      <c r="M1041">
        <v>0.41000064053322849</v>
      </c>
    </row>
    <row r="1042" spans="1:13" x14ac:dyDescent="0.2">
      <c r="A1042">
        <v>1040</v>
      </c>
      <c r="B1042">
        <v>600</v>
      </c>
      <c r="C1042">
        <v>75.916666666666814</v>
      </c>
      <c r="D1042">
        <v>100</v>
      </c>
      <c r="E1042">
        <v>70.08451014845177</v>
      </c>
      <c r="F1042">
        <v>38.577489860873868</v>
      </c>
      <c r="G1042">
        <v>504.58483247608751</v>
      </c>
      <c r="H1042">
        <v>6.6465620084665629</v>
      </c>
      <c r="I1042">
        <v>3.2882705340540377</v>
      </c>
      <c r="J1042">
        <v>6.1291156273141425</v>
      </c>
      <c r="K1042">
        <v>513.13791841629734</v>
      </c>
      <c r="L1042">
        <v>8.234335715058215</v>
      </c>
      <c r="M1042">
        <v>0.41000092057114862</v>
      </c>
    </row>
    <row r="1043" spans="1:13" x14ac:dyDescent="0.2">
      <c r="A1043">
        <v>1041</v>
      </c>
      <c r="B1043">
        <v>600</v>
      </c>
      <c r="C1043">
        <v>74.166666666666885</v>
      </c>
      <c r="D1043">
        <v>98</v>
      </c>
      <c r="E1043">
        <v>69.416544222900768</v>
      </c>
      <c r="F1043">
        <v>37.08872771930114</v>
      </c>
      <c r="G1043">
        <v>482.5879845512726</v>
      </c>
      <c r="H1043">
        <v>6.506804286084555</v>
      </c>
      <c r="I1043">
        <v>3.0791926388823403</v>
      </c>
      <c r="J1043">
        <v>5.7394084601721156</v>
      </c>
      <c r="K1043">
        <v>490.76845721610709</v>
      </c>
      <c r="L1043">
        <v>7.7528465565279783</v>
      </c>
      <c r="M1043">
        <v>0.41000122058932448</v>
      </c>
    </row>
    <row r="1044" spans="1:13" x14ac:dyDescent="0.2">
      <c r="A1044">
        <v>1042</v>
      </c>
      <c r="B1044">
        <v>600</v>
      </c>
      <c r="C1044">
        <v>79.000000000000171</v>
      </c>
      <c r="D1044">
        <v>100</v>
      </c>
      <c r="E1044">
        <v>82.857653120940768</v>
      </c>
      <c r="F1044">
        <v>53.920652316357057</v>
      </c>
      <c r="G1044">
        <v>772.61135207841471</v>
      </c>
      <c r="H1044">
        <v>9.7798905326381398</v>
      </c>
      <c r="I1044">
        <v>4.4594874167693073</v>
      </c>
      <c r="J1044">
        <v>8.3121853061869651</v>
      </c>
      <c r="K1044">
        <v>785.70720552163596</v>
      </c>
      <c r="L1044">
        <v>11.341771881486991</v>
      </c>
      <c r="M1044">
        <v>0.41000056001868546</v>
      </c>
    </row>
    <row r="1045" spans="1:13" x14ac:dyDescent="0.2">
      <c r="A1045">
        <v>1043</v>
      </c>
      <c r="B1045">
        <v>600</v>
      </c>
      <c r="C1045">
        <v>78.666666666666686</v>
      </c>
      <c r="D1045">
        <v>100</v>
      </c>
      <c r="E1045">
        <v>78.031371755780214</v>
      </c>
      <c r="F1045">
        <v>47.822069329108693</v>
      </c>
      <c r="G1045">
        <v>663.18937978790552</v>
      </c>
      <c r="H1045">
        <v>8.4303734718801522</v>
      </c>
      <c r="I1045">
        <v>3.8443647158113183</v>
      </c>
      <c r="J1045">
        <v>7.1656378673090728</v>
      </c>
      <c r="K1045">
        <v>674.43055324737622</v>
      </c>
      <c r="L1045">
        <v>9.4060980986697889</v>
      </c>
      <c r="M1045">
        <v>0.41000059093290886</v>
      </c>
    </row>
    <row r="1046" spans="1:13" x14ac:dyDescent="0.2">
      <c r="A1046">
        <v>1044</v>
      </c>
      <c r="B1046">
        <v>600</v>
      </c>
      <c r="C1046">
        <v>76.250000000000284</v>
      </c>
      <c r="D1046">
        <v>99</v>
      </c>
      <c r="E1046">
        <v>67.30270135861592</v>
      </c>
      <c r="F1046">
        <v>35.220058099892974</v>
      </c>
      <c r="G1046">
        <v>450.61879683489133</v>
      </c>
      <c r="H1046">
        <v>5.9097547125887164</v>
      </c>
      <c r="I1046">
        <v>2.9417890767208972</v>
      </c>
      <c r="J1046">
        <v>5.4832974402999008</v>
      </c>
      <c r="K1046">
        <v>458.2570811694514</v>
      </c>
      <c r="L1046">
        <v>7.1340745242015169</v>
      </c>
      <c r="M1046">
        <v>0.4100008724121415</v>
      </c>
    </row>
    <row r="1047" spans="1:13" x14ac:dyDescent="0.2">
      <c r="A1047">
        <v>1045</v>
      </c>
      <c r="B1047">
        <v>600</v>
      </c>
      <c r="C1047">
        <v>76.916666666666771</v>
      </c>
      <c r="D1047">
        <v>98</v>
      </c>
      <c r="E1047">
        <v>74.041870871484491</v>
      </c>
      <c r="F1047">
        <v>42.19594570025783</v>
      </c>
      <c r="G1047">
        <v>568.6762045784277</v>
      </c>
      <c r="H1047">
        <v>7.3934067767509459</v>
      </c>
      <c r="I1047">
        <v>3.5600793855478039</v>
      </c>
      <c r="J1047">
        <v>6.6357490876939487</v>
      </c>
      <c r="K1047">
        <v>578.31555232062419</v>
      </c>
      <c r="L1047">
        <v>8.9334180060798172</v>
      </c>
      <c r="M1047">
        <v>0.41000078352053626</v>
      </c>
    </row>
    <row r="1048" spans="1:13" x14ac:dyDescent="0.2">
      <c r="A1048">
        <v>1046</v>
      </c>
      <c r="B1048">
        <v>600</v>
      </c>
      <c r="C1048">
        <v>78.4166666666667</v>
      </c>
      <c r="D1048">
        <v>100</v>
      </c>
      <c r="E1048">
        <v>79.294320501156506</v>
      </c>
      <c r="F1048">
        <v>49.382610599390105</v>
      </c>
      <c r="G1048">
        <v>690.84613362780669</v>
      </c>
      <c r="H1048">
        <v>8.8099400675171911</v>
      </c>
      <c r="I1048">
        <v>3.9424381484641131</v>
      </c>
      <c r="J1048">
        <v>7.3484401648911701</v>
      </c>
      <c r="K1048">
        <v>702.5561227333759</v>
      </c>
      <c r="L1048">
        <v>9.6833728446292042</v>
      </c>
      <c r="M1048">
        <v>0.41000061523342229</v>
      </c>
    </row>
    <row r="1049" spans="1:13" x14ac:dyDescent="0.2">
      <c r="A1049">
        <v>1047</v>
      </c>
      <c r="B1049">
        <v>600</v>
      </c>
      <c r="C1049">
        <v>79.916666666666643</v>
      </c>
      <c r="D1049">
        <v>100</v>
      </c>
      <c r="E1049">
        <v>79.455925753720933</v>
      </c>
      <c r="F1049">
        <v>49.58410350578599</v>
      </c>
      <c r="G1049">
        <v>694.4348031367166</v>
      </c>
      <c r="H1049">
        <v>8.6894865877378535</v>
      </c>
      <c r="I1049">
        <v>4.1178206406607023</v>
      </c>
      <c r="J1049">
        <v>7.6753413619025208</v>
      </c>
      <c r="K1049">
        <v>706.20546278632844</v>
      </c>
      <c r="L1049">
        <v>10.35258376317408</v>
      </c>
      <c r="M1049">
        <v>0.41000048309156739</v>
      </c>
    </row>
    <row r="1050" spans="1:13" x14ac:dyDescent="0.2">
      <c r="A1050">
        <v>1048</v>
      </c>
      <c r="B1050">
        <v>600</v>
      </c>
      <c r="C1050">
        <v>75.000000000000341</v>
      </c>
      <c r="D1050">
        <v>100</v>
      </c>
      <c r="E1050">
        <v>71.722716584217522</v>
      </c>
      <c r="F1050">
        <v>40.402044497369019</v>
      </c>
      <c r="G1050">
        <v>535.14239188809097</v>
      </c>
      <c r="H1050">
        <v>7.1352318918411806</v>
      </c>
      <c r="I1050">
        <v>3.3685525476842582</v>
      </c>
      <c r="J1050">
        <v>6.2787559136705644</v>
      </c>
      <c r="K1050">
        <v>544.21358626611061</v>
      </c>
      <c r="L1050">
        <v>8.5562461321041763</v>
      </c>
      <c r="M1050">
        <v>0.41000106716216822</v>
      </c>
    </row>
    <row r="1051" spans="1:13" x14ac:dyDescent="0.2">
      <c r="A1051">
        <v>1049</v>
      </c>
      <c r="B1051">
        <v>600</v>
      </c>
      <c r="C1051">
        <v>72.16666666666697</v>
      </c>
      <c r="D1051">
        <v>35</v>
      </c>
      <c r="E1051">
        <v>99.581046924160603</v>
      </c>
      <c r="F1051">
        <v>27.259086725908105</v>
      </c>
      <c r="G1051">
        <v>431.72528029636652</v>
      </c>
      <c r="H1051">
        <v>5.9823364475246841</v>
      </c>
      <c r="I1051">
        <v>2.6643838338291994</v>
      </c>
      <c r="J1051">
        <v>4.9662326818810794</v>
      </c>
      <c r="K1051">
        <v>439.04391176084494</v>
      </c>
      <c r="L1051">
        <v>7.5969050820048354</v>
      </c>
      <c r="M1051">
        <v>0.4100016849364238</v>
      </c>
    </row>
    <row r="1052" spans="1:13" x14ac:dyDescent="0.2">
      <c r="A1052">
        <v>1050</v>
      </c>
      <c r="B1052">
        <v>600</v>
      </c>
      <c r="C1052">
        <v>79.5833333333334</v>
      </c>
      <c r="D1052">
        <v>91</v>
      </c>
      <c r="E1052">
        <v>87.106806063390138</v>
      </c>
      <c r="F1052">
        <v>54.229481651627495</v>
      </c>
      <c r="G1052">
        <v>798.49468288673268</v>
      </c>
      <c r="H1052">
        <v>10.033441041508674</v>
      </c>
      <c r="I1052">
        <v>4.3654713845087185</v>
      </c>
      <c r="J1052">
        <v>8.1369457306779456</v>
      </c>
      <c r="K1052">
        <v>812.02919266344406</v>
      </c>
      <c r="L1052">
        <v>11.020896591675069</v>
      </c>
      <c r="M1052">
        <v>0.41000050975925018</v>
      </c>
    </row>
    <row r="1053" spans="1:13" x14ac:dyDescent="0.2">
      <c r="A1053">
        <v>1051</v>
      </c>
      <c r="B1053">
        <v>600</v>
      </c>
      <c r="C1053">
        <v>78.000000000000213</v>
      </c>
      <c r="D1053">
        <v>100</v>
      </c>
      <c r="E1053">
        <v>76.64988734651061</v>
      </c>
      <c r="F1053">
        <v>46.14375397407899</v>
      </c>
      <c r="G1053">
        <v>633.71858155026666</v>
      </c>
      <c r="H1053">
        <v>8.1245971993623716</v>
      </c>
      <c r="I1053">
        <v>3.8532043693702818</v>
      </c>
      <c r="J1053">
        <v>7.1821143883882215</v>
      </c>
      <c r="K1053">
        <v>644.46029316783017</v>
      </c>
      <c r="L1053">
        <v>9.6241980795039463</v>
      </c>
      <c r="M1053">
        <v>0.41000065797515273</v>
      </c>
    </row>
    <row r="1054" spans="1:13" x14ac:dyDescent="0.2">
      <c r="A1054">
        <v>1052</v>
      </c>
      <c r="B1054">
        <v>600</v>
      </c>
      <c r="C1054">
        <v>77.250000000000242</v>
      </c>
      <c r="D1054">
        <v>99</v>
      </c>
      <c r="E1054">
        <v>76.82359790776384</v>
      </c>
      <c r="F1054">
        <v>45.889609443085334</v>
      </c>
      <c r="G1054">
        <v>631.00576062141704</v>
      </c>
      <c r="H1054">
        <v>8.1683593607950176</v>
      </c>
      <c r="I1054">
        <v>3.7111712087562543</v>
      </c>
      <c r="J1054">
        <v>6.9173741076537825</v>
      </c>
      <c r="K1054">
        <v>641.70158111239937</v>
      </c>
      <c r="L1054">
        <v>9.2090998797878552</v>
      </c>
      <c r="M1054">
        <v>0.41000074253123181</v>
      </c>
    </row>
    <row r="1055" spans="1:13" x14ac:dyDescent="0.2">
      <c r="A1055">
        <v>1053</v>
      </c>
      <c r="B1055">
        <v>600</v>
      </c>
      <c r="C1055">
        <v>77.166666666666757</v>
      </c>
      <c r="D1055">
        <v>100</v>
      </c>
      <c r="E1055">
        <v>79.035735307848256</v>
      </c>
      <c r="F1055">
        <v>49.061054390606209</v>
      </c>
      <c r="G1055">
        <v>685.12743752254858</v>
      </c>
      <c r="H1055">
        <v>8.8785413069876604</v>
      </c>
      <c r="I1055">
        <v>4.0324527235314411</v>
      </c>
      <c r="J1055">
        <v>7.5162212926960699</v>
      </c>
      <c r="K1055">
        <v>696.74065569786933</v>
      </c>
      <c r="L1055">
        <v>10.144158635059206</v>
      </c>
      <c r="M1055">
        <v>0.41000075257301194</v>
      </c>
    </row>
    <row r="1056" spans="1:13" x14ac:dyDescent="0.2">
      <c r="A1056">
        <v>1054</v>
      </c>
      <c r="B1056">
        <v>600</v>
      </c>
      <c r="C1056">
        <v>76.666666666666771</v>
      </c>
      <c r="D1056">
        <v>99</v>
      </c>
      <c r="E1056">
        <v>76.5000157331841</v>
      </c>
      <c r="F1056">
        <v>45.503848094120833</v>
      </c>
      <c r="G1056">
        <v>624.26434959682808</v>
      </c>
      <c r="H1056">
        <v>8.1425784730020947</v>
      </c>
      <c r="I1056">
        <v>3.6569804760112623</v>
      </c>
      <c r="J1056">
        <v>6.816366218101142</v>
      </c>
      <c r="K1056">
        <v>634.84597903016288</v>
      </c>
      <c r="L1056">
        <v>9.0712746358391527</v>
      </c>
      <c r="M1056">
        <v>0.41000081574069358</v>
      </c>
    </row>
    <row r="1057" spans="1:13" x14ac:dyDescent="0.2">
      <c r="A1057">
        <v>1055</v>
      </c>
      <c r="B1057">
        <v>600</v>
      </c>
      <c r="C1057">
        <v>75.916666666666814</v>
      </c>
      <c r="D1057">
        <v>99</v>
      </c>
      <c r="E1057">
        <v>75.995779995366775</v>
      </c>
      <c r="F1057">
        <v>44.905964592251372</v>
      </c>
      <c r="G1057">
        <v>613.84674483324136</v>
      </c>
      <c r="H1057">
        <v>8.0857968583961384</v>
      </c>
      <c r="I1057">
        <v>3.7527421715840648</v>
      </c>
      <c r="J1057">
        <v>6.9948595928873516</v>
      </c>
      <c r="K1057">
        <v>624.25190096310882</v>
      </c>
      <c r="L1057">
        <v>9.6048338956026456</v>
      </c>
      <c r="M1057">
        <v>0.41000092057114862</v>
      </c>
    </row>
    <row r="1058" spans="1:13" x14ac:dyDescent="0.2">
      <c r="A1058">
        <v>1056</v>
      </c>
      <c r="B1058">
        <v>600</v>
      </c>
      <c r="C1058">
        <v>76.583333333333528</v>
      </c>
      <c r="D1058">
        <v>99</v>
      </c>
      <c r="E1058">
        <v>75.9633226739397</v>
      </c>
      <c r="F1058">
        <v>44.867614671335808</v>
      </c>
      <c r="G1058">
        <v>613.17991811929915</v>
      </c>
      <c r="H1058">
        <v>8.0067018688047558</v>
      </c>
      <c r="I1058">
        <v>3.5707056893226667</v>
      </c>
      <c r="J1058">
        <v>6.6555558048884738</v>
      </c>
      <c r="K1058">
        <v>623.57367190706213</v>
      </c>
      <c r="L1058">
        <v>8.8352352990273246</v>
      </c>
      <c r="M1058">
        <v>0.41000082677253757</v>
      </c>
    </row>
    <row r="1059" spans="1:13" x14ac:dyDescent="0.2">
      <c r="A1059">
        <v>1057</v>
      </c>
      <c r="B1059">
        <v>600</v>
      </c>
      <c r="C1059">
        <v>74.666666666666856</v>
      </c>
      <c r="D1059">
        <v>100</v>
      </c>
      <c r="E1059">
        <v>67.041033579897331</v>
      </c>
      <c r="F1059">
        <v>35.299721894797024</v>
      </c>
      <c r="G1059">
        <v>450.68054633405421</v>
      </c>
      <c r="H1059">
        <v>6.0359001741167821</v>
      </c>
      <c r="I1059">
        <v>2.8758509378164945</v>
      </c>
      <c r="J1059">
        <v>5.3603931739356838</v>
      </c>
      <c r="K1059">
        <v>458.32007440972831</v>
      </c>
      <c r="L1059">
        <v>7.0498829490334032</v>
      </c>
      <c r="M1059">
        <v>0.4100011260717914</v>
      </c>
    </row>
    <row r="1060" spans="1:13" x14ac:dyDescent="0.2">
      <c r="A1060">
        <v>1058</v>
      </c>
      <c r="B1060">
        <v>600</v>
      </c>
      <c r="C1060">
        <v>79.333333333333414</v>
      </c>
      <c r="D1060">
        <v>98.626803562186197</v>
      </c>
      <c r="E1060">
        <v>89.958330735639436</v>
      </c>
      <c r="F1060">
        <v>62.685575252459088</v>
      </c>
      <c r="G1060">
        <v>939.34287651785121</v>
      </c>
      <c r="H1060">
        <v>11.840456426695592</v>
      </c>
      <c r="I1060">
        <v>4.9707365462760364</v>
      </c>
      <c r="J1060">
        <v>9.2651193779609233</v>
      </c>
      <c r="K1060">
        <v>955.26480150929876</v>
      </c>
      <c r="L1060">
        <v>12.718247972026962</v>
      </c>
      <c r="M1060">
        <v>0.41000053072171699</v>
      </c>
    </row>
    <row r="1061" spans="1:13" x14ac:dyDescent="0.2">
      <c r="A1061">
        <v>1059</v>
      </c>
      <c r="B1061">
        <v>600</v>
      </c>
      <c r="C1061">
        <v>74.41666666666687</v>
      </c>
      <c r="D1061">
        <v>98</v>
      </c>
      <c r="E1061">
        <v>69.079243198927074</v>
      </c>
      <c r="F1061">
        <v>36.72916870556756</v>
      </c>
      <c r="G1061">
        <v>476.64323685979014</v>
      </c>
      <c r="H1061">
        <v>6.4050602937485621</v>
      </c>
      <c r="I1061">
        <v>2.9668476440158589</v>
      </c>
      <c r="J1061">
        <v>5.5300049282681432</v>
      </c>
      <c r="K1061">
        <v>484.72289897381415</v>
      </c>
      <c r="L1061">
        <v>7.3247597671295788</v>
      </c>
      <c r="M1061">
        <v>0.41000117237844025</v>
      </c>
    </row>
    <row r="1062" spans="1:13" x14ac:dyDescent="0.2">
      <c r="A1062">
        <v>1060</v>
      </c>
      <c r="B1062">
        <v>600</v>
      </c>
      <c r="C1062">
        <v>75.250000000000327</v>
      </c>
      <c r="D1062">
        <v>99</v>
      </c>
      <c r="E1062">
        <v>73.274702803452229</v>
      </c>
      <c r="F1062">
        <v>41.747762800836846</v>
      </c>
      <c r="G1062">
        <v>559.4528743472913</v>
      </c>
      <c r="H1062">
        <v>7.4345896923227759</v>
      </c>
      <c r="I1062">
        <v>3.4136804056277832</v>
      </c>
      <c r="J1062">
        <v>6.362871212726529</v>
      </c>
      <c r="K1062">
        <v>568.93611487178498</v>
      </c>
      <c r="L1062">
        <v>8.5762226056449649</v>
      </c>
      <c r="M1062">
        <v>0.41000102501135577</v>
      </c>
    </row>
    <row r="1063" spans="1:13" x14ac:dyDescent="0.2">
      <c r="A1063">
        <v>1061</v>
      </c>
      <c r="B1063">
        <v>600</v>
      </c>
      <c r="C1063">
        <v>77.000000000000256</v>
      </c>
      <c r="D1063">
        <v>99</v>
      </c>
      <c r="E1063">
        <v>78.633123070553594</v>
      </c>
      <c r="F1063">
        <v>48.076863373449441</v>
      </c>
      <c r="G1063">
        <v>669.51831716367178</v>
      </c>
      <c r="H1063">
        <v>8.6950430800476575</v>
      </c>
      <c r="I1063">
        <v>3.9762883858759679</v>
      </c>
      <c r="J1063">
        <v>7.4115347360223067</v>
      </c>
      <c r="K1063">
        <v>680.86697737828467</v>
      </c>
      <c r="L1063">
        <v>10.091284335926275</v>
      </c>
      <c r="M1063">
        <v>0.41000077306581523</v>
      </c>
    </row>
    <row r="1064" spans="1:13" x14ac:dyDescent="0.2">
      <c r="A1064">
        <v>1062</v>
      </c>
      <c r="B1064">
        <v>600</v>
      </c>
      <c r="C1064">
        <v>76.50000000000027</v>
      </c>
      <c r="D1064">
        <v>99</v>
      </c>
      <c r="E1064">
        <v>72.607557298941103</v>
      </c>
      <c r="F1064">
        <v>40.991020305102289</v>
      </c>
      <c r="G1064">
        <v>546.58220657791378</v>
      </c>
      <c r="H1064">
        <v>7.1448654454628997</v>
      </c>
      <c r="I1064">
        <v>3.263768980012419</v>
      </c>
      <c r="J1064">
        <v>6.0834463746736605</v>
      </c>
      <c r="K1064">
        <v>555.84710122171668</v>
      </c>
      <c r="L1064">
        <v>7.9735263985704998</v>
      </c>
      <c r="M1064">
        <v>0.41000083795357306</v>
      </c>
    </row>
    <row r="1065" spans="1:13" x14ac:dyDescent="0.2">
      <c r="A1065">
        <v>1063</v>
      </c>
      <c r="B1065">
        <v>600</v>
      </c>
      <c r="C1065">
        <v>75.58333333333357</v>
      </c>
      <c r="D1065">
        <v>100</v>
      </c>
      <c r="E1065">
        <v>69.023115437140774</v>
      </c>
      <c r="F1065">
        <v>37.417864410108507</v>
      </c>
      <c r="G1065">
        <v>485.36582571657186</v>
      </c>
      <c r="H1065">
        <v>6.4215985761839516</v>
      </c>
      <c r="I1065">
        <v>3.0478329233742465</v>
      </c>
      <c r="J1065">
        <v>5.6809560547516238</v>
      </c>
      <c r="K1065">
        <v>493.59317779787546</v>
      </c>
      <c r="L1065">
        <v>7.4479070057044297</v>
      </c>
      <c r="M1065">
        <v>0.41000097138863545</v>
      </c>
    </row>
    <row r="1066" spans="1:13" x14ac:dyDescent="0.2">
      <c r="A1066">
        <v>1064</v>
      </c>
      <c r="B1066">
        <v>600</v>
      </c>
      <c r="C1066">
        <v>76.583333333333528</v>
      </c>
      <c r="D1066">
        <v>100</v>
      </c>
      <c r="E1066">
        <v>77.17271402560003</v>
      </c>
      <c r="F1066">
        <v>46.775391282053135</v>
      </c>
      <c r="G1066">
        <v>644.77607669399322</v>
      </c>
      <c r="H1066">
        <v>8.4192741244046783</v>
      </c>
      <c r="I1066">
        <v>3.7279345256284069</v>
      </c>
      <c r="J1066">
        <v>6.9486198054583532</v>
      </c>
      <c r="K1066">
        <v>655.70540361968881</v>
      </c>
      <c r="L1066">
        <v>9.2643071264233434</v>
      </c>
      <c r="M1066">
        <v>0.41000082677253757</v>
      </c>
    </row>
    <row r="1067" spans="1:13" x14ac:dyDescent="0.2">
      <c r="A1067">
        <v>1065</v>
      </c>
      <c r="B1067">
        <v>600</v>
      </c>
      <c r="C1067">
        <v>78.166666666666714</v>
      </c>
      <c r="D1067">
        <v>99</v>
      </c>
      <c r="E1067">
        <v>82.611438164511824</v>
      </c>
      <c r="F1067">
        <v>53.064666789454925</v>
      </c>
      <c r="G1067">
        <v>759.11458335580755</v>
      </c>
      <c r="H1067">
        <v>9.7114872071105385</v>
      </c>
      <c r="I1067">
        <v>4.2977356060183105</v>
      </c>
      <c r="J1067">
        <v>8.0106907847498796</v>
      </c>
      <c r="K1067">
        <v>771.98177032789863</v>
      </c>
      <c r="L1067">
        <v>10.855928748493591</v>
      </c>
      <c r="M1067">
        <v>0.41000064053322849</v>
      </c>
    </row>
    <row r="1068" spans="1:13" x14ac:dyDescent="0.2">
      <c r="A1068">
        <v>1066</v>
      </c>
      <c r="B1068">
        <v>600</v>
      </c>
      <c r="C1068">
        <v>77.666666666666728</v>
      </c>
      <c r="D1068">
        <v>100</v>
      </c>
      <c r="E1068">
        <v>74.808713428675588</v>
      </c>
      <c r="F1068">
        <v>43.953579889931568</v>
      </c>
      <c r="G1068">
        <v>595.69790748846981</v>
      </c>
      <c r="H1068">
        <v>7.6699301393365147</v>
      </c>
      <c r="I1068">
        <v>3.5621661703073446</v>
      </c>
      <c r="J1068">
        <v>6.6396387144591689</v>
      </c>
      <c r="K1068">
        <v>605.79519507582404</v>
      </c>
      <c r="L1068">
        <v>8.6827088509504993</v>
      </c>
      <c r="M1068">
        <v>0.41000069429678165</v>
      </c>
    </row>
    <row r="1069" spans="1:13" x14ac:dyDescent="0.2">
      <c r="A1069">
        <v>1067</v>
      </c>
      <c r="B1069">
        <v>600</v>
      </c>
      <c r="C1069">
        <v>77.916666666666728</v>
      </c>
      <c r="D1069">
        <v>50</v>
      </c>
      <c r="E1069">
        <v>103.86949154770038</v>
      </c>
      <c r="F1069">
        <v>42.36779842013906</v>
      </c>
      <c r="G1069">
        <v>686.60506071916961</v>
      </c>
      <c r="H1069">
        <v>8.8120435600321159</v>
      </c>
      <c r="I1069">
        <v>3.8520216991431142</v>
      </c>
      <c r="J1069">
        <v>7.1799099704438278</v>
      </c>
      <c r="K1069">
        <v>698.2432238497438</v>
      </c>
      <c r="L1069">
        <v>10.569698234924628</v>
      </c>
      <c r="M1069">
        <v>0.41000066687342057</v>
      </c>
    </row>
    <row r="1070" spans="1:13" x14ac:dyDescent="0.2">
      <c r="A1070">
        <v>1068</v>
      </c>
      <c r="B1070">
        <v>600</v>
      </c>
      <c r="C1070">
        <v>79.416666666666657</v>
      </c>
      <c r="D1070">
        <v>9</v>
      </c>
      <c r="E1070">
        <v>219.18700364484417</v>
      </c>
      <c r="F1070">
        <v>33.9595549705599</v>
      </c>
      <c r="G1070">
        <v>826.59734017824417</v>
      </c>
      <c r="H1070">
        <v>10.408361051562364</v>
      </c>
      <c r="I1070">
        <v>3.806492428848796</v>
      </c>
      <c r="J1070">
        <v>7.0950464657013903</v>
      </c>
      <c r="K1070">
        <v>840.60821064942718</v>
      </c>
      <c r="L1070">
        <v>15.095711279749732</v>
      </c>
      <c r="M1070">
        <v>0.41000052364015721</v>
      </c>
    </row>
    <row r="1071" spans="1:13" x14ac:dyDescent="0.2">
      <c r="A1071">
        <v>1069</v>
      </c>
      <c r="B1071">
        <v>600</v>
      </c>
      <c r="C1071">
        <v>77.333333333333499</v>
      </c>
      <c r="D1071">
        <v>91</v>
      </c>
      <c r="E1071">
        <v>71.959561313466381</v>
      </c>
      <c r="F1071">
        <v>37.009079886913803</v>
      </c>
      <c r="G1071">
        <v>491.08247457759722</v>
      </c>
      <c r="H1071">
        <v>6.3502044126413288</v>
      </c>
      <c r="I1071">
        <v>3.0879602989573165</v>
      </c>
      <c r="J1071">
        <v>5.7557507902279887</v>
      </c>
      <c r="K1071">
        <v>499.40652648048581</v>
      </c>
      <c r="L1071">
        <v>7.4882612631129986</v>
      </c>
      <c r="M1071">
        <v>0.41000073262344178</v>
      </c>
    </row>
    <row r="1072" spans="1:13" x14ac:dyDescent="0.2">
      <c r="A1072">
        <v>1070</v>
      </c>
      <c r="B1072">
        <v>600</v>
      </c>
      <c r="C1072">
        <v>77.916666666666728</v>
      </c>
      <c r="D1072">
        <v>100</v>
      </c>
      <c r="E1072">
        <v>75.488388314505471</v>
      </c>
      <c r="F1072">
        <v>44.755888975368485</v>
      </c>
      <c r="G1072">
        <v>609.56720484784159</v>
      </c>
      <c r="H1072">
        <v>7.823322415159458</v>
      </c>
      <c r="I1072">
        <v>3.7526869502671079</v>
      </c>
      <c r="J1072">
        <v>6.9947566640579835</v>
      </c>
      <c r="K1072">
        <v>619.89955305633964</v>
      </c>
      <c r="L1072">
        <v>9.3670733601939382</v>
      </c>
      <c r="M1072">
        <v>0.41000066687342057</v>
      </c>
    </row>
    <row r="1073" spans="1:13" x14ac:dyDescent="0.2">
      <c r="A1073">
        <v>1071</v>
      </c>
      <c r="B1073">
        <v>600</v>
      </c>
      <c r="C1073">
        <v>79.333333333333414</v>
      </c>
      <c r="D1073">
        <v>100</v>
      </c>
      <c r="E1073">
        <v>85.106589275605373</v>
      </c>
      <c r="F1073">
        <v>56.887422072907555</v>
      </c>
      <c r="G1073">
        <v>827.09879403949844</v>
      </c>
      <c r="H1073">
        <v>10.425615050918037</v>
      </c>
      <c r="I1073">
        <v>4.5715143890337435</v>
      </c>
      <c r="J1073">
        <v>8.5209960653005474</v>
      </c>
      <c r="K1073">
        <v>841.11817427691642</v>
      </c>
      <c r="L1073">
        <v>11.495350853128096</v>
      </c>
      <c r="M1073">
        <v>0.41000053072171699</v>
      </c>
    </row>
    <row r="1074" spans="1:13" x14ac:dyDescent="0.2">
      <c r="A1074">
        <v>1072</v>
      </c>
      <c r="B1074">
        <v>600</v>
      </c>
      <c r="C1074">
        <v>77.583333333333485</v>
      </c>
      <c r="D1074">
        <v>100</v>
      </c>
      <c r="E1074">
        <v>80.55773486030094</v>
      </c>
      <c r="F1074">
        <v>50.96879587707425</v>
      </c>
      <c r="G1074">
        <v>719.2022705341368</v>
      </c>
      <c r="H1074">
        <v>9.2700614891617885</v>
      </c>
      <c r="I1074">
        <v>4.0719708814315956</v>
      </c>
      <c r="J1074">
        <v>7.5898804872909507</v>
      </c>
      <c r="K1074">
        <v>731.39301185032195</v>
      </c>
      <c r="L1074">
        <v>10.124257618252562</v>
      </c>
      <c r="M1074">
        <v>0.41000070368625285</v>
      </c>
    </row>
    <row r="1075" spans="1:13" x14ac:dyDescent="0.2">
      <c r="A1075">
        <v>1073</v>
      </c>
      <c r="B1075">
        <v>600</v>
      </c>
      <c r="C1075">
        <v>79.250000000000156</v>
      </c>
      <c r="D1075">
        <v>99</v>
      </c>
      <c r="E1075">
        <v>82.026833161459535</v>
      </c>
      <c r="F1075">
        <v>52.316293288695086</v>
      </c>
      <c r="G1075">
        <v>745.51940176806897</v>
      </c>
      <c r="H1075">
        <v>9.4071848803541638</v>
      </c>
      <c r="I1075">
        <v>4.1796392245591063</v>
      </c>
      <c r="J1075">
        <v>7.7905670541642227</v>
      </c>
      <c r="K1075">
        <v>758.15601503769221</v>
      </c>
      <c r="L1075">
        <v>10.444975589405921</v>
      </c>
      <c r="M1075">
        <v>0.41000053789904578</v>
      </c>
    </row>
    <row r="1076" spans="1:13" x14ac:dyDescent="0.2">
      <c r="A1076">
        <v>1074</v>
      </c>
      <c r="B1076">
        <v>600</v>
      </c>
      <c r="C1076">
        <v>78.250000000000199</v>
      </c>
      <c r="D1076">
        <v>100</v>
      </c>
      <c r="E1076">
        <v>83.565105465395831</v>
      </c>
      <c r="F1076">
        <v>54.845350038945242</v>
      </c>
      <c r="G1076">
        <v>789.50870599503662</v>
      </c>
      <c r="H1076">
        <v>10.089568127732072</v>
      </c>
      <c r="I1076">
        <v>4.4824764110124331</v>
      </c>
      <c r="J1076">
        <v>8.3550352488582149</v>
      </c>
      <c r="K1076">
        <v>802.89106951403107</v>
      </c>
      <c r="L1076">
        <v>11.298112666923943</v>
      </c>
      <c r="M1076">
        <v>0.41000063198642472</v>
      </c>
    </row>
    <row r="1077" spans="1:13" x14ac:dyDescent="0.2">
      <c r="A1077">
        <v>1075</v>
      </c>
      <c r="B1077">
        <v>600</v>
      </c>
      <c r="C1077">
        <v>77.916666666666728</v>
      </c>
      <c r="D1077">
        <v>100</v>
      </c>
      <c r="E1077">
        <v>81.093222675247162</v>
      </c>
      <c r="F1077">
        <v>51.648653162316528</v>
      </c>
      <c r="G1077">
        <v>731.43034992023479</v>
      </c>
      <c r="H1077">
        <v>9.3873413893506008</v>
      </c>
      <c r="I1077">
        <v>4.2868100932609705</v>
      </c>
      <c r="J1077">
        <v>7.990326362089414</v>
      </c>
      <c r="K1077">
        <v>743.82831523978609</v>
      </c>
      <c r="L1077">
        <v>10.915288300545368</v>
      </c>
      <c r="M1077">
        <v>0.41000066687342057</v>
      </c>
    </row>
    <row r="1078" spans="1:13" x14ac:dyDescent="0.2">
      <c r="A1078">
        <v>1076</v>
      </c>
      <c r="B1078">
        <v>600</v>
      </c>
      <c r="C1078">
        <v>76.583333333333528</v>
      </c>
      <c r="D1078">
        <v>98</v>
      </c>
      <c r="E1078">
        <v>78.463084620534289</v>
      </c>
      <c r="F1078">
        <v>47.385635799276791</v>
      </c>
      <c r="G1078">
        <v>659.1145698790549</v>
      </c>
      <c r="H1078">
        <v>8.6065014565273543</v>
      </c>
      <c r="I1078">
        <v>3.751543897453697</v>
      </c>
      <c r="J1078">
        <v>6.9926260903144382</v>
      </c>
      <c r="K1078">
        <v>670.28694254621928</v>
      </c>
      <c r="L1078">
        <v>9.3660336962071238</v>
      </c>
      <c r="M1078">
        <v>0.41000082677253757</v>
      </c>
    </row>
    <row r="1079" spans="1:13" x14ac:dyDescent="0.2">
      <c r="A1079">
        <v>1077</v>
      </c>
      <c r="B1079">
        <v>600</v>
      </c>
      <c r="C1079">
        <v>77.666666666666728</v>
      </c>
      <c r="D1079">
        <v>99</v>
      </c>
      <c r="E1079">
        <v>83.217651319774575</v>
      </c>
      <c r="F1079">
        <v>53.846314659460525</v>
      </c>
      <c r="G1079">
        <v>773.37015604781379</v>
      </c>
      <c r="H1079">
        <v>9.9575556572679815</v>
      </c>
      <c r="I1079">
        <v>4.2705172506188029</v>
      </c>
      <c r="J1079">
        <v>7.9599575966799678</v>
      </c>
      <c r="K1079">
        <v>786.47905030264701</v>
      </c>
      <c r="L1079">
        <v>10.718160524503627</v>
      </c>
      <c r="M1079">
        <v>0.41000069429678165</v>
      </c>
    </row>
    <row r="1080" spans="1:13" x14ac:dyDescent="0.2">
      <c r="A1080">
        <v>1078</v>
      </c>
      <c r="B1080">
        <v>600</v>
      </c>
      <c r="C1080">
        <v>77.916666666666728</v>
      </c>
      <c r="D1080">
        <v>99</v>
      </c>
      <c r="E1080">
        <v>78.933409280004568</v>
      </c>
      <c r="F1080">
        <v>48.444758844197388</v>
      </c>
      <c r="G1080">
        <v>676.04386462429648</v>
      </c>
      <c r="H1080">
        <v>8.6764987973171674</v>
      </c>
      <c r="I1080">
        <v>4.0556916924585993</v>
      </c>
      <c r="J1080">
        <v>7.5595371714046573</v>
      </c>
      <c r="K1080">
        <v>687.50301229163279</v>
      </c>
      <c r="L1080">
        <v>10.251043796669929</v>
      </c>
      <c r="M1080">
        <v>0.41000066687342057</v>
      </c>
    </row>
    <row r="1081" spans="1:13" x14ac:dyDescent="0.2">
      <c r="A1081">
        <v>1079</v>
      </c>
      <c r="B1081">
        <v>600</v>
      </c>
      <c r="C1081">
        <v>77.500000000000227</v>
      </c>
      <c r="D1081">
        <v>99</v>
      </c>
      <c r="E1081">
        <v>77.742912122710479</v>
      </c>
      <c r="F1081">
        <v>46.994462324140883</v>
      </c>
      <c r="G1081">
        <v>650.39871947629115</v>
      </c>
      <c r="H1081">
        <v>8.3922415416295379</v>
      </c>
      <c r="I1081">
        <v>3.7305537774562576</v>
      </c>
      <c r="J1081">
        <v>6.953501915109519</v>
      </c>
      <c r="K1081">
        <v>661.42322612645489</v>
      </c>
      <c r="L1081">
        <v>9.1887311546997914</v>
      </c>
      <c r="M1081">
        <v>0.41000071320270459</v>
      </c>
    </row>
    <row r="1082" spans="1:13" x14ac:dyDescent="0.2">
      <c r="A1082">
        <v>1080</v>
      </c>
      <c r="B1082">
        <v>600</v>
      </c>
      <c r="C1082">
        <v>77.666666666666728</v>
      </c>
      <c r="D1082">
        <v>100</v>
      </c>
      <c r="E1082">
        <v>82.030249387743595</v>
      </c>
      <c r="F1082">
        <v>52.849142507705025</v>
      </c>
      <c r="G1082">
        <v>753.12951254837776</v>
      </c>
      <c r="H1082">
        <v>9.6969465134984176</v>
      </c>
      <c r="I1082">
        <v>4.2664583392825959</v>
      </c>
      <c r="J1082">
        <v>7.9523920583086598</v>
      </c>
      <c r="K1082">
        <v>765.89532082658127</v>
      </c>
      <c r="L1082">
        <v>10.662824670936471</v>
      </c>
      <c r="M1082">
        <v>0.41000069429678165</v>
      </c>
    </row>
    <row r="1083" spans="1:13" x14ac:dyDescent="0.2">
      <c r="A1083">
        <v>1081</v>
      </c>
      <c r="B1083">
        <v>600</v>
      </c>
      <c r="C1083">
        <v>77.000000000000256</v>
      </c>
      <c r="D1083">
        <v>99</v>
      </c>
      <c r="E1083">
        <v>75.862628336304169</v>
      </c>
      <c r="F1083">
        <v>44.748743611292809</v>
      </c>
      <c r="G1083">
        <v>611.11373330330412</v>
      </c>
      <c r="H1083">
        <v>7.9365419909519748</v>
      </c>
      <c r="I1083">
        <v>3.7235717164336841</v>
      </c>
      <c r="J1083">
        <v>6.940487821870799</v>
      </c>
      <c r="K1083">
        <v>621.4724074933149</v>
      </c>
      <c r="L1083">
        <v>9.3643723832569794</v>
      </c>
      <c r="M1083">
        <v>0.41000077306581523</v>
      </c>
    </row>
    <row r="1084" spans="1:13" x14ac:dyDescent="0.2">
      <c r="A1084">
        <v>1082</v>
      </c>
      <c r="B1084">
        <v>600</v>
      </c>
      <c r="C1084">
        <v>78.000000000000213</v>
      </c>
      <c r="D1084">
        <v>100</v>
      </c>
      <c r="E1084">
        <v>82.144631730626614</v>
      </c>
      <c r="F1084">
        <v>52.996630131872145</v>
      </c>
      <c r="G1084">
        <v>755.80477472584937</v>
      </c>
      <c r="H1084">
        <v>9.6898048041775304</v>
      </c>
      <c r="I1084">
        <v>4.3730125574899246</v>
      </c>
      <c r="J1084">
        <v>8.1510019710902597</v>
      </c>
      <c r="K1084">
        <v>768.61588231468158</v>
      </c>
      <c r="L1084">
        <v>11.138333993217181</v>
      </c>
      <c r="M1084">
        <v>0.41000065797515273</v>
      </c>
    </row>
    <row r="1085" spans="1:13" x14ac:dyDescent="0.2">
      <c r="A1085">
        <v>1083</v>
      </c>
      <c r="B1085">
        <v>600</v>
      </c>
      <c r="C1085">
        <v>77.916666666666728</v>
      </c>
      <c r="D1085">
        <v>98</v>
      </c>
      <c r="E1085">
        <v>79.59020498703147</v>
      </c>
      <c r="F1085">
        <v>48.756801035200304</v>
      </c>
      <c r="G1085">
        <v>683.47640530707122</v>
      </c>
      <c r="H1085">
        <v>8.7718896937805866</v>
      </c>
      <c r="I1085">
        <v>4.0034124386420551</v>
      </c>
      <c r="J1085">
        <v>7.4620921503113795</v>
      </c>
      <c r="K1085">
        <v>695.06153678357168</v>
      </c>
      <c r="L1085">
        <v>10.143086913746467</v>
      </c>
      <c r="M1085">
        <v>0.41000066687342057</v>
      </c>
    </row>
    <row r="1086" spans="1:13" x14ac:dyDescent="0.2">
      <c r="A1086">
        <v>1084</v>
      </c>
      <c r="B1086">
        <v>600</v>
      </c>
      <c r="C1086">
        <v>76.250000000000284</v>
      </c>
      <c r="D1086">
        <v>100</v>
      </c>
      <c r="E1086">
        <v>74.263543525958553</v>
      </c>
      <c r="F1086">
        <v>43.315289097300933</v>
      </c>
      <c r="G1086">
        <v>584.71287751647367</v>
      </c>
      <c r="H1086">
        <v>7.6683656067733965</v>
      </c>
      <c r="I1086">
        <v>3.5382526438239132</v>
      </c>
      <c r="J1086">
        <v>6.5950655057295675</v>
      </c>
      <c r="K1086">
        <v>594.62414452069072</v>
      </c>
      <c r="L1086">
        <v>8.8061298701359139</v>
      </c>
      <c r="M1086">
        <v>0.4100008724121415</v>
      </c>
    </row>
    <row r="1087" spans="1:13" x14ac:dyDescent="0.2">
      <c r="A1087">
        <v>1085</v>
      </c>
      <c r="B1087">
        <v>600</v>
      </c>
      <c r="C1087">
        <v>77.416666666666742</v>
      </c>
      <c r="D1087">
        <v>100</v>
      </c>
      <c r="E1087">
        <v>75.355809949695086</v>
      </c>
      <c r="F1087">
        <v>44.598819732352155</v>
      </c>
      <c r="G1087">
        <v>606.84656807105068</v>
      </c>
      <c r="H1087">
        <v>7.8387070149113036</v>
      </c>
      <c r="I1087">
        <v>3.6006128469466532</v>
      </c>
      <c r="J1087">
        <v>6.711300739881926</v>
      </c>
      <c r="K1087">
        <v>617.13285921320903</v>
      </c>
      <c r="L1087">
        <v>8.7908785495884221</v>
      </c>
      <c r="M1087">
        <v>0.4100007228478541</v>
      </c>
    </row>
    <row r="1088" spans="1:13" x14ac:dyDescent="0.2">
      <c r="A1088">
        <v>1086</v>
      </c>
      <c r="B1088">
        <v>600</v>
      </c>
      <c r="C1088">
        <v>77.000000000000256</v>
      </c>
      <c r="D1088">
        <v>100</v>
      </c>
      <c r="E1088">
        <v>75.967155785979315</v>
      </c>
      <c r="F1088">
        <v>45.325396796497046</v>
      </c>
      <c r="G1088">
        <v>619.45324523325735</v>
      </c>
      <c r="H1088">
        <v>8.0448473406916268</v>
      </c>
      <c r="I1088">
        <v>3.8259852274123931</v>
      </c>
      <c r="J1088">
        <v>7.1313797342262681</v>
      </c>
      <c r="K1088">
        <v>629.95327819542194</v>
      </c>
      <c r="L1088">
        <v>9.6257333058820151</v>
      </c>
      <c r="M1088">
        <v>0.41000077306581523</v>
      </c>
    </row>
    <row r="1089" spans="1:13" x14ac:dyDescent="0.2">
      <c r="A1089">
        <v>1087</v>
      </c>
      <c r="B1089">
        <v>600</v>
      </c>
      <c r="C1089">
        <v>74.583333333333613</v>
      </c>
      <c r="D1089">
        <v>32</v>
      </c>
      <c r="E1089">
        <v>103.8946243056325</v>
      </c>
      <c r="F1089">
        <v>27.128514515257155</v>
      </c>
      <c r="G1089">
        <v>439.69750340751148</v>
      </c>
      <c r="H1089">
        <v>5.8953855205476176</v>
      </c>
      <c r="I1089">
        <v>2.457493120279842</v>
      </c>
      <c r="J1089">
        <v>4.5806022745197419</v>
      </c>
      <c r="K1089">
        <v>447.15086843728932</v>
      </c>
      <c r="L1089">
        <v>6.7329495699300699</v>
      </c>
      <c r="M1089">
        <v>0.41000114130046439</v>
      </c>
    </row>
    <row r="1090" spans="1:13" x14ac:dyDescent="0.2">
      <c r="A1090">
        <v>1088</v>
      </c>
      <c r="B1090">
        <v>600</v>
      </c>
      <c r="C1090">
        <v>77.166666666666757</v>
      </c>
      <c r="D1090">
        <v>92</v>
      </c>
      <c r="E1090">
        <v>78.597504467427925</v>
      </c>
      <c r="F1090">
        <v>44.637023059230536</v>
      </c>
      <c r="G1090">
        <v>621.46173910580751</v>
      </c>
      <c r="H1090">
        <v>8.0534998588225495</v>
      </c>
      <c r="I1090">
        <v>3.716449291867987</v>
      </c>
      <c r="J1090">
        <v>6.9272121004063125</v>
      </c>
      <c r="K1090">
        <v>631.9957950618026</v>
      </c>
      <c r="L1090">
        <v>9.3296279145869203</v>
      </c>
      <c r="M1090">
        <v>0.41000075257301194</v>
      </c>
    </row>
    <row r="1091" spans="1:13" x14ac:dyDescent="0.2">
      <c r="A1091">
        <v>1089</v>
      </c>
      <c r="B1091">
        <v>600</v>
      </c>
      <c r="C1091">
        <v>74.333333333333613</v>
      </c>
      <c r="D1091">
        <v>100</v>
      </c>
      <c r="E1091">
        <v>70.764872189196282</v>
      </c>
      <c r="F1091">
        <v>39.330125714834701</v>
      </c>
      <c r="G1091">
        <v>517.14312183953371</v>
      </c>
      <c r="H1091">
        <v>6.9570823565856292</v>
      </c>
      <c r="I1091">
        <v>3.2484789807540517</v>
      </c>
      <c r="J1091">
        <v>6.0549468420392385</v>
      </c>
      <c r="K1091">
        <v>525.90931865544462</v>
      </c>
      <c r="L1091">
        <v>8.1261596328424659</v>
      </c>
      <c r="M1091">
        <v>0.41000118823335113</v>
      </c>
    </row>
    <row r="1092" spans="1:13" x14ac:dyDescent="0.2">
      <c r="A1092">
        <v>1090</v>
      </c>
      <c r="B1092">
        <v>600</v>
      </c>
      <c r="C1092">
        <v>76.000000000000298</v>
      </c>
      <c r="D1092">
        <v>100</v>
      </c>
      <c r="E1092">
        <v>72.894600791577332</v>
      </c>
      <c r="F1092">
        <v>41.733096073988776</v>
      </c>
      <c r="G1092">
        <v>557.674359742658</v>
      </c>
      <c r="H1092">
        <v>7.3378205229296816</v>
      </c>
      <c r="I1092">
        <v>3.5286268183106411</v>
      </c>
      <c r="J1092">
        <v>6.5771236128809702</v>
      </c>
      <c r="K1092">
        <v>567.127340610842</v>
      </c>
      <c r="L1092">
        <v>8.890247280397757</v>
      </c>
      <c r="M1092">
        <v>0.41000090828772506</v>
      </c>
    </row>
    <row r="1093" spans="1:13" x14ac:dyDescent="0.2">
      <c r="A1093">
        <v>1091</v>
      </c>
      <c r="B1093">
        <v>600</v>
      </c>
      <c r="C1093">
        <v>79.250000000000156</v>
      </c>
      <c r="D1093">
        <v>100</v>
      </c>
      <c r="E1093">
        <v>83.038806014532838</v>
      </c>
      <c r="F1093">
        <v>54.156685070235433</v>
      </c>
      <c r="G1093">
        <v>776.91707701156918</v>
      </c>
      <c r="H1093">
        <v>9.8033700569282978</v>
      </c>
      <c r="I1093">
        <v>4.3762249478115569</v>
      </c>
      <c r="J1093">
        <v>8.1569896510933031</v>
      </c>
      <c r="K1093">
        <v>790.08588337861727</v>
      </c>
      <c r="L1093">
        <v>10.977285872121216</v>
      </c>
      <c r="M1093">
        <v>0.41000053789904578</v>
      </c>
    </row>
    <row r="1094" spans="1:13" x14ac:dyDescent="0.2">
      <c r="A1094">
        <v>1092</v>
      </c>
      <c r="B1094">
        <v>600</v>
      </c>
      <c r="C1094">
        <v>76.416666666666785</v>
      </c>
      <c r="D1094">
        <v>100</v>
      </c>
      <c r="E1094">
        <v>78.296116104128572</v>
      </c>
      <c r="F1094">
        <v>48.147120644656837</v>
      </c>
      <c r="G1094">
        <v>668.92983978722771</v>
      </c>
      <c r="H1094">
        <v>8.7537165511959873</v>
      </c>
      <c r="I1094">
        <v>3.8522654224856669</v>
      </c>
      <c r="J1094">
        <v>7.180364254400124</v>
      </c>
      <c r="K1094">
        <v>680.26861290647741</v>
      </c>
      <c r="L1094">
        <v>9.6067219869539073</v>
      </c>
      <c r="M1094">
        <v>0.4100008492858177</v>
      </c>
    </row>
    <row r="1095" spans="1:13" x14ac:dyDescent="0.2">
      <c r="A1095">
        <v>1093</v>
      </c>
      <c r="B1095">
        <v>600</v>
      </c>
      <c r="C1095">
        <v>76.166666666666799</v>
      </c>
      <c r="D1095">
        <v>99</v>
      </c>
      <c r="E1095">
        <v>72.305033716047902</v>
      </c>
      <c r="F1095">
        <v>40.650149008281105</v>
      </c>
      <c r="G1095">
        <v>540.80558515766415</v>
      </c>
      <c r="H1095">
        <v>7.1002921464901076</v>
      </c>
      <c r="I1095">
        <v>3.3452411784987905</v>
      </c>
      <c r="J1095">
        <v>6.2353050857386583</v>
      </c>
      <c r="K1095">
        <v>549.97260573914036</v>
      </c>
      <c r="L1095">
        <v>8.3140151457578142</v>
      </c>
      <c r="M1095">
        <v>0.41000088421039388</v>
      </c>
    </row>
    <row r="1096" spans="1:13" x14ac:dyDescent="0.2">
      <c r="A1096">
        <v>1094</v>
      </c>
      <c r="B1096">
        <v>600</v>
      </c>
      <c r="C1096">
        <v>80.333333333333371</v>
      </c>
      <c r="D1096">
        <v>100</v>
      </c>
      <c r="E1096">
        <v>86.461341570162219</v>
      </c>
      <c r="F1096">
        <v>58.712939108934123</v>
      </c>
      <c r="G1096">
        <v>861.01554613918893</v>
      </c>
      <c r="H1096">
        <v>10.718035844056288</v>
      </c>
      <c r="I1096">
        <v>4.655313217265002</v>
      </c>
      <c r="J1096">
        <v>8.6771914580894709</v>
      </c>
      <c r="K1096">
        <v>875.60970034802301</v>
      </c>
      <c r="L1096">
        <v>11.798693251500884</v>
      </c>
      <c r="M1096">
        <v>0.41000045171018551</v>
      </c>
    </row>
    <row r="1097" spans="1:13" x14ac:dyDescent="0.2">
      <c r="A1097">
        <v>1095</v>
      </c>
      <c r="B1097">
        <v>600</v>
      </c>
      <c r="C1097">
        <v>75.58333333333357</v>
      </c>
      <c r="D1097">
        <v>99</v>
      </c>
      <c r="E1097">
        <v>68.640195130302629</v>
      </c>
      <c r="F1097">
        <v>36.633810526368471</v>
      </c>
      <c r="G1097">
        <v>473.75768853199781</v>
      </c>
      <c r="H1097">
        <v>6.2680179298610321</v>
      </c>
      <c r="I1097">
        <v>2.955197919258989</v>
      </c>
      <c r="J1097">
        <v>5.5082906230363244</v>
      </c>
      <c r="K1097">
        <v>481.78827308957938</v>
      </c>
      <c r="L1097">
        <v>7.211368698854808</v>
      </c>
      <c r="M1097">
        <v>0.41000097138863545</v>
      </c>
    </row>
    <row r="1098" spans="1:13" x14ac:dyDescent="0.2">
      <c r="A1098">
        <v>1096</v>
      </c>
      <c r="B1098">
        <v>600</v>
      </c>
      <c r="C1098">
        <v>74.500000000000355</v>
      </c>
      <c r="D1098">
        <v>100</v>
      </c>
      <c r="E1098">
        <v>70.827180147340187</v>
      </c>
      <c r="F1098">
        <v>39.399415988663968</v>
      </c>
      <c r="G1098">
        <v>518.30264329121337</v>
      </c>
      <c r="H1098">
        <v>6.9570824602847097</v>
      </c>
      <c r="I1098">
        <v>3.1597482390260865</v>
      </c>
      <c r="J1098">
        <v>5.8895586934316606</v>
      </c>
      <c r="K1098">
        <v>527.08846724822263</v>
      </c>
      <c r="L1098">
        <v>7.8546533837940453</v>
      </c>
      <c r="M1098">
        <v>0.41000115673508558</v>
      </c>
    </row>
    <row r="1099" spans="1:13" x14ac:dyDescent="0.2">
      <c r="A1099">
        <v>1097</v>
      </c>
      <c r="B1099">
        <v>600</v>
      </c>
      <c r="C1099">
        <v>77.250000000000242</v>
      </c>
      <c r="D1099">
        <v>99</v>
      </c>
      <c r="E1099">
        <v>77.571761461988459</v>
      </c>
      <c r="F1099">
        <v>46.787773904647253</v>
      </c>
      <c r="G1099">
        <v>646.7612521000417</v>
      </c>
      <c r="H1099">
        <v>8.3723139430425846</v>
      </c>
      <c r="I1099">
        <v>3.8310537521697463</v>
      </c>
      <c r="J1099">
        <v>7.1408271242679335</v>
      </c>
      <c r="K1099">
        <v>657.72413498430024</v>
      </c>
      <c r="L1099">
        <v>9.5335033228625115</v>
      </c>
      <c r="M1099">
        <v>0.41000074253123181</v>
      </c>
    </row>
    <row r="1100" spans="1:13" x14ac:dyDescent="0.2">
      <c r="A1100">
        <v>1098</v>
      </c>
      <c r="B1100">
        <v>600</v>
      </c>
      <c r="C1100">
        <v>77.250000000000242</v>
      </c>
      <c r="D1100">
        <v>99</v>
      </c>
      <c r="E1100">
        <v>78.903946972561585</v>
      </c>
      <c r="F1100">
        <v>48.408601074767617</v>
      </c>
      <c r="G1100">
        <v>675.40184139396331</v>
      </c>
      <c r="H1100">
        <v>8.7430659080124435</v>
      </c>
      <c r="I1100">
        <v>3.9174596869180061</v>
      </c>
      <c r="J1100">
        <v>7.3018819886635704</v>
      </c>
      <c r="K1100">
        <v>686.85019465101539</v>
      </c>
      <c r="L1100">
        <v>9.7929126073502459</v>
      </c>
      <c r="M1100">
        <v>0.41000074253123181</v>
      </c>
    </row>
    <row r="1101" spans="1:13" x14ac:dyDescent="0.2">
      <c r="A1101">
        <v>1099</v>
      </c>
      <c r="B1101">
        <v>600</v>
      </c>
      <c r="C1101">
        <v>77.083333333333499</v>
      </c>
      <c r="D1101">
        <v>99</v>
      </c>
      <c r="E1101">
        <v>75.74843043842229</v>
      </c>
      <c r="F1101">
        <v>44.614122222595611</v>
      </c>
      <c r="G1101">
        <v>608.77553253856297</v>
      </c>
      <c r="H1101">
        <v>7.8976285302299889</v>
      </c>
      <c r="I1101">
        <v>3.6999877775300103</v>
      </c>
      <c r="J1101">
        <v>6.8965289422740161</v>
      </c>
      <c r="K1101">
        <v>619.09456226759823</v>
      </c>
      <c r="L1101">
        <v>9.2554302605784713</v>
      </c>
      <c r="M1101">
        <v>0.41000076275059422</v>
      </c>
    </row>
    <row r="1102" spans="1:13" x14ac:dyDescent="0.2">
      <c r="A1102">
        <v>1100</v>
      </c>
      <c r="B1102">
        <v>600</v>
      </c>
      <c r="C1102">
        <v>75.166666666666842</v>
      </c>
      <c r="D1102">
        <v>100</v>
      </c>
      <c r="E1102">
        <v>74.075152202130752</v>
      </c>
      <c r="F1102">
        <v>43.095803900044388</v>
      </c>
      <c r="G1102">
        <v>580.94556176026617</v>
      </c>
      <c r="H1102">
        <v>7.7287657883848979</v>
      </c>
      <c r="I1102">
        <v>3.5965654979923323</v>
      </c>
      <c r="J1102">
        <v>6.7037567530145985</v>
      </c>
      <c r="K1102">
        <v>590.79313697522923</v>
      </c>
      <c r="L1102">
        <v>9.1164965911405957</v>
      </c>
      <c r="M1102">
        <v>0.41000103887331629</v>
      </c>
    </row>
    <row r="1103" spans="1:13" x14ac:dyDescent="0.2">
      <c r="A1103">
        <v>1101</v>
      </c>
      <c r="B1103">
        <v>600</v>
      </c>
      <c r="C1103">
        <v>76.50000000000027</v>
      </c>
      <c r="D1103">
        <v>99</v>
      </c>
      <c r="E1103">
        <v>79.678440512295381</v>
      </c>
      <c r="F1103">
        <v>49.363588883457211</v>
      </c>
      <c r="G1103">
        <v>692.39996086703775</v>
      </c>
      <c r="H1103">
        <v>9.0509798806148396</v>
      </c>
      <c r="I1103">
        <v>3.9505800730097071</v>
      </c>
      <c r="J1103">
        <v>7.3636161659081214</v>
      </c>
      <c r="K1103">
        <v>704.13655348129419</v>
      </c>
      <c r="L1103">
        <v>9.8958740795928755</v>
      </c>
      <c r="M1103">
        <v>0.41000083795357306</v>
      </c>
    </row>
    <row r="1104" spans="1:13" x14ac:dyDescent="0.2">
      <c r="A1104">
        <v>1102</v>
      </c>
      <c r="B1104">
        <v>600</v>
      </c>
      <c r="C1104">
        <v>75.083333333333584</v>
      </c>
      <c r="D1104">
        <v>100</v>
      </c>
      <c r="E1104">
        <v>73.848044579406803</v>
      </c>
      <c r="F1104">
        <v>42.831953427400059</v>
      </c>
      <c r="G1104">
        <v>576.42384379789826</v>
      </c>
      <c r="H1104">
        <v>7.6771211160652122</v>
      </c>
      <c r="I1104">
        <v>3.5597802797678941</v>
      </c>
      <c r="J1104">
        <v>6.6351915745906682</v>
      </c>
      <c r="K1104">
        <v>586.19478558738967</v>
      </c>
      <c r="L1104">
        <v>9.0689938033596391</v>
      </c>
      <c r="M1104">
        <v>0.41000105292274208</v>
      </c>
    </row>
    <row r="1105" spans="1:13" x14ac:dyDescent="0.2">
      <c r="A1105">
        <v>1103</v>
      </c>
      <c r="B1105">
        <v>600</v>
      </c>
      <c r="C1105">
        <v>78.583333333333442</v>
      </c>
      <c r="D1105">
        <v>100</v>
      </c>
      <c r="E1105">
        <v>86.240415902010582</v>
      </c>
      <c r="F1105">
        <v>58.413276321061488</v>
      </c>
      <c r="G1105">
        <v>855.42787485800432</v>
      </c>
      <c r="H1105">
        <v>10.885614526294844</v>
      </c>
      <c r="I1105">
        <v>4.6116067962822047</v>
      </c>
      <c r="J1105">
        <v>8.595725622147631</v>
      </c>
      <c r="K1105">
        <v>869.92753548429027</v>
      </c>
      <c r="L1105">
        <v>11.618166919312632</v>
      </c>
      <c r="M1105">
        <v>0.41000059892451662</v>
      </c>
    </row>
    <row r="1106" spans="1:13" x14ac:dyDescent="0.2">
      <c r="A1106">
        <v>1104</v>
      </c>
      <c r="B1106">
        <v>600</v>
      </c>
      <c r="C1106">
        <v>82.083333333333286</v>
      </c>
      <c r="D1106">
        <v>84.662273057715637</v>
      </c>
      <c r="E1106">
        <v>98.429568872008119</v>
      </c>
      <c r="F1106">
        <v>64.421520587938844</v>
      </c>
      <c r="G1106">
        <v>1013.8572310054644</v>
      </c>
      <c r="H1106">
        <v>12.351560174685869</v>
      </c>
      <c r="I1106">
        <v>5.3369789802554521</v>
      </c>
      <c r="J1106">
        <v>9.9477706994509791</v>
      </c>
      <c r="K1106">
        <v>1031.0418472194135</v>
      </c>
      <c r="L1106">
        <v>14.443255823783756</v>
      </c>
      <c r="M1106">
        <v>0.41000034068081376</v>
      </c>
    </row>
    <row r="1107" spans="1:13" x14ac:dyDescent="0.2">
      <c r="A1107">
        <v>1105</v>
      </c>
      <c r="B1107">
        <v>600</v>
      </c>
      <c r="C1107">
        <v>75.33333333333357</v>
      </c>
      <c r="D1107">
        <v>34</v>
      </c>
      <c r="E1107">
        <v>105.76272507161836</v>
      </c>
      <c r="F1107">
        <v>29.86992024149292</v>
      </c>
      <c r="G1107">
        <v>488.85254500868905</v>
      </c>
      <c r="H1107">
        <v>6.4891930753365603</v>
      </c>
      <c r="I1107">
        <v>2.912589561139324</v>
      </c>
      <c r="J1107">
        <v>5.4288715025896055</v>
      </c>
      <c r="K1107">
        <v>497.13903352372751</v>
      </c>
      <c r="L1107">
        <v>7.948177628012294</v>
      </c>
      <c r="M1107">
        <v>0.41000101133435901</v>
      </c>
    </row>
    <row r="1108" spans="1:13" x14ac:dyDescent="0.2">
      <c r="A1108">
        <v>1106</v>
      </c>
      <c r="B1108">
        <v>600</v>
      </c>
      <c r="C1108">
        <v>80.333333333333371</v>
      </c>
      <c r="D1108">
        <v>90</v>
      </c>
      <c r="E1108">
        <v>88.458703413270555</v>
      </c>
      <c r="F1108">
        <v>55.311257160694893</v>
      </c>
      <c r="G1108">
        <v>821.28400057258693</v>
      </c>
      <c r="H1108">
        <v>10.22345228928531</v>
      </c>
      <c r="I1108">
        <v>4.4142277123914182</v>
      </c>
      <c r="J1108">
        <v>8.2278242542244495</v>
      </c>
      <c r="K1108">
        <v>835.2047078203824</v>
      </c>
      <c r="L1108">
        <v>11.278569756295155</v>
      </c>
      <c r="M1108">
        <v>0.41000045171018551</v>
      </c>
    </row>
    <row r="1109" spans="1:13" x14ac:dyDescent="0.2">
      <c r="A1109">
        <v>1107</v>
      </c>
      <c r="B1109">
        <v>600</v>
      </c>
      <c r="C1109">
        <v>77.000000000000256</v>
      </c>
      <c r="D1109">
        <v>98</v>
      </c>
      <c r="E1109">
        <v>76.592572038244199</v>
      </c>
      <c r="F1109">
        <v>45.153275935996646</v>
      </c>
      <c r="G1109">
        <v>619.86304150785702</v>
      </c>
      <c r="H1109">
        <v>8.0501693702318828</v>
      </c>
      <c r="I1109">
        <v>3.7589073908503532</v>
      </c>
      <c r="J1109">
        <v>7.0063511479037333</v>
      </c>
      <c r="K1109">
        <v>630.37002071564086</v>
      </c>
      <c r="L1109">
        <v>9.4782472684109678</v>
      </c>
      <c r="M1109">
        <v>0.41000077306581523</v>
      </c>
    </row>
    <row r="1110" spans="1:13" x14ac:dyDescent="0.2">
      <c r="A1110">
        <v>1108</v>
      </c>
      <c r="B1110">
        <v>600</v>
      </c>
      <c r="C1110">
        <v>79.333333333333414</v>
      </c>
      <c r="D1110">
        <v>100</v>
      </c>
      <c r="E1110">
        <v>83.486777808137518</v>
      </c>
      <c r="F1110">
        <v>54.742582396269434</v>
      </c>
      <c r="G1110">
        <v>787.62705956945945</v>
      </c>
      <c r="H1110">
        <v>9.9280721794469553</v>
      </c>
      <c r="I1110">
        <v>4.402977877134739</v>
      </c>
      <c r="J1110">
        <v>8.2068553161877702</v>
      </c>
      <c r="K1110">
        <v>800.97739125046098</v>
      </c>
      <c r="L1110">
        <v>11.005522222409969</v>
      </c>
      <c r="M1110">
        <v>0.41000053072171699</v>
      </c>
    </row>
    <row r="1111" spans="1:13" x14ac:dyDescent="0.2">
      <c r="A1111">
        <v>1109</v>
      </c>
      <c r="B1111">
        <v>600</v>
      </c>
      <c r="C1111">
        <v>75.58333333333357</v>
      </c>
      <c r="D1111">
        <v>99</v>
      </c>
      <c r="E1111">
        <v>72.972486347466614</v>
      </c>
      <c r="F1111">
        <v>41.404101434741598</v>
      </c>
      <c r="G1111">
        <v>553.59991114908769</v>
      </c>
      <c r="H1111">
        <v>7.3243648663605638</v>
      </c>
      <c r="I1111">
        <v>3.3347019595847991</v>
      </c>
      <c r="J1111">
        <v>6.2156606888812647</v>
      </c>
      <c r="K1111">
        <v>562.9838873993267</v>
      </c>
      <c r="L1111">
        <v>8.2742386511039587</v>
      </c>
      <c r="M1111">
        <v>0.41000097138863545</v>
      </c>
    </row>
    <row r="1112" spans="1:13" x14ac:dyDescent="0.2">
      <c r="A1112">
        <v>1110</v>
      </c>
      <c r="B1112">
        <v>600</v>
      </c>
      <c r="C1112">
        <v>77.916666666666728</v>
      </c>
      <c r="D1112">
        <v>99</v>
      </c>
      <c r="E1112">
        <v>78.273219937284594</v>
      </c>
      <c r="F1112">
        <v>47.637775741709682</v>
      </c>
      <c r="G1112">
        <v>661.74805249829024</v>
      </c>
      <c r="H1112">
        <v>8.4930231336678901</v>
      </c>
      <c r="I1112">
        <v>3.9784377539908968</v>
      </c>
      <c r="J1112">
        <v>7.4155410139625291</v>
      </c>
      <c r="K1112">
        <v>672.96488183282509</v>
      </c>
      <c r="L1112">
        <v>10.032654891928384</v>
      </c>
      <c r="M1112">
        <v>0.41000066687342057</v>
      </c>
    </row>
    <row r="1113" spans="1:13" x14ac:dyDescent="0.2">
      <c r="A1113">
        <v>1111</v>
      </c>
      <c r="B1113">
        <v>600</v>
      </c>
      <c r="C1113">
        <v>73.583333333333655</v>
      </c>
      <c r="D1113">
        <v>100</v>
      </c>
      <c r="E1113">
        <v>73.143941681633663</v>
      </c>
      <c r="F1113">
        <v>42.019086093018323</v>
      </c>
      <c r="G1113">
        <v>562.54095411062485</v>
      </c>
      <c r="H1113">
        <v>7.644950678740055</v>
      </c>
      <c r="I1113">
        <v>3.337239729364589</v>
      </c>
      <c r="J1113">
        <v>6.2203909214624193</v>
      </c>
      <c r="K1113">
        <v>572.07684675068572</v>
      </c>
      <c r="L1113">
        <v>8.4637967701353674</v>
      </c>
      <c r="M1113">
        <v>0.41000134093266327</v>
      </c>
    </row>
    <row r="1114" spans="1:13" x14ac:dyDescent="0.2">
      <c r="A1114">
        <v>1112</v>
      </c>
      <c r="B1114">
        <v>600</v>
      </c>
      <c r="C1114">
        <v>79.000000000000171</v>
      </c>
      <c r="D1114">
        <v>99</v>
      </c>
      <c r="E1114">
        <v>84.726423328331677</v>
      </c>
      <c r="F1114">
        <v>55.816528565249513</v>
      </c>
      <c r="G1114">
        <v>809.55221965781448</v>
      </c>
      <c r="H1114">
        <v>10.247496451364718</v>
      </c>
      <c r="I1114">
        <v>4.566527138650283</v>
      </c>
      <c r="J1114">
        <v>8.5117001652381781</v>
      </c>
      <c r="K1114">
        <v>823.27422515870853</v>
      </c>
      <c r="L1114">
        <v>11.692778444782569</v>
      </c>
      <c r="M1114">
        <v>0.41000056001868546</v>
      </c>
    </row>
    <row r="1115" spans="1:13" x14ac:dyDescent="0.2">
      <c r="A1115">
        <v>1113</v>
      </c>
      <c r="B1115">
        <v>600</v>
      </c>
      <c r="C1115">
        <v>75.33333333333357</v>
      </c>
      <c r="D1115">
        <v>100</v>
      </c>
      <c r="E1115">
        <v>71.281138366451557</v>
      </c>
      <c r="F1115">
        <v>39.906086076474118</v>
      </c>
      <c r="G1115">
        <v>526.7981570427911</v>
      </c>
      <c r="H1115">
        <v>6.9928958899485325</v>
      </c>
      <c r="I1115">
        <v>3.2962504297031852</v>
      </c>
      <c r="J1115">
        <v>6.1439896173405124</v>
      </c>
      <c r="K1115">
        <v>535.72785767061725</v>
      </c>
      <c r="L1115">
        <v>8.1673195190739385</v>
      </c>
      <c r="M1115">
        <v>0.41000101133435901</v>
      </c>
    </row>
    <row r="1116" spans="1:13" x14ac:dyDescent="0.2">
      <c r="A1116">
        <v>1114</v>
      </c>
      <c r="B1116">
        <v>600</v>
      </c>
      <c r="C1116">
        <v>77.500000000000227</v>
      </c>
      <c r="D1116">
        <v>99</v>
      </c>
      <c r="E1116">
        <v>81.923941572407472</v>
      </c>
      <c r="F1116">
        <v>52.185128149736336</v>
      </c>
      <c r="G1116">
        <v>743.14180091563105</v>
      </c>
      <c r="H1116">
        <v>9.5889264634274696</v>
      </c>
      <c r="I1116">
        <v>4.1565145643266543</v>
      </c>
      <c r="J1116">
        <v>7.7474642391922721</v>
      </c>
      <c r="K1116">
        <v>755.73833821017865</v>
      </c>
      <c r="L1116">
        <v>10.3809649346295</v>
      </c>
      <c r="M1116">
        <v>0.41000071320270459</v>
      </c>
    </row>
    <row r="1117" spans="1:13" x14ac:dyDescent="0.2">
      <c r="A1117">
        <v>1115</v>
      </c>
      <c r="B1117">
        <v>600</v>
      </c>
      <c r="C1117">
        <v>78.000000000000213</v>
      </c>
      <c r="D1117">
        <v>100</v>
      </c>
      <c r="E1117">
        <v>78.28191397272262</v>
      </c>
      <c r="F1117">
        <v>48.129655417727363</v>
      </c>
      <c r="G1117">
        <v>668.6213331398327</v>
      </c>
      <c r="H1117">
        <v>8.5720683735875749</v>
      </c>
      <c r="I1117">
        <v>3.9876855176238943</v>
      </c>
      <c r="J1117">
        <v>7.432778224834844</v>
      </c>
      <c r="K1117">
        <v>679.95465640198051</v>
      </c>
      <c r="L1117">
        <v>10.017088882682462</v>
      </c>
      <c r="M1117">
        <v>0.41000065797515273</v>
      </c>
    </row>
    <row r="1118" spans="1:13" x14ac:dyDescent="0.2">
      <c r="A1118">
        <v>1116</v>
      </c>
      <c r="B1118">
        <v>600</v>
      </c>
      <c r="C1118">
        <v>78.083333333333456</v>
      </c>
      <c r="D1118">
        <v>100</v>
      </c>
      <c r="E1118">
        <v>76.768727015160934</v>
      </c>
      <c r="F1118">
        <v>46.286949473864723</v>
      </c>
      <c r="G1118">
        <v>636.2218329869886</v>
      </c>
      <c r="H1118">
        <v>8.1479850542623815</v>
      </c>
      <c r="I1118">
        <v>3.8086918475093792</v>
      </c>
      <c r="J1118">
        <v>7.0991460345002411</v>
      </c>
      <c r="K1118">
        <v>647.00596580615286</v>
      </c>
      <c r="L1118">
        <v>9.4749674690185088</v>
      </c>
      <c r="M1118">
        <v>0.41000064919561674</v>
      </c>
    </row>
    <row r="1119" spans="1:13" x14ac:dyDescent="0.2">
      <c r="A1119">
        <v>1117</v>
      </c>
      <c r="B1119">
        <v>600</v>
      </c>
      <c r="C1119">
        <v>76.583333333333528</v>
      </c>
      <c r="D1119">
        <v>100</v>
      </c>
      <c r="E1119">
        <v>79.022935591619074</v>
      </c>
      <c r="F1119">
        <v>49.04516495217775</v>
      </c>
      <c r="G1119">
        <v>684.84503865990814</v>
      </c>
      <c r="H1119">
        <v>8.942481462370921</v>
      </c>
      <c r="I1119">
        <v>3.9078994027821183</v>
      </c>
      <c r="J1119">
        <v>7.2840622605444887</v>
      </c>
      <c r="K1119">
        <v>696.45355763494933</v>
      </c>
      <c r="L1119">
        <v>9.7727447337508568</v>
      </c>
      <c r="M1119">
        <v>0.41000082677253757</v>
      </c>
    </row>
    <row r="1120" spans="1:13" x14ac:dyDescent="0.2">
      <c r="A1120">
        <v>1118</v>
      </c>
      <c r="B1120">
        <v>600</v>
      </c>
      <c r="C1120">
        <v>76.583333333333528</v>
      </c>
      <c r="D1120">
        <v>98</v>
      </c>
      <c r="E1120">
        <v>77.445511654921816</v>
      </c>
      <c r="F1120">
        <v>46.164534822120906</v>
      </c>
      <c r="G1120">
        <v>637.58000903208676</v>
      </c>
      <c r="H1120">
        <v>8.325310237633321</v>
      </c>
      <c r="I1120">
        <v>3.6556999193004032</v>
      </c>
      <c r="J1120">
        <v>6.813979346319484</v>
      </c>
      <c r="K1120">
        <v>648.38735845443011</v>
      </c>
      <c r="L1120">
        <v>9.0950888929604154</v>
      </c>
      <c r="M1120">
        <v>0.41000082677253757</v>
      </c>
    </row>
    <row r="1121" spans="1:13" x14ac:dyDescent="0.2">
      <c r="A1121">
        <v>1119</v>
      </c>
      <c r="B1121">
        <v>600</v>
      </c>
      <c r="C1121">
        <v>75.166666666666842</v>
      </c>
      <c r="D1121">
        <v>99</v>
      </c>
      <c r="E1121">
        <v>68.387932001307817</v>
      </c>
      <c r="F1121">
        <v>36.365035708535338</v>
      </c>
      <c r="G1121">
        <v>469.33954589394341</v>
      </c>
      <c r="H1121">
        <v>6.2439850894981239</v>
      </c>
      <c r="I1121">
        <v>3.0370737828225578</v>
      </c>
      <c r="J1121">
        <v>5.6609017387186533</v>
      </c>
      <c r="K1121">
        <v>477.29529387408621</v>
      </c>
      <c r="L1121">
        <v>7.532432293026301</v>
      </c>
      <c r="M1121">
        <v>0.41000103887331629</v>
      </c>
    </row>
    <row r="1122" spans="1:13" x14ac:dyDescent="0.2">
      <c r="A1122">
        <v>1120</v>
      </c>
      <c r="B1122">
        <v>600</v>
      </c>
      <c r="C1122">
        <v>81.083333333333329</v>
      </c>
      <c r="D1122">
        <v>48</v>
      </c>
      <c r="E1122">
        <v>105.06696858745772</v>
      </c>
      <c r="F1122">
        <v>41.616305495898729</v>
      </c>
      <c r="G1122">
        <v>678.65092558462686</v>
      </c>
      <c r="H1122">
        <v>8.3697955878885129</v>
      </c>
      <c r="I1122">
        <v>3.7436816444142185</v>
      </c>
      <c r="J1122">
        <v>6.977971378218486</v>
      </c>
      <c r="K1122">
        <v>690.15395186393698</v>
      </c>
      <c r="L1122">
        <v>10.524006391120931</v>
      </c>
      <c r="M1122">
        <v>0.41000040027148432</v>
      </c>
    </row>
    <row r="1123" spans="1:13" x14ac:dyDescent="0.2">
      <c r="A1123">
        <v>1121</v>
      </c>
      <c r="B1123">
        <v>600</v>
      </c>
      <c r="C1123">
        <v>73.250000000000412</v>
      </c>
      <c r="D1123">
        <v>24</v>
      </c>
      <c r="E1123">
        <v>130.63918280018913</v>
      </c>
      <c r="F1123">
        <v>32.169775725119123</v>
      </c>
      <c r="G1123">
        <v>590.69429960970342</v>
      </c>
      <c r="H1123">
        <v>8.0640860014976123</v>
      </c>
      <c r="I1123">
        <v>3.0312431218486444</v>
      </c>
      <c r="J1123">
        <v>5.6500337779098677</v>
      </c>
      <c r="K1123">
        <v>600.70750803375313</v>
      </c>
      <c r="L1123">
        <v>9.0815775661364952</v>
      </c>
      <c r="M1123">
        <v>0.41000141495500048</v>
      </c>
    </row>
    <row r="1124" spans="1:13" x14ac:dyDescent="0.2">
      <c r="A1124">
        <v>1122</v>
      </c>
      <c r="B1124">
        <v>600</v>
      </c>
      <c r="C1124">
        <v>77.916666666666728</v>
      </c>
      <c r="D1124">
        <v>28</v>
      </c>
      <c r="E1124">
        <v>135.71026505690651</v>
      </c>
      <c r="F1124">
        <v>40.501705378472721</v>
      </c>
      <c r="G1124">
        <v>759.27226038441938</v>
      </c>
      <c r="H1124">
        <v>9.7446707215112554</v>
      </c>
      <c r="I1124">
        <v>4.0896084760977365</v>
      </c>
      <c r="J1124">
        <v>7.6227557802380908</v>
      </c>
      <c r="K1124">
        <v>772.14215449445999</v>
      </c>
      <c r="L1124">
        <v>12.548777078961816</v>
      </c>
      <c r="M1124">
        <v>0.41000066687342057</v>
      </c>
    </row>
    <row r="1125" spans="1:13" x14ac:dyDescent="0.2">
      <c r="A1125">
        <v>1123</v>
      </c>
      <c r="B1125">
        <v>600</v>
      </c>
      <c r="C1125">
        <v>77.583333333333485</v>
      </c>
      <c r="D1125">
        <v>9</v>
      </c>
      <c r="E1125">
        <v>187.57105599749153</v>
      </c>
      <c r="F1125">
        <v>24.869327279493991</v>
      </c>
      <c r="G1125">
        <v>556.09311858529838</v>
      </c>
      <c r="H1125">
        <v>7.1676878872433596</v>
      </c>
      <c r="I1125">
        <v>2.6804449437446412</v>
      </c>
      <c r="J1125">
        <v>4.9961695130375414</v>
      </c>
      <c r="K1125">
        <v>565.51910016812803</v>
      </c>
      <c r="L1125">
        <v>9.5507411089206382</v>
      </c>
      <c r="M1125">
        <v>0.41000070368625285</v>
      </c>
    </row>
    <row r="1126" spans="1:13" x14ac:dyDescent="0.2">
      <c r="A1126">
        <v>1124</v>
      </c>
      <c r="B1126">
        <v>600</v>
      </c>
      <c r="C1126">
        <v>77.416666666666742</v>
      </c>
      <c r="D1126">
        <v>91</v>
      </c>
      <c r="E1126">
        <v>79.251970738346756</v>
      </c>
      <c r="F1126">
        <v>44.890187016368323</v>
      </c>
      <c r="G1126">
        <v>627.81580577920045</v>
      </c>
      <c r="H1126">
        <v>8.1095690735741641</v>
      </c>
      <c r="I1126">
        <v>3.6644528881875065</v>
      </c>
      <c r="J1126">
        <v>6.830294292986963</v>
      </c>
      <c r="K1126">
        <v>638.4575338562347</v>
      </c>
      <c r="L1126">
        <v>9.0639677866156383</v>
      </c>
      <c r="M1126">
        <v>0.4100007228478541</v>
      </c>
    </row>
    <row r="1127" spans="1:13" x14ac:dyDescent="0.2">
      <c r="A1127">
        <v>1125</v>
      </c>
      <c r="B1127">
        <v>600</v>
      </c>
      <c r="C1127">
        <v>77.166666666666757</v>
      </c>
      <c r="D1127">
        <v>100</v>
      </c>
      <c r="E1127">
        <v>79.98391253757076</v>
      </c>
      <c r="F1127">
        <v>50.245268388584726</v>
      </c>
      <c r="G1127">
        <v>706.2374348445644</v>
      </c>
      <c r="H1127">
        <v>9.1521049871865685</v>
      </c>
      <c r="I1127">
        <v>4.0952412230214099</v>
      </c>
      <c r="J1127">
        <v>7.6332548425375766</v>
      </c>
      <c r="K1127">
        <v>718.20847696789042</v>
      </c>
      <c r="L1127">
        <v>10.334987755139791</v>
      </c>
      <c r="M1127">
        <v>0.41000075257301194</v>
      </c>
    </row>
    <row r="1128" spans="1:13" x14ac:dyDescent="0.2">
      <c r="A1128">
        <v>1126</v>
      </c>
      <c r="B1128">
        <v>600</v>
      </c>
      <c r="C1128">
        <v>78.166666666666714</v>
      </c>
      <c r="D1128">
        <v>100</v>
      </c>
      <c r="E1128">
        <v>79.742753765027203</v>
      </c>
      <c r="F1128">
        <v>49.942737046801597</v>
      </c>
      <c r="G1128">
        <v>700.83157123602825</v>
      </c>
      <c r="H1128">
        <v>8.9658623185845769</v>
      </c>
      <c r="I1128">
        <v>4.0714122091253335</v>
      </c>
      <c r="J1128">
        <v>7.5888391595998757</v>
      </c>
      <c r="K1128">
        <v>712.71084619762075</v>
      </c>
      <c r="L1128">
        <v>10.184023846561404</v>
      </c>
      <c r="M1128">
        <v>0.41000064053322849</v>
      </c>
    </row>
    <row r="1129" spans="1:13" x14ac:dyDescent="0.2">
      <c r="A1129">
        <v>1127</v>
      </c>
      <c r="B1129">
        <v>600</v>
      </c>
      <c r="C1129">
        <v>79.250000000000156</v>
      </c>
      <c r="D1129">
        <v>100</v>
      </c>
      <c r="E1129">
        <v>83.53736451907227</v>
      </c>
      <c r="F1129">
        <v>54.808942273654395</v>
      </c>
      <c r="G1129">
        <v>788.84205809262244</v>
      </c>
      <c r="H1129">
        <v>9.9538430043232928</v>
      </c>
      <c r="I1129">
        <v>4.4214808439170108</v>
      </c>
      <c r="J1129">
        <v>8.2413436046915383</v>
      </c>
      <c r="K1129">
        <v>802.21299383928363</v>
      </c>
      <c r="L1129">
        <v>11.111009007933584</v>
      </c>
      <c r="M1129">
        <v>0.41000053789904578</v>
      </c>
    </row>
    <row r="1130" spans="1:13" x14ac:dyDescent="0.2">
      <c r="A1130">
        <v>1128</v>
      </c>
      <c r="B1130">
        <v>600</v>
      </c>
      <c r="C1130">
        <v>78.333333333333456</v>
      </c>
      <c r="D1130">
        <v>100</v>
      </c>
      <c r="E1130">
        <v>74.73610701778621</v>
      </c>
      <c r="F1130">
        <v>43.868302043161798</v>
      </c>
      <c r="G1130">
        <v>594.22783489242966</v>
      </c>
      <c r="H1130">
        <v>7.5858872539458986</v>
      </c>
      <c r="I1130">
        <v>3.5910056929728045</v>
      </c>
      <c r="J1130">
        <v>6.6933936495299244</v>
      </c>
      <c r="K1130">
        <v>604.30013177799776</v>
      </c>
      <c r="L1130">
        <v>8.7197663147422286</v>
      </c>
      <c r="M1130">
        <v>0.41000062355366318</v>
      </c>
    </row>
    <row r="1131" spans="1:13" x14ac:dyDescent="0.2">
      <c r="A1131">
        <v>1129</v>
      </c>
      <c r="B1131">
        <v>600</v>
      </c>
      <c r="C1131">
        <v>77.583333333333485</v>
      </c>
      <c r="D1131">
        <v>100</v>
      </c>
      <c r="E1131">
        <v>81.60096174546554</v>
      </c>
      <c r="F1131">
        <v>52.297440692277277</v>
      </c>
      <c r="G1131">
        <v>743.14047013489835</v>
      </c>
      <c r="H1131">
        <v>9.578609711727994</v>
      </c>
      <c r="I1131">
        <v>4.1574790985702794</v>
      </c>
      <c r="J1131">
        <v>7.7492620663006129</v>
      </c>
      <c r="K1131">
        <v>755.7369726824702</v>
      </c>
      <c r="L1131">
        <v>10.371466331528362</v>
      </c>
      <c r="M1131">
        <v>0.41000070368625285</v>
      </c>
    </row>
    <row r="1132" spans="1:13" x14ac:dyDescent="0.2">
      <c r="A1132">
        <v>1130</v>
      </c>
      <c r="B1132">
        <v>600</v>
      </c>
      <c r="C1132">
        <v>75.58333333333357</v>
      </c>
      <c r="D1132">
        <v>99</v>
      </c>
      <c r="E1132">
        <v>77.259361863844632</v>
      </c>
      <c r="F1132">
        <v>46.41168215429218</v>
      </c>
      <c r="G1132">
        <v>640.15353016633219</v>
      </c>
      <c r="H1132">
        <v>8.469506463060597</v>
      </c>
      <c r="I1132">
        <v>3.692239130010325</v>
      </c>
      <c r="J1132">
        <v>6.8820859832438472</v>
      </c>
      <c r="K1132">
        <v>651.00466182767695</v>
      </c>
      <c r="L1132">
        <v>9.2990009680687873</v>
      </c>
      <c r="M1132">
        <v>0.41000097138863545</v>
      </c>
    </row>
    <row r="1133" spans="1:13" x14ac:dyDescent="0.2">
      <c r="A1133">
        <v>1131</v>
      </c>
      <c r="B1133">
        <v>600</v>
      </c>
      <c r="C1133">
        <v>79.5833333333334</v>
      </c>
      <c r="D1133">
        <v>98</v>
      </c>
      <c r="E1133">
        <v>87.568779624081785</v>
      </c>
      <c r="F1133">
        <v>59.022085613254383</v>
      </c>
      <c r="G1133">
        <v>871.57028659237085</v>
      </c>
      <c r="H1133">
        <v>10.95166852262664</v>
      </c>
      <c r="I1133">
        <v>4.5862687115108409</v>
      </c>
      <c r="J1133">
        <v>8.5484971323594419</v>
      </c>
      <c r="K1133">
        <v>886.34343013082184</v>
      </c>
      <c r="L1133">
        <v>11.598858402493832</v>
      </c>
      <c r="M1133">
        <v>0.41000050975925018</v>
      </c>
    </row>
    <row r="1134" spans="1:13" x14ac:dyDescent="0.2">
      <c r="A1134">
        <v>1132</v>
      </c>
      <c r="B1134">
        <v>600</v>
      </c>
      <c r="C1134">
        <v>78.000000000000213</v>
      </c>
      <c r="D1134">
        <v>100</v>
      </c>
      <c r="E1134">
        <v>76.82721653847544</v>
      </c>
      <c r="F1134">
        <v>46.357507709026699</v>
      </c>
      <c r="G1134">
        <v>637.45604873372758</v>
      </c>
      <c r="H1134">
        <v>8.1725134453041779</v>
      </c>
      <c r="I1134">
        <v>3.8547331197081913</v>
      </c>
      <c r="J1134">
        <v>7.184963876436516</v>
      </c>
      <c r="K1134">
        <v>648.26111149142434</v>
      </c>
      <c r="L1134">
        <v>9.635203102130772</v>
      </c>
      <c r="M1134">
        <v>0.41000065797515273</v>
      </c>
    </row>
    <row r="1135" spans="1:13" x14ac:dyDescent="0.2">
      <c r="A1135">
        <v>1133</v>
      </c>
      <c r="B1135">
        <v>600</v>
      </c>
      <c r="C1135">
        <v>77.000000000000256</v>
      </c>
      <c r="D1135">
        <v>100</v>
      </c>
      <c r="E1135">
        <v>74.636901819587735</v>
      </c>
      <c r="F1135">
        <v>43.751917196268771</v>
      </c>
      <c r="G1135">
        <v>592.22252880413782</v>
      </c>
      <c r="H1135">
        <v>7.6912016727809851</v>
      </c>
      <c r="I1135">
        <v>3.6674422602239649</v>
      </c>
      <c r="J1135">
        <v>6.8358662818713221</v>
      </c>
      <c r="K1135">
        <v>602.26098791502409</v>
      </c>
      <c r="L1135">
        <v>9.1828719360738464</v>
      </c>
      <c r="M1135">
        <v>0.41000077306581523</v>
      </c>
    </row>
    <row r="1136" spans="1:13" x14ac:dyDescent="0.2">
      <c r="A1136">
        <v>1134</v>
      </c>
      <c r="B1136">
        <v>600</v>
      </c>
      <c r="C1136">
        <v>76.166666666666799</v>
      </c>
      <c r="D1136">
        <v>99</v>
      </c>
      <c r="E1136">
        <v>81.609350787984866</v>
      </c>
      <c r="F1136">
        <v>51.785112251186519</v>
      </c>
      <c r="G1136">
        <v>735.90132411803859</v>
      </c>
      <c r="H1136">
        <v>9.6617241678516912</v>
      </c>
      <c r="I1136">
        <v>4.1906135822066162</v>
      </c>
      <c r="J1136">
        <v>7.8110225204223971</v>
      </c>
      <c r="K1136">
        <v>748.37534947811139</v>
      </c>
      <c r="L1136">
        <v>10.750827280773908</v>
      </c>
      <c r="M1136">
        <v>0.41000088421039388</v>
      </c>
    </row>
    <row r="1137" spans="1:13" x14ac:dyDescent="0.2">
      <c r="A1137">
        <v>1135</v>
      </c>
      <c r="B1137">
        <v>600</v>
      </c>
      <c r="C1137">
        <v>79.333333333333414</v>
      </c>
      <c r="D1137">
        <v>100</v>
      </c>
      <c r="E1137">
        <v>86.735103345416746</v>
      </c>
      <c r="F1137">
        <v>59.085332241270613</v>
      </c>
      <c r="G1137">
        <v>867.96983194616359</v>
      </c>
      <c r="H1137">
        <v>10.940796201002051</v>
      </c>
      <c r="I1137">
        <v>4.6880012809147997</v>
      </c>
      <c r="J1137">
        <v>8.7381198153118351</v>
      </c>
      <c r="K1137">
        <v>882.6819790274468</v>
      </c>
      <c r="L1137">
        <v>11.862684789166028</v>
      </c>
      <c r="M1137">
        <v>0.41000053072171699</v>
      </c>
    </row>
    <row r="1138" spans="1:13" x14ac:dyDescent="0.2">
      <c r="A1138">
        <v>1136</v>
      </c>
      <c r="B1138">
        <v>600</v>
      </c>
      <c r="C1138">
        <v>76.416666666666785</v>
      </c>
      <c r="D1138">
        <v>100</v>
      </c>
      <c r="E1138">
        <v>84.098696544172839</v>
      </c>
      <c r="F1138">
        <v>55.547997937025947</v>
      </c>
      <c r="G1138">
        <v>802.40028671659229</v>
      </c>
      <c r="H1138">
        <v>10.500330905778728</v>
      </c>
      <c r="I1138">
        <v>4.4622091915110733</v>
      </c>
      <c r="J1138">
        <v>8.3172585116702198</v>
      </c>
      <c r="K1138">
        <v>816.00146618377585</v>
      </c>
      <c r="L1138">
        <v>11.329216149854894</v>
      </c>
      <c r="M1138">
        <v>0.4100008492858177</v>
      </c>
    </row>
    <row r="1139" spans="1:13" x14ac:dyDescent="0.2">
      <c r="A1139">
        <v>1137</v>
      </c>
      <c r="B1139">
        <v>600</v>
      </c>
      <c r="C1139">
        <v>77.166666666666757</v>
      </c>
      <c r="D1139">
        <v>100</v>
      </c>
      <c r="E1139">
        <v>80.336965128132221</v>
      </c>
      <c r="F1139">
        <v>50.689817110111733</v>
      </c>
      <c r="G1139">
        <v>714.19725649926966</v>
      </c>
      <c r="H1139">
        <v>9.2552560237486237</v>
      </c>
      <c r="I1139">
        <v>4.1462722609516689</v>
      </c>
      <c r="J1139">
        <v>7.728373272976083</v>
      </c>
      <c r="K1139">
        <v>726.30322117926187</v>
      </c>
      <c r="L1139">
        <v>10.474570190848388</v>
      </c>
      <c r="M1139">
        <v>0.41000075257301194</v>
      </c>
    </row>
    <row r="1140" spans="1:13" x14ac:dyDescent="0.2">
      <c r="A1140">
        <v>1138</v>
      </c>
      <c r="B1140">
        <v>600</v>
      </c>
      <c r="C1140">
        <v>76.50000000000027</v>
      </c>
      <c r="D1140">
        <v>100</v>
      </c>
      <c r="E1140">
        <v>73.263812753893617</v>
      </c>
      <c r="F1140">
        <v>42.156923898825795</v>
      </c>
      <c r="G1140">
        <v>564.89039931028924</v>
      </c>
      <c r="H1140">
        <v>7.3841882262782637</v>
      </c>
      <c r="I1140">
        <v>3.4061087043891072</v>
      </c>
      <c r="J1140">
        <v>6.3487580696907866</v>
      </c>
      <c r="K1140">
        <v>574.46562874864367</v>
      </c>
      <c r="L1140">
        <v>8.3441222378664204</v>
      </c>
      <c r="M1140">
        <v>0.41000083795357306</v>
      </c>
    </row>
    <row r="1141" spans="1:13" x14ac:dyDescent="0.2">
      <c r="A1141">
        <v>1139</v>
      </c>
      <c r="B1141">
        <v>600</v>
      </c>
      <c r="C1141">
        <v>78.500000000000185</v>
      </c>
      <c r="D1141">
        <v>80</v>
      </c>
      <c r="E1141">
        <v>88.771925370841828</v>
      </c>
      <c r="F1141">
        <v>49.514357398853605</v>
      </c>
      <c r="G1141">
        <v>736.62595686041686</v>
      </c>
      <c r="H1141">
        <v>9.3837701510880915</v>
      </c>
      <c r="I1141">
        <v>3.9735698787424032</v>
      </c>
      <c r="J1141">
        <v>7.4064676211414788</v>
      </c>
      <c r="K1141">
        <v>749.11191329713631</v>
      </c>
      <c r="L1141">
        <v>10.104851992105443</v>
      </c>
      <c r="M1141">
        <v>0.41000060702420055</v>
      </c>
    </row>
    <row r="1142" spans="1:13" x14ac:dyDescent="0.2">
      <c r="A1142">
        <v>1140</v>
      </c>
      <c r="B1142">
        <v>600</v>
      </c>
      <c r="C1142">
        <v>76.083333333333542</v>
      </c>
      <c r="D1142">
        <v>75</v>
      </c>
      <c r="E1142">
        <v>86.302640395239365</v>
      </c>
      <c r="F1142">
        <v>43.873199882072669</v>
      </c>
      <c r="G1142">
        <v>642.74920219897558</v>
      </c>
      <c r="H1142">
        <v>8.4479632271497103</v>
      </c>
      <c r="I1142">
        <v>3.8048121276651168</v>
      </c>
      <c r="J1142">
        <v>7.0919144970458836</v>
      </c>
      <c r="K1142">
        <v>653.64424931284282</v>
      </c>
      <c r="L1142">
        <v>9.9519161244074912</v>
      </c>
      <c r="M1142">
        <v>0.41000089616820251</v>
      </c>
    </row>
    <row r="1143" spans="1:13" x14ac:dyDescent="0.2">
      <c r="A1143">
        <v>1141</v>
      </c>
      <c r="B1143">
        <v>600</v>
      </c>
      <c r="C1143">
        <v>72.500000000000441</v>
      </c>
      <c r="D1143">
        <v>22</v>
      </c>
      <c r="E1143">
        <v>108.4411801780284</v>
      </c>
      <c r="F1143">
        <v>20.318939303655679</v>
      </c>
      <c r="G1143">
        <v>337.10153868044966</v>
      </c>
      <c r="H1143">
        <v>4.6496763955923806</v>
      </c>
      <c r="I1143">
        <v>1.9140258083068931</v>
      </c>
      <c r="J1143">
        <v>3.5676156725198376</v>
      </c>
      <c r="K1143">
        <v>342.81605188743021</v>
      </c>
      <c r="L1143">
        <v>5.4486686392867778</v>
      </c>
      <c r="M1143">
        <v>0.4100015967902057</v>
      </c>
    </row>
    <row r="1144" spans="1:13" x14ac:dyDescent="0.2">
      <c r="A1144">
        <v>1142</v>
      </c>
      <c r="B1144">
        <v>600</v>
      </c>
      <c r="C1144">
        <v>77.583333333333485</v>
      </c>
      <c r="D1144">
        <v>92</v>
      </c>
      <c r="E1144">
        <v>83.90104432000264</v>
      </c>
      <c r="F1144">
        <v>50.864226183731652</v>
      </c>
      <c r="G1144">
        <v>733.80148374576675</v>
      </c>
      <c r="H1144">
        <v>9.4582360955415528</v>
      </c>
      <c r="I1144">
        <v>4.1144031798230074</v>
      </c>
      <c r="J1144">
        <v>7.6689714442180934</v>
      </c>
      <c r="K1144">
        <v>746.23968706113419</v>
      </c>
      <c r="L1144">
        <v>10.341512243938077</v>
      </c>
      <c r="M1144">
        <v>0.41000070368625285</v>
      </c>
    </row>
    <row r="1145" spans="1:13" x14ac:dyDescent="0.2">
      <c r="A1145">
        <v>1143</v>
      </c>
      <c r="B1145">
        <v>600</v>
      </c>
      <c r="C1145">
        <v>76.333333333333528</v>
      </c>
      <c r="D1145">
        <v>100</v>
      </c>
      <c r="E1145">
        <v>73.171967596807548</v>
      </c>
      <c r="F1145">
        <v>42.051292422761883</v>
      </c>
      <c r="G1145">
        <v>563.09006907697608</v>
      </c>
      <c r="H1145">
        <v>7.3767257957682268</v>
      </c>
      <c r="I1145">
        <v>3.4345951986453258</v>
      </c>
      <c r="J1145">
        <v>6.4018549834954808</v>
      </c>
      <c r="K1145">
        <v>572.63480398949082</v>
      </c>
      <c r="L1145">
        <v>8.4632730463243462</v>
      </c>
      <c r="M1145">
        <v>0.41000086077131626</v>
      </c>
    </row>
    <row r="1146" spans="1:13" x14ac:dyDescent="0.2">
      <c r="A1146">
        <v>1144</v>
      </c>
      <c r="B1146">
        <v>600</v>
      </c>
      <c r="C1146">
        <v>78.083333333333456</v>
      </c>
      <c r="D1146">
        <v>100</v>
      </c>
      <c r="E1146">
        <v>82.930233143533172</v>
      </c>
      <c r="F1146">
        <v>54.015158401880228</v>
      </c>
      <c r="G1146">
        <v>774.33459466525608</v>
      </c>
      <c r="H1146">
        <v>9.9167717566521425</v>
      </c>
      <c r="I1146">
        <v>4.4497692881642354</v>
      </c>
      <c r="J1146">
        <v>8.2940713665689376</v>
      </c>
      <c r="K1146">
        <v>787.45977629591312</v>
      </c>
      <c r="L1146">
        <v>11.312839718065392</v>
      </c>
      <c r="M1146">
        <v>0.41000064919561674</v>
      </c>
    </row>
    <row r="1147" spans="1:13" x14ac:dyDescent="0.2">
      <c r="A1147">
        <v>1145</v>
      </c>
      <c r="B1147">
        <v>600</v>
      </c>
      <c r="C1147">
        <v>78.083333333333456</v>
      </c>
      <c r="D1147">
        <v>99</v>
      </c>
      <c r="E1147">
        <v>76.933514495388891</v>
      </c>
      <c r="F1147">
        <v>46.021017964101155</v>
      </c>
      <c r="G1147">
        <v>633.30581023127672</v>
      </c>
      <c r="H1147">
        <v>8.1106400456513441</v>
      </c>
      <c r="I1147">
        <v>3.8073274543921389</v>
      </c>
      <c r="J1147">
        <v>7.0966028972826445</v>
      </c>
      <c r="K1147">
        <v>644.04051567295892</v>
      </c>
      <c r="L1147">
        <v>9.4765922670818767</v>
      </c>
      <c r="M1147">
        <v>0.41000064919561674</v>
      </c>
    </row>
    <row r="1148" spans="1:13" x14ac:dyDescent="0.2">
      <c r="A1148">
        <v>1146</v>
      </c>
      <c r="B1148">
        <v>600</v>
      </c>
      <c r="C1148">
        <v>76.333333333333528</v>
      </c>
      <c r="D1148">
        <v>100</v>
      </c>
      <c r="E1148">
        <v>73.27531317529612</v>
      </c>
      <c r="F1148">
        <v>42.170159913267128</v>
      </c>
      <c r="G1148">
        <v>565.11604945223553</v>
      </c>
      <c r="H1148">
        <v>7.4032670233917131</v>
      </c>
      <c r="I1148">
        <v>3.4499306210890897</v>
      </c>
      <c r="J1148">
        <v>6.4304391818995139</v>
      </c>
      <c r="K1148">
        <v>574.69512602105317</v>
      </c>
      <c r="L1148">
        <v>8.5040246392201393</v>
      </c>
      <c r="M1148">
        <v>0.41000086077131626</v>
      </c>
    </row>
    <row r="1149" spans="1:13" x14ac:dyDescent="0.2">
      <c r="A1149">
        <v>1147</v>
      </c>
      <c r="B1149">
        <v>600</v>
      </c>
      <c r="C1149">
        <v>75.083333333333584</v>
      </c>
      <c r="D1149">
        <v>100</v>
      </c>
      <c r="E1149">
        <v>73.063612013644331</v>
      </c>
      <c r="F1149">
        <v>41.9268426161766</v>
      </c>
      <c r="G1149">
        <v>560.97043159846135</v>
      </c>
      <c r="H1149">
        <v>7.4713043054178838</v>
      </c>
      <c r="I1149">
        <v>3.5179074675356676</v>
      </c>
      <c r="J1149">
        <v>6.5571434623218403</v>
      </c>
      <c r="K1149">
        <v>570.4794231014157</v>
      </c>
      <c r="L1149">
        <v>8.9372943321679692</v>
      </c>
      <c r="M1149">
        <v>0.41000105292274208</v>
      </c>
    </row>
    <row r="1150" spans="1:13" x14ac:dyDescent="0.2">
      <c r="A1150">
        <v>1148</v>
      </c>
      <c r="B1150">
        <v>600</v>
      </c>
      <c r="C1150">
        <v>78.583333333333442</v>
      </c>
      <c r="D1150">
        <v>98</v>
      </c>
      <c r="E1150">
        <v>84.114454901367338</v>
      </c>
      <c r="F1150">
        <v>54.457440640750072</v>
      </c>
      <c r="G1150">
        <v>786.72762086652313</v>
      </c>
      <c r="H1150">
        <v>10.011380117071329</v>
      </c>
      <c r="I1150">
        <v>4.2865629573709372</v>
      </c>
      <c r="J1150">
        <v>7.9898657173736014</v>
      </c>
      <c r="K1150">
        <v>800.06279948667679</v>
      </c>
      <c r="L1150">
        <v>10.718885919985375</v>
      </c>
      <c r="M1150">
        <v>0.41000059892451662</v>
      </c>
    </row>
    <row r="1151" spans="1:13" x14ac:dyDescent="0.2">
      <c r="A1151">
        <v>1149</v>
      </c>
      <c r="B1151">
        <v>600</v>
      </c>
      <c r="C1151">
        <v>78.083333333333456</v>
      </c>
      <c r="D1151">
        <v>100</v>
      </c>
      <c r="E1151">
        <v>83.486879988018785</v>
      </c>
      <c r="F1151">
        <v>54.742716395787426</v>
      </c>
      <c r="G1151">
        <v>787.62935445468702</v>
      </c>
      <c r="H1151">
        <v>10.087035489280929</v>
      </c>
      <c r="I1151">
        <v>4.5092413921544638</v>
      </c>
      <c r="J1151">
        <v>8.4049233777343204</v>
      </c>
      <c r="K1151">
        <v>800.97988587363261</v>
      </c>
      <c r="L1151">
        <v>11.485987159157723</v>
      </c>
      <c r="M1151">
        <v>0.41000064919561674</v>
      </c>
    </row>
    <row r="1152" spans="1:13" x14ac:dyDescent="0.2">
      <c r="A1152">
        <v>1150</v>
      </c>
      <c r="B1152">
        <v>600</v>
      </c>
      <c r="C1152">
        <v>78.333333333333456</v>
      </c>
      <c r="D1152">
        <v>99</v>
      </c>
      <c r="E1152">
        <v>76.416822420956521</v>
      </c>
      <c r="F1152">
        <v>45.404931580485389</v>
      </c>
      <c r="G1152">
        <v>622.53844759053811</v>
      </c>
      <c r="H1152">
        <v>7.9472993309430269</v>
      </c>
      <c r="I1152">
        <v>3.664014289321627</v>
      </c>
      <c r="J1152">
        <v>6.8294767741316447</v>
      </c>
      <c r="K1152">
        <v>633.09061579711101</v>
      </c>
      <c r="L1152">
        <v>8.9541022808730322</v>
      </c>
      <c r="M1152">
        <v>0.41000062355366318</v>
      </c>
    </row>
    <row r="1153" spans="1:13" x14ac:dyDescent="0.2">
      <c r="A1153">
        <v>1151</v>
      </c>
      <c r="B1153">
        <v>600</v>
      </c>
      <c r="C1153">
        <v>77.250000000000242</v>
      </c>
      <c r="D1153">
        <v>100</v>
      </c>
      <c r="E1153">
        <v>76.920827589655914</v>
      </c>
      <c r="F1153">
        <v>46.470546265575528</v>
      </c>
      <c r="G1153">
        <v>639.43432684347943</v>
      </c>
      <c r="H1153">
        <v>8.2774670141550484</v>
      </c>
      <c r="I1153">
        <v>3.7474696390711362</v>
      </c>
      <c r="J1153">
        <v>6.9850319460785384</v>
      </c>
      <c r="K1153">
        <v>650.27301517645856</v>
      </c>
      <c r="L1153">
        <v>9.305929931123746</v>
      </c>
      <c r="M1153">
        <v>0.41000074253123181</v>
      </c>
    </row>
    <row r="1154" spans="1:13" x14ac:dyDescent="0.2">
      <c r="A1154">
        <v>1152</v>
      </c>
      <c r="B1154">
        <v>600</v>
      </c>
      <c r="C1154">
        <v>78.166666666666714</v>
      </c>
      <c r="D1154">
        <v>99</v>
      </c>
      <c r="E1154">
        <v>77.061699534646763</v>
      </c>
      <c r="F1154">
        <v>46.174504272401997</v>
      </c>
      <c r="G1154">
        <v>635.99444636213514</v>
      </c>
      <c r="H1154">
        <v>8.1363895056989524</v>
      </c>
      <c r="I1154">
        <v>3.7810898338062908</v>
      </c>
      <c r="J1154">
        <v>7.047697733096534</v>
      </c>
      <c r="K1154">
        <v>646.77471542030105</v>
      </c>
      <c r="L1154">
        <v>9.3648796797680287</v>
      </c>
      <c r="M1154">
        <v>0.41000064053322849</v>
      </c>
    </row>
    <row r="1155" spans="1:13" x14ac:dyDescent="0.2">
      <c r="A1155">
        <v>1153</v>
      </c>
      <c r="B1155">
        <v>600</v>
      </c>
      <c r="C1155">
        <v>77.583333333333485</v>
      </c>
      <c r="D1155">
        <v>100</v>
      </c>
      <c r="E1155">
        <v>77.389992438203421</v>
      </c>
      <c r="F1155">
        <v>47.039152642961277</v>
      </c>
      <c r="G1155">
        <v>649.40579818418814</v>
      </c>
      <c r="H1155">
        <v>8.370429192492205</v>
      </c>
      <c r="I1155">
        <v>3.7353567575530793</v>
      </c>
      <c r="J1155">
        <v>6.9624543477224208</v>
      </c>
      <c r="K1155">
        <v>660.4134637870992</v>
      </c>
      <c r="L1155">
        <v>9.1853896248583542</v>
      </c>
      <c r="M1155">
        <v>0.41000070368625285</v>
      </c>
    </row>
    <row r="1156" spans="1:13" x14ac:dyDescent="0.2">
      <c r="A1156">
        <v>1154</v>
      </c>
      <c r="B1156">
        <v>600</v>
      </c>
      <c r="C1156">
        <v>79.166666666666671</v>
      </c>
      <c r="D1156">
        <v>99</v>
      </c>
      <c r="E1156">
        <v>88.323300283780853</v>
      </c>
      <c r="F1156">
        <v>60.656263396964611</v>
      </c>
      <c r="G1156">
        <v>899.89748595451704</v>
      </c>
      <c r="H1156">
        <v>11.367126138372846</v>
      </c>
      <c r="I1156">
        <v>4.8714827296858827</v>
      </c>
      <c r="J1156">
        <v>9.0801169239252246</v>
      </c>
      <c r="K1156">
        <v>915.15083133667099</v>
      </c>
      <c r="L1156">
        <v>12.534130540278166</v>
      </c>
      <c r="M1156">
        <v>0.4100005451734387</v>
      </c>
    </row>
    <row r="1157" spans="1:13" x14ac:dyDescent="0.2">
      <c r="A1157">
        <v>1155</v>
      </c>
      <c r="B1157">
        <v>600</v>
      </c>
      <c r="C1157">
        <v>76.166666666666799</v>
      </c>
      <c r="D1157">
        <v>100</v>
      </c>
      <c r="E1157">
        <v>74.111939085543767</v>
      </c>
      <c r="F1157">
        <v>43.138618634106443</v>
      </c>
      <c r="G1157">
        <v>581.68015882715497</v>
      </c>
      <c r="H1157">
        <v>7.6369386279276243</v>
      </c>
      <c r="I1157">
        <v>3.5685930953490672</v>
      </c>
      <c r="J1157">
        <v>6.6516180714800868</v>
      </c>
      <c r="K1157">
        <v>591.54003108836753</v>
      </c>
      <c r="L1157">
        <v>8.9295031411181753</v>
      </c>
      <c r="M1157">
        <v>0.41000088421039388</v>
      </c>
    </row>
    <row r="1158" spans="1:13" x14ac:dyDescent="0.2">
      <c r="A1158">
        <v>1156</v>
      </c>
      <c r="B1158">
        <v>600</v>
      </c>
      <c r="C1158">
        <v>79.333333333333414</v>
      </c>
      <c r="D1158">
        <v>98</v>
      </c>
      <c r="E1158">
        <v>83.1309865917313</v>
      </c>
      <c r="F1158">
        <v>53.191449645785433</v>
      </c>
      <c r="G1158">
        <v>763.53136753219064</v>
      </c>
      <c r="H1158">
        <v>9.6243449688931495</v>
      </c>
      <c r="I1158">
        <v>4.2106476178998866</v>
      </c>
      <c r="J1158">
        <v>7.8483646186391161</v>
      </c>
      <c r="K1158">
        <v>776.47327561109205</v>
      </c>
      <c r="L1158">
        <v>10.511853506193845</v>
      </c>
      <c r="M1158">
        <v>0.41000053072171699</v>
      </c>
    </row>
    <row r="1159" spans="1:13" x14ac:dyDescent="0.2">
      <c r="A1159">
        <v>1157</v>
      </c>
      <c r="B1159">
        <v>600</v>
      </c>
      <c r="C1159">
        <v>79.083333333333414</v>
      </c>
      <c r="D1159">
        <v>100</v>
      </c>
      <c r="E1159">
        <v>87.345760284963575</v>
      </c>
      <c r="F1159">
        <v>59.920239449876902</v>
      </c>
      <c r="G1159">
        <v>883.60493981296929</v>
      </c>
      <c r="H1159">
        <v>11.173086699426364</v>
      </c>
      <c r="I1159">
        <v>4.8681234145971128</v>
      </c>
      <c r="J1159">
        <v>9.0738553860151203</v>
      </c>
      <c r="K1159">
        <v>898.58213626429483</v>
      </c>
      <c r="L1159">
        <v>12.535443432739562</v>
      </c>
      <c r="M1159">
        <v>0.41000055254620849</v>
      </c>
    </row>
    <row r="1160" spans="1:13" x14ac:dyDescent="0.2">
      <c r="A1160">
        <v>1158</v>
      </c>
      <c r="B1160">
        <v>600</v>
      </c>
      <c r="C1160">
        <v>75.33333333333357</v>
      </c>
      <c r="D1160">
        <v>99</v>
      </c>
      <c r="E1160">
        <v>73.248234368202148</v>
      </c>
      <c r="F1160">
        <v>41.717607826760648</v>
      </c>
      <c r="G1160">
        <v>558.93878076429326</v>
      </c>
      <c r="H1160">
        <v>7.4195413375790906</v>
      </c>
      <c r="I1160">
        <v>3.3862199372387964</v>
      </c>
      <c r="J1160">
        <v>6.3116867422903935</v>
      </c>
      <c r="K1160">
        <v>568.41329375333908</v>
      </c>
      <c r="L1160">
        <v>8.4524659355552298</v>
      </c>
      <c r="M1160">
        <v>0.41000101133435901</v>
      </c>
    </row>
    <row r="1161" spans="1:13" x14ac:dyDescent="0.2">
      <c r="A1161">
        <v>1159</v>
      </c>
      <c r="B1161">
        <v>600</v>
      </c>
      <c r="C1161">
        <v>77.250000000000242</v>
      </c>
      <c r="D1161">
        <v>33</v>
      </c>
      <c r="E1161">
        <v>121.7580627966278</v>
      </c>
      <c r="F1161">
        <v>38.423708662720642</v>
      </c>
      <c r="G1161">
        <v>678.98460083519285</v>
      </c>
      <c r="H1161">
        <v>8.7894446710057057</v>
      </c>
      <c r="I1161">
        <v>3.6264708991219039</v>
      </c>
      <c r="J1161">
        <v>6.7594984140203236</v>
      </c>
      <c r="K1161">
        <v>690.4936834139678</v>
      </c>
      <c r="L1161">
        <v>10.345427281591981</v>
      </c>
      <c r="M1161">
        <v>0.41000074253123181</v>
      </c>
    </row>
    <row r="1162" spans="1:13" x14ac:dyDescent="0.2">
      <c r="A1162">
        <v>1160</v>
      </c>
      <c r="B1162">
        <v>600</v>
      </c>
      <c r="C1162">
        <v>76.333333333333528</v>
      </c>
      <c r="D1162">
        <v>91</v>
      </c>
      <c r="E1162">
        <v>70.736336158244882</v>
      </c>
      <c r="F1162">
        <v>35.761555153873431</v>
      </c>
      <c r="G1162">
        <v>470.11774399536006</v>
      </c>
      <c r="H1162">
        <v>6.1587477379304651</v>
      </c>
      <c r="I1162">
        <v>2.9769875832641959</v>
      </c>
      <c r="J1162">
        <v>5.5489050946210545</v>
      </c>
      <c r="K1162">
        <v>478.0865388481277</v>
      </c>
      <c r="L1162">
        <v>7.2701423185420726</v>
      </c>
      <c r="M1162">
        <v>0.41000086077131626</v>
      </c>
    </row>
    <row r="1163" spans="1:13" x14ac:dyDescent="0.2">
      <c r="A1163">
        <v>1161</v>
      </c>
      <c r="B1163">
        <v>600</v>
      </c>
      <c r="C1163">
        <v>77.500000000000227</v>
      </c>
      <c r="D1163">
        <v>100</v>
      </c>
      <c r="E1163">
        <v>80.413954002774645</v>
      </c>
      <c r="F1163">
        <v>50.787018240981389</v>
      </c>
      <c r="G1163">
        <v>715.9402694195951</v>
      </c>
      <c r="H1163">
        <v>9.2379389602528121</v>
      </c>
      <c r="I1163">
        <v>4.027119239298294</v>
      </c>
      <c r="J1163">
        <v>7.5062800359707245</v>
      </c>
      <c r="K1163">
        <v>728.075730368368</v>
      </c>
      <c r="L1163">
        <v>10.007469552760645</v>
      </c>
      <c r="M1163">
        <v>0.41000071320270459</v>
      </c>
    </row>
    <row r="1164" spans="1:13" x14ac:dyDescent="0.2">
      <c r="A1164">
        <v>1162</v>
      </c>
      <c r="B1164">
        <v>600</v>
      </c>
      <c r="C1164">
        <v>79.500000000000142</v>
      </c>
      <c r="D1164">
        <v>98</v>
      </c>
      <c r="E1164">
        <v>82.734667771111745</v>
      </c>
      <c r="F1164">
        <v>52.685488554847083</v>
      </c>
      <c r="G1164">
        <v>754.30259990637944</v>
      </c>
      <c r="H1164">
        <v>9.4880830176902897</v>
      </c>
      <c r="I1164">
        <v>4.106654193365209</v>
      </c>
      <c r="J1164">
        <v>7.6545278534300252</v>
      </c>
      <c r="K1164">
        <v>767.08806146143013</v>
      </c>
      <c r="L1164">
        <v>10.203408266983036</v>
      </c>
      <c r="M1164">
        <v>0.41000051665308856</v>
      </c>
    </row>
    <row r="1165" spans="1:13" x14ac:dyDescent="0.2">
      <c r="A1165">
        <v>1163</v>
      </c>
      <c r="B1165">
        <v>600</v>
      </c>
      <c r="C1165">
        <v>78.083333333333456</v>
      </c>
      <c r="D1165">
        <v>99</v>
      </c>
      <c r="E1165">
        <v>77.305660268349868</v>
      </c>
      <c r="F1165">
        <v>46.467324101694459</v>
      </c>
      <c r="G1165">
        <v>641.13052504603286</v>
      </c>
      <c r="H1165">
        <v>8.2108498405041423</v>
      </c>
      <c r="I1165">
        <v>3.8249171783775551</v>
      </c>
      <c r="J1165">
        <v>7.1293889624931124</v>
      </c>
      <c r="K1165">
        <v>651.99786152842967</v>
      </c>
      <c r="L1165">
        <v>9.5338316984909319</v>
      </c>
      <c r="M1165">
        <v>0.41000064919561674</v>
      </c>
    </row>
    <row r="1166" spans="1:13" x14ac:dyDescent="0.2">
      <c r="A1166">
        <v>1164</v>
      </c>
      <c r="B1166">
        <v>600</v>
      </c>
      <c r="C1166">
        <v>76.50000000000027</v>
      </c>
      <c r="D1166">
        <v>100</v>
      </c>
      <c r="E1166">
        <v>79.487994301369696</v>
      </c>
      <c r="F1166">
        <v>49.624136040864272</v>
      </c>
      <c r="G1166">
        <v>695.14782335715415</v>
      </c>
      <c r="H1166">
        <v>9.0868996517274727</v>
      </c>
      <c r="I1166">
        <v>3.9630353516890269</v>
      </c>
      <c r="J1166">
        <v>7.3868319695974396</v>
      </c>
      <c r="K1166">
        <v>706.93099388075382</v>
      </c>
      <c r="L1166">
        <v>9.9212329558112842</v>
      </c>
      <c r="M1166">
        <v>0.41000083795357306</v>
      </c>
    </row>
    <row r="1167" spans="1:13" x14ac:dyDescent="0.2">
      <c r="A1167">
        <v>1165</v>
      </c>
      <c r="B1167">
        <v>600</v>
      </c>
      <c r="C1167">
        <v>76.666666666666771</v>
      </c>
      <c r="D1167">
        <v>100</v>
      </c>
      <c r="E1167">
        <v>73.163373857354642</v>
      </c>
      <c r="F1167">
        <v>42.041415508379117</v>
      </c>
      <c r="G1167">
        <v>562.92183978723733</v>
      </c>
      <c r="H1167">
        <v>7.3424587798335201</v>
      </c>
      <c r="I1167">
        <v>3.4279515380503818</v>
      </c>
      <c r="J1167">
        <v>6.3894716459466574</v>
      </c>
      <c r="K1167">
        <v>572.46367941400217</v>
      </c>
      <c r="L1167">
        <v>8.4050617603014626</v>
      </c>
      <c r="M1167">
        <v>0.41000081574069358</v>
      </c>
    </row>
    <row r="1168" spans="1:13" x14ac:dyDescent="0.2">
      <c r="A1168">
        <v>1166</v>
      </c>
      <c r="B1168">
        <v>600</v>
      </c>
      <c r="C1168">
        <v>77.916666666666728</v>
      </c>
      <c r="D1168">
        <v>99</v>
      </c>
      <c r="E1168">
        <v>78.878287467492186</v>
      </c>
      <c r="F1168">
        <v>48.377121311822727</v>
      </c>
      <c r="G1168">
        <v>674.8431499440876</v>
      </c>
      <c r="H1168">
        <v>8.6610885554321335</v>
      </c>
      <c r="I1168">
        <v>3.9990453625143632</v>
      </c>
      <c r="J1168">
        <v>7.4539522134470886</v>
      </c>
      <c r="K1168">
        <v>686.28194513498443</v>
      </c>
      <c r="L1168">
        <v>10.106329930217877</v>
      </c>
      <c r="M1168">
        <v>0.41000066687342057</v>
      </c>
    </row>
    <row r="1169" spans="1:13" x14ac:dyDescent="0.2">
      <c r="A1169">
        <v>1167</v>
      </c>
      <c r="B1169">
        <v>600</v>
      </c>
      <c r="C1169">
        <v>75.250000000000327</v>
      </c>
      <c r="D1169">
        <v>100</v>
      </c>
      <c r="E1169">
        <v>75.06259831479835</v>
      </c>
      <c r="F1169">
        <v>44.252424369530061</v>
      </c>
      <c r="G1169">
        <v>600.8556130635485</v>
      </c>
      <c r="H1169">
        <v>7.9847922001800118</v>
      </c>
      <c r="I1169">
        <v>3.5994097424328602</v>
      </c>
      <c r="J1169">
        <v>6.7090582337984346</v>
      </c>
      <c r="K1169">
        <v>611.04066807076731</v>
      </c>
      <c r="L1169">
        <v>9.1005350933820726</v>
      </c>
      <c r="M1169">
        <v>0.41000102501135577</v>
      </c>
    </row>
    <row r="1170" spans="1:13" x14ac:dyDescent="0.2">
      <c r="A1170">
        <v>1168</v>
      </c>
      <c r="B1170">
        <v>600</v>
      </c>
      <c r="C1170">
        <v>77.083333333333499</v>
      </c>
      <c r="D1170">
        <v>99</v>
      </c>
      <c r="E1170">
        <v>78.74607567743756</v>
      </c>
      <c r="F1170">
        <v>48.215082665592753</v>
      </c>
      <c r="G1170">
        <v>671.96835929495501</v>
      </c>
      <c r="H1170">
        <v>8.7174273638264239</v>
      </c>
      <c r="I1170">
        <v>3.9354618509130881</v>
      </c>
      <c r="J1170">
        <v>7.3354368143766777</v>
      </c>
      <c r="K1170">
        <v>683.3585369645815</v>
      </c>
      <c r="L1170">
        <v>9.9467400941915436</v>
      </c>
      <c r="M1170">
        <v>0.41000076275059422</v>
      </c>
    </row>
    <row r="1171" spans="1:13" x14ac:dyDescent="0.2">
      <c r="A1171">
        <v>1169</v>
      </c>
      <c r="B1171">
        <v>600</v>
      </c>
      <c r="C1171">
        <v>79.166666666666671</v>
      </c>
      <c r="D1171">
        <v>100</v>
      </c>
      <c r="E1171">
        <v>83.444326577869489</v>
      </c>
      <c r="F1171">
        <v>54.686925699299181</v>
      </c>
      <c r="G1171">
        <v>786.60831000082021</v>
      </c>
      <c r="H1171">
        <v>9.9361049684314118</v>
      </c>
      <c r="I1171">
        <v>4.4494249017570002</v>
      </c>
      <c r="J1171">
        <v>8.2934294534147242</v>
      </c>
      <c r="K1171">
        <v>799.94139340219044</v>
      </c>
      <c r="L1171">
        <v>11.239462815613036</v>
      </c>
      <c r="M1171">
        <v>0.4100005451734387</v>
      </c>
    </row>
    <row r="1172" spans="1:13" x14ac:dyDescent="0.2">
      <c r="A1172">
        <v>1170</v>
      </c>
      <c r="B1172">
        <v>600</v>
      </c>
      <c r="C1172">
        <v>78.666666666666686</v>
      </c>
      <c r="D1172">
        <v>97</v>
      </c>
      <c r="E1172">
        <v>80.953325437336318</v>
      </c>
      <c r="F1172">
        <v>49.926486329048359</v>
      </c>
      <c r="G1172">
        <v>706.37705317682185</v>
      </c>
      <c r="H1172">
        <v>8.9793693200443432</v>
      </c>
      <c r="I1172">
        <v>3.9233911966662376</v>
      </c>
      <c r="J1172">
        <v>7.3129379248205737</v>
      </c>
      <c r="K1172">
        <v>718.35026508966916</v>
      </c>
      <c r="L1172">
        <v>9.7044111000168591</v>
      </c>
      <c r="M1172">
        <v>0.41000059093290886</v>
      </c>
    </row>
    <row r="1173" spans="1:13" x14ac:dyDescent="0.2">
      <c r="A1173">
        <v>1171</v>
      </c>
      <c r="B1173">
        <v>600</v>
      </c>
      <c r="C1173">
        <v>77.250000000000242</v>
      </c>
      <c r="D1173">
        <v>100</v>
      </c>
      <c r="E1173">
        <v>76.334922043356258</v>
      </c>
      <c r="F1173">
        <v>45.765310600506943</v>
      </c>
      <c r="G1173">
        <v>627.11300613670119</v>
      </c>
      <c r="H1173">
        <v>8.1179677169799245</v>
      </c>
      <c r="I1173">
        <v>3.7502554074633032</v>
      </c>
      <c r="J1173">
        <v>6.9902244314320647</v>
      </c>
      <c r="K1173">
        <v>637.74284275593095</v>
      </c>
      <c r="L1173">
        <v>9.2926073189853238</v>
      </c>
      <c r="M1173">
        <v>0.41000074253123181</v>
      </c>
    </row>
    <row r="1174" spans="1:13" x14ac:dyDescent="0.2">
      <c r="A1174">
        <v>1172</v>
      </c>
      <c r="B1174">
        <v>600</v>
      </c>
      <c r="C1174">
        <v>77.083333333333499</v>
      </c>
      <c r="D1174">
        <v>100</v>
      </c>
      <c r="E1174">
        <v>77.189818506348431</v>
      </c>
      <c r="F1174">
        <v>46.796128078808188</v>
      </c>
      <c r="G1174">
        <v>645.13986568081543</v>
      </c>
      <c r="H1174">
        <v>8.3693820412646147</v>
      </c>
      <c r="I1174">
        <v>3.8628182657682135</v>
      </c>
      <c r="J1174">
        <v>7.2000340461662873</v>
      </c>
      <c r="K1174">
        <v>656.07528784797432</v>
      </c>
      <c r="L1174">
        <v>9.7108460553027278</v>
      </c>
      <c r="M1174">
        <v>0.41000076275059422</v>
      </c>
    </row>
    <row r="1175" spans="1:13" x14ac:dyDescent="0.2">
      <c r="A1175">
        <v>1173</v>
      </c>
      <c r="B1175">
        <v>600</v>
      </c>
      <c r="C1175">
        <v>79.416666666666657</v>
      </c>
      <c r="D1175">
        <v>100</v>
      </c>
      <c r="E1175">
        <v>88.441547090446335</v>
      </c>
      <c r="F1175">
        <v>61.433115897909182</v>
      </c>
      <c r="G1175">
        <v>912.08736298800557</v>
      </c>
      <c r="H1175">
        <v>11.484835630489052</v>
      </c>
      <c r="I1175">
        <v>4.8896382476002449</v>
      </c>
      <c r="J1175">
        <v>9.1139575910535768</v>
      </c>
      <c r="K1175">
        <v>927.547294057312</v>
      </c>
      <c r="L1175">
        <v>12.389574735081611</v>
      </c>
      <c r="M1175">
        <v>0.41000052364015721</v>
      </c>
    </row>
    <row r="1176" spans="1:13" x14ac:dyDescent="0.2">
      <c r="A1176">
        <v>1174</v>
      </c>
      <c r="B1176">
        <v>600</v>
      </c>
      <c r="C1176">
        <v>79.250000000000156</v>
      </c>
      <c r="D1176">
        <v>100</v>
      </c>
      <c r="E1176">
        <v>86.211492523246761</v>
      </c>
      <c r="F1176">
        <v>58.374101509954237</v>
      </c>
      <c r="G1176">
        <v>854.69809300375334</v>
      </c>
      <c r="H1176">
        <v>10.784833981119895</v>
      </c>
      <c r="I1176">
        <v>4.6979757026407487</v>
      </c>
      <c r="J1176">
        <v>8.7567114681095024</v>
      </c>
      <c r="K1176">
        <v>869.18529379015615</v>
      </c>
      <c r="L1176">
        <v>11.924678221046875</v>
      </c>
      <c r="M1176">
        <v>0.41000053789904578</v>
      </c>
    </row>
    <row r="1177" spans="1:13" x14ac:dyDescent="0.2">
      <c r="A1177">
        <v>1175</v>
      </c>
      <c r="B1177">
        <v>600</v>
      </c>
      <c r="C1177">
        <v>76.000000000000298</v>
      </c>
      <c r="D1177">
        <v>100</v>
      </c>
      <c r="E1177">
        <v>71.0164227594653</v>
      </c>
      <c r="F1177">
        <v>39.610239270412606</v>
      </c>
      <c r="G1177">
        <v>521.83416399124724</v>
      </c>
      <c r="H1177">
        <v>6.8662389998848052</v>
      </c>
      <c r="I1177">
        <v>3.344923517707775</v>
      </c>
      <c r="J1177">
        <v>6.2347129873397469</v>
      </c>
      <c r="K1177">
        <v>530.67962780430548</v>
      </c>
      <c r="L1177">
        <v>8.3661722511382131</v>
      </c>
      <c r="M1177">
        <v>0.41000090828772506</v>
      </c>
    </row>
    <row r="1178" spans="1:13" x14ac:dyDescent="0.2">
      <c r="A1178">
        <v>1176</v>
      </c>
      <c r="B1178">
        <v>600</v>
      </c>
      <c r="C1178">
        <v>75.250000000000327</v>
      </c>
      <c r="D1178">
        <v>48</v>
      </c>
      <c r="E1178">
        <v>96.297104934868955</v>
      </c>
      <c r="F1178">
        <v>34.958885619341018</v>
      </c>
      <c r="G1178">
        <v>543.65267550584122</v>
      </c>
      <c r="H1178">
        <v>7.2246202725028423</v>
      </c>
      <c r="I1178">
        <v>3.0666943388539818</v>
      </c>
      <c r="J1178">
        <v>5.7161124675749893</v>
      </c>
      <c r="K1178">
        <v>552.86808813486994</v>
      </c>
      <c r="L1178">
        <v>8.2589628746546406</v>
      </c>
      <c r="M1178">
        <v>0.41000102501135577</v>
      </c>
    </row>
    <row r="1179" spans="1:13" x14ac:dyDescent="0.2">
      <c r="A1179">
        <v>1177</v>
      </c>
      <c r="B1179">
        <v>600</v>
      </c>
      <c r="C1179">
        <v>74.500000000000355</v>
      </c>
      <c r="D1179">
        <v>11</v>
      </c>
      <c r="E1179">
        <v>166.82717822206035</v>
      </c>
      <c r="F1179">
        <v>24.04452348301551</v>
      </c>
      <c r="G1179">
        <v>504.39947802954941</v>
      </c>
      <c r="H1179">
        <v>6.7704627923429133</v>
      </c>
      <c r="I1179">
        <v>2.9442567396234005</v>
      </c>
      <c r="J1179">
        <v>5.487896998366077</v>
      </c>
      <c r="K1179">
        <v>512.94962739756068</v>
      </c>
      <c r="L1179">
        <v>9.5842796482252286</v>
      </c>
      <c r="M1179">
        <v>0.41000115673508558</v>
      </c>
    </row>
    <row r="1180" spans="1:13" x14ac:dyDescent="0.2">
      <c r="A1180">
        <v>1178</v>
      </c>
      <c r="B1180">
        <v>600</v>
      </c>
      <c r="C1180">
        <v>82.000000000000028</v>
      </c>
      <c r="D1180">
        <v>87.052803315455577</v>
      </c>
      <c r="E1180">
        <v>96.827191236133913</v>
      </c>
      <c r="F1180">
        <v>64.101369838377423</v>
      </c>
      <c r="G1180">
        <v>999.83970986005556</v>
      </c>
      <c r="H1180">
        <v>12.193167193415309</v>
      </c>
      <c r="I1180">
        <v>5.2233582165366546</v>
      </c>
      <c r="J1180">
        <v>9.7359892200124047</v>
      </c>
      <c r="K1180">
        <v>1016.786740678608</v>
      </c>
      <c r="L1180">
        <v>14.205092977360524</v>
      </c>
      <c r="M1180">
        <v>0.41000034528808371</v>
      </c>
    </row>
    <row r="1181" spans="1:13" x14ac:dyDescent="0.2">
      <c r="A1181">
        <v>1179</v>
      </c>
      <c r="B1181">
        <v>600</v>
      </c>
      <c r="C1181">
        <v>76.583333333333528</v>
      </c>
      <c r="D1181">
        <v>100</v>
      </c>
      <c r="E1181">
        <v>71.744254610414345</v>
      </c>
      <c r="F1181">
        <v>40.426313264363777</v>
      </c>
      <c r="G1181">
        <v>535.55164072886657</v>
      </c>
      <c r="H1181">
        <v>6.993057332694649</v>
      </c>
      <c r="I1181">
        <v>3.2700555043983295</v>
      </c>
      <c r="J1181">
        <v>6.0951640342932505</v>
      </c>
      <c r="K1181">
        <v>544.62955037639904</v>
      </c>
      <c r="L1181">
        <v>7.9743699718893772</v>
      </c>
      <c r="M1181">
        <v>0.41000082677253757</v>
      </c>
    </row>
    <row r="1182" spans="1:13" x14ac:dyDescent="0.2">
      <c r="A1182">
        <v>1180</v>
      </c>
      <c r="B1182">
        <v>600</v>
      </c>
      <c r="C1182">
        <v>76.000000000000298</v>
      </c>
      <c r="D1182">
        <v>100</v>
      </c>
      <c r="E1182">
        <v>73.628966349492345</v>
      </c>
      <c r="F1182">
        <v>42.578199115095074</v>
      </c>
      <c r="G1182">
        <v>572.08245146314187</v>
      </c>
      <c r="H1182">
        <v>7.5274006771465736</v>
      </c>
      <c r="I1182">
        <v>3.5990182171286058</v>
      </c>
      <c r="J1182">
        <v>6.7083284569032706</v>
      </c>
      <c r="K1182">
        <v>581.77965983255729</v>
      </c>
      <c r="L1182">
        <v>9.0909392236656803</v>
      </c>
      <c r="M1182">
        <v>0.41000090828772506</v>
      </c>
    </row>
    <row r="1183" spans="1:13" x14ac:dyDescent="0.2">
      <c r="A1183">
        <v>1181</v>
      </c>
      <c r="B1183">
        <v>600</v>
      </c>
      <c r="C1183">
        <v>77.250000000000242</v>
      </c>
      <c r="D1183">
        <v>100</v>
      </c>
      <c r="E1183">
        <v>77.505560315954099</v>
      </c>
      <c r="F1183">
        <v>47.179746377885984</v>
      </c>
      <c r="G1183">
        <v>651.8763745799522</v>
      </c>
      <c r="H1183">
        <v>8.4385291207760531</v>
      </c>
      <c r="I1183">
        <v>3.8732309580495192</v>
      </c>
      <c r="J1183">
        <v>7.2194426058704915</v>
      </c>
      <c r="K1183">
        <v>662.92596100203673</v>
      </c>
      <c r="L1183">
        <v>9.6365534628012099</v>
      </c>
      <c r="M1183">
        <v>0.41000074253123181</v>
      </c>
    </row>
    <row r="1184" spans="1:13" x14ac:dyDescent="0.2">
      <c r="A1184">
        <v>1182</v>
      </c>
      <c r="B1184">
        <v>600</v>
      </c>
      <c r="C1184">
        <v>80.583333333333357</v>
      </c>
      <c r="D1184">
        <v>99</v>
      </c>
      <c r="E1184">
        <v>87.479769274197892</v>
      </c>
      <c r="F1184">
        <v>59.503201603120921</v>
      </c>
      <c r="G1184">
        <v>878.18836138084941</v>
      </c>
      <c r="H1184">
        <v>10.89789073068272</v>
      </c>
      <c r="I1184">
        <v>4.6284060294541085</v>
      </c>
      <c r="J1184">
        <v>8.6270382655248987</v>
      </c>
      <c r="K1184">
        <v>893.0735666186705</v>
      </c>
      <c r="L1184">
        <v>11.737161655554573</v>
      </c>
      <c r="M1184">
        <v>0.4100004338685192</v>
      </c>
    </row>
    <row r="1185" spans="1:13" x14ac:dyDescent="0.2">
      <c r="A1185">
        <v>1183</v>
      </c>
      <c r="B1185">
        <v>600</v>
      </c>
      <c r="C1185">
        <v>77.250000000000242</v>
      </c>
      <c r="D1185">
        <v>100</v>
      </c>
      <c r="E1185">
        <v>75.516633893116364</v>
      </c>
      <c r="F1185">
        <v>44.789387968099589</v>
      </c>
      <c r="G1185">
        <v>610.14769582145004</v>
      </c>
      <c r="H1185">
        <v>7.8983520494685839</v>
      </c>
      <c r="I1185">
        <v>3.6451475070741601</v>
      </c>
      <c r="J1185">
        <v>6.7943103580133455</v>
      </c>
      <c r="K1185">
        <v>620.48996309499421</v>
      </c>
      <c r="L1185">
        <v>9.0064649254594826</v>
      </c>
      <c r="M1185">
        <v>0.41000074253123181</v>
      </c>
    </row>
    <row r="1186" spans="1:13" x14ac:dyDescent="0.2">
      <c r="A1186">
        <v>1184</v>
      </c>
      <c r="B1186">
        <v>600</v>
      </c>
      <c r="C1186">
        <v>79.5833333333334</v>
      </c>
      <c r="D1186">
        <v>100</v>
      </c>
      <c r="E1186">
        <v>81.266742431463086</v>
      </c>
      <c r="F1186">
        <v>51.869920728824617</v>
      </c>
      <c r="G1186">
        <v>735.41979668574754</v>
      </c>
      <c r="H1186">
        <v>9.2408770264177633</v>
      </c>
      <c r="I1186">
        <v>4.1129453260117455</v>
      </c>
      <c r="J1186">
        <v>7.6662541025382014</v>
      </c>
      <c r="K1186">
        <v>747.88518517430464</v>
      </c>
      <c r="L1186">
        <v>10.150661928375545</v>
      </c>
      <c r="M1186">
        <v>0.41000050975925018</v>
      </c>
    </row>
    <row r="1187" spans="1:13" x14ac:dyDescent="0.2">
      <c r="A1187">
        <v>1185</v>
      </c>
      <c r="B1187">
        <v>600</v>
      </c>
      <c r="C1187">
        <v>77.000000000000256</v>
      </c>
      <c r="D1187">
        <v>100</v>
      </c>
      <c r="E1187">
        <v>74.982049318233251</v>
      </c>
      <c r="F1187">
        <v>44.157501573134205</v>
      </c>
      <c r="G1187">
        <v>599.21647536392015</v>
      </c>
      <c r="H1187">
        <v>7.7820321475833527</v>
      </c>
      <c r="I1187">
        <v>3.693688077344957</v>
      </c>
      <c r="J1187">
        <v>6.8847867238489409</v>
      </c>
      <c r="K1187">
        <v>609.37348526129188</v>
      </c>
      <c r="L1187">
        <v>9.2532100841959739</v>
      </c>
      <c r="M1187">
        <v>0.41000077306581523</v>
      </c>
    </row>
    <row r="1188" spans="1:13" x14ac:dyDescent="0.2">
      <c r="A1188">
        <v>1186</v>
      </c>
      <c r="B1188">
        <v>600</v>
      </c>
      <c r="C1188">
        <v>77.166666666666757</v>
      </c>
      <c r="D1188">
        <v>100</v>
      </c>
      <c r="E1188">
        <v>73.749353106452091</v>
      </c>
      <c r="F1188">
        <v>42.717547582544448</v>
      </c>
      <c r="G1188">
        <v>574.46587437955588</v>
      </c>
      <c r="H1188">
        <v>7.4444821733851647</v>
      </c>
      <c r="I1188">
        <v>3.5030057719366208</v>
      </c>
      <c r="J1188">
        <v>6.5293677016526015</v>
      </c>
      <c r="K1188">
        <v>584.20332929388587</v>
      </c>
      <c r="L1188">
        <v>8.6520491261709171</v>
      </c>
      <c r="M1188">
        <v>0.41000075257301194</v>
      </c>
    </row>
    <row r="1189" spans="1:13" x14ac:dyDescent="0.2">
      <c r="A1189">
        <v>1187</v>
      </c>
      <c r="B1189">
        <v>600</v>
      </c>
      <c r="C1189">
        <v>78.333333333333456</v>
      </c>
      <c r="D1189">
        <v>100</v>
      </c>
      <c r="E1189">
        <v>81.336839672796543</v>
      </c>
      <c r="F1189">
        <v>51.959440902648765</v>
      </c>
      <c r="G1189">
        <v>737.03493988820935</v>
      </c>
      <c r="H1189">
        <v>9.4089566794239339</v>
      </c>
      <c r="I1189">
        <v>4.1423821893100277</v>
      </c>
      <c r="J1189">
        <v>7.7211224404660346</v>
      </c>
      <c r="K1189">
        <v>749.52784966739318</v>
      </c>
      <c r="L1189">
        <v>10.301165235722856</v>
      </c>
      <c r="M1189">
        <v>0.41000062355366318</v>
      </c>
    </row>
    <row r="1190" spans="1:13" x14ac:dyDescent="0.2">
      <c r="A1190">
        <v>1188</v>
      </c>
      <c r="B1190">
        <v>600</v>
      </c>
      <c r="C1190">
        <v>78.083333333333456</v>
      </c>
      <c r="D1190">
        <v>100</v>
      </c>
      <c r="E1190">
        <v>82.49481439432779</v>
      </c>
      <c r="F1190">
        <v>53.44944264490411</v>
      </c>
      <c r="G1190">
        <v>764.03081738037031</v>
      </c>
      <c r="H1190">
        <v>9.784813029417748</v>
      </c>
      <c r="I1190">
        <v>4.4003054101827423</v>
      </c>
      <c r="J1190">
        <v>8.2018740171160154</v>
      </c>
      <c r="K1190">
        <v>776.98134718831705</v>
      </c>
      <c r="L1190">
        <v>11.1700867106924</v>
      </c>
      <c r="M1190">
        <v>0.41000064919561674</v>
      </c>
    </row>
    <row r="1191" spans="1:13" x14ac:dyDescent="0.2">
      <c r="A1191">
        <v>1189</v>
      </c>
      <c r="B1191">
        <v>600</v>
      </c>
      <c r="C1191">
        <v>76.583333333333528</v>
      </c>
      <c r="D1191">
        <v>100</v>
      </c>
      <c r="E1191">
        <v>74.713018634169003</v>
      </c>
      <c r="F1191">
        <v>43.841201575236681</v>
      </c>
      <c r="G1191">
        <v>593.76059582978019</v>
      </c>
      <c r="H1191">
        <v>7.753130739888296</v>
      </c>
      <c r="I1191">
        <v>3.5691066582967843</v>
      </c>
      <c r="J1191">
        <v>6.6525753183537448</v>
      </c>
      <c r="K1191">
        <v>603.82518088804272</v>
      </c>
      <c r="L1191">
        <v>8.7972049913416956</v>
      </c>
      <c r="M1191">
        <v>0.41000082677253757</v>
      </c>
    </row>
    <row r="1192" spans="1:13" x14ac:dyDescent="0.2">
      <c r="A1192">
        <v>1190</v>
      </c>
      <c r="B1192">
        <v>600</v>
      </c>
      <c r="C1192">
        <v>81.083333333333329</v>
      </c>
      <c r="D1192">
        <v>100</v>
      </c>
      <c r="E1192">
        <v>87.941609129993253</v>
      </c>
      <c r="F1192">
        <v>60.740546807169324</v>
      </c>
      <c r="G1192">
        <v>899.02480355877367</v>
      </c>
      <c r="H1192">
        <v>11.087664586541916</v>
      </c>
      <c r="I1192">
        <v>4.9076850920906816</v>
      </c>
      <c r="J1192">
        <v>9.1475956982118944</v>
      </c>
      <c r="K1192">
        <v>914.26313235377165</v>
      </c>
      <c r="L1192">
        <v>12.769872033118393</v>
      </c>
      <c r="M1192">
        <v>0.41000040027148432</v>
      </c>
    </row>
    <row r="1193" spans="1:13" x14ac:dyDescent="0.2">
      <c r="A1193">
        <v>1191</v>
      </c>
      <c r="B1193">
        <v>600</v>
      </c>
      <c r="C1193">
        <v>75.58333333333357</v>
      </c>
      <c r="D1193">
        <v>100</v>
      </c>
      <c r="E1193">
        <v>73.068810935983223</v>
      </c>
      <c r="F1193">
        <v>41.93280953042499</v>
      </c>
      <c r="G1193">
        <v>561.07209016670959</v>
      </c>
      <c r="H1193">
        <v>7.4232250077182957</v>
      </c>
      <c r="I1193">
        <v>3.378625932141079</v>
      </c>
      <c r="J1193">
        <v>6.2975320263580219</v>
      </c>
      <c r="K1193">
        <v>570.58272602983288</v>
      </c>
      <c r="L1193">
        <v>8.3869376045296189</v>
      </c>
      <c r="M1193">
        <v>0.41000097138863545</v>
      </c>
    </row>
    <row r="1194" spans="1:13" x14ac:dyDescent="0.2">
      <c r="A1194">
        <v>1192</v>
      </c>
      <c r="B1194">
        <v>600</v>
      </c>
      <c r="C1194">
        <v>78.250000000000199</v>
      </c>
      <c r="D1194">
        <v>99</v>
      </c>
      <c r="E1194">
        <v>88.510136193398495</v>
      </c>
      <c r="F1194">
        <v>60.9131549436553</v>
      </c>
      <c r="G1194">
        <v>904.74938793460797</v>
      </c>
      <c r="H1194">
        <v>11.562292497566846</v>
      </c>
      <c r="I1194">
        <v>4.8710480020228921</v>
      </c>
      <c r="J1194">
        <v>9.0793066207323232</v>
      </c>
      <c r="K1194">
        <v>920.08510888485284</v>
      </c>
      <c r="L1194">
        <v>12.48759725205162</v>
      </c>
      <c r="M1194">
        <v>0.41000063198642472</v>
      </c>
    </row>
    <row r="1195" spans="1:13" x14ac:dyDescent="0.2">
      <c r="A1195">
        <v>1193</v>
      </c>
      <c r="B1195">
        <v>600</v>
      </c>
      <c r="C1195">
        <v>76.333333333333528</v>
      </c>
      <c r="D1195">
        <v>49</v>
      </c>
      <c r="E1195">
        <v>107.25989357049954</v>
      </c>
      <c r="F1195">
        <v>44.275215610448768</v>
      </c>
      <c r="G1195">
        <v>730.17987565955298</v>
      </c>
      <c r="H1195">
        <v>9.5656752269810195</v>
      </c>
      <c r="I1195">
        <v>3.9057565583675551</v>
      </c>
      <c r="J1195">
        <v>7.280068142343997</v>
      </c>
      <c r="K1195">
        <v>742.55688909729258</v>
      </c>
      <c r="L1195">
        <v>10.607993139890883</v>
      </c>
      <c r="M1195">
        <v>0.41000086077131626</v>
      </c>
    </row>
    <row r="1196" spans="1:13" x14ac:dyDescent="0.2">
      <c r="A1196">
        <v>1194</v>
      </c>
      <c r="B1196">
        <v>600</v>
      </c>
      <c r="C1196">
        <v>84.166666666666359</v>
      </c>
      <c r="D1196">
        <v>9</v>
      </c>
      <c r="E1196">
        <v>193.03700680690784</v>
      </c>
      <c r="F1196">
        <v>26.33986474575681</v>
      </c>
      <c r="G1196">
        <v>598.26329644839632</v>
      </c>
      <c r="H1196">
        <v>7.1080787696839423</v>
      </c>
      <c r="I1196">
        <v>2.9801950822927648</v>
      </c>
      <c r="J1196">
        <v>5.5548836575820406</v>
      </c>
      <c r="K1196">
        <v>608.40360341627661</v>
      </c>
      <c r="L1196">
        <v>11.219290760581398</v>
      </c>
      <c r="M1196">
        <v>0.41000024350047337</v>
      </c>
    </row>
    <row r="1197" spans="1:13" x14ac:dyDescent="0.2">
      <c r="A1197">
        <v>1195</v>
      </c>
      <c r="B1197">
        <v>600</v>
      </c>
      <c r="C1197">
        <v>75.58333333333357</v>
      </c>
      <c r="D1197">
        <v>24</v>
      </c>
      <c r="E1197">
        <v>145.18541808997304</v>
      </c>
      <c r="F1197">
        <v>39.732612540578401</v>
      </c>
      <c r="G1197">
        <v>772.74542440408243</v>
      </c>
      <c r="H1197">
        <v>10.223754236878676</v>
      </c>
      <c r="I1197">
        <v>3.6007530591149468</v>
      </c>
      <c r="J1197">
        <v>6.7115620859551663</v>
      </c>
      <c r="K1197">
        <v>785.84409830928098</v>
      </c>
      <c r="L1197">
        <v>10.991322199580004</v>
      </c>
      <c r="M1197">
        <v>0.41000097138863545</v>
      </c>
    </row>
    <row r="1198" spans="1:13" x14ac:dyDescent="0.2">
      <c r="A1198">
        <v>1196</v>
      </c>
      <c r="B1198">
        <v>600</v>
      </c>
      <c r="C1198">
        <v>77.000000000000256</v>
      </c>
      <c r="D1198">
        <v>93</v>
      </c>
      <c r="E1198">
        <v>73.622692517846758</v>
      </c>
      <c r="F1198">
        <v>39.590977319790262</v>
      </c>
      <c r="G1198">
        <v>531.92144748471333</v>
      </c>
      <c r="H1198">
        <v>6.9080707465546958</v>
      </c>
      <c r="I1198">
        <v>3.3647053903682642</v>
      </c>
      <c r="J1198">
        <v>6.2715850705839031</v>
      </c>
      <c r="K1198">
        <v>540.93777401920204</v>
      </c>
      <c r="L1198">
        <v>8.3907344954968988</v>
      </c>
      <c r="M1198">
        <v>0.41000077306581523</v>
      </c>
    </row>
    <row r="1199" spans="1:13" x14ac:dyDescent="0.2">
      <c r="A1199">
        <v>1197</v>
      </c>
      <c r="B1199">
        <v>600</v>
      </c>
      <c r="C1199">
        <v>78.250000000000199</v>
      </c>
      <c r="D1199">
        <v>100</v>
      </c>
      <c r="E1199">
        <v>79.373965271055852</v>
      </c>
      <c r="F1199">
        <v>49.481862143711872</v>
      </c>
      <c r="G1199">
        <v>692.61324982841177</v>
      </c>
      <c r="H1199">
        <v>8.8512875377432589</v>
      </c>
      <c r="I1199">
        <v>4.0602522149251108</v>
      </c>
      <c r="J1199">
        <v>7.568037679263953</v>
      </c>
      <c r="K1199">
        <v>704.35321193002574</v>
      </c>
      <c r="L1199">
        <v>10.084293077234998</v>
      </c>
      <c r="M1199">
        <v>0.41000063198642472</v>
      </c>
    </row>
    <row r="1200" spans="1:13" x14ac:dyDescent="0.2">
      <c r="A1200">
        <v>1198</v>
      </c>
      <c r="B1200">
        <v>600</v>
      </c>
      <c r="C1200">
        <v>78.916666666666686</v>
      </c>
      <c r="D1200">
        <v>100</v>
      </c>
      <c r="E1200">
        <v>84.464312773741938</v>
      </c>
      <c r="F1200">
        <v>56.032033892133335</v>
      </c>
      <c r="G1200">
        <v>811.30745619823392</v>
      </c>
      <c r="H1200">
        <v>10.280559107052593</v>
      </c>
      <c r="I1200">
        <v>4.6219240402969852</v>
      </c>
      <c r="J1200">
        <v>8.6149562726877633</v>
      </c>
      <c r="K1200">
        <v>825.05922375616126</v>
      </c>
      <c r="L1200">
        <v>11.855204044312906</v>
      </c>
      <c r="M1200">
        <v>0.41000056759221798</v>
      </c>
    </row>
    <row r="1201" spans="1:13" x14ac:dyDescent="0.2">
      <c r="A1201">
        <v>1199</v>
      </c>
      <c r="B1201">
        <v>600</v>
      </c>
      <c r="C1201">
        <v>77.083333333333499</v>
      </c>
      <c r="D1201">
        <v>100</v>
      </c>
      <c r="E1201">
        <v>76.334135347742432</v>
      </c>
      <c r="F1201">
        <v>45.764367305285603</v>
      </c>
      <c r="G1201">
        <v>627.09653856582577</v>
      </c>
      <c r="H1201">
        <v>8.1353064462593441</v>
      </c>
      <c r="I1201">
        <v>3.825883683459371</v>
      </c>
      <c r="J1201">
        <v>7.1311904631115945</v>
      </c>
      <c r="K1201">
        <v>637.72611790757765</v>
      </c>
      <c r="L1201">
        <v>9.5885912961442763</v>
      </c>
      <c r="M1201">
        <v>0.41000076275059422</v>
      </c>
    </row>
    <row r="1202" spans="1:13" x14ac:dyDescent="0.2">
      <c r="A1202">
        <v>1200</v>
      </c>
      <c r="B1202">
        <v>600</v>
      </c>
      <c r="C1202">
        <v>76.666666666666771</v>
      </c>
      <c r="D1202">
        <v>98</v>
      </c>
      <c r="E1202">
        <v>80.654480352723823</v>
      </c>
      <c r="F1202">
        <v>50.069465116044455</v>
      </c>
      <c r="G1202">
        <v>706.97404708381816</v>
      </c>
      <c r="H1202">
        <v>9.2214006141367459</v>
      </c>
      <c r="I1202">
        <v>3.9253653144246599</v>
      </c>
      <c r="J1202">
        <v>7.3166175478558433</v>
      </c>
      <c r="K1202">
        <v>718.95765209034687</v>
      </c>
      <c r="L1202">
        <v>9.8741037983806752</v>
      </c>
      <c r="M1202">
        <v>0.41000081574069358</v>
      </c>
    </row>
    <row r="1203" spans="1:13" x14ac:dyDescent="0.2">
      <c r="A1203">
        <v>1201</v>
      </c>
      <c r="B1203">
        <v>600</v>
      </c>
      <c r="C1203">
        <v>76.50000000000027</v>
      </c>
      <c r="D1203">
        <v>99</v>
      </c>
      <c r="E1203">
        <v>75.001040353691153</v>
      </c>
      <c r="F1203">
        <v>43.738073614050336</v>
      </c>
      <c r="G1203">
        <v>593.60665759679443</v>
      </c>
      <c r="H1203">
        <v>7.7595641515920564</v>
      </c>
      <c r="I1203">
        <v>3.4429903479625992</v>
      </c>
      <c r="J1203">
        <v>6.417502978495059</v>
      </c>
      <c r="K1203">
        <v>603.66864475317709</v>
      </c>
      <c r="L1203">
        <v>8.4891441011033848</v>
      </c>
      <c r="M1203">
        <v>0.41000083795357306</v>
      </c>
    </row>
    <row r="1204" spans="1:13" x14ac:dyDescent="0.2">
      <c r="A1204">
        <v>1202</v>
      </c>
      <c r="B1204">
        <v>600</v>
      </c>
      <c r="C1204">
        <v>77.416666666666742</v>
      </c>
      <c r="D1204">
        <v>100</v>
      </c>
      <c r="E1204">
        <v>80.353839709482884</v>
      </c>
      <c r="F1204">
        <v>50.711113888630344</v>
      </c>
      <c r="G1204">
        <v>714.57909855076707</v>
      </c>
      <c r="H1204">
        <v>9.2303005194932144</v>
      </c>
      <c r="I1204">
        <v>4.0687408906361924</v>
      </c>
      <c r="J1204">
        <v>7.583860001185819</v>
      </c>
      <c r="K1204">
        <v>726.6914990133065</v>
      </c>
      <c r="L1204">
        <v>10.104634192265657</v>
      </c>
      <c r="M1204">
        <v>0.4100007228478541</v>
      </c>
    </row>
    <row r="1205" spans="1:13" x14ac:dyDescent="0.2">
      <c r="A1205">
        <v>1203</v>
      </c>
      <c r="B1205">
        <v>600</v>
      </c>
      <c r="C1205">
        <v>75.33333333333357</v>
      </c>
      <c r="D1205">
        <v>100</v>
      </c>
      <c r="E1205">
        <v>70.070075080253091</v>
      </c>
      <c r="F1205">
        <v>38.561600148647287</v>
      </c>
      <c r="G1205">
        <v>504.32033234302463</v>
      </c>
      <c r="H1205">
        <v>6.6945176859693323</v>
      </c>
      <c r="I1205">
        <v>3.1686503599736038</v>
      </c>
      <c r="J1205">
        <v>5.9061516495314148</v>
      </c>
      <c r="K1205">
        <v>512.86901370825433</v>
      </c>
      <c r="L1205">
        <v>7.8139380074829523</v>
      </c>
      <c r="M1205">
        <v>0.41000101133435901</v>
      </c>
    </row>
    <row r="1206" spans="1:13" x14ac:dyDescent="0.2">
      <c r="A1206">
        <v>1204</v>
      </c>
      <c r="B1206">
        <v>600</v>
      </c>
      <c r="C1206">
        <v>76.416666666666785</v>
      </c>
      <c r="D1206">
        <v>100</v>
      </c>
      <c r="E1206">
        <v>73.40069850699507</v>
      </c>
      <c r="F1206">
        <v>42.314602649538621</v>
      </c>
      <c r="G1206">
        <v>567.58003976264695</v>
      </c>
      <c r="H1206">
        <v>7.4274378158688688</v>
      </c>
      <c r="I1206">
        <v>3.4601090904916059</v>
      </c>
      <c r="J1206">
        <v>6.4494111658743805</v>
      </c>
      <c r="K1206">
        <v>577.20087129847798</v>
      </c>
      <c r="L1206">
        <v>8.4843527358092246</v>
      </c>
      <c r="M1206">
        <v>0.4100008492858177</v>
      </c>
    </row>
    <row r="1207" spans="1:13" x14ac:dyDescent="0.2">
      <c r="A1207">
        <v>1205</v>
      </c>
      <c r="B1207">
        <v>600</v>
      </c>
      <c r="C1207">
        <v>79.083333333333414</v>
      </c>
      <c r="D1207">
        <v>99</v>
      </c>
      <c r="E1207">
        <v>82.431699263893009</v>
      </c>
      <c r="F1207">
        <v>52.834010857688305</v>
      </c>
      <c r="G1207">
        <v>754.91888700073139</v>
      </c>
      <c r="H1207">
        <v>9.5458657997984897</v>
      </c>
      <c r="I1207">
        <v>4.3481957664482849</v>
      </c>
      <c r="J1207">
        <v>8.1047451378346409</v>
      </c>
      <c r="K1207">
        <v>767.71484135315859</v>
      </c>
      <c r="L1207">
        <v>10.994533045211668</v>
      </c>
      <c r="M1207">
        <v>0.41000055254620849</v>
      </c>
    </row>
    <row r="1208" spans="1:13" x14ac:dyDescent="0.2">
      <c r="A1208">
        <v>1206</v>
      </c>
      <c r="B1208">
        <v>600</v>
      </c>
      <c r="C1208">
        <v>76.333333333333528</v>
      </c>
      <c r="D1208">
        <v>98</v>
      </c>
      <c r="E1208">
        <v>73.542553063330729</v>
      </c>
      <c r="F1208">
        <v>41.628749207234563</v>
      </c>
      <c r="G1208">
        <v>558.96798841637781</v>
      </c>
      <c r="H1208">
        <v>7.3227247390791668</v>
      </c>
      <c r="I1208">
        <v>3.3661835309006491</v>
      </c>
      <c r="J1208">
        <v>6.2743402253506968</v>
      </c>
      <c r="K1208">
        <v>568.44285143920013</v>
      </c>
      <c r="L1208">
        <v>8.3055151095366764</v>
      </c>
      <c r="M1208">
        <v>0.41000086077131626</v>
      </c>
    </row>
    <row r="1209" spans="1:13" x14ac:dyDescent="0.2">
      <c r="A1209">
        <v>1207</v>
      </c>
      <c r="B1209">
        <v>600</v>
      </c>
      <c r="C1209">
        <v>75.000000000000341</v>
      </c>
      <c r="D1209">
        <v>100</v>
      </c>
      <c r="E1209">
        <v>69.504438489291161</v>
      </c>
      <c r="F1209">
        <v>37.941540456289339</v>
      </c>
      <c r="G1209">
        <v>494.02506197933661</v>
      </c>
      <c r="H1209">
        <v>6.5870008263911251</v>
      </c>
      <c r="I1209">
        <v>3.2252220118045773</v>
      </c>
      <c r="J1209">
        <v>6.0115974124968812</v>
      </c>
      <c r="K1209">
        <v>502.39927682898906</v>
      </c>
      <c r="L1209">
        <v>8.1167906378776422</v>
      </c>
      <c r="M1209">
        <v>0.41000106716216822</v>
      </c>
    </row>
    <row r="1210" spans="1:13" x14ac:dyDescent="0.2">
      <c r="A1210">
        <v>1208</v>
      </c>
      <c r="B1210">
        <v>600</v>
      </c>
      <c r="C1210">
        <v>75.166666666666842</v>
      </c>
      <c r="D1210">
        <v>47</v>
      </c>
      <c r="E1210">
        <v>98.607813927033618</v>
      </c>
      <c r="F1210">
        <v>35.893053067722377</v>
      </c>
      <c r="G1210">
        <v>565.43633837405321</v>
      </c>
      <c r="H1210">
        <v>7.5224346568610008</v>
      </c>
      <c r="I1210">
        <v>3.1702682101894144</v>
      </c>
      <c r="J1210">
        <v>5.9091672137733715</v>
      </c>
      <c r="K1210">
        <v>575.02101762444659</v>
      </c>
      <c r="L1210">
        <v>8.6063146038455205</v>
      </c>
      <c r="M1210">
        <v>0.41000103887331629</v>
      </c>
    </row>
    <row r="1211" spans="1:13" x14ac:dyDescent="0.2">
      <c r="A1211">
        <v>1209</v>
      </c>
      <c r="B1211">
        <v>600</v>
      </c>
      <c r="C1211">
        <v>81.416666666666572</v>
      </c>
      <c r="D1211">
        <v>9</v>
      </c>
      <c r="E1211">
        <v>227.35872027392645</v>
      </c>
      <c r="F1211">
        <v>36.538912970861773</v>
      </c>
      <c r="G1211">
        <v>907.29128282795079</v>
      </c>
      <c r="H1211">
        <v>11.143802859708719</v>
      </c>
      <c r="I1211">
        <v>3.9711227616758631</v>
      </c>
      <c r="J1211">
        <v>7.4019063591348804</v>
      </c>
      <c r="K1211">
        <v>922.669694397488</v>
      </c>
      <c r="L1211">
        <v>16.116559759722264</v>
      </c>
      <c r="M1211">
        <v>0.41000037933157402</v>
      </c>
    </row>
    <row r="1212" spans="1:13" x14ac:dyDescent="0.2">
      <c r="A1212">
        <v>1210</v>
      </c>
      <c r="B1212">
        <v>600</v>
      </c>
      <c r="C1212">
        <v>76.416666666666785</v>
      </c>
      <c r="D1212">
        <v>90</v>
      </c>
      <c r="E1212">
        <v>76.018774940285553</v>
      </c>
      <c r="F1212">
        <v>40.848312877066846</v>
      </c>
      <c r="G1212">
        <v>558.47234480289467</v>
      </c>
      <c r="H1212">
        <v>7.3082531490018816</v>
      </c>
      <c r="I1212">
        <v>3.3675146288464064</v>
      </c>
      <c r="J1212">
        <v>6.2768213026028068</v>
      </c>
      <c r="K1212">
        <v>567.93879529508627</v>
      </c>
      <c r="L1212">
        <v>8.3291671863434225</v>
      </c>
      <c r="M1212">
        <v>0.4100008492858177</v>
      </c>
    </row>
    <row r="1213" spans="1:13" x14ac:dyDescent="0.2">
      <c r="A1213">
        <v>1211</v>
      </c>
      <c r="B1213">
        <v>600</v>
      </c>
      <c r="C1213">
        <v>78.083333333333456</v>
      </c>
      <c r="D1213">
        <v>100</v>
      </c>
      <c r="E1213">
        <v>79.226598338102221</v>
      </c>
      <c r="F1213">
        <v>49.298295125860101</v>
      </c>
      <c r="G1213">
        <v>689.34564875905869</v>
      </c>
      <c r="H1213">
        <v>8.8283327482483358</v>
      </c>
      <c r="I1213">
        <v>4.0795539538413115</v>
      </c>
      <c r="J1213">
        <v>7.6040148254264874</v>
      </c>
      <c r="K1213">
        <v>701.03024467999535</v>
      </c>
      <c r="L1213">
        <v>10.238206356173896</v>
      </c>
      <c r="M1213">
        <v>0.41000064919561674</v>
      </c>
    </row>
    <row r="1214" spans="1:13" x14ac:dyDescent="0.2">
      <c r="A1214">
        <v>1212</v>
      </c>
      <c r="B1214">
        <v>600</v>
      </c>
      <c r="C1214">
        <v>77.083333333333499</v>
      </c>
      <c r="D1214">
        <v>100</v>
      </c>
      <c r="E1214">
        <v>70.918522460483189</v>
      </c>
      <c r="F1214">
        <v>39.501104476174554</v>
      </c>
      <c r="G1214">
        <v>520.00563722179345</v>
      </c>
      <c r="H1214">
        <v>6.7460190774719004</v>
      </c>
      <c r="I1214">
        <v>3.3044711707444927</v>
      </c>
      <c r="J1214">
        <v>6.1593125270167617</v>
      </c>
      <c r="K1214">
        <v>528.81997574716399</v>
      </c>
      <c r="L1214">
        <v>8.1213966778585558</v>
      </c>
      <c r="M1214">
        <v>0.41000076275059422</v>
      </c>
    </row>
    <row r="1215" spans="1:13" x14ac:dyDescent="0.2">
      <c r="A1215">
        <v>1213</v>
      </c>
      <c r="B1215">
        <v>600</v>
      </c>
      <c r="C1215">
        <v>78.583333333333442</v>
      </c>
      <c r="D1215">
        <v>99</v>
      </c>
      <c r="E1215">
        <v>83.876510109705379</v>
      </c>
      <c r="F1215">
        <v>54.702324378013223</v>
      </c>
      <c r="G1215">
        <v>789.04689779316766</v>
      </c>
      <c r="H1215">
        <v>10.040893715289499</v>
      </c>
      <c r="I1215">
        <v>4.3082877760701015</v>
      </c>
      <c r="J1215">
        <v>8.0303593216590894</v>
      </c>
      <c r="K1215">
        <v>802.42138858600481</v>
      </c>
      <c r="L1215">
        <v>10.764258706090054</v>
      </c>
      <c r="M1215">
        <v>0.41000059892451662</v>
      </c>
    </row>
    <row r="1216" spans="1:13" x14ac:dyDescent="0.2">
      <c r="A1216">
        <v>1214</v>
      </c>
      <c r="B1216">
        <v>600</v>
      </c>
      <c r="C1216">
        <v>77.333333333333499</v>
      </c>
      <c r="D1216">
        <v>99</v>
      </c>
      <c r="E1216">
        <v>75.767429548106705</v>
      </c>
      <c r="F1216">
        <v>44.636505126034081</v>
      </c>
      <c r="G1216">
        <v>609.16419471384165</v>
      </c>
      <c r="H1216">
        <v>7.877123207506556</v>
      </c>
      <c r="I1216">
        <v>3.602866117120366</v>
      </c>
      <c r="J1216">
        <v>6.7155006842877274</v>
      </c>
      <c r="K1216">
        <v>619.48978081532266</v>
      </c>
      <c r="L1216">
        <v>8.8557716293679203</v>
      </c>
      <c r="M1216">
        <v>0.41000073262344178</v>
      </c>
    </row>
    <row r="1217" spans="1:13" x14ac:dyDescent="0.2">
      <c r="A1217">
        <v>1215</v>
      </c>
      <c r="B1217">
        <v>600</v>
      </c>
      <c r="C1217">
        <v>76.666666666666771</v>
      </c>
      <c r="D1217">
        <v>100</v>
      </c>
      <c r="E1217">
        <v>75.270017526646129</v>
      </c>
      <c r="F1217">
        <v>44.49732622497261</v>
      </c>
      <c r="G1217">
        <v>605.08990179850105</v>
      </c>
      <c r="H1217">
        <v>7.8924769799804366</v>
      </c>
      <c r="I1217">
        <v>3.6016016589997002</v>
      </c>
      <c r="J1217">
        <v>6.7131438191979491</v>
      </c>
      <c r="K1217">
        <v>615.34651363100409</v>
      </c>
      <c r="L1217">
        <v>8.8942474375061664</v>
      </c>
      <c r="M1217">
        <v>0.41000081574069358</v>
      </c>
    </row>
    <row r="1218" spans="1:13" x14ac:dyDescent="0.2">
      <c r="A1218">
        <v>1216</v>
      </c>
      <c r="B1218">
        <v>600</v>
      </c>
      <c r="C1218">
        <v>75.916666666666814</v>
      </c>
      <c r="D1218">
        <v>100</v>
      </c>
      <c r="E1218">
        <v>71.676554535044815</v>
      </c>
      <c r="F1218">
        <v>40.350054247520823</v>
      </c>
      <c r="G1218">
        <v>534.26649584349866</v>
      </c>
      <c r="H1218">
        <v>7.0375389134159949</v>
      </c>
      <c r="I1218">
        <v>3.4490970397110736</v>
      </c>
      <c r="J1218">
        <v>6.4288854421455239</v>
      </c>
      <c r="K1218">
        <v>543.32270792086172</v>
      </c>
      <c r="L1218">
        <v>8.6897405891532546</v>
      </c>
      <c r="M1218">
        <v>0.41000092057114862</v>
      </c>
    </row>
    <row r="1219" spans="1:13" x14ac:dyDescent="0.2">
      <c r="A1219">
        <v>1217</v>
      </c>
      <c r="B1219">
        <v>600</v>
      </c>
      <c r="C1219">
        <v>75.33333333333357</v>
      </c>
      <c r="D1219">
        <v>99</v>
      </c>
      <c r="E1219">
        <v>72.895194050968257</v>
      </c>
      <c r="F1219">
        <v>41.316437620269234</v>
      </c>
      <c r="G1219">
        <v>552.10895388120821</v>
      </c>
      <c r="H1219">
        <v>7.3288799187770772</v>
      </c>
      <c r="I1219">
        <v>3.3642820322965656</v>
      </c>
      <c r="J1219">
        <v>6.2707959595462546</v>
      </c>
      <c r="K1219">
        <v>561.46769518694339</v>
      </c>
      <c r="L1219">
        <v>8.3881079109706427</v>
      </c>
      <c r="M1219">
        <v>0.41000101133435901</v>
      </c>
    </row>
    <row r="1220" spans="1:13" x14ac:dyDescent="0.2">
      <c r="A1220">
        <v>1218</v>
      </c>
      <c r="B1220">
        <v>600</v>
      </c>
      <c r="C1220">
        <v>77.000000000000256</v>
      </c>
      <c r="D1220">
        <v>100</v>
      </c>
      <c r="E1220">
        <v>77.751199989711168</v>
      </c>
      <c r="F1220">
        <v>47.47927540294463</v>
      </c>
      <c r="G1220">
        <v>657.14657421921765</v>
      </c>
      <c r="H1220">
        <v>8.5343710937560449</v>
      </c>
      <c r="I1220">
        <v>3.9838142244814807</v>
      </c>
      <c r="J1220">
        <v>7.4255623941872884</v>
      </c>
      <c r="K1220">
        <v>668.2855273902145</v>
      </c>
      <c r="L1220">
        <v>10.084592863623024</v>
      </c>
      <c r="M1220">
        <v>0.41000077306581523</v>
      </c>
    </row>
    <row r="1221" spans="1:13" x14ac:dyDescent="0.2">
      <c r="A1221">
        <v>1219</v>
      </c>
      <c r="B1221">
        <v>600</v>
      </c>
      <c r="C1221">
        <v>76.916666666666771</v>
      </c>
      <c r="D1221">
        <v>98</v>
      </c>
      <c r="E1221">
        <v>75.025737180277346</v>
      </c>
      <c r="F1221">
        <v>43.324793338888718</v>
      </c>
      <c r="G1221">
        <v>588.10318989598261</v>
      </c>
      <c r="H1221">
        <v>7.6459786335338915</v>
      </c>
      <c r="I1221">
        <v>3.6111283671586656</v>
      </c>
      <c r="J1221">
        <v>6.7309009639490505</v>
      </c>
      <c r="K1221">
        <v>598.07183481212599</v>
      </c>
      <c r="L1221">
        <v>9.0930675994120875</v>
      </c>
      <c r="M1221">
        <v>0.41000078352053626</v>
      </c>
    </row>
    <row r="1222" spans="1:13" x14ac:dyDescent="0.2">
      <c r="A1222">
        <v>1220</v>
      </c>
      <c r="B1222">
        <v>600</v>
      </c>
      <c r="C1222">
        <v>75.416666666666828</v>
      </c>
      <c r="D1222">
        <v>100</v>
      </c>
      <c r="E1222">
        <v>72.116478000480427</v>
      </c>
      <c r="F1222">
        <v>40.846880861492203</v>
      </c>
      <c r="G1222">
        <v>542.65041339642858</v>
      </c>
      <c r="H1222">
        <v>7.1953645975216896</v>
      </c>
      <c r="I1222">
        <v>3.3167789108049464</v>
      </c>
      <c r="J1222">
        <v>6.1822533286205887</v>
      </c>
      <c r="K1222">
        <v>551.84881134677403</v>
      </c>
      <c r="L1222">
        <v>8.1961378059711905</v>
      </c>
      <c r="M1222">
        <v>0.41000099783985799</v>
      </c>
    </row>
    <row r="1223" spans="1:13" x14ac:dyDescent="0.2">
      <c r="A1223">
        <v>1221</v>
      </c>
      <c r="B1223">
        <v>600</v>
      </c>
      <c r="C1223">
        <v>76.000000000000298</v>
      </c>
      <c r="D1223">
        <v>100</v>
      </c>
      <c r="E1223">
        <v>71.886172016422094</v>
      </c>
      <c r="F1223">
        <v>40.586406136557009</v>
      </c>
      <c r="G1223">
        <v>538.25147906115194</v>
      </c>
      <c r="H1223">
        <v>7.0822563034361821</v>
      </c>
      <c r="I1223">
        <v>3.3756299208345157</v>
      </c>
      <c r="J1223">
        <v>6.2919476623196937</v>
      </c>
      <c r="K1223">
        <v>547.37522815405407</v>
      </c>
      <c r="L1223">
        <v>8.4716443514563498</v>
      </c>
      <c r="M1223">
        <v>0.41000090828772506</v>
      </c>
    </row>
    <row r="1224" spans="1:13" x14ac:dyDescent="0.2">
      <c r="A1224">
        <v>1222</v>
      </c>
      <c r="B1224">
        <v>600</v>
      </c>
      <c r="C1224">
        <v>77.583333333333485</v>
      </c>
      <c r="D1224">
        <v>100</v>
      </c>
      <c r="E1224">
        <v>77.11597954568002</v>
      </c>
      <c r="F1224">
        <v>46.706641541884451</v>
      </c>
      <c r="G1224">
        <v>643.57066941920903</v>
      </c>
      <c r="H1224">
        <v>8.2952180805912921</v>
      </c>
      <c r="I1224">
        <v>3.7555857393478491</v>
      </c>
      <c r="J1224">
        <v>7.0001598123911437</v>
      </c>
      <c r="K1224">
        <v>654.47942745712078</v>
      </c>
      <c r="L1224">
        <v>9.2285411539217037</v>
      </c>
      <c r="M1224">
        <v>0.41000070368625285</v>
      </c>
    </row>
    <row r="1225" spans="1:13" x14ac:dyDescent="0.2">
      <c r="A1225">
        <v>1223</v>
      </c>
      <c r="B1225">
        <v>600</v>
      </c>
      <c r="C1225">
        <v>78.166666666666714</v>
      </c>
      <c r="D1225">
        <v>28</v>
      </c>
      <c r="E1225">
        <v>133.09896859923501</v>
      </c>
      <c r="F1225">
        <v>38.958057376722422</v>
      </c>
      <c r="G1225">
        <v>722.64558259781109</v>
      </c>
      <c r="H1225">
        <v>9.2449328264112243</v>
      </c>
      <c r="I1225">
        <v>3.6111493493986178</v>
      </c>
      <c r="J1225">
        <v>6.7309400734363782</v>
      </c>
      <c r="K1225">
        <v>734.89461064932914</v>
      </c>
      <c r="L1225">
        <v>10.929776650266334</v>
      </c>
      <c r="M1225">
        <v>0.41000064053322849</v>
      </c>
    </row>
    <row r="1226" spans="1:13" x14ac:dyDescent="0.2">
      <c r="A1226">
        <v>1224</v>
      </c>
      <c r="B1226">
        <v>600</v>
      </c>
      <c r="C1226">
        <v>76.333333333333528</v>
      </c>
      <c r="D1226">
        <v>90</v>
      </c>
      <c r="E1226">
        <v>82.039003040437379</v>
      </c>
      <c r="F1226">
        <v>47.57438019364966</v>
      </c>
      <c r="G1226">
        <v>678.00044712042131</v>
      </c>
      <c r="H1226">
        <v>8.8821019273417416</v>
      </c>
      <c r="I1226">
        <v>3.9222713710640509</v>
      </c>
      <c r="J1226">
        <v>7.3108506450401682</v>
      </c>
      <c r="K1226">
        <v>689.49298604752187</v>
      </c>
      <c r="L1226">
        <v>9.9544605528062675</v>
      </c>
      <c r="M1226">
        <v>0.41000086077131626</v>
      </c>
    </row>
    <row r="1227" spans="1:13" x14ac:dyDescent="0.2">
      <c r="A1227">
        <v>1225</v>
      </c>
      <c r="B1227">
        <v>600</v>
      </c>
      <c r="C1227">
        <v>77.916666666666728</v>
      </c>
      <c r="D1227">
        <v>100</v>
      </c>
      <c r="E1227">
        <v>82.370862860701621</v>
      </c>
      <c r="F1227">
        <v>53.28894375353228</v>
      </c>
      <c r="G1227">
        <v>761.11290687180872</v>
      </c>
      <c r="H1227">
        <v>9.7682939919376448</v>
      </c>
      <c r="I1227">
        <v>4.4367773013108467</v>
      </c>
      <c r="J1227">
        <v>8.2698551748571223</v>
      </c>
      <c r="K1227">
        <v>774.01400049567678</v>
      </c>
      <c r="L1227">
        <v>11.349007027863548</v>
      </c>
      <c r="M1227">
        <v>0.41000066687342057</v>
      </c>
    </row>
    <row r="1228" spans="1:13" x14ac:dyDescent="0.2">
      <c r="A1228">
        <v>1226</v>
      </c>
      <c r="B1228">
        <v>600</v>
      </c>
      <c r="C1228">
        <v>76.50000000000027</v>
      </c>
      <c r="D1228">
        <v>99</v>
      </c>
      <c r="E1228">
        <v>71.563695716338472</v>
      </c>
      <c r="F1228">
        <v>39.820856492400878</v>
      </c>
      <c r="G1228">
        <v>526.80720234105115</v>
      </c>
      <c r="H1228">
        <v>6.8863686580529322</v>
      </c>
      <c r="I1228">
        <v>3.2083641074307909</v>
      </c>
      <c r="J1228">
        <v>5.9801754099362361</v>
      </c>
      <c r="K1228">
        <v>535.73689885979547</v>
      </c>
      <c r="L1228">
        <v>7.8068460863986031</v>
      </c>
      <c r="M1228">
        <v>0.41000083795357306</v>
      </c>
    </row>
    <row r="1229" spans="1:13" x14ac:dyDescent="0.2">
      <c r="A1229">
        <v>1227</v>
      </c>
      <c r="B1229">
        <v>600</v>
      </c>
      <c r="C1229">
        <v>77.000000000000256</v>
      </c>
      <c r="D1229">
        <v>100</v>
      </c>
      <c r="E1229">
        <v>76.514378594629619</v>
      </c>
      <c r="F1229">
        <v>45.980743811566555</v>
      </c>
      <c r="G1229">
        <v>630.87140489939293</v>
      </c>
      <c r="H1229">
        <v>8.193135128563517</v>
      </c>
      <c r="I1229">
        <v>3.8450916314272239</v>
      </c>
      <c r="J1229">
        <v>7.1669927892399334</v>
      </c>
      <c r="K1229">
        <v>641.56498120608626</v>
      </c>
      <c r="L1229">
        <v>9.6919898970971996</v>
      </c>
      <c r="M1229">
        <v>0.41000077306581523</v>
      </c>
    </row>
    <row r="1230" spans="1:13" x14ac:dyDescent="0.2">
      <c r="A1230">
        <v>1228</v>
      </c>
      <c r="B1230">
        <v>600</v>
      </c>
      <c r="C1230">
        <v>74.41666666666687</v>
      </c>
      <c r="D1230">
        <v>100</v>
      </c>
      <c r="E1230">
        <v>70.895489302907251</v>
      </c>
      <c r="F1230">
        <v>39.475450038304402</v>
      </c>
      <c r="G1230">
        <v>519.57561196764107</v>
      </c>
      <c r="H1230">
        <v>6.9819791081877671</v>
      </c>
      <c r="I1230">
        <v>3.2232571577061808</v>
      </c>
      <c r="J1230">
        <v>6.0079350563022933</v>
      </c>
      <c r="K1230">
        <v>528.38302821263574</v>
      </c>
      <c r="L1230">
        <v>8.0179745060433145</v>
      </c>
      <c r="M1230">
        <v>0.41000117237844025</v>
      </c>
    </row>
    <row r="1231" spans="1:13" x14ac:dyDescent="0.2">
      <c r="A1231">
        <v>1229</v>
      </c>
      <c r="B1231">
        <v>600</v>
      </c>
      <c r="C1231">
        <v>78.666666666666686</v>
      </c>
      <c r="D1231">
        <v>99</v>
      </c>
      <c r="E1231">
        <v>78.870127218404605</v>
      </c>
      <c r="F1231">
        <v>48.367112247160023</v>
      </c>
      <c r="G1231">
        <v>674.66559272875327</v>
      </c>
      <c r="H1231">
        <v>8.5762575346875387</v>
      </c>
      <c r="I1231">
        <v>3.8440652766678975</v>
      </c>
      <c r="J1231">
        <v>7.1650797328385778</v>
      </c>
      <c r="K1231">
        <v>686.10128996115759</v>
      </c>
      <c r="L1231">
        <v>9.4344083067177138</v>
      </c>
      <c r="M1231">
        <v>0.41000059093290886</v>
      </c>
    </row>
    <row r="1232" spans="1:13" x14ac:dyDescent="0.2">
      <c r="A1232">
        <v>1230</v>
      </c>
      <c r="B1232">
        <v>600</v>
      </c>
      <c r="C1232">
        <v>75.916666666666814</v>
      </c>
      <c r="D1232">
        <v>99</v>
      </c>
      <c r="E1232">
        <v>79.302954053908522</v>
      </c>
      <c r="F1232">
        <v>48.899431078812455</v>
      </c>
      <c r="G1232">
        <v>684.12683040919569</v>
      </c>
      <c r="H1232">
        <v>9.0115499065975104</v>
      </c>
      <c r="I1232">
        <v>4.0960891483843307</v>
      </c>
      <c r="J1232">
        <v>7.6348353185169247</v>
      </c>
      <c r="K1232">
        <v>695.72328594627425</v>
      </c>
      <c r="L1232">
        <v>10.598663148233411</v>
      </c>
      <c r="M1232">
        <v>0.41000092057114862</v>
      </c>
    </row>
    <row r="1233" spans="1:13" x14ac:dyDescent="0.2">
      <c r="A1233">
        <v>1231</v>
      </c>
      <c r="B1233">
        <v>600</v>
      </c>
      <c r="C1233">
        <v>77.583333333333485</v>
      </c>
      <c r="D1233">
        <v>100</v>
      </c>
      <c r="E1233">
        <v>80.011438320465004</v>
      </c>
      <c r="F1233">
        <v>50.279857302430656</v>
      </c>
      <c r="G1233">
        <v>706.85613596184953</v>
      </c>
      <c r="H1233">
        <v>9.1109276386059914</v>
      </c>
      <c r="I1233">
        <v>4.0054658429481638</v>
      </c>
      <c r="J1233">
        <v>7.4659195581512829</v>
      </c>
      <c r="K1233">
        <v>718.83760578517115</v>
      </c>
      <c r="L1233">
        <v>9.9415266488346763</v>
      </c>
      <c r="M1233">
        <v>0.41000070368625285</v>
      </c>
    </row>
    <row r="1234" spans="1:13" x14ac:dyDescent="0.2">
      <c r="A1234">
        <v>1232</v>
      </c>
      <c r="B1234">
        <v>600</v>
      </c>
      <c r="C1234">
        <v>81.166666666666586</v>
      </c>
      <c r="D1234">
        <v>99</v>
      </c>
      <c r="E1234">
        <v>87.394321086155585</v>
      </c>
      <c r="F1234">
        <v>59.387015709614559</v>
      </c>
      <c r="G1234">
        <v>876.0072377585135</v>
      </c>
      <c r="H1234">
        <v>10.792696974437549</v>
      </c>
      <c r="I1234">
        <v>4.7510575413948386</v>
      </c>
      <c r="J1234">
        <v>8.8556524536716452</v>
      </c>
      <c r="K1234">
        <v>890.85541437480106</v>
      </c>
      <c r="L1234">
        <v>12.278510425162072</v>
      </c>
      <c r="M1234">
        <v>0.41000039493055634</v>
      </c>
    </row>
    <row r="1235" spans="1:13" x14ac:dyDescent="0.2">
      <c r="A1235">
        <v>1233</v>
      </c>
      <c r="B1235">
        <v>600</v>
      </c>
      <c r="C1235">
        <v>75.58333333333357</v>
      </c>
      <c r="D1235">
        <v>100</v>
      </c>
      <c r="E1235">
        <v>73.86229252580614</v>
      </c>
      <c r="F1235">
        <v>42.848482673404128</v>
      </c>
      <c r="G1235">
        <v>576.70696916344571</v>
      </c>
      <c r="H1235">
        <v>7.630081179670702</v>
      </c>
      <c r="I1235">
        <v>3.3881713995968634</v>
      </c>
      <c r="J1235">
        <v>6.3153241371796138</v>
      </c>
      <c r="K1235">
        <v>586.48262915360715</v>
      </c>
      <c r="L1235">
        <v>8.4288819209728665</v>
      </c>
      <c r="M1235">
        <v>0.41000097138863545</v>
      </c>
    </row>
    <row r="1236" spans="1:13" x14ac:dyDescent="0.2">
      <c r="A1236">
        <v>1234</v>
      </c>
      <c r="B1236">
        <v>600</v>
      </c>
      <c r="C1236">
        <v>75.250000000000327</v>
      </c>
      <c r="D1236">
        <v>100</v>
      </c>
      <c r="E1236">
        <v>70.540776531807879</v>
      </c>
      <c r="F1236">
        <v>39.08142167187777</v>
      </c>
      <c r="G1236">
        <v>512.98607112534717</v>
      </c>
      <c r="H1236">
        <v>6.8170906461839857</v>
      </c>
      <c r="I1236">
        <v>3.2053752535309985</v>
      </c>
      <c r="J1236">
        <v>5.974604386823855</v>
      </c>
      <c r="K1236">
        <v>521.68165661835656</v>
      </c>
      <c r="L1236">
        <v>7.9649889008830765</v>
      </c>
      <c r="M1236">
        <v>0.41000102501135577</v>
      </c>
    </row>
    <row r="1237" spans="1:13" x14ac:dyDescent="0.2">
      <c r="A1237">
        <v>1235</v>
      </c>
      <c r="B1237">
        <v>600</v>
      </c>
      <c r="C1237">
        <v>73.666666666666899</v>
      </c>
      <c r="D1237">
        <v>99</v>
      </c>
      <c r="E1237">
        <v>67.268811596380445</v>
      </c>
      <c r="F1237">
        <v>35.184597446549255</v>
      </c>
      <c r="G1237">
        <v>450.04127080905278</v>
      </c>
      <c r="H1237">
        <v>6.1091575222948151</v>
      </c>
      <c r="I1237">
        <v>2.9089421883975559</v>
      </c>
      <c r="J1237">
        <v>5.4220730445434402</v>
      </c>
      <c r="K1237">
        <v>457.67011525663253</v>
      </c>
      <c r="L1237">
        <v>7.191649872187905</v>
      </c>
      <c r="M1237">
        <v>0.41000132304024522</v>
      </c>
    </row>
    <row r="1238" spans="1:13" x14ac:dyDescent="0.2">
      <c r="A1238">
        <v>1236</v>
      </c>
      <c r="B1238">
        <v>600</v>
      </c>
      <c r="C1238">
        <v>82.166666666666529</v>
      </c>
      <c r="D1238">
        <v>28</v>
      </c>
      <c r="E1238">
        <v>157.11557564349212</v>
      </c>
      <c r="F1238">
        <v>54.285819030053311</v>
      </c>
      <c r="G1238">
        <v>1102.1922293980726</v>
      </c>
      <c r="H1238">
        <v>13.414104211741272</v>
      </c>
      <c r="I1238">
        <v>4.9329694621688587</v>
      </c>
      <c r="J1238">
        <v>9.194724067416324</v>
      </c>
      <c r="K1238">
        <v>1120.8740922099639</v>
      </c>
      <c r="L1238">
        <v>17.083284425757537</v>
      </c>
      <c r="M1238">
        <v>0.41000033613501985</v>
      </c>
    </row>
    <row r="1239" spans="1:13" x14ac:dyDescent="0.2">
      <c r="A1239">
        <v>1237</v>
      </c>
      <c r="B1239">
        <v>600</v>
      </c>
      <c r="C1239">
        <v>80.250000000000114</v>
      </c>
      <c r="D1239">
        <v>89</v>
      </c>
      <c r="E1239">
        <v>91.268165054526321</v>
      </c>
      <c r="F1239">
        <v>58.226210521886344</v>
      </c>
      <c r="G1239">
        <v>879.41668185526851</v>
      </c>
      <c r="H1239">
        <v>10.958463325299279</v>
      </c>
      <c r="I1239">
        <v>4.6880554041641522</v>
      </c>
      <c r="J1239">
        <v>8.7382206974168728</v>
      </c>
      <c r="K1239">
        <v>894.32274330693485</v>
      </c>
      <c r="L1239">
        <v>12.173848946359362</v>
      </c>
      <c r="M1239">
        <v>0.41000045781898492</v>
      </c>
    </row>
    <row r="1240" spans="1:13" x14ac:dyDescent="0.2">
      <c r="A1240">
        <v>1238</v>
      </c>
      <c r="B1240">
        <v>600</v>
      </c>
      <c r="C1240">
        <v>77.166666666666757</v>
      </c>
      <c r="D1240">
        <v>100</v>
      </c>
      <c r="E1240">
        <v>78.981468502068552</v>
      </c>
      <c r="F1240">
        <v>48.993705799805198</v>
      </c>
      <c r="G1240">
        <v>683.93100455736283</v>
      </c>
      <c r="H1240">
        <v>8.8630367761213229</v>
      </c>
      <c r="I1240">
        <v>4.0377313462078401</v>
      </c>
      <c r="J1240">
        <v>7.5260602911609311</v>
      </c>
      <c r="K1240">
        <v>695.52394265587475</v>
      </c>
      <c r="L1240">
        <v>10.149741192126651</v>
      </c>
      <c r="M1240">
        <v>0.41000075257301194</v>
      </c>
    </row>
    <row r="1241" spans="1:13" x14ac:dyDescent="0.2">
      <c r="A1241">
        <v>1239</v>
      </c>
      <c r="B1241">
        <v>600</v>
      </c>
      <c r="C1241">
        <v>76.666666666666771</v>
      </c>
      <c r="D1241">
        <v>99</v>
      </c>
      <c r="E1241">
        <v>78.17280146219386</v>
      </c>
      <c r="F1241">
        <v>47.515622999452901</v>
      </c>
      <c r="G1241">
        <v>659.58964852538827</v>
      </c>
      <c r="H1241">
        <v>8.6033432416354874</v>
      </c>
      <c r="I1241">
        <v>3.8129127129483176</v>
      </c>
      <c r="J1241">
        <v>7.1070134444516633</v>
      </c>
      <c r="K1241">
        <v>670.77006150791215</v>
      </c>
      <c r="L1241">
        <v>9.5133356693784368</v>
      </c>
      <c r="M1241">
        <v>0.41000081574069358</v>
      </c>
    </row>
    <row r="1242" spans="1:13" x14ac:dyDescent="0.2">
      <c r="A1242">
        <v>1240</v>
      </c>
      <c r="B1242">
        <v>600</v>
      </c>
      <c r="C1242">
        <v>78.583333333333442</v>
      </c>
      <c r="D1242">
        <v>100</v>
      </c>
      <c r="E1242">
        <v>84.934370855605792</v>
      </c>
      <c r="F1242">
        <v>56.657424617910976</v>
      </c>
      <c r="G1242">
        <v>822.84632591193417</v>
      </c>
      <c r="H1242">
        <v>10.471003086896284</v>
      </c>
      <c r="I1242">
        <v>4.4983726985709849</v>
      </c>
      <c r="J1242">
        <v>8.3846648622012765</v>
      </c>
      <c r="K1242">
        <v>836.79372326006205</v>
      </c>
      <c r="L1242">
        <v>11.280529035509764</v>
      </c>
      <c r="M1242">
        <v>0.41000059892451662</v>
      </c>
    </row>
    <row r="1243" spans="1:13" x14ac:dyDescent="0.2">
      <c r="A1243">
        <v>1241</v>
      </c>
      <c r="B1243">
        <v>600</v>
      </c>
      <c r="C1243">
        <v>75.416666666666828</v>
      </c>
      <c r="D1243">
        <v>99</v>
      </c>
      <c r="E1243">
        <v>71.372926875977541</v>
      </c>
      <c r="F1243">
        <v>39.608836882176718</v>
      </c>
      <c r="G1243">
        <v>523.24083891951886</v>
      </c>
      <c r="H1243">
        <v>6.9380000740709535</v>
      </c>
      <c r="I1243">
        <v>3.2331865019132362</v>
      </c>
      <c r="J1243">
        <v>6.0264426876295163</v>
      </c>
      <c r="K1243">
        <v>532.11022764831409</v>
      </c>
      <c r="L1243">
        <v>7.9670730799983884</v>
      </c>
      <c r="M1243">
        <v>0.41000099783985799</v>
      </c>
    </row>
    <row r="1244" spans="1:13" x14ac:dyDescent="0.2">
      <c r="A1244">
        <v>1242</v>
      </c>
      <c r="B1244">
        <v>600</v>
      </c>
      <c r="C1244">
        <v>78.4166666666667</v>
      </c>
      <c r="D1244">
        <v>100</v>
      </c>
      <c r="E1244">
        <v>82.542270709253259</v>
      </c>
      <c r="F1244">
        <v>53.510955436565702</v>
      </c>
      <c r="G1244">
        <v>765.14980391117524</v>
      </c>
      <c r="H1244">
        <v>9.7574895291541957</v>
      </c>
      <c r="I1244">
        <v>4.2703955227485739</v>
      </c>
      <c r="J1244">
        <v>7.9597307040979937</v>
      </c>
      <c r="K1244">
        <v>778.11925605369152</v>
      </c>
      <c r="L1244">
        <v>10.608102682248402</v>
      </c>
      <c r="M1244">
        <v>0.41000061523342229</v>
      </c>
    </row>
    <row r="1245" spans="1:13" x14ac:dyDescent="0.2">
      <c r="A1245">
        <v>1243</v>
      </c>
      <c r="B1245">
        <v>600</v>
      </c>
      <c r="C1245">
        <v>76.50000000000027</v>
      </c>
      <c r="D1245">
        <v>100</v>
      </c>
      <c r="E1245">
        <v>78.883408912516856</v>
      </c>
      <c r="F1245">
        <v>48.872124867545338</v>
      </c>
      <c r="G1245">
        <v>681.77218153607544</v>
      </c>
      <c r="H1245">
        <v>8.9120546606022621</v>
      </c>
      <c r="I1245">
        <v>3.8871660825649919</v>
      </c>
      <c r="J1245">
        <v>7.2454167428984002</v>
      </c>
      <c r="K1245">
        <v>693.32862694719586</v>
      </c>
      <c r="L1245">
        <v>9.7113210683201903</v>
      </c>
      <c r="M1245">
        <v>0.41000083795357306</v>
      </c>
    </row>
    <row r="1246" spans="1:13" x14ac:dyDescent="0.2">
      <c r="A1246">
        <v>1244</v>
      </c>
      <c r="B1246">
        <v>600</v>
      </c>
      <c r="C1246">
        <v>75.916666666666814</v>
      </c>
      <c r="D1246">
        <v>100</v>
      </c>
      <c r="E1246">
        <v>76.954691710327324</v>
      </c>
      <c r="F1246">
        <v>46.51147225766789</v>
      </c>
      <c r="G1246">
        <v>640.15073242403901</v>
      </c>
      <c r="H1246">
        <v>8.4322818760575782</v>
      </c>
      <c r="I1246">
        <v>3.8734491857558688</v>
      </c>
      <c r="J1246">
        <v>7.2198493676717028</v>
      </c>
      <c r="K1246">
        <v>651.00176058959642</v>
      </c>
      <c r="L1246">
        <v>9.9455266993963818</v>
      </c>
      <c r="M1246">
        <v>0.41000092057114862</v>
      </c>
    </row>
    <row r="1247" spans="1:13" x14ac:dyDescent="0.2">
      <c r="A1247">
        <v>1245</v>
      </c>
      <c r="B1247">
        <v>600</v>
      </c>
      <c r="C1247">
        <v>76.666666666666771</v>
      </c>
      <c r="D1247">
        <v>98</v>
      </c>
      <c r="E1247">
        <v>75.417259893432615</v>
      </c>
      <c r="F1247">
        <v>43.778155109031729</v>
      </c>
      <c r="G1247">
        <v>595.94440877609691</v>
      </c>
      <c r="H1247">
        <v>7.7731879405577748</v>
      </c>
      <c r="I1247">
        <v>3.4687735196349743</v>
      </c>
      <c r="J1247">
        <v>6.4655610804006978</v>
      </c>
      <c r="K1247">
        <v>606.04599939329148</v>
      </c>
      <c r="L1247">
        <v>8.5721846896794478</v>
      </c>
      <c r="M1247">
        <v>0.41000081574069358</v>
      </c>
    </row>
    <row r="1248" spans="1:13" x14ac:dyDescent="0.2">
      <c r="A1248">
        <v>1246</v>
      </c>
      <c r="B1248">
        <v>600</v>
      </c>
      <c r="C1248">
        <v>79.083333333333414</v>
      </c>
      <c r="D1248">
        <v>100</v>
      </c>
      <c r="E1248">
        <v>79.036841589778447</v>
      </c>
      <c r="F1248">
        <v>49.062427838644361</v>
      </c>
      <c r="G1248">
        <v>685.15207346883733</v>
      </c>
      <c r="H1248">
        <v>8.6636721618820225</v>
      </c>
      <c r="I1248">
        <v>4.0121157865837382</v>
      </c>
      <c r="J1248">
        <v>7.4783146068662409</v>
      </c>
      <c r="K1248">
        <v>696.7654730108859</v>
      </c>
      <c r="L1248">
        <v>10.015272730683188</v>
      </c>
      <c r="M1248">
        <v>0.41000055254620849</v>
      </c>
    </row>
    <row r="1249" spans="1:13" x14ac:dyDescent="0.2">
      <c r="A1249">
        <v>1247</v>
      </c>
      <c r="B1249">
        <v>600</v>
      </c>
      <c r="C1249">
        <v>77.000000000000256</v>
      </c>
      <c r="D1249">
        <v>99</v>
      </c>
      <c r="E1249">
        <v>78.676518083501293</v>
      </c>
      <c r="F1249">
        <v>48.129942068683782</v>
      </c>
      <c r="G1249">
        <v>670.45894632977013</v>
      </c>
      <c r="H1249">
        <v>8.7072590432437398</v>
      </c>
      <c r="I1249">
        <v>3.9696521882189582</v>
      </c>
      <c r="J1249">
        <v>7.3991653088890166</v>
      </c>
      <c r="K1249">
        <v>681.82355066498485</v>
      </c>
      <c r="L1249">
        <v>10.081101430013645</v>
      </c>
      <c r="M1249">
        <v>0.41000077306581523</v>
      </c>
    </row>
    <row r="1250" spans="1:13" x14ac:dyDescent="0.2">
      <c r="A1250">
        <v>1248</v>
      </c>
      <c r="B1250">
        <v>600</v>
      </c>
      <c r="C1250">
        <v>78.4166666666667</v>
      </c>
      <c r="D1250">
        <v>100</v>
      </c>
      <c r="E1250">
        <v>83.597626599576614</v>
      </c>
      <c r="F1250">
        <v>54.888046809258341</v>
      </c>
      <c r="G1250">
        <v>790.29083288925074</v>
      </c>
      <c r="H1250">
        <v>10.078097762668444</v>
      </c>
      <c r="I1250">
        <v>4.4080006564753287</v>
      </c>
      <c r="J1250">
        <v>8.2162174398421772</v>
      </c>
      <c r="K1250">
        <v>803.68643082763344</v>
      </c>
      <c r="L1250">
        <v>10.989824926610364</v>
      </c>
      <c r="M1250">
        <v>0.41000061523342229</v>
      </c>
    </row>
    <row r="1251" spans="1:13" x14ac:dyDescent="0.2">
      <c r="A1251">
        <v>1249</v>
      </c>
      <c r="B1251">
        <v>600</v>
      </c>
      <c r="C1251">
        <v>76.50000000000027</v>
      </c>
      <c r="D1251">
        <v>26</v>
      </c>
      <c r="E1251">
        <v>116.73705391376116</v>
      </c>
      <c r="F1251">
        <v>27.827916210517369</v>
      </c>
      <c r="G1251">
        <v>480.59499315747581</v>
      </c>
      <c r="H1251">
        <v>6.2822874922545644</v>
      </c>
      <c r="I1251">
        <v>2.5083115623534682</v>
      </c>
      <c r="J1251">
        <v>4.6753244405470049</v>
      </c>
      <c r="K1251">
        <v>488.7413651475573</v>
      </c>
      <c r="L1251">
        <v>6.9729420932674682</v>
      </c>
      <c r="M1251">
        <v>0.41000083795357306</v>
      </c>
    </row>
    <row r="1252" spans="1:13" x14ac:dyDescent="0.2">
      <c r="A1252">
        <v>1250</v>
      </c>
      <c r="B1252">
        <v>600</v>
      </c>
      <c r="C1252">
        <v>78.000000000000213</v>
      </c>
      <c r="D1252">
        <v>90</v>
      </c>
      <c r="E1252">
        <v>85.754622516546647</v>
      </c>
      <c r="F1252">
        <v>51.981339898114193</v>
      </c>
      <c r="G1252">
        <v>758.89718966433406</v>
      </c>
      <c r="H1252">
        <v>9.7294511495427152</v>
      </c>
      <c r="I1252">
        <v>4.3905604025665221</v>
      </c>
      <c r="J1252">
        <v>8.1837099768248311</v>
      </c>
      <c r="K1252">
        <v>771.76071457283808</v>
      </c>
      <c r="L1252">
        <v>11.320436648707959</v>
      </c>
      <c r="M1252">
        <v>0.41000065797515273</v>
      </c>
    </row>
    <row r="1253" spans="1:13" x14ac:dyDescent="0.2">
      <c r="A1253">
        <v>1251</v>
      </c>
      <c r="B1253">
        <v>600</v>
      </c>
      <c r="C1253">
        <v>77.583333333333485</v>
      </c>
      <c r="D1253">
        <v>99</v>
      </c>
      <c r="E1253">
        <v>79.081804557008198</v>
      </c>
      <c r="F1253">
        <v>48.62708293560533</v>
      </c>
      <c r="G1253">
        <v>679.28274839214782</v>
      </c>
      <c r="H1253">
        <v>8.7555241468375495</v>
      </c>
      <c r="I1253">
        <v>3.859148002432454</v>
      </c>
      <c r="J1253">
        <v>7.193192921588917</v>
      </c>
      <c r="K1253">
        <v>690.79683921953881</v>
      </c>
      <c r="L1253">
        <v>9.5489346189971034</v>
      </c>
      <c r="M1253">
        <v>0.41000070368625285</v>
      </c>
    </row>
    <row r="1254" spans="1:13" x14ac:dyDescent="0.2">
      <c r="A1254">
        <v>1252</v>
      </c>
      <c r="B1254">
        <v>600</v>
      </c>
      <c r="C1254">
        <v>76.083333333333542</v>
      </c>
      <c r="D1254">
        <v>100</v>
      </c>
      <c r="E1254">
        <v>72.488950510241438</v>
      </c>
      <c r="F1254">
        <v>41.269908461484462</v>
      </c>
      <c r="G1254">
        <v>549.81106925301549</v>
      </c>
      <c r="H1254">
        <v>7.2264324545850691</v>
      </c>
      <c r="I1254">
        <v>3.4194147501949299</v>
      </c>
      <c r="J1254">
        <v>6.3735596462160844</v>
      </c>
      <c r="K1254">
        <v>559.13075021526879</v>
      </c>
      <c r="L1254">
        <v>8.5560114332900863</v>
      </c>
      <c r="M1254">
        <v>0.41000089616820251</v>
      </c>
    </row>
    <row r="1255" spans="1:13" x14ac:dyDescent="0.2">
      <c r="A1255">
        <v>1253</v>
      </c>
      <c r="B1255">
        <v>600</v>
      </c>
      <c r="C1255">
        <v>78.4166666666667</v>
      </c>
      <c r="D1255">
        <v>97</v>
      </c>
      <c r="E1255">
        <v>85.340611893975733</v>
      </c>
      <c r="F1255">
        <v>55.484684453108841</v>
      </c>
      <c r="G1255">
        <v>807.91148724716925</v>
      </c>
      <c r="H1255">
        <v>10.302803238008533</v>
      </c>
      <c r="I1255">
        <v>4.345661451301944</v>
      </c>
      <c r="J1255">
        <v>8.1000213444584226</v>
      </c>
      <c r="K1255">
        <v>821.60575902987193</v>
      </c>
      <c r="L1255">
        <v>10.900105349705992</v>
      </c>
      <c r="M1255">
        <v>0.41000061523342229</v>
      </c>
    </row>
    <row r="1256" spans="1:13" x14ac:dyDescent="0.2">
      <c r="A1256">
        <v>1254</v>
      </c>
      <c r="B1256">
        <v>600</v>
      </c>
      <c r="C1256">
        <v>76.416666666666785</v>
      </c>
      <c r="D1256">
        <v>100</v>
      </c>
      <c r="E1256">
        <v>75.129876077635629</v>
      </c>
      <c r="F1256">
        <v>44.331785819729276</v>
      </c>
      <c r="G1256">
        <v>602.22716432707989</v>
      </c>
      <c r="H1256">
        <v>7.8808353019901283</v>
      </c>
      <c r="I1256">
        <v>3.5789383437184257</v>
      </c>
      <c r="J1256">
        <v>6.6709009202580152</v>
      </c>
      <c r="K1256">
        <v>612.43528598110254</v>
      </c>
      <c r="L1256">
        <v>8.8285942139068521</v>
      </c>
      <c r="M1256">
        <v>0.4100008492858177</v>
      </c>
    </row>
    <row r="1257" spans="1:13" x14ac:dyDescent="0.2">
      <c r="A1257">
        <v>1255</v>
      </c>
      <c r="B1257">
        <v>600</v>
      </c>
      <c r="C1257">
        <v>75.250000000000327</v>
      </c>
      <c r="D1257">
        <v>99</v>
      </c>
      <c r="E1257">
        <v>70.953539736893788</v>
      </c>
      <c r="F1257">
        <v>39.144721618112435</v>
      </c>
      <c r="G1257">
        <v>515.45244685066996</v>
      </c>
      <c r="H1257">
        <v>6.8498664033311325</v>
      </c>
      <c r="I1257">
        <v>3.232110187826311</v>
      </c>
      <c r="J1257">
        <v>6.0244365103938691</v>
      </c>
      <c r="K1257">
        <v>524.18983967955955</v>
      </c>
      <c r="L1257">
        <v>8.0471194810166526</v>
      </c>
      <c r="M1257">
        <v>0.41000102501135577</v>
      </c>
    </row>
    <row r="1258" spans="1:13" x14ac:dyDescent="0.2">
      <c r="A1258">
        <v>1256</v>
      </c>
      <c r="B1258">
        <v>600</v>
      </c>
      <c r="C1258">
        <v>77.333333333333499</v>
      </c>
      <c r="D1258">
        <v>100</v>
      </c>
      <c r="E1258">
        <v>77.828432257353683</v>
      </c>
      <c r="F1258">
        <v>47.573647022543739</v>
      </c>
      <c r="G1258">
        <v>658.80897388402627</v>
      </c>
      <c r="H1258">
        <v>8.5190815588451496</v>
      </c>
      <c r="I1258">
        <v>3.857279338265883</v>
      </c>
      <c r="J1258">
        <v>7.1897098569727547</v>
      </c>
      <c r="K1258">
        <v>669.97605961115676</v>
      </c>
      <c r="L1258">
        <v>9.5527164295491769</v>
      </c>
      <c r="M1258">
        <v>0.41000073262344178</v>
      </c>
    </row>
    <row r="1259" spans="1:13" x14ac:dyDescent="0.2">
      <c r="A1259">
        <v>1257</v>
      </c>
      <c r="B1259">
        <v>600</v>
      </c>
      <c r="C1259">
        <v>78.166666666666714</v>
      </c>
      <c r="D1259">
        <v>100</v>
      </c>
      <c r="E1259">
        <v>77.899904292897233</v>
      </c>
      <c r="F1259">
        <v>47.661063575470337</v>
      </c>
      <c r="G1259">
        <v>660.34971968631169</v>
      </c>
      <c r="H1259">
        <v>8.4479708275434273</v>
      </c>
      <c r="I1259">
        <v>3.9307764000074146</v>
      </c>
      <c r="J1259">
        <v>7.326703448289682</v>
      </c>
      <c r="K1259">
        <v>671.54281687673824</v>
      </c>
      <c r="L1259">
        <v>9.7641536850877753</v>
      </c>
      <c r="M1259">
        <v>0.41000064053322849</v>
      </c>
    </row>
    <row r="1260" spans="1:13" x14ac:dyDescent="0.2">
      <c r="A1260">
        <v>1258</v>
      </c>
      <c r="B1260">
        <v>600</v>
      </c>
      <c r="C1260">
        <v>76.333333333333528</v>
      </c>
      <c r="D1260">
        <v>49</v>
      </c>
      <c r="E1260">
        <v>96.740697984646715</v>
      </c>
      <c r="F1260">
        <v>36.016739471963277</v>
      </c>
      <c r="G1260">
        <v>561.50765092941913</v>
      </c>
      <c r="H1260">
        <v>7.3559954270229397</v>
      </c>
      <c r="I1260">
        <v>3.310627414890007</v>
      </c>
      <c r="J1260">
        <v>6.1707873530102644</v>
      </c>
      <c r="K1260">
        <v>571.02556284758782</v>
      </c>
      <c r="L1260">
        <v>8.7663416487544765</v>
      </c>
      <c r="M1260">
        <v>0.41000086077131626</v>
      </c>
    </row>
    <row r="1261" spans="1:13" x14ac:dyDescent="0.2">
      <c r="A1261">
        <v>1259</v>
      </c>
      <c r="B1261">
        <v>600</v>
      </c>
      <c r="C1261">
        <v>75.000000000000341</v>
      </c>
      <c r="D1261">
        <v>33</v>
      </c>
      <c r="E1261">
        <v>96.302810970449926</v>
      </c>
      <c r="F1261">
        <v>24.03708222009363</v>
      </c>
      <c r="G1261">
        <v>373.81754782819519</v>
      </c>
      <c r="H1261">
        <v>4.9842339710425803</v>
      </c>
      <c r="I1261">
        <v>2.5107262622857212</v>
      </c>
      <c r="J1261">
        <v>4.679825279190533</v>
      </c>
      <c r="K1261">
        <v>380.15412607291279</v>
      </c>
      <c r="L1261">
        <v>6.877996325692159</v>
      </c>
      <c r="M1261">
        <v>0.41000106716216822</v>
      </c>
    </row>
    <row r="1262" spans="1:13" x14ac:dyDescent="0.2">
      <c r="A1262">
        <v>1260</v>
      </c>
      <c r="B1262">
        <v>600</v>
      </c>
      <c r="C1262">
        <v>78.583333333333442</v>
      </c>
      <c r="D1262">
        <v>30</v>
      </c>
      <c r="E1262">
        <v>130.86981281713878</v>
      </c>
      <c r="F1262">
        <v>40.354326044017235</v>
      </c>
      <c r="G1262">
        <v>741.6904726240258</v>
      </c>
      <c r="H1262">
        <v>9.4382668838688204</v>
      </c>
      <c r="I1262">
        <v>3.6273656243644008</v>
      </c>
      <c r="J1262">
        <v>6.7611661218348562</v>
      </c>
      <c r="K1262">
        <v>754.26226325521498</v>
      </c>
      <c r="L1262">
        <v>10.78371229379956</v>
      </c>
      <c r="M1262">
        <v>0.41000059892451662</v>
      </c>
    </row>
    <row r="1263" spans="1:13" x14ac:dyDescent="0.2">
      <c r="A1263">
        <v>1261</v>
      </c>
      <c r="B1263">
        <v>600</v>
      </c>
      <c r="C1263">
        <v>88.249999999999503</v>
      </c>
      <c r="D1263">
        <v>9</v>
      </c>
      <c r="E1263">
        <v>265.95809169601665</v>
      </c>
      <c r="F1263">
        <v>49.99871088513013</v>
      </c>
      <c r="G1263">
        <v>1352.2128102675135</v>
      </c>
      <c r="H1263">
        <v>15.322524762238199</v>
      </c>
      <c r="I1263">
        <v>5.2006711564169432</v>
      </c>
      <c r="J1263">
        <v>9.6937020622869383</v>
      </c>
      <c r="K1263">
        <v>1375.1319653116432</v>
      </c>
      <c r="L1263">
        <v>21.362357221885929</v>
      </c>
      <c r="M1263">
        <v>0.4100001260776171</v>
      </c>
    </row>
    <row r="1264" spans="1:13" x14ac:dyDescent="0.2">
      <c r="A1264">
        <v>1262</v>
      </c>
      <c r="B1264">
        <v>600</v>
      </c>
      <c r="C1264">
        <v>75.916666666666814</v>
      </c>
      <c r="D1264">
        <v>90</v>
      </c>
      <c r="E1264">
        <v>79.160888106706878</v>
      </c>
      <c r="F1264">
        <v>44.294898069878926</v>
      </c>
      <c r="G1264">
        <v>619.10222033516857</v>
      </c>
      <c r="H1264">
        <v>8.1550237585312928</v>
      </c>
      <c r="I1264">
        <v>3.8579458544726126</v>
      </c>
      <c r="J1264">
        <v>7.1909521984578042</v>
      </c>
      <c r="K1264">
        <v>629.59646066006451</v>
      </c>
      <c r="L1264">
        <v>9.9765640740635835</v>
      </c>
      <c r="M1264">
        <v>0.41000092057114862</v>
      </c>
    </row>
    <row r="1265" spans="1:13" x14ac:dyDescent="0.2">
      <c r="A1265">
        <v>1263</v>
      </c>
      <c r="B1265">
        <v>600</v>
      </c>
      <c r="C1265">
        <v>77.500000000000227</v>
      </c>
      <c r="D1265">
        <v>100</v>
      </c>
      <c r="E1265">
        <v>78.764000188960424</v>
      </c>
      <c r="F1265">
        <v>48.724277779614198</v>
      </c>
      <c r="G1265">
        <v>679.14920400513824</v>
      </c>
      <c r="H1265">
        <v>8.7632155355501453</v>
      </c>
      <c r="I1265">
        <v>3.8710226923071098</v>
      </c>
      <c r="J1265">
        <v>7.2153265467047714</v>
      </c>
      <c r="K1265">
        <v>690.66104234645127</v>
      </c>
      <c r="L1265">
        <v>9.5655419227247958</v>
      </c>
      <c r="M1265">
        <v>0.41000071320270459</v>
      </c>
    </row>
    <row r="1266" spans="1:13" x14ac:dyDescent="0.2">
      <c r="A1266">
        <v>1264</v>
      </c>
      <c r="B1266">
        <v>600</v>
      </c>
      <c r="C1266">
        <v>77.333333333333499</v>
      </c>
      <c r="D1266">
        <v>100</v>
      </c>
      <c r="E1266">
        <v>74.851872926072758</v>
      </c>
      <c r="F1266">
        <v>44.004310922547909</v>
      </c>
      <c r="G1266">
        <v>596.57281292745768</v>
      </c>
      <c r="H1266">
        <v>7.7143036154412465</v>
      </c>
      <c r="I1266">
        <v>3.5875785883628972</v>
      </c>
      <c r="J1266">
        <v>6.6870057565012058</v>
      </c>
      <c r="K1266">
        <v>606.68496987814456</v>
      </c>
      <c r="L1266">
        <v>8.7926403683660403</v>
      </c>
      <c r="M1266">
        <v>0.41000073262344178</v>
      </c>
    </row>
    <row r="1267" spans="1:13" x14ac:dyDescent="0.2">
      <c r="A1267">
        <v>1265</v>
      </c>
      <c r="B1267">
        <v>600</v>
      </c>
      <c r="C1267">
        <v>76.583333333333528</v>
      </c>
      <c r="D1267">
        <v>100</v>
      </c>
      <c r="E1267">
        <v>73.714423511444963</v>
      </c>
      <c r="F1267">
        <v>42.677092901280552</v>
      </c>
      <c r="G1267">
        <v>573.77368878938478</v>
      </c>
      <c r="H1267">
        <v>7.4921482758134932</v>
      </c>
      <c r="I1267">
        <v>3.4047150797411101</v>
      </c>
      <c r="J1267">
        <v>6.3461604468613411</v>
      </c>
      <c r="K1267">
        <v>583.49948422877992</v>
      </c>
      <c r="L1267">
        <v>8.3607880708925855</v>
      </c>
      <c r="M1267">
        <v>0.41000082677253757</v>
      </c>
    </row>
    <row r="1268" spans="1:13" x14ac:dyDescent="0.2">
      <c r="A1268">
        <v>1266</v>
      </c>
      <c r="B1268">
        <v>600</v>
      </c>
      <c r="C1268">
        <v>77.333333333333499</v>
      </c>
      <c r="D1268">
        <v>100</v>
      </c>
      <c r="E1268">
        <v>78.526375746945789</v>
      </c>
      <c r="F1268">
        <v>48.430727065056253</v>
      </c>
      <c r="G1268">
        <v>673.94739500139758</v>
      </c>
      <c r="H1268">
        <v>8.7148370043283983</v>
      </c>
      <c r="I1268">
        <v>3.9377813972636839</v>
      </c>
      <c r="J1268">
        <v>7.3397602931289532</v>
      </c>
      <c r="K1268">
        <v>685.37108325383133</v>
      </c>
      <c r="L1268">
        <v>9.7745025882056975</v>
      </c>
      <c r="M1268">
        <v>0.41000073262344178</v>
      </c>
    </row>
    <row r="1269" spans="1:13" x14ac:dyDescent="0.2">
      <c r="A1269">
        <v>1267</v>
      </c>
      <c r="B1269">
        <v>600</v>
      </c>
      <c r="C1269">
        <v>74.41666666666687</v>
      </c>
      <c r="D1269">
        <v>99</v>
      </c>
      <c r="E1269">
        <v>73.965435911680203</v>
      </c>
      <c r="F1269">
        <v>42.538553525962016</v>
      </c>
      <c r="G1269">
        <v>572.97072265133806</v>
      </c>
      <c r="H1269">
        <v>7.6994945932990344</v>
      </c>
      <c r="I1269">
        <v>3.4294231086468772</v>
      </c>
      <c r="J1269">
        <v>6.3922145547938065</v>
      </c>
      <c r="K1269">
        <v>582.68324867132389</v>
      </c>
      <c r="L1269">
        <v>8.6386416314112928</v>
      </c>
      <c r="M1269">
        <v>0.41000117237844025</v>
      </c>
    </row>
    <row r="1270" spans="1:13" x14ac:dyDescent="0.2">
      <c r="A1270">
        <v>1268</v>
      </c>
      <c r="B1270">
        <v>600</v>
      </c>
      <c r="C1270">
        <v>76.250000000000284</v>
      </c>
      <c r="D1270">
        <v>97</v>
      </c>
      <c r="E1270">
        <v>75.376769778893376</v>
      </c>
      <c r="F1270">
        <v>43.284924053922857</v>
      </c>
      <c r="G1270">
        <v>589.05774858225459</v>
      </c>
      <c r="H1270">
        <v>7.7253475223901953</v>
      </c>
      <c r="I1270">
        <v>3.4887562837803054</v>
      </c>
      <c r="J1270">
        <v>6.5028076118924609</v>
      </c>
      <c r="K1270">
        <v>599.04266400245103</v>
      </c>
      <c r="L1270">
        <v>8.7178931220206728</v>
      </c>
      <c r="M1270">
        <v>0.4100008724121415</v>
      </c>
    </row>
    <row r="1271" spans="1:13" x14ac:dyDescent="0.2">
      <c r="A1271">
        <v>1269</v>
      </c>
      <c r="B1271">
        <v>600</v>
      </c>
      <c r="C1271">
        <v>79.166666666666671</v>
      </c>
      <c r="D1271">
        <v>98</v>
      </c>
      <c r="E1271">
        <v>85.98988843351097</v>
      </c>
      <c r="F1271">
        <v>56.912901617886654</v>
      </c>
      <c r="G1271">
        <v>832.13616064323151</v>
      </c>
      <c r="H1271">
        <v>10.511193608125028</v>
      </c>
      <c r="I1271">
        <v>4.6056862083250349</v>
      </c>
      <c r="J1271">
        <v>8.5846900434762983</v>
      </c>
      <c r="K1271">
        <v>846.2409453119069</v>
      </c>
      <c r="L1271">
        <v>11.742154468985534</v>
      </c>
      <c r="M1271">
        <v>0.4100005451734387</v>
      </c>
    </row>
    <row r="1272" spans="1:13" x14ac:dyDescent="0.2">
      <c r="A1272">
        <v>1270</v>
      </c>
      <c r="B1272">
        <v>600</v>
      </c>
      <c r="C1272">
        <v>77.916666666666728</v>
      </c>
      <c r="D1272">
        <v>98</v>
      </c>
      <c r="E1272">
        <v>79.86051586268178</v>
      </c>
      <c r="F1272">
        <v>49.088547240155208</v>
      </c>
      <c r="G1272">
        <v>689.39886928207238</v>
      </c>
      <c r="H1272">
        <v>8.8478999266148257</v>
      </c>
      <c r="I1272">
        <v>4.0618293138819972</v>
      </c>
      <c r="J1272">
        <v>7.5709772858937505</v>
      </c>
      <c r="K1272">
        <v>701.08438831150443</v>
      </c>
      <c r="L1272">
        <v>10.300544909791162</v>
      </c>
      <c r="M1272">
        <v>0.41000066687342057</v>
      </c>
    </row>
    <row r="1273" spans="1:13" x14ac:dyDescent="0.2">
      <c r="A1273">
        <v>1271</v>
      </c>
      <c r="B1273">
        <v>600</v>
      </c>
      <c r="C1273">
        <v>76.083333333333542</v>
      </c>
      <c r="D1273">
        <v>100</v>
      </c>
      <c r="E1273">
        <v>78.518792257037731</v>
      </c>
      <c r="F1273">
        <v>48.421373362121159</v>
      </c>
      <c r="G1273">
        <v>673.78159930131278</v>
      </c>
      <c r="H1273">
        <v>8.8558370116273064</v>
      </c>
      <c r="I1273">
        <v>4.0126712000002209</v>
      </c>
      <c r="J1273">
        <v>7.4793498602054438</v>
      </c>
      <c r="K1273">
        <v>685.20266718242419</v>
      </c>
      <c r="L1273">
        <v>10.253127223422227</v>
      </c>
      <c r="M1273">
        <v>0.41000089616820251</v>
      </c>
    </row>
    <row r="1274" spans="1:13" x14ac:dyDescent="0.2">
      <c r="A1274">
        <v>1272</v>
      </c>
      <c r="B1274">
        <v>600</v>
      </c>
      <c r="C1274">
        <v>78.500000000000185</v>
      </c>
      <c r="D1274">
        <v>23</v>
      </c>
      <c r="E1274">
        <v>124.07234673688548</v>
      </c>
      <c r="F1274">
        <v>27.807869118925151</v>
      </c>
      <c r="G1274">
        <v>496.45811246134639</v>
      </c>
      <c r="H1274">
        <v>6.3243071651126783</v>
      </c>
      <c r="I1274">
        <v>2.6362147600904589</v>
      </c>
      <c r="J1274">
        <v>4.9137274186215443</v>
      </c>
      <c r="K1274">
        <v>504.87317618143055</v>
      </c>
      <c r="L1274">
        <v>7.6196134623000358</v>
      </c>
      <c r="M1274">
        <v>0.41000060702420055</v>
      </c>
    </row>
    <row r="1275" spans="1:13" x14ac:dyDescent="0.2">
      <c r="A1275">
        <v>1273</v>
      </c>
      <c r="B1275">
        <v>600</v>
      </c>
      <c r="C1275">
        <v>78.916666666666686</v>
      </c>
      <c r="D1275">
        <v>90</v>
      </c>
      <c r="E1275">
        <v>90.754208460685817</v>
      </c>
      <c r="F1275">
        <v>58.219160319395478</v>
      </c>
      <c r="G1275">
        <v>876.60940987008212</v>
      </c>
      <c r="H1275">
        <v>11.10803898462617</v>
      </c>
      <c r="I1275">
        <v>4.898408713639582</v>
      </c>
      <c r="J1275">
        <v>9.1303051512387352</v>
      </c>
      <c r="K1275">
        <v>891.46805408877867</v>
      </c>
      <c r="L1275">
        <v>12.860811700682071</v>
      </c>
      <c r="M1275">
        <v>0.41000056759221798</v>
      </c>
    </row>
    <row r="1276" spans="1:13" x14ac:dyDescent="0.2">
      <c r="A1276">
        <v>1274</v>
      </c>
      <c r="B1276">
        <v>600</v>
      </c>
      <c r="C1276">
        <v>79.666666666666643</v>
      </c>
      <c r="D1276">
        <v>100</v>
      </c>
      <c r="E1276">
        <v>82.756136255681398</v>
      </c>
      <c r="F1276">
        <v>53.788606521747859</v>
      </c>
      <c r="G1276">
        <v>770.20489159122792</v>
      </c>
      <c r="H1276">
        <v>9.6678438275049565</v>
      </c>
      <c r="I1276">
        <v>4.2298350134794118</v>
      </c>
      <c r="J1276">
        <v>7.8841286364947099</v>
      </c>
      <c r="K1276">
        <v>783.25987949336911</v>
      </c>
      <c r="L1276">
        <v>10.502471187781262</v>
      </c>
      <c r="M1276">
        <v>0.41000050295739809</v>
      </c>
    </row>
    <row r="1277" spans="1:13" x14ac:dyDescent="0.2">
      <c r="A1277">
        <v>1275</v>
      </c>
      <c r="B1277">
        <v>600</v>
      </c>
      <c r="C1277">
        <v>77.666666666666728</v>
      </c>
      <c r="D1277">
        <v>100</v>
      </c>
      <c r="E1277">
        <v>83.257392226669666</v>
      </c>
      <c r="F1277">
        <v>54.442177742974096</v>
      </c>
      <c r="G1277">
        <v>782.13164268615719</v>
      </c>
      <c r="H1277">
        <v>10.07036449810502</v>
      </c>
      <c r="I1277">
        <v>4.3397047179414647</v>
      </c>
      <c r="J1277">
        <v>8.0889183931807338</v>
      </c>
      <c r="K1277">
        <v>795.38904719957611</v>
      </c>
      <c r="L1277">
        <v>10.893607572994886</v>
      </c>
      <c r="M1277">
        <v>0.41000069429678165</v>
      </c>
    </row>
    <row r="1278" spans="1:13" x14ac:dyDescent="0.2">
      <c r="A1278">
        <v>1276</v>
      </c>
      <c r="B1278">
        <v>600</v>
      </c>
      <c r="C1278">
        <v>77.250000000000242</v>
      </c>
      <c r="D1278">
        <v>99</v>
      </c>
      <c r="E1278">
        <v>75.900619147692964</v>
      </c>
      <c r="F1278">
        <v>44.793573767922865</v>
      </c>
      <c r="G1278">
        <v>611.89283639833275</v>
      </c>
      <c r="H1278">
        <v>7.9209428659978114</v>
      </c>
      <c r="I1278">
        <v>3.6303596399954912</v>
      </c>
      <c r="J1278">
        <v>6.7667467660680174</v>
      </c>
      <c r="K1278">
        <v>622.26468455925817</v>
      </c>
      <c r="L1278">
        <v>8.9820542723572796</v>
      </c>
      <c r="M1278">
        <v>0.41000074253123181</v>
      </c>
    </row>
    <row r="1279" spans="1:13" x14ac:dyDescent="0.2">
      <c r="A1279">
        <v>1277</v>
      </c>
      <c r="B1279">
        <v>600</v>
      </c>
      <c r="C1279">
        <v>75.500000000000313</v>
      </c>
      <c r="D1279">
        <v>99</v>
      </c>
      <c r="E1279">
        <v>69.793222703718527</v>
      </c>
      <c r="F1279">
        <v>37.874907482709474</v>
      </c>
      <c r="G1279">
        <v>494.27257231839491</v>
      </c>
      <c r="H1279">
        <v>6.5466565869985809</v>
      </c>
      <c r="I1279">
        <v>3.0655153095432559</v>
      </c>
      <c r="J1279">
        <v>5.7139148360545304</v>
      </c>
      <c r="K1279">
        <v>502.65091231124802</v>
      </c>
      <c r="L1279">
        <v>7.5018471590209055</v>
      </c>
      <c r="M1279">
        <v>0.41000098452541767</v>
      </c>
    </row>
    <row r="1280" spans="1:13" x14ac:dyDescent="0.2">
      <c r="A1280">
        <v>1278</v>
      </c>
      <c r="B1280">
        <v>600</v>
      </c>
      <c r="C1280">
        <v>76.50000000000027</v>
      </c>
      <c r="D1280">
        <v>100</v>
      </c>
      <c r="E1280">
        <v>76.248504600457622</v>
      </c>
      <c r="F1280">
        <v>45.661749023160446</v>
      </c>
      <c r="G1280">
        <v>625.3078903862812</v>
      </c>
      <c r="H1280">
        <v>8.1739593514546272</v>
      </c>
      <c r="I1280">
        <v>3.6995436209954384</v>
      </c>
      <c r="J1280">
        <v>6.8957010642971825</v>
      </c>
      <c r="K1280">
        <v>635.90723236018005</v>
      </c>
      <c r="L1280">
        <v>9.1609272688787637</v>
      </c>
      <c r="M1280">
        <v>0.41000083795357306</v>
      </c>
    </row>
    <row r="1281" spans="1:13" x14ac:dyDescent="0.2">
      <c r="A1281">
        <v>1279</v>
      </c>
      <c r="B1281">
        <v>600</v>
      </c>
      <c r="C1281">
        <v>76.000000000000298</v>
      </c>
      <c r="D1281">
        <v>99</v>
      </c>
      <c r="E1281">
        <v>72.365531378442512</v>
      </c>
      <c r="F1281">
        <v>40.718201471239055</v>
      </c>
      <c r="G1281">
        <v>541.95776450611447</v>
      </c>
      <c r="H1281">
        <v>7.1310232171856889</v>
      </c>
      <c r="I1281">
        <v>3.402344352153702</v>
      </c>
      <c r="J1281">
        <v>6.34174156971799</v>
      </c>
      <c r="K1281">
        <v>551.14433779882279</v>
      </c>
      <c r="L1281">
        <v>8.5489894705702998</v>
      </c>
      <c r="M1281">
        <v>0.41000090828772506</v>
      </c>
    </row>
    <row r="1282" spans="1:13" x14ac:dyDescent="0.2">
      <c r="A1282">
        <v>1280</v>
      </c>
      <c r="B1282">
        <v>600</v>
      </c>
      <c r="C1282">
        <v>75.33333333333357</v>
      </c>
      <c r="D1282">
        <v>98</v>
      </c>
      <c r="E1282">
        <v>74.545827706015231</v>
      </c>
      <c r="F1282">
        <v>42.772303470516071</v>
      </c>
      <c r="G1282">
        <v>578.57740089935396</v>
      </c>
      <c r="H1282">
        <v>7.6802309853896302</v>
      </c>
      <c r="I1282">
        <v>3.4328569130603448</v>
      </c>
      <c r="J1282">
        <v>6.3986149358067932</v>
      </c>
      <c r="K1282">
        <v>588.38480609047986</v>
      </c>
      <c r="L1282">
        <v>8.6116805895883477</v>
      </c>
      <c r="M1282">
        <v>0.41000101133435901</v>
      </c>
    </row>
    <row r="1283" spans="1:13" x14ac:dyDescent="0.2">
      <c r="A1283">
        <v>1281</v>
      </c>
      <c r="B1283">
        <v>600</v>
      </c>
      <c r="C1283">
        <v>77.083333333333499</v>
      </c>
      <c r="D1283">
        <v>99</v>
      </c>
      <c r="E1283">
        <v>81.058144126505908</v>
      </c>
      <c r="F1283">
        <v>51.087939648419173</v>
      </c>
      <c r="G1283">
        <v>723.31911532973936</v>
      </c>
      <c r="H1283">
        <v>9.3835993340074086</v>
      </c>
      <c r="I1283">
        <v>4.1904708131107755</v>
      </c>
      <c r="J1283">
        <v>7.8107564084077827</v>
      </c>
      <c r="K1283">
        <v>735.57971230797671</v>
      </c>
      <c r="L1283">
        <v>10.671659125102584</v>
      </c>
      <c r="M1283">
        <v>0.41000076275059422</v>
      </c>
    </row>
    <row r="1284" spans="1:13" x14ac:dyDescent="0.2">
      <c r="A1284">
        <v>1282</v>
      </c>
      <c r="B1284">
        <v>600</v>
      </c>
      <c r="C1284">
        <v>76.50000000000027</v>
      </c>
      <c r="D1284">
        <v>24</v>
      </c>
      <c r="E1284">
        <v>122.32627396618108</v>
      </c>
      <c r="F1284">
        <v>28.205942608661317</v>
      </c>
      <c r="G1284">
        <v>499.69221652480428</v>
      </c>
      <c r="H1284">
        <v>6.5319243990170266</v>
      </c>
      <c r="I1284">
        <v>2.6645869453790523</v>
      </c>
      <c r="J1284">
        <v>4.9666112681808983</v>
      </c>
      <c r="K1284">
        <v>508.16229784965384</v>
      </c>
      <c r="L1284">
        <v>7.5408984776204058</v>
      </c>
      <c r="M1284">
        <v>0.41000083795357306</v>
      </c>
    </row>
    <row r="1285" spans="1:13" x14ac:dyDescent="0.2">
      <c r="A1285">
        <v>1283</v>
      </c>
      <c r="B1285">
        <v>600</v>
      </c>
      <c r="C1285">
        <v>76.416666666666785</v>
      </c>
      <c r="D1285">
        <v>88</v>
      </c>
      <c r="E1285">
        <v>81.657146460858641</v>
      </c>
      <c r="F1285">
        <v>46.08514434080832</v>
      </c>
      <c r="G1285">
        <v>655.10987270586804</v>
      </c>
      <c r="H1285">
        <v>8.5728663821923714</v>
      </c>
      <c r="I1285">
        <v>3.7147749216779711</v>
      </c>
      <c r="J1285">
        <v>6.9240911867250148</v>
      </c>
      <c r="K1285">
        <v>666.21438886432668</v>
      </c>
      <c r="L1285">
        <v>9.3615465922165217</v>
      </c>
      <c r="M1285">
        <v>0.4100008492858177</v>
      </c>
    </row>
    <row r="1286" spans="1:13" x14ac:dyDescent="0.2">
      <c r="A1286">
        <v>1284</v>
      </c>
      <c r="B1286">
        <v>600</v>
      </c>
      <c r="C1286">
        <v>76.083333333333542</v>
      </c>
      <c r="D1286">
        <v>100</v>
      </c>
      <c r="E1286">
        <v>71.970361686885624</v>
      </c>
      <c r="F1286">
        <v>40.681527547265517</v>
      </c>
      <c r="G1286">
        <v>539.85705560787017</v>
      </c>
      <c r="H1286">
        <v>7.0956020452293806</v>
      </c>
      <c r="I1286">
        <v>3.4123911562953766</v>
      </c>
      <c r="J1286">
        <v>6.360468138481596</v>
      </c>
      <c r="K1286">
        <v>549.00800909871646</v>
      </c>
      <c r="L1286">
        <v>8.5217446662592167</v>
      </c>
      <c r="M1286">
        <v>0.41000089616820251</v>
      </c>
    </row>
    <row r="1287" spans="1:13" x14ac:dyDescent="0.2">
      <c r="A1287">
        <v>1285</v>
      </c>
      <c r="B1287">
        <v>600</v>
      </c>
      <c r="C1287">
        <v>77.333333333333499</v>
      </c>
      <c r="D1287">
        <v>99</v>
      </c>
      <c r="E1287">
        <v>81.760840840322587</v>
      </c>
      <c r="F1287">
        <v>51.97754634100653</v>
      </c>
      <c r="G1287">
        <v>739.38266441731503</v>
      </c>
      <c r="H1287">
        <v>9.560982729534226</v>
      </c>
      <c r="I1287">
        <v>4.2026552472166747</v>
      </c>
      <c r="J1287">
        <v>7.8334673759863467</v>
      </c>
      <c r="K1287">
        <v>751.91550766324769</v>
      </c>
      <c r="L1287">
        <v>10.543663755048648</v>
      </c>
      <c r="M1287">
        <v>0.41000073262344178</v>
      </c>
    </row>
    <row r="1288" spans="1:13" x14ac:dyDescent="0.2">
      <c r="A1288">
        <v>1286</v>
      </c>
      <c r="B1288">
        <v>600</v>
      </c>
      <c r="C1288">
        <v>76.666666666666771</v>
      </c>
      <c r="D1288">
        <v>99</v>
      </c>
      <c r="E1288">
        <v>81.614057203884258</v>
      </c>
      <c r="F1288">
        <v>51.791085324150259</v>
      </c>
      <c r="G1288">
        <v>736.00941006499329</v>
      </c>
      <c r="H1288">
        <v>9.6001227399781595</v>
      </c>
      <c r="I1288">
        <v>4.0980083837002947</v>
      </c>
      <c r="J1288">
        <v>7.6384126443621509</v>
      </c>
      <c r="K1288">
        <v>748.48518069290913</v>
      </c>
      <c r="L1288">
        <v>10.339066658554904</v>
      </c>
      <c r="M1288">
        <v>0.41000081574069358</v>
      </c>
    </row>
    <row r="1289" spans="1:13" x14ac:dyDescent="0.2">
      <c r="A1289">
        <v>1287</v>
      </c>
      <c r="B1289">
        <v>600</v>
      </c>
      <c r="C1289">
        <v>79.083333333333414</v>
      </c>
      <c r="D1289">
        <v>100</v>
      </c>
      <c r="E1289">
        <v>84.723392095345815</v>
      </c>
      <c r="F1289">
        <v>56.376297750277303</v>
      </c>
      <c r="G1289">
        <v>817.65508030338356</v>
      </c>
      <c r="H1289">
        <v>10.339158022803575</v>
      </c>
      <c r="I1289">
        <v>4.6086718019496917</v>
      </c>
      <c r="J1289">
        <v>8.5902549896545963</v>
      </c>
      <c r="K1289">
        <v>831.51441971554243</v>
      </c>
      <c r="L1289">
        <v>11.753656510646415</v>
      </c>
      <c r="M1289">
        <v>0.41000055254620849</v>
      </c>
    </row>
    <row r="1290" spans="1:13" x14ac:dyDescent="0.2">
      <c r="A1290">
        <v>1288</v>
      </c>
      <c r="B1290">
        <v>600</v>
      </c>
      <c r="C1290">
        <v>77.583333333333485</v>
      </c>
      <c r="D1290">
        <v>100</v>
      </c>
      <c r="E1290">
        <v>80.880352372706213</v>
      </c>
      <c r="F1290">
        <v>51.377852871305528</v>
      </c>
      <c r="G1290">
        <v>726.55435606381809</v>
      </c>
      <c r="H1290">
        <v>9.3648252124229856</v>
      </c>
      <c r="I1290">
        <v>4.0993776552461725</v>
      </c>
      <c r="J1290">
        <v>7.6409648746433794</v>
      </c>
      <c r="K1290">
        <v>738.86971791653218</v>
      </c>
      <c r="L1290">
        <v>10.204902144669663</v>
      </c>
      <c r="M1290">
        <v>0.41000070368625285</v>
      </c>
    </row>
    <row r="1291" spans="1:13" x14ac:dyDescent="0.2">
      <c r="A1291">
        <v>1289</v>
      </c>
      <c r="B1291">
        <v>600</v>
      </c>
      <c r="C1291">
        <v>77.583333333333485</v>
      </c>
      <c r="D1291">
        <v>98</v>
      </c>
      <c r="E1291">
        <v>78.688701913621159</v>
      </c>
      <c r="F1291">
        <v>47.658538393385257</v>
      </c>
      <c r="G1291">
        <v>663.94828324629032</v>
      </c>
      <c r="H1291">
        <v>8.5578726089747246</v>
      </c>
      <c r="I1291">
        <v>3.7754244804701909</v>
      </c>
      <c r="J1291">
        <v>7.0371378946322283</v>
      </c>
      <c r="K1291">
        <v>675.20244928551801</v>
      </c>
      <c r="L1291">
        <v>9.3297459378991885</v>
      </c>
      <c r="M1291">
        <v>0.41000070368625285</v>
      </c>
    </row>
    <row r="1292" spans="1:13" x14ac:dyDescent="0.2">
      <c r="A1292">
        <v>1290</v>
      </c>
      <c r="B1292">
        <v>600</v>
      </c>
      <c r="C1292">
        <v>77.916666666666728</v>
      </c>
      <c r="D1292">
        <v>100</v>
      </c>
      <c r="E1292">
        <v>77.357100864532626</v>
      </c>
      <c r="F1292">
        <v>46.999176854895659</v>
      </c>
      <c r="G1292">
        <v>648.70372078879734</v>
      </c>
      <c r="H1292">
        <v>8.3256092507653072</v>
      </c>
      <c r="I1292">
        <v>3.9434832746145703</v>
      </c>
      <c r="J1292">
        <v>7.3503882099060034</v>
      </c>
      <c r="K1292">
        <v>659.69944476153171</v>
      </c>
      <c r="L1292">
        <v>9.9102722536866903</v>
      </c>
      <c r="M1292">
        <v>0.41000066687342057</v>
      </c>
    </row>
    <row r="1293" spans="1:13" x14ac:dyDescent="0.2">
      <c r="A1293">
        <v>1291</v>
      </c>
      <c r="B1293">
        <v>600</v>
      </c>
      <c r="C1293">
        <v>76.416666666666785</v>
      </c>
      <c r="D1293">
        <v>100</v>
      </c>
      <c r="E1293">
        <v>77.020047062690466</v>
      </c>
      <c r="F1293">
        <v>46.590507450606587</v>
      </c>
      <c r="G1293">
        <v>641.535172075628</v>
      </c>
      <c r="H1293">
        <v>8.3952258068784342</v>
      </c>
      <c r="I1293">
        <v>3.7765813966622264</v>
      </c>
      <c r="J1293">
        <v>7.0392943087832736</v>
      </c>
      <c r="K1293">
        <v>652.40958869082669</v>
      </c>
      <c r="L1293">
        <v>9.3736654224721914</v>
      </c>
      <c r="M1293">
        <v>0.4100008492858177</v>
      </c>
    </row>
    <row r="1294" spans="1:13" x14ac:dyDescent="0.2">
      <c r="A1294">
        <v>1292</v>
      </c>
      <c r="B1294">
        <v>600</v>
      </c>
      <c r="C1294">
        <v>78.250000000000199</v>
      </c>
      <c r="D1294">
        <v>100</v>
      </c>
      <c r="E1294">
        <v>84.089797091987975</v>
      </c>
      <c r="F1294">
        <v>55.536242211535416</v>
      </c>
      <c r="G1294">
        <v>802.18452624097574</v>
      </c>
      <c r="H1294">
        <v>10.251559440779216</v>
      </c>
      <c r="I1294">
        <v>4.4755635059953676</v>
      </c>
      <c r="J1294">
        <v>8.342150057773285</v>
      </c>
      <c r="K1294">
        <v>815.78174797894178</v>
      </c>
      <c r="L1294">
        <v>11.298501853869626</v>
      </c>
      <c r="M1294">
        <v>0.41000063198642472</v>
      </c>
    </row>
    <row r="1295" spans="1:13" x14ac:dyDescent="0.2">
      <c r="A1295">
        <v>1293</v>
      </c>
      <c r="B1295">
        <v>600</v>
      </c>
      <c r="C1295">
        <v>78.000000000000213</v>
      </c>
      <c r="D1295">
        <v>25</v>
      </c>
      <c r="E1295">
        <v>143.28412940259602</v>
      </c>
      <c r="F1295">
        <v>40.311231738663622</v>
      </c>
      <c r="G1295">
        <v>778.39002276373708</v>
      </c>
      <c r="H1295">
        <v>9.9793592662017296</v>
      </c>
      <c r="I1295">
        <v>3.9629963426134864</v>
      </c>
      <c r="J1295">
        <v>7.3867592592982039</v>
      </c>
      <c r="K1295">
        <v>791.58395678104591</v>
      </c>
      <c r="L1295">
        <v>12.535355393518399</v>
      </c>
      <c r="M1295">
        <v>0.41000065797515273</v>
      </c>
    </row>
    <row r="1296" spans="1:13" x14ac:dyDescent="0.2">
      <c r="A1296">
        <v>1294</v>
      </c>
      <c r="B1296">
        <v>600</v>
      </c>
      <c r="C1296">
        <v>80.583333333333357</v>
      </c>
      <c r="D1296">
        <v>90</v>
      </c>
      <c r="E1296">
        <v>87.079969795999801</v>
      </c>
      <c r="F1296">
        <v>53.600511026576342</v>
      </c>
      <c r="G1296">
        <v>789.10113783780832</v>
      </c>
      <c r="H1296">
        <v>9.7923615864050646</v>
      </c>
      <c r="I1296">
        <v>4.3332066382008128</v>
      </c>
      <c r="J1296">
        <v>8.0768064085756066</v>
      </c>
      <c r="K1296">
        <v>802.47632351169352</v>
      </c>
      <c r="L1296">
        <v>10.97022592743552</v>
      </c>
      <c r="M1296">
        <v>0.4100004338685192</v>
      </c>
    </row>
    <row r="1297" spans="1:13" x14ac:dyDescent="0.2">
      <c r="A1297">
        <v>1295</v>
      </c>
      <c r="B1297">
        <v>600</v>
      </c>
      <c r="C1297">
        <v>77.916666666666728</v>
      </c>
      <c r="D1297">
        <v>100</v>
      </c>
      <c r="E1297">
        <v>78.883678776657518</v>
      </c>
      <c r="F1297">
        <v>48.87245925615052</v>
      </c>
      <c r="G1297">
        <v>681.77831444500191</v>
      </c>
      <c r="H1297">
        <v>8.7500960142673971</v>
      </c>
      <c r="I1297">
        <v>4.1187362557793277</v>
      </c>
      <c r="J1297">
        <v>7.6770480070444131</v>
      </c>
      <c r="K1297">
        <v>693.33466276857507</v>
      </c>
      <c r="L1297">
        <v>10.406997023232748</v>
      </c>
      <c r="M1297">
        <v>0.41000066687342057</v>
      </c>
    </row>
    <row r="1298" spans="1:13" x14ac:dyDescent="0.2">
      <c r="A1298">
        <v>1296</v>
      </c>
      <c r="B1298">
        <v>600</v>
      </c>
      <c r="C1298">
        <v>78.250000000000199</v>
      </c>
      <c r="D1298">
        <v>100</v>
      </c>
      <c r="E1298">
        <v>83.039555787981016</v>
      </c>
      <c r="F1298">
        <v>54.157663057029126</v>
      </c>
      <c r="G1298">
        <v>776.9348041421739</v>
      </c>
      <c r="H1298">
        <v>9.9288792861619424</v>
      </c>
      <c r="I1298">
        <v>4.4037338639600447</v>
      </c>
      <c r="J1298">
        <v>8.208264424902227</v>
      </c>
      <c r="K1298">
        <v>790.10403698360983</v>
      </c>
      <c r="L1298">
        <v>11.077916818264171</v>
      </c>
      <c r="M1298">
        <v>0.41000063198642472</v>
      </c>
    </row>
    <row r="1299" spans="1:13" x14ac:dyDescent="0.2">
      <c r="A1299">
        <v>1297</v>
      </c>
      <c r="B1299">
        <v>600</v>
      </c>
      <c r="C1299">
        <v>77.583333333333485</v>
      </c>
      <c r="D1299">
        <v>100</v>
      </c>
      <c r="E1299">
        <v>80.576628137095341</v>
      </c>
      <c r="F1299">
        <v>50.992706194137426</v>
      </c>
      <c r="G1299">
        <v>719.63157592792743</v>
      </c>
      <c r="H1299">
        <v>9.2755949636252542</v>
      </c>
      <c r="I1299">
        <v>4.0608657790334748</v>
      </c>
      <c r="J1299">
        <v>7.5691813215908192</v>
      </c>
      <c r="K1299">
        <v>731.82959412742582</v>
      </c>
      <c r="L1299">
        <v>10.099869599100137</v>
      </c>
      <c r="M1299">
        <v>0.41000070368625285</v>
      </c>
    </row>
    <row r="1300" spans="1:13" x14ac:dyDescent="0.2">
      <c r="A1300">
        <v>1298</v>
      </c>
      <c r="B1300">
        <v>600</v>
      </c>
      <c r="C1300">
        <v>80.416666666666615</v>
      </c>
      <c r="D1300">
        <v>99</v>
      </c>
      <c r="E1300">
        <v>86.114817427459755</v>
      </c>
      <c r="F1300">
        <v>57.66082425822043</v>
      </c>
      <c r="G1300">
        <v>843.73879716701902</v>
      </c>
      <c r="H1300">
        <v>10.492088669434439</v>
      </c>
      <c r="I1300">
        <v>4.5728872011188306</v>
      </c>
      <c r="J1300">
        <v>8.5235548949092834</v>
      </c>
      <c r="K1300">
        <v>858.04010290510257</v>
      </c>
      <c r="L1300">
        <v>11.516083695650504</v>
      </c>
      <c r="M1300">
        <v>0.4100004456828974</v>
      </c>
    </row>
    <row r="1301" spans="1:13" x14ac:dyDescent="0.2">
      <c r="A1301">
        <v>1299</v>
      </c>
      <c r="B1301">
        <v>600</v>
      </c>
      <c r="C1301">
        <v>74.666666666666856</v>
      </c>
      <c r="D1301">
        <v>100</v>
      </c>
      <c r="E1301">
        <v>70.36673558526266</v>
      </c>
      <c r="F1301">
        <v>38.888813164817243</v>
      </c>
      <c r="G1301">
        <v>509.77139546076478</v>
      </c>
      <c r="H1301">
        <v>6.8272954749209402</v>
      </c>
      <c r="I1301">
        <v>3.1876807581325717</v>
      </c>
      <c r="J1301">
        <v>5.9416230347298624</v>
      </c>
      <c r="K1301">
        <v>518.41257804447343</v>
      </c>
      <c r="L1301">
        <v>7.9230128888265989</v>
      </c>
      <c r="M1301">
        <v>0.4100011260717914</v>
      </c>
    </row>
    <row r="1302" spans="1:13" x14ac:dyDescent="0.2">
      <c r="A1302">
        <v>1300</v>
      </c>
      <c r="B1302">
        <v>600</v>
      </c>
      <c r="C1302">
        <v>80.500000000000099</v>
      </c>
      <c r="D1302">
        <v>98.059326530572079</v>
      </c>
      <c r="E1302">
        <v>90.264837899520359</v>
      </c>
      <c r="F1302">
        <v>62.750328065723068</v>
      </c>
      <c r="G1302">
        <v>942.05712631266579</v>
      </c>
      <c r="H1302">
        <v>11.702572997672853</v>
      </c>
      <c r="I1302">
        <v>4.9656919007744236</v>
      </c>
      <c r="J1302">
        <v>9.2557164972496224</v>
      </c>
      <c r="K1302">
        <v>958.02491028080181</v>
      </c>
      <c r="L1302">
        <v>12.687489315389104</v>
      </c>
      <c r="M1302">
        <v>0.41000043973603301</v>
      </c>
    </row>
    <row r="1303" spans="1:13" x14ac:dyDescent="0.2">
      <c r="A1303">
        <v>1301</v>
      </c>
      <c r="B1303">
        <v>600</v>
      </c>
      <c r="C1303">
        <v>79.916666666666643</v>
      </c>
      <c r="D1303">
        <v>98</v>
      </c>
      <c r="E1303">
        <v>83.775316281580146</v>
      </c>
      <c r="F1303">
        <v>54.019195163686511</v>
      </c>
      <c r="G1303">
        <v>778.6811427625928</v>
      </c>
      <c r="H1303">
        <v>9.7436639344641485</v>
      </c>
      <c r="I1303">
        <v>4.4048270001767795</v>
      </c>
      <c r="J1303">
        <v>8.2103019574590483</v>
      </c>
      <c r="K1303">
        <v>791.87977662372566</v>
      </c>
      <c r="L1303">
        <v>11.270289365140025</v>
      </c>
      <c r="M1303">
        <v>0.41000048309156739</v>
      </c>
    </row>
    <row r="1304" spans="1:13" x14ac:dyDescent="0.2">
      <c r="A1304">
        <v>1302</v>
      </c>
      <c r="B1304">
        <v>600</v>
      </c>
      <c r="C1304">
        <v>78.166666666666714</v>
      </c>
      <c r="D1304">
        <v>100</v>
      </c>
      <c r="E1304">
        <v>79.560595278739612</v>
      </c>
      <c r="F1304">
        <v>49.714826619087113</v>
      </c>
      <c r="G1304">
        <v>696.76487397401945</v>
      </c>
      <c r="H1304">
        <v>8.9138363408190067</v>
      </c>
      <c r="I1304">
        <v>4.0933051456133702</v>
      </c>
      <c r="J1304">
        <v>7.6296461241628526</v>
      </c>
      <c r="K1304">
        <v>708.57521737353102</v>
      </c>
      <c r="L1304">
        <v>10.229112653121067</v>
      </c>
      <c r="M1304">
        <v>0.41000064053322849</v>
      </c>
    </row>
    <row r="1305" spans="1:13" x14ac:dyDescent="0.2">
      <c r="A1305">
        <v>1303</v>
      </c>
      <c r="B1305">
        <v>600</v>
      </c>
      <c r="C1305">
        <v>79.500000000000142</v>
      </c>
      <c r="D1305">
        <v>48</v>
      </c>
      <c r="E1305">
        <v>115.96242240790497</v>
      </c>
      <c r="F1305">
        <v>50.695064128589379</v>
      </c>
      <c r="G1305">
        <v>872.34744924771201</v>
      </c>
      <c r="H1305">
        <v>10.972923889908309</v>
      </c>
      <c r="I1305">
        <v>4.3409931587875175</v>
      </c>
      <c r="J1305">
        <v>8.0913199604613553</v>
      </c>
      <c r="K1305">
        <v>887.13377608310611</v>
      </c>
      <c r="L1305">
        <v>12.318590663992516</v>
      </c>
      <c r="M1305">
        <v>0.41000051665308856</v>
      </c>
    </row>
    <row r="1306" spans="1:13" x14ac:dyDescent="0.2">
      <c r="A1306">
        <v>1304</v>
      </c>
      <c r="B1306">
        <v>600</v>
      </c>
      <c r="C1306">
        <v>75.416666666666828</v>
      </c>
      <c r="D1306">
        <v>7</v>
      </c>
      <c r="E1306">
        <v>243.17935059560469</v>
      </c>
      <c r="F1306">
        <v>32.511822115830022</v>
      </c>
      <c r="G1306">
        <v>837.42403830943181</v>
      </c>
      <c r="H1306">
        <v>11.10396514885432</v>
      </c>
      <c r="I1306">
        <v>3.1169068722609508</v>
      </c>
      <c r="J1306">
        <v>5.8097052605050337</v>
      </c>
      <c r="K1306">
        <v>851.61910638160543</v>
      </c>
      <c r="L1306">
        <v>12.498488673174768</v>
      </c>
      <c r="M1306">
        <v>0.41000099783985799</v>
      </c>
    </row>
    <row r="1307" spans="1:13" x14ac:dyDescent="0.2">
      <c r="A1307">
        <v>1305</v>
      </c>
      <c r="B1307">
        <v>600</v>
      </c>
      <c r="C1307">
        <v>77.583333333333485</v>
      </c>
      <c r="D1307">
        <v>28</v>
      </c>
      <c r="E1307">
        <v>122.8472445910173</v>
      </c>
      <c r="F1307">
        <v>33.187822028323829</v>
      </c>
      <c r="G1307">
        <v>589.31318231883483</v>
      </c>
      <c r="H1307">
        <v>7.5958734563114971</v>
      </c>
      <c r="I1307">
        <v>2.9802498132283932</v>
      </c>
      <c r="J1307">
        <v>5.5549856723735189</v>
      </c>
      <c r="K1307">
        <v>599.3022561221353</v>
      </c>
      <c r="L1307">
        <v>8.4834262190006502</v>
      </c>
      <c r="M1307">
        <v>0.41000070368625285</v>
      </c>
    </row>
    <row r="1308" spans="1:13" x14ac:dyDescent="0.2">
      <c r="A1308">
        <v>1306</v>
      </c>
      <c r="B1308">
        <v>600</v>
      </c>
      <c r="C1308">
        <v>78.250000000000199</v>
      </c>
      <c r="D1308">
        <v>94</v>
      </c>
      <c r="E1308">
        <v>82.878774235462913</v>
      </c>
      <c r="F1308">
        <v>50.711256749329799</v>
      </c>
      <c r="G1308">
        <v>726.72577140289081</v>
      </c>
      <c r="H1308">
        <v>9.2872303054682295</v>
      </c>
      <c r="I1308">
        <v>4.162608939089699</v>
      </c>
      <c r="J1308">
        <v>7.7588237448083843</v>
      </c>
      <c r="K1308">
        <v>739.04394899572446</v>
      </c>
      <c r="L1308">
        <v>10.461925216640113</v>
      </c>
      <c r="M1308">
        <v>0.41000063198642472</v>
      </c>
    </row>
    <row r="1309" spans="1:13" x14ac:dyDescent="0.2">
      <c r="A1309">
        <v>1307</v>
      </c>
      <c r="B1309">
        <v>600</v>
      </c>
      <c r="C1309">
        <v>77.333333333333499</v>
      </c>
      <c r="D1309">
        <v>99</v>
      </c>
      <c r="E1309">
        <v>81.040169838983644</v>
      </c>
      <c r="F1309">
        <v>51.06528510790482</v>
      </c>
      <c r="G1309">
        <v>722.9110704892289</v>
      </c>
      <c r="H1309">
        <v>9.3479879804641488</v>
      </c>
      <c r="I1309">
        <v>4.0991069102963671</v>
      </c>
      <c r="J1309">
        <v>7.6404602242243564</v>
      </c>
      <c r="K1309">
        <v>735.16471337701682</v>
      </c>
      <c r="L1309">
        <v>10.262300558777961</v>
      </c>
      <c r="M1309">
        <v>0.41000073262344178</v>
      </c>
    </row>
    <row r="1310" spans="1:13" x14ac:dyDescent="0.2">
      <c r="A1310">
        <v>1308</v>
      </c>
      <c r="B1310">
        <v>600</v>
      </c>
      <c r="C1310">
        <v>77.666666666666728</v>
      </c>
      <c r="D1310">
        <v>100</v>
      </c>
      <c r="E1310">
        <v>83.596436493668079</v>
      </c>
      <c r="F1310">
        <v>54.886484034655702</v>
      </c>
      <c r="G1310">
        <v>790.26209770973355</v>
      </c>
      <c r="H1310">
        <v>10.175048468365659</v>
      </c>
      <c r="I1310">
        <v>4.3761401222256655</v>
      </c>
      <c r="J1310">
        <v>8.1568315418931316</v>
      </c>
      <c r="K1310">
        <v>803.65731627547189</v>
      </c>
      <c r="L1310">
        <v>10.99675274948213</v>
      </c>
      <c r="M1310">
        <v>0.41000069429678165</v>
      </c>
    </row>
    <row r="1311" spans="1:13" x14ac:dyDescent="0.2">
      <c r="A1311">
        <v>1309</v>
      </c>
      <c r="B1311">
        <v>600</v>
      </c>
      <c r="C1311">
        <v>78.4166666666667</v>
      </c>
      <c r="D1311">
        <v>99</v>
      </c>
      <c r="E1311">
        <v>82.157166941902418</v>
      </c>
      <c r="F1311">
        <v>52.482677802081334</v>
      </c>
      <c r="G1311">
        <v>748.53737415370722</v>
      </c>
      <c r="H1311">
        <v>9.5456413282088022</v>
      </c>
      <c r="I1311">
        <v>4.2147459775874232</v>
      </c>
      <c r="J1311">
        <v>7.8560036860902578</v>
      </c>
      <c r="K1311">
        <v>761.22524207361892</v>
      </c>
      <c r="L1311">
        <v>10.456322458644118</v>
      </c>
      <c r="M1311">
        <v>0.41000061523342229</v>
      </c>
    </row>
    <row r="1312" spans="1:13" x14ac:dyDescent="0.2">
      <c r="A1312">
        <v>1310</v>
      </c>
      <c r="B1312">
        <v>600</v>
      </c>
      <c r="C1312">
        <v>78.083333333333456</v>
      </c>
      <c r="D1312">
        <v>100</v>
      </c>
      <c r="E1312">
        <v>76.082474146913555</v>
      </c>
      <c r="F1312">
        <v>45.463109406641962</v>
      </c>
      <c r="G1312">
        <v>621.84904437656121</v>
      </c>
      <c r="H1312">
        <v>7.9639151894543474</v>
      </c>
      <c r="I1312">
        <v>3.7917121209770657</v>
      </c>
      <c r="J1312">
        <v>7.0674969636105596</v>
      </c>
      <c r="K1312">
        <v>632.38955452620939</v>
      </c>
      <c r="L1312">
        <v>9.4078193870589359</v>
      </c>
      <c r="M1312">
        <v>0.41000064919561674</v>
      </c>
    </row>
    <row r="1313" spans="1:13" x14ac:dyDescent="0.2">
      <c r="A1313">
        <v>1311</v>
      </c>
      <c r="B1313">
        <v>600</v>
      </c>
      <c r="C1313">
        <v>76.916666666666771</v>
      </c>
      <c r="D1313">
        <v>99</v>
      </c>
      <c r="E1313">
        <v>76.301277103260688</v>
      </c>
      <c r="F1313">
        <v>45.26772721241192</v>
      </c>
      <c r="G1313">
        <v>620.14574165124714</v>
      </c>
      <c r="H1313">
        <v>8.0625665220097034</v>
      </c>
      <c r="I1313">
        <v>3.7878858848434089</v>
      </c>
      <c r="J1313">
        <v>7.0603651162039291</v>
      </c>
      <c r="K1313">
        <v>630.6575239387621</v>
      </c>
      <c r="L1313">
        <v>9.579119234634808</v>
      </c>
      <c r="M1313">
        <v>0.41000078352053626</v>
      </c>
    </row>
    <row r="1314" spans="1:13" x14ac:dyDescent="0.2">
      <c r="A1314">
        <v>1312</v>
      </c>
      <c r="B1314">
        <v>600</v>
      </c>
      <c r="C1314">
        <v>76.666666666666771</v>
      </c>
      <c r="D1314">
        <v>47</v>
      </c>
      <c r="E1314">
        <v>107.2157870224267</v>
      </c>
      <c r="F1314">
        <v>42.433144384765527</v>
      </c>
      <c r="G1314">
        <v>699.64401977608327</v>
      </c>
      <c r="H1314">
        <v>9.1257915622967261</v>
      </c>
      <c r="I1314">
        <v>3.7547460070569607</v>
      </c>
      <c r="J1314">
        <v>6.9985946077482959</v>
      </c>
      <c r="K1314">
        <v>711.50337672526769</v>
      </c>
      <c r="L1314">
        <v>10.200834811070257</v>
      </c>
      <c r="M1314">
        <v>0.41000081574069358</v>
      </c>
    </row>
    <row r="1315" spans="1:13" x14ac:dyDescent="0.2">
      <c r="A1315">
        <v>1313</v>
      </c>
      <c r="B1315">
        <v>600</v>
      </c>
      <c r="C1315">
        <v>84.666666666666316</v>
      </c>
      <c r="D1315">
        <v>7</v>
      </c>
      <c r="E1315">
        <v>287.78414828014712</v>
      </c>
      <c r="F1315">
        <v>45.532516988379832</v>
      </c>
      <c r="G1315">
        <v>1285.4813890008011</v>
      </c>
      <c r="H1315">
        <v>15.182851051190626</v>
      </c>
      <c r="I1315">
        <v>4.3451899839800072</v>
      </c>
      <c r="J1315">
        <v>8.099142561006536</v>
      </c>
      <c r="K1315">
        <v>1307.2697069013389</v>
      </c>
      <c r="L1315">
        <v>18.953617404265248</v>
      </c>
      <c r="M1315">
        <v>0.41000022464477509</v>
      </c>
    </row>
    <row r="1316" spans="1:13" x14ac:dyDescent="0.2">
      <c r="A1316">
        <v>1314</v>
      </c>
      <c r="B1316">
        <v>600</v>
      </c>
      <c r="C1316">
        <v>79.083333333333414</v>
      </c>
      <c r="D1316">
        <v>89</v>
      </c>
      <c r="E1316">
        <v>82.670945242232563</v>
      </c>
      <c r="F1316">
        <v>47.773349813075185</v>
      </c>
      <c r="G1316">
        <v>683.68805380488243</v>
      </c>
      <c r="H1316">
        <v>8.6451597952145214</v>
      </c>
      <c r="I1316">
        <v>4.0583197628863843</v>
      </c>
      <c r="J1316">
        <v>7.5644357183343596</v>
      </c>
      <c r="K1316">
        <v>695.27663805999941</v>
      </c>
      <c r="L1316">
        <v>10.268402397705144</v>
      </c>
      <c r="M1316">
        <v>0.41000055254620849</v>
      </c>
    </row>
    <row r="1317" spans="1:13" x14ac:dyDescent="0.2">
      <c r="A1317">
        <v>1315</v>
      </c>
      <c r="B1317">
        <v>600</v>
      </c>
      <c r="C1317">
        <v>77.916666666666728</v>
      </c>
      <c r="D1317">
        <v>100</v>
      </c>
      <c r="E1317">
        <v>80.555570744494645</v>
      </c>
      <c r="F1317">
        <v>50.966057446174048</v>
      </c>
      <c r="G1317">
        <v>719.15315087687259</v>
      </c>
      <c r="H1317">
        <v>9.229773059382314</v>
      </c>
      <c r="I1317">
        <v>4.24027817029347</v>
      </c>
      <c r="J1317">
        <v>7.9035939800437456</v>
      </c>
      <c r="K1317">
        <v>731.34301396498461</v>
      </c>
      <c r="L1317">
        <v>10.777351380720235</v>
      </c>
      <c r="M1317">
        <v>0.41000066687342057</v>
      </c>
    </row>
    <row r="1318" spans="1:13" x14ac:dyDescent="0.2">
      <c r="A1318">
        <v>1316</v>
      </c>
      <c r="B1318">
        <v>600</v>
      </c>
      <c r="C1318">
        <v>75.916666666666814</v>
      </c>
      <c r="D1318">
        <v>100</v>
      </c>
      <c r="E1318">
        <v>78.36898045254911</v>
      </c>
      <c r="F1318">
        <v>48.236776202623474</v>
      </c>
      <c r="G1318">
        <v>670.51503199453578</v>
      </c>
      <c r="H1318">
        <v>8.8322506958665361</v>
      </c>
      <c r="I1318">
        <v>4.0327695472028164</v>
      </c>
      <c r="J1318">
        <v>7.5168118307601413</v>
      </c>
      <c r="K1318">
        <v>681.88075748554843</v>
      </c>
      <c r="L1318">
        <v>10.403034151040863</v>
      </c>
      <c r="M1318">
        <v>0.41000092057114862</v>
      </c>
    </row>
    <row r="1319" spans="1:13" x14ac:dyDescent="0.2">
      <c r="A1319">
        <v>1317</v>
      </c>
      <c r="B1319">
        <v>600</v>
      </c>
      <c r="C1319">
        <v>75.500000000000313</v>
      </c>
      <c r="D1319">
        <v>100</v>
      </c>
      <c r="E1319">
        <v>68.577405934879224</v>
      </c>
      <c r="F1319">
        <v>36.936180816905242</v>
      </c>
      <c r="G1319">
        <v>477.4299501487763</v>
      </c>
      <c r="H1319">
        <v>6.3235754986592623</v>
      </c>
      <c r="I1319">
        <v>3.0509990758061583</v>
      </c>
      <c r="J1319">
        <v>5.6868575504308625</v>
      </c>
      <c r="K1319">
        <v>485.52279338779101</v>
      </c>
      <c r="L1319">
        <v>7.4275810306247534</v>
      </c>
      <c r="M1319">
        <v>0.41000098452541767</v>
      </c>
    </row>
    <row r="1320" spans="1:13" x14ac:dyDescent="0.2">
      <c r="A1320">
        <v>1318</v>
      </c>
      <c r="B1320">
        <v>600</v>
      </c>
      <c r="C1320">
        <v>77.166666666666757</v>
      </c>
      <c r="D1320">
        <v>45</v>
      </c>
      <c r="E1320">
        <v>104.34482980421456</v>
      </c>
      <c r="F1320">
        <v>38.48081532144716</v>
      </c>
      <c r="G1320">
        <v>625.166080703229</v>
      </c>
      <c r="H1320">
        <v>8.1015042855709929</v>
      </c>
      <c r="I1320">
        <v>3.4525380126357512</v>
      </c>
      <c r="J1320">
        <v>6.4352991847823873</v>
      </c>
      <c r="K1320">
        <v>635.76292691518336</v>
      </c>
      <c r="L1320">
        <v>9.3879994351862006</v>
      </c>
      <c r="M1320">
        <v>0.41000075257301194</v>
      </c>
    </row>
    <row r="1321" spans="1:13" x14ac:dyDescent="0.2">
      <c r="A1321">
        <v>1319</v>
      </c>
      <c r="B1321">
        <v>600</v>
      </c>
      <c r="C1321">
        <v>77.333333333333499</v>
      </c>
      <c r="D1321">
        <v>33</v>
      </c>
      <c r="E1321">
        <v>111.49190895785632</v>
      </c>
      <c r="F1321">
        <v>32.217402599330356</v>
      </c>
      <c r="G1321">
        <v>542.64276337364538</v>
      </c>
      <c r="H1321">
        <v>7.0169322850040201</v>
      </c>
      <c r="I1321">
        <v>2.9731526030512421</v>
      </c>
      <c r="J1321">
        <v>5.5417569488373566</v>
      </c>
      <c r="K1321">
        <v>551.84078358590068</v>
      </c>
      <c r="L1321">
        <v>8.1434749625988392</v>
      </c>
      <c r="M1321">
        <v>0.41000073262344178</v>
      </c>
    </row>
    <row r="1322" spans="1:13" x14ac:dyDescent="0.2">
      <c r="A1322">
        <v>1320</v>
      </c>
      <c r="B1322">
        <v>600</v>
      </c>
      <c r="C1322">
        <v>74.166666666666885</v>
      </c>
      <c r="D1322">
        <v>8</v>
      </c>
      <c r="E1322">
        <v>164.9947056196248</v>
      </c>
      <c r="F1322">
        <v>17.104874252500007</v>
      </c>
      <c r="G1322">
        <v>356.66909372230344</v>
      </c>
      <c r="H1322">
        <v>4.8090214883905942</v>
      </c>
      <c r="I1322">
        <v>2.0464373683620143</v>
      </c>
      <c r="J1322">
        <v>3.8144219354371183</v>
      </c>
      <c r="K1322">
        <v>362.71508298227144</v>
      </c>
      <c r="L1322">
        <v>6.7049260923827934</v>
      </c>
      <c r="M1322">
        <v>0.41000122058932448</v>
      </c>
    </row>
    <row r="1323" spans="1:13" x14ac:dyDescent="0.2">
      <c r="A1323">
        <v>1321</v>
      </c>
      <c r="B1323">
        <v>600</v>
      </c>
      <c r="C1323">
        <v>77.166666666666757</v>
      </c>
      <c r="D1323">
        <v>89</v>
      </c>
      <c r="E1323">
        <v>80.462117565751882</v>
      </c>
      <c r="F1323">
        <v>45.254607642705999</v>
      </c>
      <c r="G1323">
        <v>638.15840603438039</v>
      </c>
      <c r="H1323">
        <v>8.2698713524973613</v>
      </c>
      <c r="I1323">
        <v>3.8378579086386857</v>
      </c>
      <c r="J1323">
        <v>7.1535096153563575</v>
      </c>
      <c r="K1323">
        <v>648.97547800348877</v>
      </c>
      <c r="L1323">
        <v>9.6988714621436607</v>
      </c>
      <c r="M1323">
        <v>0.41000075257301194</v>
      </c>
    </row>
    <row r="1324" spans="1:13" x14ac:dyDescent="0.2">
      <c r="A1324">
        <v>1322</v>
      </c>
      <c r="B1324">
        <v>600</v>
      </c>
      <c r="C1324">
        <v>76.50000000000027</v>
      </c>
      <c r="D1324">
        <v>100</v>
      </c>
      <c r="E1324">
        <v>70.98841492849192</v>
      </c>
      <c r="F1324">
        <v>39.579002041661639</v>
      </c>
      <c r="G1324">
        <v>521.31067695587933</v>
      </c>
      <c r="H1324">
        <v>6.8145186530180064</v>
      </c>
      <c r="I1324">
        <v>3.2195436004098799</v>
      </c>
      <c r="J1324">
        <v>6.0010132346875658</v>
      </c>
      <c r="K1324">
        <v>530.1472040885958</v>
      </c>
      <c r="L1324">
        <v>7.8192521933470838</v>
      </c>
      <c r="M1324">
        <v>0.41000083795357306</v>
      </c>
    </row>
    <row r="1325" spans="1:13" x14ac:dyDescent="0.2">
      <c r="A1325">
        <v>1323</v>
      </c>
      <c r="B1325">
        <v>600</v>
      </c>
      <c r="C1325">
        <v>76.250000000000284</v>
      </c>
      <c r="D1325">
        <v>99</v>
      </c>
      <c r="E1325">
        <v>71.69710905886933</v>
      </c>
      <c r="F1325">
        <v>39.969467756233954</v>
      </c>
      <c r="G1325">
        <v>529.30993533633193</v>
      </c>
      <c r="H1325">
        <v>6.9417696437551468</v>
      </c>
      <c r="I1325">
        <v>3.2629088606188597</v>
      </c>
      <c r="J1325">
        <v>6.0818431698394404</v>
      </c>
      <c r="K1325">
        <v>538.28208611123159</v>
      </c>
      <c r="L1325">
        <v>8.0445460805766213</v>
      </c>
      <c r="M1325">
        <v>0.4100008724121415</v>
      </c>
    </row>
    <row r="1326" spans="1:13" x14ac:dyDescent="0.2">
      <c r="A1326">
        <v>1324</v>
      </c>
      <c r="B1326">
        <v>600</v>
      </c>
      <c r="C1326">
        <v>75.416666666666828</v>
      </c>
      <c r="D1326">
        <v>98</v>
      </c>
      <c r="E1326">
        <v>74.710897606547249</v>
      </c>
      <c r="F1326">
        <v>42.961938147234179</v>
      </c>
      <c r="G1326">
        <v>581.84317987138058</v>
      </c>
      <c r="H1326">
        <v>7.7150476889022679</v>
      </c>
      <c r="I1326">
        <v>3.4398630419216518</v>
      </c>
      <c r="J1326">
        <v>6.4116738898819223</v>
      </c>
      <c r="K1326">
        <v>591.70592940777783</v>
      </c>
      <c r="L1326">
        <v>8.582351555731714</v>
      </c>
      <c r="M1326">
        <v>0.41000099783985799</v>
      </c>
    </row>
    <row r="1327" spans="1:13" x14ac:dyDescent="0.2">
      <c r="A1327">
        <v>1325</v>
      </c>
      <c r="B1327">
        <v>600</v>
      </c>
      <c r="C1327">
        <v>77.916666666666728</v>
      </c>
      <c r="D1327">
        <v>48</v>
      </c>
      <c r="E1327">
        <v>105.9076999952818</v>
      </c>
      <c r="F1327">
        <v>42.284986065990879</v>
      </c>
      <c r="G1327">
        <v>692.55506091809309</v>
      </c>
      <c r="H1327">
        <v>8.8884071989487818</v>
      </c>
      <c r="I1327">
        <v>3.9837858357486229</v>
      </c>
      <c r="J1327">
        <v>7.4255094794941714</v>
      </c>
      <c r="K1327">
        <v>704.29407834891015</v>
      </c>
      <c r="L1327">
        <v>10.970692078606708</v>
      </c>
      <c r="M1327">
        <v>0.41000066687342057</v>
      </c>
    </row>
    <row r="1328" spans="1:13" x14ac:dyDescent="0.2">
      <c r="A1328">
        <v>1326</v>
      </c>
      <c r="B1328">
        <v>600</v>
      </c>
      <c r="C1328">
        <v>76.583333333333528</v>
      </c>
      <c r="D1328">
        <v>7</v>
      </c>
      <c r="E1328">
        <v>244.91155566392305</v>
      </c>
      <c r="F1328">
        <v>32.976645472584238</v>
      </c>
      <c r="G1328">
        <v>852.6873046547164</v>
      </c>
      <c r="H1328">
        <v>11.134110615730762</v>
      </c>
      <c r="I1328">
        <v>3.6938233019501134</v>
      </c>
      <c r="J1328">
        <v>6.8850387734391676</v>
      </c>
      <c r="K1328">
        <v>867.1408469848617</v>
      </c>
      <c r="L1328">
        <v>15.018357045669296</v>
      </c>
      <c r="M1328">
        <v>0.41000082677253757</v>
      </c>
    </row>
    <row r="1329" spans="1:13" x14ac:dyDescent="0.2">
      <c r="A1329">
        <v>1327</v>
      </c>
      <c r="B1329">
        <v>600</v>
      </c>
      <c r="C1329">
        <v>75.000000000000341</v>
      </c>
      <c r="D1329">
        <v>100</v>
      </c>
      <c r="E1329">
        <v>74.222297799493035</v>
      </c>
      <c r="F1329">
        <v>43.267188121953154</v>
      </c>
      <c r="G1329">
        <v>583.88665402141191</v>
      </c>
      <c r="H1329">
        <v>7.7851553869521233</v>
      </c>
      <c r="I1329">
        <v>3.626060362314496</v>
      </c>
      <c r="J1329">
        <v>6.758733200958984</v>
      </c>
      <c r="K1329">
        <v>593.78411199455513</v>
      </c>
      <c r="L1329">
        <v>9.3006196145808033</v>
      </c>
      <c r="M1329">
        <v>0.41000106716216822</v>
      </c>
    </row>
    <row r="1330" spans="1:13" x14ac:dyDescent="0.2">
      <c r="A1330">
        <v>1328</v>
      </c>
      <c r="B1330">
        <v>600</v>
      </c>
      <c r="C1330">
        <v>75.58333333333357</v>
      </c>
      <c r="D1330">
        <v>99</v>
      </c>
      <c r="E1330">
        <v>74.062745355449749</v>
      </c>
      <c r="F1330">
        <v>42.650555188496568</v>
      </c>
      <c r="G1330">
        <v>574.89107382284681</v>
      </c>
      <c r="H1330">
        <v>7.6060561034996033</v>
      </c>
      <c r="I1330">
        <v>3.3585155618789062</v>
      </c>
      <c r="J1330">
        <v>6.2600476456270373</v>
      </c>
      <c r="K1330">
        <v>584.63595288547219</v>
      </c>
      <c r="L1330">
        <v>8.3644608569842163</v>
      </c>
      <c r="M1330">
        <v>0.41000097138863545</v>
      </c>
    </row>
    <row r="1331" spans="1:13" x14ac:dyDescent="0.2">
      <c r="A1331">
        <v>1329</v>
      </c>
      <c r="B1331">
        <v>600</v>
      </c>
      <c r="C1331">
        <v>79.500000000000142</v>
      </c>
      <c r="D1331">
        <v>100</v>
      </c>
      <c r="E1331">
        <v>85.706473837833116</v>
      </c>
      <c r="F1331">
        <v>57.692204802224211</v>
      </c>
      <c r="G1331">
        <v>842.01505450288494</v>
      </c>
      <c r="H1331">
        <v>10.591384333369604</v>
      </c>
      <c r="I1331">
        <v>4.6096139954282442</v>
      </c>
      <c r="J1331">
        <v>8.5920111750759443</v>
      </c>
      <c r="K1331">
        <v>856.28724594098526</v>
      </c>
      <c r="L1331">
        <v>11.584578598348738</v>
      </c>
      <c r="M1331">
        <v>0.41000051665308856</v>
      </c>
    </row>
    <row r="1332" spans="1:13" x14ac:dyDescent="0.2">
      <c r="A1332">
        <v>1330</v>
      </c>
      <c r="B1332">
        <v>600</v>
      </c>
      <c r="C1332">
        <v>75.58333333333357</v>
      </c>
      <c r="D1332">
        <v>17</v>
      </c>
      <c r="E1332">
        <v>173.57938562247077</v>
      </c>
      <c r="F1332">
        <v>40.228616448510131</v>
      </c>
      <c r="G1332">
        <v>862.34212009293685</v>
      </c>
      <c r="H1332">
        <v>11.409157046433528</v>
      </c>
      <c r="I1332">
        <v>3.7975446043381567</v>
      </c>
      <c r="J1332">
        <v>7.0783683212267601</v>
      </c>
      <c r="K1332">
        <v>876.95953207505988</v>
      </c>
      <c r="L1332">
        <v>12.698832678560731</v>
      </c>
      <c r="M1332">
        <v>0.41000097138863545</v>
      </c>
    </row>
    <row r="1333" spans="1:13" x14ac:dyDescent="0.2">
      <c r="A1333">
        <v>1331</v>
      </c>
      <c r="B1333">
        <v>600</v>
      </c>
      <c r="C1333">
        <v>75.416666666666828</v>
      </c>
      <c r="D1333">
        <v>88</v>
      </c>
      <c r="E1333">
        <v>73.45818218943954</v>
      </c>
      <c r="F1333">
        <v>37.295197172778515</v>
      </c>
      <c r="G1333">
        <v>500.46629538948082</v>
      </c>
      <c r="H1333">
        <v>6.6360171764350895</v>
      </c>
      <c r="I1333">
        <v>3.0666721410173223</v>
      </c>
      <c r="J1333">
        <v>5.7160710922969651</v>
      </c>
      <c r="K1333">
        <v>508.94963573545874</v>
      </c>
      <c r="L1333">
        <v>7.6165850235606865</v>
      </c>
      <c r="M1333">
        <v>0.41000099783985799</v>
      </c>
    </row>
    <row r="1334" spans="1:13" x14ac:dyDescent="0.2">
      <c r="A1334">
        <v>1332</v>
      </c>
      <c r="B1334">
        <v>600</v>
      </c>
      <c r="C1334">
        <v>79.416666666666657</v>
      </c>
      <c r="D1334">
        <v>100</v>
      </c>
      <c r="E1334">
        <v>84.284493174853225</v>
      </c>
      <c r="F1334">
        <v>55.793709982668702</v>
      </c>
      <c r="G1334">
        <v>806.91946787737857</v>
      </c>
      <c r="H1334">
        <v>10.160580917658493</v>
      </c>
      <c r="I1334">
        <v>4.4382675747516664</v>
      </c>
      <c r="J1334">
        <v>8.272632944551102</v>
      </c>
      <c r="K1334">
        <v>820.59679732858137</v>
      </c>
      <c r="L1334">
        <v>11.07054066780538</v>
      </c>
      <c r="M1334">
        <v>0.41000052364015721</v>
      </c>
    </row>
    <row r="1335" spans="1:13" x14ac:dyDescent="0.2">
      <c r="A1335">
        <v>1333</v>
      </c>
      <c r="B1335">
        <v>600</v>
      </c>
      <c r="C1335">
        <v>76.50000000000027</v>
      </c>
      <c r="D1335">
        <v>100</v>
      </c>
      <c r="E1335">
        <v>74.230595565811001</v>
      </c>
      <c r="F1335">
        <v>43.27686287187327</v>
      </c>
      <c r="G1335">
        <v>584.05300379622804</v>
      </c>
      <c r="H1335">
        <v>7.6346797881859603</v>
      </c>
      <c r="I1335">
        <v>3.4846636522304308</v>
      </c>
      <c r="J1335">
        <v>6.4951792213055555</v>
      </c>
      <c r="K1335">
        <v>593.95305081833567</v>
      </c>
      <c r="L1335">
        <v>8.5672638167096622</v>
      </c>
      <c r="M1335">
        <v>0.41000083795357306</v>
      </c>
    </row>
    <row r="1336" spans="1:13" x14ac:dyDescent="0.2">
      <c r="A1336">
        <v>1334</v>
      </c>
      <c r="B1336">
        <v>600</v>
      </c>
      <c r="C1336">
        <v>76.50000000000027</v>
      </c>
      <c r="D1336">
        <v>100</v>
      </c>
      <c r="E1336">
        <v>72.532712892089407</v>
      </c>
      <c r="F1336">
        <v>41.319753704167056</v>
      </c>
      <c r="G1336">
        <v>550.65617218125362</v>
      </c>
      <c r="H1336">
        <v>7.1981198977941396</v>
      </c>
      <c r="I1336">
        <v>3.3221746973070347</v>
      </c>
      <c r="J1336">
        <v>6.1923107125946588</v>
      </c>
      <c r="K1336">
        <v>559.99012297368915</v>
      </c>
      <c r="L1336">
        <v>8.1165393501744525</v>
      </c>
      <c r="M1336">
        <v>0.41000083795357306</v>
      </c>
    </row>
    <row r="1337" spans="1:13" x14ac:dyDescent="0.2">
      <c r="A1337">
        <v>1335</v>
      </c>
      <c r="B1337">
        <v>600</v>
      </c>
      <c r="C1337">
        <v>77.666666666666728</v>
      </c>
      <c r="D1337">
        <v>100</v>
      </c>
      <c r="E1337">
        <v>84.54345432943596</v>
      </c>
      <c r="F1337">
        <v>56.137085118889743</v>
      </c>
      <c r="G1337">
        <v>813.24311333644891</v>
      </c>
      <c r="H1337">
        <v>10.470941373430664</v>
      </c>
      <c r="I1337">
        <v>4.5296936721587748</v>
      </c>
      <c r="J1337">
        <v>8.4430450552819654</v>
      </c>
      <c r="K1337">
        <v>827.02786814348565</v>
      </c>
      <c r="L1337">
        <v>11.418765119491392</v>
      </c>
      <c r="M1337">
        <v>0.41000069429678165</v>
      </c>
    </row>
    <row r="1338" spans="1:13" x14ac:dyDescent="0.2">
      <c r="A1338">
        <v>1336</v>
      </c>
      <c r="B1338">
        <v>600</v>
      </c>
      <c r="C1338">
        <v>76.916666666666771</v>
      </c>
      <c r="D1338">
        <v>19</v>
      </c>
      <c r="E1338">
        <v>163.39327669900601</v>
      </c>
      <c r="F1338">
        <v>39.839313555394654</v>
      </c>
      <c r="G1338">
        <v>826.32426553882613</v>
      </c>
      <c r="H1338">
        <v>10.743110711230662</v>
      </c>
      <c r="I1338">
        <v>4.1279754109268509</v>
      </c>
      <c r="J1338">
        <v>7.6942691722774477</v>
      </c>
      <c r="K1338">
        <v>840.33087752507697</v>
      </c>
      <c r="L1338">
        <v>13.801997135789716</v>
      </c>
      <c r="M1338">
        <v>0.41000078352053626</v>
      </c>
    </row>
    <row r="1339" spans="1:13" x14ac:dyDescent="0.2">
      <c r="A1339">
        <v>1337</v>
      </c>
      <c r="B1339">
        <v>600</v>
      </c>
      <c r="C1339">
        <v>77.583333333333485</v>
      </c>
      <c r="D1339">
        <v>88</v>
      </c>
      <c r="E1339">
        <v>90.209214243141645</v>
      </c>
      <c r="F1339">
        <v>56.243760915631697</v>
      </c>
      <c r="G1339">
        <v>844.09159895951336</v>
      </c>
      <c r="H1339">
        <v>10.879805786803589</v>
      </c>
      <c r="I1339">
        <v>4.4868391905413798</v>
      </c>
      <c r="J1339">
        <v>8.3631671771507534</v>
      </c>
      <c r="K1339">
        <v>858.39926003299456</v>
      </c>
      <c r="L1339">
        <v>11.513725107462436</v>
      </c>
      <c r="M1339">
        <v>0.41000070368625285</v>
      </c>
    </row>
    <row r="1340" spans="1:13" x14ac:dyDescent="0.2">
      <c r="A1340">
        <v>1338</v>
      </c>
      <c r="B1340">
        <v>600</v>
      </c>
      <c r="C1340">
        <v>80.583333333333357</v>
      </c>
      <c r="D1340">
        <v>100</v>
      </c>
      <c r="E1340">
        <v>88.536355264249636</v>
      </c>
      <c r="F1340">
        <v>61.564897476600855</v>
      </c>
      <c r="G1340">
        <v>914.57763187649164</v>
      </c>
      <c r="H1340">
        <v>11.349463890918196</v>
      </c>
      <c r="I1340">
        <v>4.8073720446108972</v>
      </c>
      <c r="J1340">
        <v>8.9606189088739931</v>
      </c>
      <c r="K1340">
        <v>930.07963162401279</v>
      </c>
      <c r="L1340">
        <v>12.243895009601976</v>
      </c>
      <c r="M1340">
        <v>0.4100004338685192</v>
      </c>
    </row>
    <row r="1341" spans="1:13" x14ac:dyDescent="0.2">
      <c r="A1341">
        <v>1339</v>
      </c>
      <c r="B1341">
        <v>600</v>
      </c>
      <c r="C1341">
        <v>77.416666666666742</v>
      </c>
      <c r="D1341">
        <v>99</v>
      </c>
      <c r="E1341">
        <v>72.284251198680522</v>
      </c>
      <c r="F1341">
        <v>40.626784355149418</v>
      </c>
      <c r="G1341">
        <v>540.41026531063505</v>
      </c>
      <c r="H1341">
        <v>6.9805416401804248</v>
      </c>
      <c r="I1341">
        <v>3.2936181044976709</v>
      </c>
      <c r="J1341">
        <v>6.1390831397906247</v>
      </c>
      <c r="K1341">
        <v>549.5704346477803</v>
      </c>
      <c r="L1341">
        <v>7.9518681605948531</v>
      </c>
      <c r="M1341">
        <v>0.4100007228478541</v>
      </c>
    </row>
    <row r="1342" spans="1:13" x14ac:dyDescent="0.2">
      <c r="A1342">
        <v>1340</v>
      </c>
      <c r="B1342">
        <v>600</v>
      </c>
      <c r="C1342">
        <v>76.250000000000284</v>
      </c>
      <c r="D1342">
        <v>100</v>
      </c>
      <c r="E1342">
        <v>77.671258964837861</v>
      </c>
      <c r="F1342">
        <v>47.381692581954397</v>
      </c>
      <c r="G1342">
        <v>655.42849019060566</v>
      </c>
      <c r="H1342">
        <v>8.595783477909551</v>
      </c>
      <c r="I1342">
        <v>3.8635725920343313</v>
      </c>
      <c r="J1342">
        <v>7.201440059709844</v>
      </c>
      <c r="K1342">
        <v>666.53843323828028</v>
      </c>
      <c r="L1342">
        <v>9.728891770354636</v>
      </c>
      <c r="M1342">
        <v>0.4100008724121415</v>
      </c>
    </row>
    <row r="1343" spans="1:13" x14ac:dyDescent="0.2">
      <c r="A1343">
        <v>1341</v>
      </c>
      <c r="B1343">
        <v>600</v>
      </c>
      <c r="C1343">
        <v>75.416666666666828</v>
      </c>
      <c r="D1343">
        <v>100</v>
      </c>
      <c r="E1343">
        <v>71.670573688059932</v>
      </c>
      <c r="F1343">
        <v>40.343320736586691</v>
      </c>
      <c r="G1343">
        <v>534.15298957322352</v>
      </c>
      <c r="H1343">
        <v>7.0826915744515677</v>
      </c>
      <c r="I1343">
        <v>3.3083172230838613</v>
      </c>
      <c r="J1343">
        <v>6.1664813105011396</v>
      </c>
      <c r="K1343">
        <v>543.20734877606412</v>
      </c>
      <c r="L1343">
        <v>8.1610894424159302</v>
      </c>
      <c r="M1343">
        <v>0.41000099783985799</v>
      </c>
    </row>
    <row r="1344" spans="1:13" x14ac:dyDescent="0.2">
      <c r="A1344">
        <v>1342</v>
      </c>
      <c r="B1344">
        <v>600</v>
      </c>
      <c r="C1344">
        <v>74.000000000000384</v>
      </c>
      <c r="D1344">
        <v>18</v>
      </c>
      <c r="E1344">
        <v>135.71003793398458</v>
      </c>
      <c r="F1344">
        <v>26.036723450789346</v>
      </c>
      <c r="G1344">
        <v>488.10103165867048</v>
      </c>
      <c r="H1344">
        <v>6.5959598872792968</v>
      </c>
      <c r="I1344">
        <v>2.748389932744939</v>
      </c>
      <c r="J1344">
        <v>5.1228144133176867</v>
      </c>
      <c r="K1344">
        <v>496.37498536143056</v>
      </c>
      <c r="L1344">
        <v>8.3772867513728606</v>
      </c>
      <c r="M1344">
        <v>0.41000125382636127</v>
      </c>
    </row>
    <row r="1345" spans="1:13" x14ac:dyDescent="0.2">
      <c r="A1345">
        <v>1343</v>
      </c>
      <c r="B1345">
        <v>600</v>
      </c>
      <c r="C1345">
        <v>75.083333333333584</v>
      </c>
      <c r="D1345">
        <v>89</v>
      </c>
      <c r="E1345">
        <v>74.339478902261902</v>
      </c>
      <c r="F1345">
        <v>38.629484531933166</v>
      </c>
      <c r="G1345">
        <v>521.74943037272851</v>
      </c>
      <c r="H1345">
        <v>6.9489380293814884</v>
      </c>
      <c r="I1345">
        <v>3.2765373676920428</v>
      </c>
      <c r="J1345">
        <v>6.1072457925294366</v>
      </c>
      <c r="K1345">
        <v>530.5935879621909</v>
      </c>
      <c r="L1345">
        <v>8.3626264946980697</v>
      </c>
      <c r="M1345">
        <v>0.41000105292274208</v>
      </c>
    </row>
    <row r="1346" spans="1:13" x14ac:dyDescent="0.2">
      <c r="A1346">
        <v>1344</v>
      </c>
      <c r="B1346">
        <v>600</v>
      </c>
      <c r="C1346">
        <v>76.583333333333528</v>
      </c>
      <c r="D1346">
        <v>100</v>
      </c>
      <c r="E1346">
        <v>77.783648171836489</v>
      </c>
      <c r="F1346">
        <v>47.518913058724706</v>
      </c>
      <c r="G1346">
        <v>657.84462147936779</v>
      </c>
      <c r="H1346">
        <v>8.5899188876522228</v>
      </c>
      <c r="I1346">
        <v>3.7891460764420537</v>
      </c>
      <c r="J1346">
        <v>7.0627140287829508</v>
      </c>
      <c r="K1346">
        <v>668.99546778762931</v>
      </c>
      <c r="L1346">
        <v>9.4353224149215915</v>
      </c>
      <c r="M1346">
        <v>0.41000082677253757</v>
      </c>
    </row>
    <row r="1347" spans="1:13" x14ac:dyDescent="0.2">
      <c r="A1347">
        <v>1345</v>
      </c>
      <c r="B1347">
        <v>600</v>
      </c>
      <c r="C1347">
        <v>76.916666666666771</v>
      </c>
      <c r="D1347">
        <v>100</v>
      </c>
      <c r="E1347">
        <v>78.846563286515519</v>
      </c>
      <c r="F1347">
        <v>48.826480200060104</v>
      </c>
      <c r="G1347">
        <v>680.96218014862393</v>
      </c>
      <c r="H1347">
        <v>8.8532461124414699</v>
      </c>
      <c r="I1347">
        <v>4.0976001064388496</v>
      </c>
      <c r="J1347">
        <v>7.6376516429428687</v>
      </c>
      <c r="K1347">
        <v>692.50483166259562</v>
      </c>
      <c r="L1347">
        <v>10.45495716823153</v>
      </c>
      <c r="M1347">
        <v>0.41000078352053626</v>
      </c>
    </row>
    <row r="1348" spans="1:13" x14ac:dyDescent="0.2">
      <c r="A1348">
        <v>1346</v>
      </c>
      <c r="B1348">
        <v>600</v>
      </c>
      <c r="C1348">
        <v>75.58333333333357</v>
      </c>
      <c r="D1348">
        <v>100</v>
      </c>
      <c r="E1348">
        <v>74.615496800760951</v>
      </c>
      <c r="F1348">
        <v>43.726825685283103</v>
      </c>
      <c r="G1348">
        <v>591.79022683853634</v>
      </c>
      <c r="H1348">
        <v>7.829639164346653</v>
      </c>
      <c r="I1348">
        <v>3.5042462078609962</v>
      </c>
      <c r="J1348">
        <v>6.5316797909804212</v>
      </c>
      <c r="K1348">
        <v>601.82156051821391</v>
      </c>
      <c r="L1348">
        <v>8.7458434704962098</v>
      </c>
      <c r="M1348">
        <v>0.41000097138863545</v>
      </c>
    </row>
    <row r="1349" spans="1:13" x14ac:dyDescent="0.2">
      <c r="A1349">
        <v>1347</v>
      </c>
      <c r="B1349">
        <v>600</v>
      </c>
      <c r="C1349">
        <v>79.166666666666671</v>
      </c>
      <c r="D1349">
        <v>48</v>
      </c>
      <c r="E1349">
        <v>120.31840631419124</v>
      </c>
      <c r="F1349">
        <v>54.575190503363025</v>
      </c>
      <c r="G1349">
        <v>958.16943982893542</v>
      </c>
      <c r="H1349">
        <v>12.103192924154971</v>
      </c>
      <c r="I1349">
        <v>4.8633555670551258</v>
      </c>
      <c r="J1349">
        <v>9.0649684381269804</v>
      </c>
      <c r="K1349">
        <v>974.41050020353282</v>
      </c>
      <c r="L1349">
        <v>14.190587832775238</v>
      </c>
      <c r="M1349">
        <v>0.4100005451734387</v>
      </c>
    </row>
    <row r="1350" spans="1:13" x14ac:dyDescent="0.2">
      <c r="A1350">
        <v>1348</v>
      </c>
      <c r="B1350">
        <v>600</v>
      </c>
      <c r="C1350">
        <v>76.166666666666799</v>
      </c>
      <c r="D1350">
        <v>8</v>
      </c>
      <c r="E1350">
        <v>200.17708875297444</v>
      </c>
      <c r="F1350">
        <v>25.177268191085631</v>
      </c>
      <c r="G1350">
        <v>583.28248987680195</v>
      </c>
      <c r="H1350">
        <v>7.6579757970695965</v>
      </c>
      <c r="I1350">
        <v>3.077411813203033</v>
      </c>
      <c r="J1350">
        <v>5.7360891206021112</v>
      </c>
      <c r="K1350">
        <v>593.1695227334551</v>
      </c>
      <c r="L1350">
        <v>11.317134903916095</v>
      </c>
      <c r="M1350">
        <v>0.41000088421039388</v>
      </c>
    </row>
    <row r="1351" spans="1:13" x14ac:dyDescent="0.2">
      <c r="A1351">
        <v>1349</v>
      </c>
      <c r="B1351">
        <v>600</v>
      </c>
      <c r="C1351">
        <v>78.083333333333456</v>
      </c>
      <c r="D1351">
        <v>90</v>
      </c>
      <c r="E1351">
        <v>79.690248801607225</v>
      </c>
      <c r="F1351">
        <v>44.889292060471547</v>
      </c>
      <c r="G1351">
        <v>629.69212013312176</v>
      </c>
      <c r="H1351">
        <v>8.0643601297731582</v>
      </c>
      <c r="I1351">
        <v>3.8338817567325392</v>
      </c>
      <c r="J1351">
        <v>7.146098335009393</v>
      </c>
      <c r="K1351">
        <v>640.36557254643367</v>
      </c>
      <c r="L1351">
        <v>9.6360740398980376</v>
      </c>
      <c r="M1351">
        <v>0.41000064919561674</v>
      </c>
    </row>
    <row r="1352" spans="1:13" x14ac:dyDescent="0.2">
      <c r="A1352">
        <v>1350</v>
      </c>
      <c r="B1352">
        <v>600</v>
      </c>
      <c r="C1352">
        <v>76.333333333333528</v>
      </c>
      <c r="D1352">
        <v>99</v>
      </c>
      <c r="E1352">
        <v>74.7794918507349</v>
      </c>
      <c r="F1352">
        <v>43.480056053325768</v>
      </c>
      <c r="G1352">
        <v>589.15473426368533</v>
      </c>
      <c r="H1352">
        <v>7.71818429166398</v>
      </c>
      <c r="I1352">
        <v>3.5376296160746001</v>
      </c>
      <c r="J1352">
        <v>6.5939042238109966</v>
      </c>
      <c r="K1352">
        <v>599.1412818336288</v>
      </c>
      <c r="L1352">
        <v>8.7676266430978913</v>
      </c>
      <c r="M1352">
        <v>0.41000086077131626</v>
      </c>
    </row>
    <row r="1353" spans="1:13" x14ac:dyDescent="0.2">
      <c r="A1353">
        <v>1351</v>
      </c>
      <c r="B1353">
        <v>600</v>
      </c>
      <c r="C1353">
        <v>76.166666666666799</v>
      </c>
      <c r="D1353">
        <v>100</v>
      </c>
      <c r="E1353">
        <v>78.815862588899151</v>
      </c>
      <c r="F1353">
        <v>48.788464207843411</v>
      </c>
      <c r="G1353">
        <v>680.28754465579925</v>
      </c>
      <c r="H1353">
        <v>8.9315651377128855</v>
      </c>
      <c r="I1353">
        <v>4.04585663569123</v>
      </c>
      <c r="J1353">
        <v>7.5412052855381733</v>
      </c>
      <c r="K1353">
        <v>691.81887882529304</v>
      </c>
      <c r="L1353">
        <v>10.286078263302937</v>
      </c>
      <c r="M1353">
        <v>0.41000088421039388</v>
      </c>
    </row>
    <row r="1354" spans="1:13" x14ac:dyDescent="0.2">
      <c r="A1354">
        <v>1352</v>
      </c>
      <c r="B1354">
        <v>600</v>
      </c>
      <c r="C1354">
        <v>76.000000000000298</v>
      </c>
      <c r="D1354">
        <v>99</v>
      </c>
      <c r="E1354">
        <v>68.946410501465252</v>
      </c>
      <c r="F1354">
        <v>36.961398703690648</v>
      </c>
      <c r="G1354">
        <v>479.15454036866032</v>
      </c>
      <c r="H1354">
        <v>6.3046650048507686</v>
      </c>
      <c r="I1354">
        <v>3.1251026430830273</v>
      </c>
      <c r="J1354">
        <v>5.8249816273681772</v>
      </c>
      <c r="K1354">
        <v>487.27655391272674</v>
      </c>
      <c r="L1354">
        <v>7.7574757528861067</v>
      </c>
      <c r="M1354">
        <v>0.41000090828772506</v>
      </c>
    </row>
    <row r="1355" spans="1:13" x14ac:dyDescent="0.2">
      <c r="A1355">
        <v>1353</v>
      </c>
      <c r="B1355">
        <v>600</v>
      </c>
      <c r="C1355">
        <v>82.166666666666529</v>
      </c>
      <c r="D1355">
        <v>18</v>
      </c>
      <c r="E1355">
        <v>209.29828471646192</v>
      </c>
      <c r="F1355">
        <v>61.928951154165382</v>
      </c>
      <c r="G1355">
        <v>1469.9586374022913</v>
      </c>
      <c r="H1355">
        <v>17.889963132685118</v>
      </c>
      <c r="I1355">
        <v>6.3253109968946433</v>
      </c>
      <c r="J1355">
        <v>11.789955259822261</v>
      </c>
      <c r="K1355">
        <v>1494.8740422387975</v>
      </c>
      <c r="L1355">
        <v>25.001170622834188</v>
      </c>
      <c r="M1355">
        <v>0.41000033613501985</v>
      </c>
    </row>
    <row r="1356" spans="1:13" x14ac:dyDescent="0.2">
      <c r="A1356">
        <v>1354</v>
      </c>
      <c r="B1356">
        <v>600</v>
      </c>
      <c r="C1356">
        <v>78.000000000000213</v>
      </c>
      <c r="D1356">
        <v>86</v>
      </c>
      <c r="E1356">
        <v>87.433660854763772</v>
      </c>
      <c r="F1356">
        <v>51.635175569166947</v>
      </c>
      <c r="G1356">
        <v>761.84762582041151</v>
      </c>
      <c r="H1356">
        <v>9.7672772541078139</v>
      </c>
      <c r="I1356">
        <v>4.265466470854725</v>
      </c>
      <c r="J1356">
        <v>7.9505432821150501</v>
      </c>
      <c r="K1356">
        <v>774.76116146752611</v>
      </c>
      <c r="L1356">
        <v>11.062107333282068</v>
      </c>
      <c r="M1356">
        <v>0.41000065797515273</v>
      </c>
    </row>
    <row r="1357" spans="1:13" x14ac:dyDescent="0.2">
      <c r="A1357">
        <v>1355</v>
      </c>
      <c r="B1357">
        <v>600</v>
      </c>
      <c r="C1357">
        <v>76.416666666666785</v>
      </c>
      <c r="D1357">
        <v>100</v>
      </c>
      <c r="E1357">
        <v>76.25666909329793</v>
      </c>
      <c r="F1357">
        <v>45.67152823088206</v>
      </c>
      <c r="G1357">
        <v>625.47827629543224</v>
      </c>
      <c r="H1357">
        <v>8.1851028522848157</v>
      </c>
      <c r="I1357">
        <v>3.6877841927094601</v>
      </c>
      <c r="J1357">
        <v>6.8737822790483856</v>
      </c>
      <c r="K1357">
        <v>636.08051862952982</v>
      </c>
      <c r="L1357">
        <v>9.1328398056518072</v>
      </c>
      <c r="M1357">
        <v>0.4100008492858177</v>
      </c>
    </row>
    <row r="1358" spans="1:13" x14ac:dyDescent="0.2">
      <c r="A1358">
        <v>1356</v>
      </c>
      <c r="B1358">
        <v>600</v>
      </c>
      <c r="C1358">
        <v>75.083333333333584</v>
      </c>
      <c r="D1358">
        <v>100</v>
      </c>
      <c r="E1358">
        <v>68.441623279283519</v>
      </c>
      <c r="F1358">
        <v>36.79005899928832</v>
      </c>
      <c r="G1358">
        <v>475.0280494993051</v>
      </c>
      <c r="H1358">
        <v>6.3266776847853974</v>
      </c>
      <c r="I1358">
        <v>3.155702479836032</v>
      </c>
      <c r="J1358">
        <v>5.8820176697782509</v>
      </c>
      <c r="K1358">
        <v>483.08023448431891</v>
      </c>
      <c r="L1358">
        <v>7.8723692519116861</v>
      </c>
      <c r="M1358">
        <v>0.41000105292274208</v>
      </c>
    </row>
    <row r="1359" spans="1:13" x14ac:dyDescent="0.2">
      <c r="A1359">
        <v>1357</v>
      </c>
      <c r="B1359">
        <v>600</v>
      </c>
      <c r="C1359">
        <v>76.083333333333542</v>
      </c>
      <c r="D1359">
        <v>50</v>
      </c>
      <c r="E1359">
        <v>107.02772726360828</v>
      </c>
      <c r="F1359">
        <v>44.983422210609923</v>
      </c>
      <c r="G1359">
        <v>740.98436811834767</v>
      </c>
      <c r="H1359">
        <v>9.7391154626726699</v>
      </c>
      <c r="I1359">
        <v>4.1982896304270181</v>
      </c>
      <c r="J1359">
        <v>7.8253301592302282</v>
      </c>
      <c r="K1359">
        <v>753.54456978591725</v>
      </c>
      <c r="L1359">
        <v>11.637928119044703</v>
      </c>
      <c r="M1359">
        <v>0.41000089616820251</v>
      </c>
    </row>
    <row r="1360" spans="1:13" x14ac:dyDescent="0.2">
      <c r="A1360">
        <v>1358</v>
      </c>
      <c r="B1360">
        <v>600</v>
      </c>
      <c r="C1360">
        <v>84.583333333333073</v>
      </c>
      <c r="D1360">
        <v>5</v>
      </c>
      <c r="E1360">
        <v>273.00971362412179</v>
      </c>
      <c r="F1360">
        <v>29.269552631051976</v>
      </c>
      <c r="G1360">
        <v>802.957769751981</v>
      </c>
      <c r="H1360">
        <v>9.4930967852451236</v>
      </c>
      <c r="I1360">
        <v>2.7116317839502071</v>
      </c>
      <c r="J1360">
        <v>5.0542996904943278</v>
      </c>
      <c r="K1360">
        <v>816.56753859250455</v>
      </c>
      <c r="L1360">
        <v>11.61605381388047</v>
      </c>
      <c r="M1360">
        <v>0.41000022768280681</v>
      </c>
    </row>
    <row r="1361" spans="1:13" x14ac:dyDescent="0.2">
      <c r="A1361">
        <v>1359</v>
      </c>
      <c r="B1361">
        <v>600</v>
      </c>
      <c r="C1361">
        <v>77.333333333333499</v>
      </c>
      <c r="D1361">
        <v>32</v>
      </c>
      <c r="E1361">
        <v>109.8970191043819</v>
      </c>
      <c r="F1361">
        <v>30.353703311760711</v>
      </c>
      <c r="G1361">
        <v>507.25548214200882</v>
      </c>
      <c r="H1361">
        <v>6.5593381311466521</v>
      </c>
      <c r="I1361">
        <v>2.6838615327795092</v>
      </c>
      <c r="J1361">
        <v>5.0025378057399976</v>
      </c>
      <c r="K1361">
        <v>515.8536732401675</v>
      </c>
      <c r="L1361">
        <v>7.3392230942548027</v>
      </c>
      <c r="M1361">
        <v>0.41000073262344178</v>
      </c>
    </row>
    <row r="1362" spans="1:13" x14ac:dyDescent="0.2">
      <c r="A1362">
        <v>1360</v>
      </c>
      <c r="B1362">
        <v>600</v>
      </c>
      <c r="C1362">
        <v>77.916666666666728</v>
      </c>
      <c r="D1362">
        <v>91</v>
      </c>
      <c r="E1362">
        <v>82.310973786141929</v>
      </c>
      <c r="F1362">
        <v>48.422449291733912</v>
      </c>
      <c r="G1362">
        <v>691.33201655433061</v>
      </c>
      <c r="H1362">
        <v>8.8727103728897969</v>
      </c>
      <c r="I1362">
        <v>4.0814330311973306</v>
      </c>
      <c r="J1362">
        <v>7.6075172995290403</v>
      </c>
      <c r="K1362">
        <v>703.0503030138284</v>
      </c>
      <c r="L1362">
        <v>10.436460707199791</v>
      </c>
      <c r="M1362">
        <v>0.41000066687342057</v>
      </c>
    </row>
    <row r="1363" spans="1:13" x14ac:dyDescent="0.2">
      <c r="A1363">
        <v>1361</v>
      </c>
      <c r="B1363">
        <v>600</v>
      </c>
      <c r="C1363">
        <v>77.166666666666757</v>
      </c>
      <c r="D1363">
        <v>100</v>
      </c>
      <c r="E1363">
        <v>79.861178762386274</v>
      </c>
      <c r="F1363">
        <v>50.09118590205599</v>
      </c>
      <c r="G1363">
        <v>703.48299111980089</v>
      </c>
      <c r="H1363">
        <v>9.1164102520924395</v>
      </c>
      <c r="I1363">
        <v>4.1352714284104914</v>
      </c>
      <c r="J1363">
        <v>7.7078684592926212</v>
      </c>
      <c r="K1363">
        <v>715.40734418328861</v>
      </c>
      <c r="L1363">
        <v>10.431802000561843</v>
      </c>
      <c r="M1363">
        <v>0.41000075257301194</v>
      </c>
    </row>
    <row r="1364" spans="1:13" x14ac:dyDescent="0.2">
      <c r="A1364">
        <v>1362</v>
      </c>
      <c r="B1364">
        <v>600</v>
      </c>
      <c r="C1364">
        <v>79.166666666666671</v>
      </c>
      <c r="D1364">
        <v>16</v>
      </c>
      <c r="E1364">
        <v>183.09944609281339</v>
      </c>
      <c r="F1364">
        <v>42.129269136350551</v>
      </c>
      <c r="G1364">
        <v>929.73616898173555</v>
      </c>
      <c r="H1364">
        <v>11.744035818716659</v>
      </c>
      <c r="I1364">
        <v>4.3332545746922735</v>
      </c>
      <c r="J1364">
        <v>8.0768957589790737</v>
      </c>
      <c r="K1364">
        <v>945.49528279314563</v>
      </c>
      <c r="L1364">
        <v>15.863963529545014</v>
      </c>
      <c r="M1364">
        <v>0.4100005451734387</v>
      </c>
    </row>
    <row r="1365" spans="1:13" x14ac:dyDescent="0.2">
      <c r="A1365">
        <v>1363</v>
      </c>
      <c r="B1365">
        <v>600</v>
      </c>
      <c r="C1365">
        <v>79.500000000000142</v>
      </c>
      <c r="D1365">
        <v>87</v>
      </c>
      <c r="E1365">
        <v>82.826157052267121</v>
      </c>
      <c r="F1365">
        <v>46.875310453243621</v>
      </c>
      <c r="G1365">
        <v>671.52192599810337</v>
      </c>
      <c r="H1365">
        <v>8.4468166792214117</v>
      </c>
      <c r="I1365">
        <v>3.8033911835557954</v>
      </c>
      <c r="J1365">
        <v>7.089265952573709</v>
      </c>
      <c r="K1365">
        <v>682.90425156517415</v>
      </c>
      <c r="L1365">
        <v>9.4515450171175779</v>
      </c>
      <c r="M1365">
        <v>0.41000051665308856</v>
      </c>
    </row>
    <row r="1366" spans="1:13" x14ac:dyDescent="0.2">
      <c r="A1366">
        <v>1364</v>
      </c>
      <c r="B1366">
        <v>600</v>
      </c>
      <c r="C1366">
        <v>77.500000000000227</v>
      </c>
      <c r="D1366">
        <v>100</v>
      </c>
      <c r="E1366">
        <v>77.545312088521612</v>
      </c>
      <c r="F1366">
        <v>47.22815476295149</v>
      </c>
      <c r="G1366">
        <v>652.72754014401301</v>
      </c>
      <c r="H1366">
        <v>8.4222908405678858</v>
      </c>
      <c r="I1366">
        <v>3.7959857428380346</v>
      </c>
      <c r="J1366">
        <v>7.0754627079926085</v>
      </c>
      <c r="K1366">
        <v>663.7915211937559</v>
      </c>
      <c r="L1366">
        <v>9.3413677728088818</v>
      </c>
      <c r="M1366">
        <v>0.41000071320270459</v>
      </c>
    </row>
    <row r="1367" spans="1:13" x14ac:dyDescent="0.2">
      <c r="A1367">
        <v>1365</v>
      </c>
      <c r="B1367">
        <v>600</v>
      </c>
      <c r="C1367">
        <v>84.416666666666345</v>
      </c>
      <c r="D1367">
        <v>15</v>
      </c>
      <c r="E1367">
        <v>211.08290506940105</v>
      </c>
      <c r="F1367">
        <v>52.491292384975615</v>
      </c>
      <c r="G1367">
        <v>1251.7201798910596</v>
      </c>
      <c r="H1367">
        <v>14.827879722302836</v>
      </c>
      <c r="I1367">
        <v>4.9618912834588054</v>
      </c>
      <c r="J1367">
        <v>9.2486324016007568</v>
      </c>
      <c r="K1367">
        <v>1272.9362807667585</v>
      </c>
      <c r="L1367">
        <v>19.205016736312903</v>
      </c>
      <c r="M1367">
        <v>0.41000023388268225</v>
      </c>
    </row>
    <row r="1368" spans="1:13" x14ac:dyDescent="0.2">
      <c r="A1368">
        <v>1366</v>
      </c>
      <c r="B1368">
        <v>600</v>
      </c>
      <c r="C1368">
        <v>80.9166666666666</v>
      </c>
      <c r="D1368">
        <v>34</v>
      </c>
      <c r="E1368">
        <v>135.00696475830031</v>
      </c>
      <c r="F1368">
        <v>48.672218883946641</v>
      </c>
      <c r="G1368">
        <v>909.86388636748097</v>
      </c>
      <c r="H1368">
        <v>11.244455856240762</v>
      </c>
      <c r="I1368">
        <v>4.3891097394357628</v>
      </c>
      <c r="J1368">
        <v>8.1810060380908904</v>
      </c>
      <c r="K1368">
        <v>925.28595300210736</v>
      </c>
      <c r="L1368">
        <v>14.036525148757708</v>
      </c>
      <c r="M1368">
        <v>0.41000041117100455</v>
      </c>
    </row>
    <row r="1369" spans="1:13" x14ac:dyDescent="0.2">
      <c r="A1369">
        <v>1367</v>
      </c>
      <c r="B1369">
        <v>600</v>
      </c>
      <c r="C1369">
        <v>75.500000000000313</v>
      </c>
      <c r="D1369">
        <v>40</v>
      </c>
      <c r="E1369">
        <v>100.22092655239494</v>
      </c>
      <c r="F1369">
        <v>31.55489211925088</v>
      </c>
      <c r="G1369">
        <v>501.50884855889461</v>
      </c>
      <c r="H1369">
        <v>6.642501305415796</v>
      </c>
      <c r="I1369">
        <v>2.8881177549816353</v>
      </c>
      <c r="J1369">
        <v>5.3832576980086388</v>
      </c>
      <c r="K1369">
        <v>510.00984958135081</v>
      </c>
      <c r="L1369">
        <v>7.7377085314076766</v>
      </c>
      <c r="M1369">
        <v>0.41000098452541767</v>
      </c>
    </row>
    <row r="1370" spans="1:13" x14ac:dyDescent="0.2">
      <c r="A1370">
        <v>1368</v>
      </c>
      <c r="B1370">
        <v>600</v>
      </c>
      <c r="C1370">
        <v>87.08333333333286</v>
      </c>
      <c r="D1370">
        <v>4</v>
      </c>
      <c r="E1370">
        <v>296.71911487183161</v>
      </c>
      <c r="F1370">
        <v>27.65928328078633</v>
      </c>
      <c r="G1370">
        <v>793.99541549108153</v>
      </c>
      <c r="H1370">
        <v>9.1176507042038555</v>
      </c>
      <c r="I1370">
        <v>2.3410673214249065</v>
      </c>
      <c r="J1370">
        <v>4.363592397809704</v>
      </c>
      <c r="K1370">
        <v>807.45317315288594</v>
      </c>
      <c r="L1370">
        <v>10.220972145832109</v>
      </c>
      <c r="M1370">
        <v>0.41000015216430868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0C32B6-FDB2-6746-AE76-579D5E5BE8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 - init data frm model c=1</vt:lpstr>
      <vt:lpstr>1_Py3PG2Output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2024-06-28T08:39:26Z</dcterms:created>
  <dcterms:modified xsi:type="dcterms:W3CDTF">2024-06-28T09:54:59Z</dcterms:modified>
</cp:coreProperties>
</file>