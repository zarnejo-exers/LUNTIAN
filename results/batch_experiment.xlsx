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min/Documents/GitHub/ITP_project/results/"/>
    </mc:Choice>
  </mc:AlternateContent>
  <xr:revisionPtr revIDLastSave="0" documentId="13_ncr:1_{10F7DD86-628A-B549-B1A8-96D661736A93}" xr6:coauthVersionLast="47" xr6:coauthVersionMax="47" xr10:uidLastSave="{00000000-0000-0000-0000-000000000000}"/>
  <bookViews>
    <workbookView xWindow="0" yWindow="0" windowWidth="28400" windowHeight="18000" xr2:uid="{00000000-000D-0000-FFFF-FFFF00000000}"/>
  </bookViews>
  <sheets>
    <sheet name="batch_experiment" sheetId="1" r:id="rId1"/>
    <sheet name="Sheet7" sheetId="8" r:id="rId2"/>
    <sheet name="Sheet4" sheetId="5" r:id="rId3"/>
    <sheet name="Sheet2" sheetId="3" r:id="rId4"/>
    <sheet name="Sheet3" sheetId="4" r:id="rId5"/>
    <sheet name="Sheet1" sheetId="2" r:id="rId6"/>
    <sheet name="Sheet5" sheetId="6" r:id="rId7"/>
  </sheets>
  <definedNames>
    <definedName name="_xlchart.v1.0" hidden="1">batch_experiment!$A$2:$A$33</definedName>
    <definedName name="_xlchart.v1.1" hidden="1">batch_experiment!$AA$1</definedName>
    <definedName name="_xlchart.v1.10" hidden="1">batch_experiment!$AF$1</definedName>
    <definedName name="_xlchart.v1.11" hidden="1">batch_experiment!$AF$2:$AF$33</definedName>
    <definedName name="_xlchart.v1.12" hidden="1">batch_experiment!$Y$1</definedName>
    <definedName name="_xlchart.v1.13" hidden="1">batch_experiment!$Y$2:$Y$33</definedName>
    <definedName name="_xlchart.v1.14" hidden="1">batch_experiment!$A$2:$A$33</definedName>
    <definedName name="_xlchart.v1.15" hidden="1">batch_experiment!$AA$1</definedName>
    <definedName name="_xlchart.v1.16" hidden="1">batch_experiment!$AA$2:$AA$33</definedName>
    <definedName name="_xlchart.v1.17" hidden="1">batch_experiment!$AF$1</definedName>
    <definedName name="_xlchart.v1.18" hidden="1">batch_experiment!$AF$2:$AF$33</definedName>
    <definedName name="_xlchart.v1.19" hidden="1">batch_experiment!$Y$1</definedName>
    <definedName name="_xlchart.v1.2" hidden="1">batch_experiment!$AA$2:$AA$33</definedName>
    <definedName name="_xlchart.v1.20" hidden="1">batch_experiment!$Y$2:$Y$33</definedName>
    <definedName name="_xlchart.v1.3" hidden="1">batch_experiment!$AF$1</definedName>
    <definedName name="_xlchart.v1.4" hidden="1">batch_experiment!$AF$2:$AF$33</definedName>
    <definedName name="_xlchart.v1.5" hidden="1">batch_experiment!$Y$1</definedName>
    <definedName name="_xlchart.v1.6" hidden="1">batch_experiment!$Y$2:$Y$33</definedName>
    <definedName name="_xlchart.v1.7" hidden="1">batch_experiment!$A$2:$A$33</definedName>
    <definedName name="_xlchart.v1.8" hidden="1">batch_experiment!$AA$1</definedName>
    <definedName name="_xlchart.v1.9" hidden="1">batch_experiment!$AA$2:$AA$33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" i="1" l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2" i="1"/>
  <c r="P3" i="1"/>
  <c r="V3" i="1" s="1"/>
  <c r="P4" i="1"/>
  <c r="V4" i="1" s="1"/>
  <c r="P5" i="1"/>
  <c r="V5" i="1" s="1"/>
  <c r="P6" i="1"/>
  <c r="V6" i="1" s="1"/>
  <c r="P7" i="1"/>
  <c r="V7" i="1" s="1"/>
  <c r="P8" i="1"/>
  <c r="V8" i="1" s="1"/>
  <c r="P9" i="1"/>
  <c r="V9" i="1" s="1"/>
  <c r="P10" i="1"/>
  <c r="V10" i="1" s="1"/>
  <c r="P11" i="1"/>
  <c r="V11" i="1" s="1"/>
  <c r="P12" i="1"/>
  <c r="V12" i="1" s="1"/>
  <c r="P13" i="1"/>
  <c r="V13" i="1" s="1"/>
  <c r="P14" i="1"/>
  <c r="V14" i="1" s="1"/>
  <c r="P15" i="1"/>
  <c r="V15" i="1" s="1"/>
  <c r="P16" i="1"/>
  <c r="V16" i="1" s="1"/>
  <c r="P17" i="1"/>
  <c r="V17" i="1" s="1"/>
  <c r="P18" i="1"/>
  <c r="V18" i="1" s="1"/>
  <c r="P19" i="1"/>
  <c r="V19" i="1" s="1"/>
  <c r="P20" i="1"/>
  <c r="V20" i="1" s="1"/>
  <c r="P21" i="1"/>
  <c r="V21" i="1" s="1"/>
  <c r="P22" i="1"/>
  <c r="V22" i="1" s="1"/>
  <c r="P23" i="1"/>
  <c r="V23" i="1" s="1"/>
  <c r="P24" i="1"/>
  <c r="V24" i="1" s="1"/>
  <c r="P25" i="1"/>
  <c r="V25" i="1" s="1"/>
  <c r="P26" i="1"/>
  <c r="V26" i="1" s="1"/>
  <c r="P27" i="1"/>
  <c r="V27" i="1" s="1"/>
  <c r="P28" i="1"/>
  <c r="V28" i="1" s="1"/>
  <c r="P29" i="1"/>
  <c r="V29" i="1" s="1"/>
  <c r="P30" i="1"/>
  <c r="V30" i="1" s="1"/>
  <c r="P31" i="1"/>
  <c r="V31" i="1" s="1"/>
  <c r="P32" i="1"/>
  <c r="V32" i="1" s="1"/>
  <c r="P33" i="1"/>
  <c r="V33" i="1" s="1"/>
  <c r="P2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2" i="1"/>
  <c r="Z18" i="8"/>
  <c r="Z19" i="8"/>
  <c r="Z20" i="8"/>
  <c r="Z21" i="8"/>
  <c r="Z22" i="8"/>
  <c r="Z23" i="8"/>
  <c r="Z24" i="8"/>
  <c r="Z25" i="8"/>
  <c r="Z26" i="8"/>
  <c r="Z27" i="8"/>
  <c r="Z28" i="8"/>
  <c r="Z17" i="8"/>
  <c r="AK4" i="8"/>
  <c r="AK12" i="8"/>
  <c r="AK11" i="8"/>
  <c r="AK9" i="8"/>
  <c r="AK10" i="8"/>
  <c r="AK5" i="8"/>
  <c r="AK6" i="8"/>
  <c r="AK7" i="8"/>
  <c r="AK2" i="8"/>
  <c r="AK8" i="8"/>
  <c r="AK3" i="8"/>
  <c r="AK13" i="8"/>
  <c r="M3" i="8"/>
  <c r="M4" i="8"/>
  <c r="M5" i="8"/>
  <c r="M6" i="8"/>
  <c r="M7" i="8"/>
  <c r="M8" i="8"/>
  <c r="M9" i="8"/>
  <c r="M10" i="8"/>
  <c r="M11" i="8"/>
  <c r="M12" i="8"/>
  <c r="M13" i="8"/>
  <c r="M14" i="8"/>
  <c r="M15" i="8"/>
  <c r="M16" i="8"/>
  <c r="M54" i="8"/>
  <c r="M17" i="8"/>
  <c r="M55" i="8"/>
  <c r="M18" i="8"/>
  <c r="M56" i="8"/>
  <c r="M19" i="8"/>
  <c r="M57" i="8"/>
  <c r="M20" i="8"/>
  <c r="M58" i="8"/>
  <c r="M21" i="8"/>
  <c r="M22" i="8"/>
  <c r="M23" i="8"/>
  <c r="M24" i="8"/>
  <c r="M25" i="8"/>
  <c r="M59" i="8"/>
  <c r="M26" i="8"/>
  <c r="M60" i="8"/>
  <c r="M27" i="8"/>
  <c r="M28" i="8"/>
  <c r="M29" i="8"/>
  <c r="M61" i="8"/>
  <c r="M30" i="8"/>
  <c r="M31" i="8"/>
  <c r="M32" i="8"/>
  <c r="M62" i="8"/>
  <c r="M33" i="8"/>
  <c r="M34" i="8"/>
  <c r="M35" i="8"/>
  <c r="M63" i="8"/>
  <c r="M36" i="8"/>
  <c r="M37" i="8"/>
  <c r="M38" i="8"/>
  <c r="M64" i="8"/>
  <c r="M39" i="8"/>
  <c r="M40" i="8"/>
  <c r="M41" i="8"/>
  <c r="M65" i="8"/>
  <c r="M42" i="8"/>
  <c r="M43" i="8"/>
  <c r="M44" i="8"/>
  <c r="M45" i="8"/>
  <c r="M46" i="8"/>
  <c r="M47" i="8"/>
  <c r="M48" i="8"/>
  <c r="M49" i="8"/>
  <c r="M50" i="8"/>
  <c r="M51" i="8"/>
  <c r="M52" i="8"/>
  <c r="M53" i="8"/>
  <c r="M2" i="8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2" i="2"/>
  <c r="U3" i="2"/>
  <c r="V3" i="2"/>
  <c r="U4" i="2"/>
  <c r="V4" i="2"/>
  <c r="U5" i="2"/>
  <c r="V5" i="2"/>
  <c r="U6" i="2"/>
  <c r="V6" i="2"/>
  <c r="U7" i="2"/>
  <c r="V7" i="2"/>
  <c r="U8" i="2"/>
  <c r="V8" i="2"/>
  <c r="U9" i="2"/>
  <c r="V9" i="2"/>
  <c r="U10" i="2"/>
  <c r="V10" i="2"/>
  <c r="U11" i="2"/>
  <c r="V11" i="2"/>
  <c r="U12" i="2"/>
  <c r="V12" i="2"/>
  <c r="U13" i="2"/>
  <c r="V13" i="2"/>
  <c r="U14" i="2"/>
  <c r="V14" i="2"/>
  <c r="U15" i="2"/>
  <c r="V15" i="2"/>
  <c r="U16" i="2"/>
  <c r="V16" i="2"/>
  <c r="U17" i="2"/>
  <c r="V17" i="2"/>
  <c r="U18" i="2"/>
  <c r="V18" i="2"/>
  <c r="U19" i="2"/>
  <c r="V19" i="2"/>
  <c r="U20" i="2"/>
  <c r="V20" i="2"/>
  <c r="U21" i="2"/>
  <c r="V21" i="2"/>
  <c r="U22" i="2"/>
  <c r="V22" i="2"/>
  <c r="U23" i="2"/>
  <c r="V23" i="2"/>
  <c r="U24" i="2"/>
  <c r="V24" i="2"/>
  <c r="U25" i="2"/>
  <c r="V25" i="2"/>
  <c r="U26" i="2"/>
  <c r="V26" i="2"/>
  <c r="U27" i="2"/>
  <c r="V27" i="2"/>
  <c r="U28" i="2"/>
  <c r="V28" i="2"/>
  <c r="U29" i="2"/>
  <c r="V29" i="2"/>
  <c r="U30" i="2"/>
  <c r="V30" i="2"/>
  <c r="U31" i="2"/>
  <c r="V31" i="2"/>
  <c r="U32" i="2"/>
  <c r="V32" i="2"/>
  <c r="U33" i="2"/>
  <c r="V33" i="2"/>
  <c r="U2" i="2"/>
  <c r="V2" i="2"/>
  <c r="V2" i="1" l="1"/>
</calcChain>
</file>

<file path=xl/sharedStrings.xml><?xml version="1.0" encoding="utf-8"?>
<sst xmlns="http://schemas.openxmlformats.org/spreadsheetml/2006/main" count="847" uniqueCount="294">
  <si>
    <t>cycle</t>
  </si>
  <si>
    <t>investment_rotation_years</t>
  </si>
  <si>
    <t>nursery_count</t>
  </si>
  <si>
    <t>police_count</t>
  </si>
  <si>
    <t>member_count</t>
  </si>
  <si>
    <t>investor_count</t>
  </si>
  <si>
    <t>exotic_price_per_bdft</t>
  </si>
  <si>
    <t>native_price_per_bdft</t>
  </si>
  <si>
    <t>investor_percent_earning_share</t>
  </si>
  <si>
    <t>length(trees where ((each.type = NATIVE) and (each.state = SEEDLING)))</t>
  </si>
  <si>
    <t>length(trees where ((each.type = NATIVE) and (each.state = SAPLING)))</t>
  </si>
  <si>
    <t>length(trees where ((each.type = NATIVE) and (each.state = POLE)))</t>
  </si>
  <si>
    <t>length(trees where ((each.type = NATIVE) and (each.state = ADULT)))</t>
  </si>
  <si>
    <t>length(trees where ((each.type = EXOTIC) and (each.state = SEEDLING)))</t>
  </si>
  <si>
    <t>length(trees where ((each.type = EXOTIC) and (each.state = SAPLING)))</t>
  </si>
  <si>
    <t>length(trees where ((each.type = EXOTIC) and (each.state = POLE)))</t>
  </si>
  <si>
    <t>length(trees where ((each.type = EXOTIC) and (each.state = ADULT)))</t>
  </si>
  <si>
    <t>management_running_cost</t>
  </si>
  <si>
    <t>ITP_running_earning</t>
  </si>
  <si>
    <t>net_running_earning</t>
  </si>
  <si>
    <t>m_partners_earning</t>
  </si>
  <si>
    <t>m_independent_earning</t>
  </si>
  <si>
    <t>investor_total_profit</t>
  </si>
  <si>
    <t>total_investment_cost</t>
  </si>
  <si>
    <t>total_investments</t>
  </si>
  <si>
    <t>inv_harvested_trees</t>
  </si>
  <si>
    <t>net_earning</t>
  </si>
  <si>
    <t>Native</t>
  </si>
  <si>
    <t>Exotic</t>
  </si>
  <si>
    <t>Total</t>
  </si>
  <si>
    <t>Anova: Single Factor</t>
  </si>
  <si>
    <t>SUMMARY</t>
  </si>
  <si>
    <t>Groups</t>
  </si>
  <si>
    <t>Count</t>
  </si>
  <si>
    <t>Sum</t>
  </si>
  <si>
    <t>Average</t>
  </si>
  <si>
    <t>Variance</t>
  </si>
  <si>
    <t>ANOVA</t>
  </si>
  <si>
    <t>Source of Variation</t>
  </si>
  <si>
    <t>SS</t>
  </si>
  <si>
    <t>df</t>
  </si>
  <si>
    <t>MS</t>
  </si>
  <si>
    <t>F</t>
  </si>
  <si>
    <t>P-value</t>
  </si>
  <si>
    <t>F crit</t>
  </si>
  <si>
    <t>Between Groups</t>
  </si>
  <si>
    <t>Within Groups</t>
  </si>
  <si>
    <t>Police/Member</t>
  </si>
  <si>
    <t>Anova: Two-Factor With Replication</t>
  </si>
  <si>
    <t>Sample</t>
  </si>
  <si>
    <t>Columns</t>
  </si>
  <si>
    <t>Interaction</t>
  </si>
  <si>
    <t>Within</t>
  </si>
  <si>
    <t>Police Count</t>
  </si>
  <si>
    <t>Member Count</t>
  </si>
  <si>
    <t>nursery\investor</t>
  </si>
  <si>
    <t>Nursery</t>
  </si>
  <si>
    <t>Investor</t>
  </si>
  <si>
    <t xml:space="preserve">Effect of police count or member count on independent earning. </t>
  </si>
  <si>
    <t>average partners earning</t>
  </si>
  <si>
    <t>average net earning</t>
  </si>
  <si>
    <t>Effect of nursery/investor count on university net earning</t>
  </si>
  <si>
    <t>Does nursery count have effect on population of trees?</t>
  </si>
  <si>
    <t>exotic / native price on university net earning</t>
  </si>
  <si>
    <t>exotic\native</t>
  </si>
  <si>
    <t>45.06 - 49.35</t>
  </si>
  <si>
    <t>90.12 - 98.7</t>
  </si>
  <si>
    <t>Effect of member/investor count on average parntners earning</t>
  </si>
  <si>
    <t>member\investor</t>
  </si>
  <si>
    <t>Member</t>
  </si>
  <si>
    <t xml:space="preserve">Member </t>
  </si>
  <si>
    <t>investor\price</t>
  </si>
  <si>
    <t>investor over exotic effect on investor average net earning</t>
  </si>
  <si>
    <t>Investor count</t>
  </si>
  <si>
    <t>Price per bdft</t>
  </si>
  <si>
    <t xml:space="preserve">Setup </t>
  </si>
  <si>
    <t>A</t>
  </si>
  <si>
    <t xml:space="preserve">B </t>
  </si>
  <si>
    <t>C</t>
  </si>
  <si>
    <t>D</t>
  </si>
  <si>
    <t>E</t>
  </si>
  <si>
    <t>G</t>
  </si>
  <si>
    <t>H</t>
  </si>
  <si>
    <t xml:space="preserve">I 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</si>
  <si>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</si>
  <si>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</si>
  <si>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</si>
  <si>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</si>
  <si>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</si>
  <si>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</si>
  <si>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</si>
  <si>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</si>
  <si>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</si>
  <si>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</si>
  <si>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</si>
  <si>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</si>
  <si>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</si>
  <si>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</si>
  <si>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</si>
  <si>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</t>
  </si>
  <si>
    <t xml:space="preserve">Z </t>
  </si>
  <si>
    <t>AA</t>
  </si>
  <si>
    <t>AB</t>
  </si>
  <si>
    <t>AC</t>
  </si>
  <si>
    <t>AD</t>
  </si>
  <si>
    <t>AE</t>
  </si>
  <si>
    <t>AF</t>
  </si>
  <si>
    <t>AG</t>
  </si>
  <si>
    <t>AH</t>
  </si>
  <si>
    <t>AI</t>
  </si>
  <si>
    <t>AJ</t>
  </si>
  <si>
    <t>AK</t>
  </si>
  <si>
    <t>AL</t>
  </si>
  <si>
    <t xml:space="preserve">AM </t>
  </si>
  <si>
    <t xml:space="preserve">AN </t>
  </si>
  <si>
    <t>AO</t>
  </si>
  <si>
    <t>AP</t>
  </si>
  <si>
    <t>AQ</t>
  </si>
  <si>
    <t>Price multiplier</t>
  </si>
  <si>
    <t>Investor net earning</t>
  </si>
  <si>
    <t>University net earning</t>
  </si>
  <si>
    <t>&lt;max&gt;</t>
  </si>
  <si>
    <t>-</t>
  </si>
  <si>
    <t>15- A</t>
  </si>
  <si>
    <t>15- E</t>
  </si>
  <si>
    <t xml:space="preserve">15- I </t>
  </si>
  <si>
    <t>15- M</t>
  </si>
  <si>
    <t>15- U</t>
  </si>
  <si>
    <t>15- Q</t>
  </si>
  <si>
    <t>15- Y</t>
  </si>
  <si>
    <t>15- AG</t>
  </si>
  <si>
    <t>15- AC</t>
  </si>
  <si>
    <t>15- AK</t>
  </si>
  <si>
    <t xml:space="preserve">15- B </t>
  </si>
  <si>
    <t>15- AO</t>
  </si>
  <si>
    <t>15- F</t>
  </si>
  <si>
    <t>15- J</t>
  </si>
  <si>
    <t>15- N</t>
  </si>
  <si>
    <t>15- R</t>
  </si>
  <si>
    <t>15- V</t>
  </si>
  <si>
    <t xml:space="preserve">15- Z </t>
  </si>
  <si>
    <t>15- AD</t>
  </si>
  <si>
    <t>30-C</t>
  </si>
  <si>
    <t>30- G</t>
  </si>
  <si>
    <t>30- K</t>
  </si>
  <si>
    <t>30- O</t>
  </si>
  <si>
    <t>30- S</t>
  </si>
  <si>
    <t>30- W</t>
  </si>
  <si>
    <t>30- AA</t>
  </si>
  <si>
    <t>30- AE</t>
  </si>
  <si>
    <t>30- AI</t>
  </si>
  <si>
    <t xml:space="preserve">30- AM </t>
  </si>
  <si>
    <t>30- AQ</t>
  </si>
  <si>
    <t>30- D</t>
  </si>
  <si>
    <t>30- H</t>
  </si>
  <si>
    <t>30- L</t>
  </si>
  <si>
    <t>30- P</t>
  </si>
  <si>
    <t>30- T</t>
  </si>
  <si>
    <t>30- X</t>
  </si>
  <si>
    <t>30- AB</t>
  </si>
  <si>
    <t>30- AF</t>
  </si>
  <si>
    <t>member\investor in independent earning</t>
  </si>
  <si>
    <t>Member count</t>
  </si>
  <si>
    <t>30-10 C</t>
  </si>
  <si>
    <t>30-10 G</t>
  </si>
  <si>
    <t>30-10 K</t>
  </si>
  <si>
    <t>30-10 O</t>
  </si>
  <si>
    <t>30-10 D</t>
  </si>
  <si>
    <t>30-10 H</t>
  </si>
  <si>
    <t>30-10 L</t>
  </si>
  <si>
    <t>30-10 P</t>
  </si>
  <si>
    <t>30-30 S</t>
  </si>
  <si>
    <t>30-30 W</t>
  </si>
  <si>
    <t>30-30 AA</t>
  </si>
  <si>
    <t>30-30 AE</t>
  </si>
  <si>
    <t>30-30 T</t>
  </si>
  <si>
    <t>30-30 X</t>
  </si>
  <si>
    <t>30-30 AF</t>
  </si>
  <si>
    <t>15-10 A</t>
  </si>
  <si>
    <t>15-10 E</t>
  </si>
  <si>
    <t xml:space="preserve">15-10 I </t>
  </si>
  <si>
    <t>15-10 M</t>
  </si>
  <si>
    <t xml:space="preserve">15-10 B </t>
  </si>
  <si>
    <t>15-10 F</t>
  </si>
  <si>
    <t>15-10 J</t>
  </si>
  <si>
    <t>15-10 N</t>
  </si>
  <si>
    <t>15-30 Q</t>
  </si>
  <si>
    <t>15-30 U</t>
  </si>
  <si>
    <t>15-30 Y</t>
  </si>
  <si>
    <t>15-30 AC</t>
  </si>
  <si>
    <t>15-30 R</t>
  </si>
  <si>
    <t>15-30 V</t>
  </si>
  <si>
    <t xml:space="preserve">15-30 Z </t>
  </si>
  <si>
    <t>15-30 AD</t>
  </si>
  <si>
    <t>30-30 AB</t>
  </si>
  <si>
    <t>10-A</t>
  </si>
  <si>
    <t>10-C</t>
  </si>
  <si>
    <t>10-E</t>
  </si>
  <si>
    <t>10-G</t>
  </si>
  <si>
    <t>10-I</t>
  </si>
  <si>
    <t>10-K</t>
  </si>
  <si>
    <t>10-M</t>
  </si>
  <si>
    <t>10-O</t>
  </si>
  <si>
    <t xml:space="preserve">10-B </t>
  </si>
  <si>
    <t>10-D</t>
  </si>
  <si>
    <t>10-F</t>
  </si>
  <si>
    <t>10-H</t>
  </si>
  <si>
    <t>10-J</t>
  </si>
  <si>
    <t>10-L</t>
  </si>
  <si>
    <t>10-N</t>
  </si>
  <si>
    <t>10-P</t>
  </si>
  <si>
    <t>30-Q</t>
  </si>
  <si>
    <t>30-S</t>
  </si>
  <si>
    <t>30-U</t>
  </si>
  <si>
    <t>30-W</t>
  </si>
  <si>
    <t>30-Y</t>
  </si>
  <si>
    <t>30-AA</t>
  </si>
  <si>
    <t>30-AC</t>
  </si>
  <si>
    <t>30-AE</t>
  </si>
  <si>
    <t>30-R</t>
  </si>
  <si>
    <t>30-T</t>
  </si>
  <si>
    <t>30-V</t>
  </si>
  <si>
    <t>30-X</t>
  </si>
  <si>
    <t xml:space="preserve">30-Z </t>
  </si>
  <si>
    <t>30-AB</t>
  </si>
  <si>
    <t>30-AD</t>
  </si>
  <si>
    <t>30-AF</t>
  </si>
  <si>
    <t>investor\price multiplier</t>
  </si>
  <si>
    <t>10-1 A</t>
  </si>
  <si>
    <t>10-1 C</t>
  </si>
  <si>
    <t>10-1 E</t>
  </si>
  <si>
    <t>10-1 G</t>
  </si>
  <si>
    <t xml:space="preserve">10-1 I </t>
  </si>
  <si>
    <t>10-1 K</t>
  </si>
  <si>
    <t>10-1 M</t>
  </si>
  <si>
    <t>10-1 O</t>
  </si>
  <si>
    <t>30-1 Q</t>
  </si>
  <si>
    <t>30-1 S</t>
  </si>
  <si>
    <t>30-1 U</t>
  </si>
  <si>
    <t>30-1 W</t>
  </si>
  <si>
    <t>30-1 Y</t>
  </si>
  <si>
    <t>30-1 AA</t>
  </si>
  <si>
    <t>30-1 AC</t>
  </si>
  <si>
    <t>30-1 AE</t>
  </si>
  <si>
    <t xml:space="preserve">10-2 B </t>
  </si>
  <si>
    <t>10-2 D</t>
  </si>
  <si>
    <t>10-2 F</t>
  </si>
  <si>
    <t>10-2 H</t>
  </si>
  <si>
    <t>10-2 J</t>
  </si>
  <si>
    <t>10-2 L</t>
  </si>
  <si>
    <t>10-2 N</t>
  </si>
  <si>
    <t>10-2 P</t>
  </si>
  <si>
    <t>30-2 R</t>
  </si>
  <si>
    <t>30-2 T</t>
  </si>
  <si>
    <t>30-2 V</t>
  </si>
  <si>
    <t>30-2 X</t>
  </si>
  <si>
    <t xml:space="preserve">30-2 Z </t>
  </si>
  <si>
    <t>30-2 AB</t>
  </si>
  <si>
    <t>30-2 AD</t>
  </si>
  <si>
    <t>30-2 AF</t>
  </si>
  <si>
    <t>Effect of member/investor count on total parntners earning</t>
  </si>
  <si>
    <t>AR</t>
  </si>
  <si>
    <t>AS</t>
  </si>
  <si>
    <t>AT</t>
  </si>
  <si>
    <t>AU</t>
  </si>
  <si>
    <t>AV</t>
  </si>
  <si>
    <t>AW</t>
  </si>
  <si>
    <t>AX</t>
  </si>
  <si>
    <t>AY</t>
  </si>
  <si>
    <t>AZ</t>
  </si>
  <si>
    <t>BA</t>
  </si>
  <si>
    <t>BB</t>
  </si>
  <si>
    <t>BC</t>
  </si>
  <si>
    <t>BD</t>
  </si>
  <si>
    <t>BE</t>
  </si>
  <si>
    <t>BF</t>
  </si>
  <si>
    <t>BG</t>
  </si>
  <si>
    <t>BH</t>
  </si>
  <si>
    <t>BI</t>
  </si>
  <si>
    <t>BJ</t>
  </si>
  <si>
    <t>BK</t>
  </si>
  <si>
    <t>BL</t>
  </si>
  <si>
    <t>average partners' earning</t>
  </si>
  <si>
    <t xml:space="preserve">Max values: </t>
  </si>
  <si>
    <t>University ranking</t>
  </si>
  <si>
    <t>Partners' ranking</t>
  </si>
  <si>
    <t>investor ranking</t>
  </si>
  <si>
    <t>seed</t>
  </si>
  <si>
    <t>with_investment</t>
  </si>
  <si>
    <t>3331233084773310500</t>
  </si>
  <si>
    <t>net_investor_earning</t>
  </si>
  <si>
    <t>Average partners earning</t>
  </si>
  <si>
    <t>Average investor net earning</t>
  </si>
  <si>
    <t>Best setup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</si>
</sst>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9C0006"/>
      <name val="Calibri"/>
      <family val="2"/>
      <scheme val="minor"/>
    </font>
    <font>
      <b/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sz val="12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3F3F76"/>
      <name val="Calibri"/>
      <family val="2"/>
      <scheme val="minor"/>
    </font>
    <font>
      <sz val="12"/>
      <color rgb="FFFA7D00"/>
      <name val="Calibri"/>
      <family val="2"/>
      <scheme val="minor"/>
    </font>
    <font>
      <sz val="12"/>
      <color rgb="FF9C5700"/>
      <name val="Calibri"/>
      <family val="2"/>
      <scheme val="minor"/>
    </font>
    <font>
      <b/>
      <sz val="12"/>
      <color rgb="FF3F3F3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1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3" fillId="26" borderId="0" applyNumberFormat="0" applyBorder="0" applyAlignment="0" applyProtection="0"/>
    <xf numFmtId="0" fontId="4" fillId="27" borderId="4" applyNumberFormat="0" applyAlignment="0" applyProtection="0"/>
    <xf numFmtId="0" fontId="5" fillId="28" borderId="5" applyNumberFormat="0" applyAlignment="0" applyProtection="0"/>
    <xf numFmtId="0" fontId="6" fillId="0" borderId="0" applyNumberFormat="0" applyFill="0" applyBorder="0" applyAlignment="0" applyProtection="0"/>
    <xf numFmtId="0" fontId="7" fillId="29" borderId="0" applyNumberFormat="0" applyBorder="0" applyAlignment="0" applyProtection="0"/>
    <xf numFmtId="0" fontId="8" fillId="0" borderId="6" applyNumberFormat="0" applyFill="0" applyAlignment="0" applyProtection="0"/>
    <xf numFmtId="0" fontId="9" fillId="0" borderId="7" applyNumberFormat="0" applyFill="0" applyAlignment="0" applyProtection="0"/>
    <xf numFmtId="0" fontId="10" fillId="0" borderId="8" applyNumberFormat="0" applyFill="0" applyAlignment="0" applyProtection="0"/>
    <xf numFmtId="0" fontId="10" fillId="0" borderId="0" applyNumberFormat="0" applyFill="0" applyBorder="0" applyAlignment="0" applyProtection="0"/>
    <xf numFmtId="0" fontId="11" fillId="30" borderId="4" applyNumberFormat="0" applyAlignment="0" applyProtection="0"/>
    <xf numFmtId="0" fontId="12" fillId="0" borderId="9" applyNumberFormat="0" applyFill="0" applyAlignment="0" applyProtection="0"/>
    <xf numFmtId="0" fontId="13" fillId="31" borderId="0" applyNumberFormat="0" applyBorder="0" applyAlignment="0" applyProtection="0"/>
    <xf numFmtId="0" fontId="1" fillId="32" borderId="10" applyNumberFormat="0" applyFont="0" applyAlignment="0" applyProtection="0"/>
    <xf numFmtId="0" fontId="14" fillId="27" borderId="11" applyNumberFormat="0" applyAlignment="0" applyProtection="0"/>
    <xf numFmtId="0" fontId="15" fillId="0" borderId="0" applyNumberFormat="0" applyFill="0" applyBorder="0" applyAlignment="0" applyProtection="0"/>
    <xf numFmtId="0" fontId="16" fillId="0" borderId="12" applyNumberFormat="0" applyFill="0" applyAlignment="0" applyProtection="0"/>
    <xf numFmtId="0" fontId="17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1" xfId="0" applyBorder="1"/>
    <xf numFmtId="0" fontId="18" fillId="0" borderId="2" xfId="0" applyFont="1" applyBorder="1" applyAlignment="1">
      <alignment horizontal="center"/>
    </xf>
    <xf numFmtId="0" fontId="19" fillId="0" borderId="3" xfId="0" applyFont="1" applyBorder="1" applyAlignment="1">
      <alignment horizontal="right"/>
    </xf>
    <xf numFmtId="0" fontId="0" fillId="33" borderId="0" xfId="0" applyFill="1"/>
    <xf numFmtId="0" fontId="0" fillId="0" borderId="0" xfId="0" applyAlignment="1">
      <alignment wrapText="1"/>
    </xf>
    <xf numFmtId="0" fontId="16" fillId="0" borderId="0" xfId="0" applyFont="1"/>
    <xf numFmtId="0" fontId="16" fillId="33" borderId="0" xfId="0" applyFont="1" applyFill="1"/>
    <xf numFmtId="0" fontId="16" fillId="34" borderId="0" xfId="0" applyFont="1" applyFill="1"/>
    <xf numFmtId="0" fontId="0" fillId="34" borderId="0" xfId="0" applyFill="1"/>
    <xf numFmtId="4" fontId="0" fillId="0" borderId="0" xfId="0" applyNumberFormat="1"/>
    <xf numFmtId="4" fontId="0" fillId="0" borderId="0" xfId="0" quotePrefix="1" applyNumberFormat="1"/>
    <xf numFmtId="0" fontId="0" fillId="33" borderId="0" xfId="0" applyFont="1" applyFill="1"/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batch_experiment!$P$1</c:f>
              <c:strCache>
                <c:ptCount val="1"/>
                <c:pt idx="0">
                  <c:v>Native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batch_experiment!$A$2:$A$33</c:f>
              <c:strCache>
                <c:ptCount val="32"/>
                <c:pt idx="0">
                  <c:v>A</c:v>
                </c:pt>
                <c:pt idx="1">
                  <c:v>B 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  <c:pt idx="7">
                  <c:v>H</c:v>
                </c:pt>
                <c:pt idx="8">
                  <c:v>I </c:v>
                </c:pt>
                <c:pt idx="9">
                  <c:v>J</c:v>
                </c:pt>
                <c:pt idx="10">
                  <c:v>K</c:v>
                </c:pt>
                <c:pt idx="11">
                  <c:v>L</c:v>
                </c:pt>
                <c:pt idx="12">
                  <c:v>M</c:v>
                </c:pt>
                <c:pt idx="13">
                  <c:v>N</c:v>
                </c:pt>
                <c:pt idx="14">
                  <c:v>O</c:v>
                </c:pt>
                <c:pt idx="15">
                  <c:v>P</c:v>
                </c:pt>
                <c:pt idx="16">
                  <c:v>Q</c:v>
                </c:pt>
                <c:pt idx="17">
                  <c:v>R</c:v>
                </c:pt>
                <c:pt idx="18">
                  <c:v>S</c:v>
                </c:pt>
                <c:pt idx="19">
                  <c:v>T</c:v>
                </c:pt>
                <c:pt idx="20">
                  <c:v>U</c:v>
                </c:pt>
                <c:pt idx="21">
                  <c:v>V</c:v>
                </c:pt>
                <c:pt idx="22">
                  <c:v>W</c:v>
                </c:pt>
                <c:pt idx="23">
                  <c:v>X</c:v>
                </c:pt>
                <c:pt idx="24">
                  <c:v>Y</c:v>
                </c:pt>
                <c:pt idx="25">
                  <c:v>Z </c:v>
                </c:pt>
                <c:pt idx="26">
                  <c:v>AA</c:v>
                </c:pt>
                <c:pt idx="27">
                  <c:v>AB</c:v>
                </c:pt>
                <c:pt idx="28">
                  <c:v>AC</c:v>
                </c:pt>
                <c:pt idx="29">
                  <c:v>AD</c:v>
                </c:pt>
                <c:pt idx="30">
                  <c:v>AE</c:v>
                </c:pt>
                <c:pt idx="31">
                  <c:v>AF</c:v>
                </c:pt>
              </c:strCache>
            </c:strRef>
          </c:cat>
          <c:val>
            <c:numRef>
              <c:f>batch_experiment!$P$2:$P$33</c:f>
              <c:numCache>
                <c:formatCode>General</c:formatCode>
                <c:ptCount val="32"/>
                <c:pt idx="0">
                  <c:v>171792</c:v>
                </c:pt>
                <c:pt idx="1">
                  <c:v>171792</c:v>
                </c:pt>
                <c:pt idx="2">
                  <c:v>174287</c:v>
                </c:pt>
                <c:pt idx="3">
                  <c:v>174287</c:v>
                </c:pt>
                <c:pt idx="4">
                  <c:v>173295</c:v>
                </c:pt>
                <c:pt idx="5">
                  <c:v>173295</c:v>
                </c:pt>
                <c:pt idx="6">
                  <c:v>174484</c:v>
                </c:pt>
                <c:pt idx="7">
                  <c:v>174484</c:v>
                </c:pt>
                <c:pt idx="8">
                  <c:v>175208</c:v>
                </c:pt>
                <c:pt idx="9">
                  <c:v>175208</c:v>
                </c:pt>
                <c:pt idx="10">
                  <c:v>174853</c:v>
                </c:pt>
                <c:pt idx="11">
                  <c:v>174853</c:v>
                </c:pt>
                <c:pt idx="12">
                  <c:v>175197</c:v>
                </c:pt>
                <c:pt idx="13">
                  <c:v>175197</c:v>
                </c:pt>
                <c:pt idx="14">
                  <c:v>175217</c:v>
                </c:pt>
                <c:pt idx="15">
                  <c:v>175217</c:v>
                </c:pt>
                <c:pt idx="16">
                  <c:v>179690</c:v>
                </c:pt>
                <c:pt idx="17">
                  <c:v>182842</c:v>
                </c:pt>
                <c:pt idx="18">
                  <c:v>184741</c:v>
                </c:pt>
                <c:pt idx="19">
                  <c:v>179238</c:v>
                </c:pt>
                <c:pt idx="20">
                  <c:v>166036</c:v>
                </c:pt>
                <c:pt idx="21">
                  <c:v>166036</c:v>
                </c:pt>
                <c:pt idx="22">
                  <c:v>178964</c:v>
                </c:pt>
                <c:pt idx="23">
                  <c:v>178964</c:v>
                </c:pt>
                <c:pt idx="24">
                  <c:v>184642</c:v>
                </c:pt>
                <c:pt idx="25">
                  <c:v>184642</c:v>
                </c:pt>
                <c:pt idx="26">
                  <c:v>183055</c:v>
                </c:pt>
                <c:pt idx="27">
                  <c:v>183055</c:v>
                </c:pt>
                <c:pt idx="28">
                  <c:v>186096</c:v>
                </c:pt>
                <c:pt idx="29">
                  <c:v>173454</c:v>
                </c:pt>
                <c:pt idx="30">
                  <c:v>179731</c:v>
                </c:pt>
                <c:pt idx="31">
                  <c:v>179087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D5-944C-9BF5-266AAC3A56D8}"/>
            </c:ext>
          </c:extLst>
        </c:ser>
        <c:ser>
          <c:idx val="1"/>
          <c:order val="1"/>
          <c:tx>
            <c:strRef>
              <c:f>batch_experiment!$U$1</c:f>
              <c:strCache>
                <c:ptCount val="1"/>
                <c:pt idx="0">
                  <c:v>Exotic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batch_experiment!$A$2:$A$33</c:f>
              <c:strCache>
                <c:ptCount val="32"/>
                <c:pt idx="0">
                  <c:v>A</c:v>
                </c:pt>
                <c:pt idx="1">
                  <c:v>B 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  <c:pt idx="7">
                  <c:v>H</c:v>
                </c:pt>
                <c:pt idx="8">
                  <c:v>I </c:v>
                </c:pt>
                <c:pt idx="9">
                  <c:v>J</c:v>
                </c:pt>
                <c:pt idx="10">
                  <c:v>K</c:v>
                </c:pt>
                <c:pt idx="11">
                  <c:v>L</c:v>
                </c:pt>
                <c:pt idx="12">
                  <c:v>M</c:v>
                </c:pt>
                <c:pt idx="13">
                  <c:v>N</c:v>
                </c:pt>
                <c:pt idx="14">
                  <c:v>O</c:v>
                </c:pt>
                <c:pt idx="15">
                  <c:v>P</c:v>
                </c:pt>
                <c:pt idx="16">
                  <c:v>Q</c:v>
                </c:pt>
                <c:pt idx="17">
                  <c:v>R</c:v>
                </c:pt>
                <c:pt idx="18">
                  <c:v>S</c:v>
                </c:pt>
                <c:pt idx="19">
                  <c:v>T</c:v>
                </c:pt>
                <c:pt idx="20">
                  <c:v>U</c:v>
                </c:pt>
                <c:pt idx="21">
                  <c:v>V</c:v>
                </c:pt>
                <c:pt idx="22">
                  <c:v>W</c:v>
                </c:pt>
                <c:pt idx="23">
                  <c:v>X</c:v>
                </c:pt>
                <c:pt idx="24">
                  <c:v>Y</c:v>
                </c:pt>
                <c:pt idx="25">
                  <c:v>Z </c:v>
                </c:pt>
                <c:pt idx="26">
                  <c:v>AA</c:v>
                </c:pt>
                <c:pt idx="27">
                  <c:v>AB</c:v>
                </c:pt>
                <c:pt idx="28">
                  <c:v>AC</c:v>
                </c:pt>
                <c:pt idx="29">
                  <c:v>AD</c:v>
                </c:pt>
                <c:pt idx="30">
                  <c:v>AE</c:v>
                </c:pt>
                <c:pt idx="31">
                  <c:v>AF</c:v>
                </c:pt>
              </c:strCache>
            </c:strRef>
          </c:cat>
          <c:val>
            <c:numRef>
              <c:f>batch_experiment!$U$2:$U$33</c:f>
              <c:numCache>
                <c:formatCode>General</c:formatCode>
                <c:ptCount val="32"/>
                <c:pt idx="0">
                  <c:v>91584</c:v>
                </c:pt>
                <c:pt idx="1">
                  <c:v>91584</c:v>
                </c:pt>
                <c:pt idx="2">
                  <c:v>97429</c:v>
                </c:pt>
                <c:pt idx="3">
                  <c:v>97429</c:v>
                </c:pt>
                <c:pt idx="4">
                  <c:v>88248</c:v>
                </c:pt>
                <c:pt idx="5">
                  <c:v>88248</c:v>
                </c:pt>
                <c:pt idx="6">
                  <c:v>97387</c:v>
                </c:pt>
                <c:pt idx="7">
                  <c:v>97387</c:v>
                </c:pt>
                <c:pt idx="8">
                  <c:v>97391</c:v>
                </c:pt>
                <c:pt idx="9">
                  <c:v>97391</c:v>
                </c:pt>
                <c:pt idx="10">
                  <c:v>97354</c:v>
                </c:pt>
                <c:pt idx="11">
                  <c:v>97354</c:v>
                </c:pt>
                <c:pt idx="12">
                  <c:v>94185</c:v>
                </c:pt>
                <c:pt idx="13">
                  <c:v>94185</c:v>
                </c:pt>
                <c:pt idx="14">
                  <c:v>97372</c:v>
                </c:pt>
                <c:pt idx="15">
                  <c:v>97372</c:v>
                </c:pt>
                <c:pt idx="16">
                  <c:v>85660</c:v>
                </c:pt>
                <c:pt idx="17">
                  <c:v>87817</c:v>
                </c:pt>
                <c:pt idx="18">
                  <c:v>89358</c:v>
                </c:pt>
                <c:pt idx="19">
                  <c:v>90719</c:v>
                </c:pt>
                <c:pt idx="20">
                  <c:v>94690</c:v>
                </c:pt>
                <c:pt idx="21">
                  <c:v>94690</c:v>
                </c:pt>
                <c:pt idx="22">
                  <c:v>91156</c:v>
                </c:pt>
                <c:pt idx="23">
                  <c:v>91156</c:v>
                </c:pt>
                <c:pt idx="24">
                  <c:v>88935</c:v>
                </c:pt>
                <c:pt idx="25">
                  <c:v>88935</c:v>
                </c:pt>
                <c:pt idx="26">
                  <c:v>88516</c:v>
                </c:pt>
                <c:pt idx="27">
                  <c:v>88516</c:v>
                </c:pt>
                <c:pt idx="28">
                  <c:v>90203</c:v>
                </c:pt>
                <c:pt idx="29">
                  <c:v>92923</c:v>
                </c:pt>
                <c:pt idx="30">
                  <c:v>86265</c:v>
                </c:pt>
                <c:pt idx="31">
                  <c:v>86743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D5-944C-9BF5-266AAC3A56D8}"/>
            </c:ext>
          </c:extLst>
        </c:ser>
        <c:ser>
          <c:idx val="2"/>
          <c:order val="2"/>
          <c:tx>
            <c:strRef>
              <c:f>batch_experiment!$V$1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batch_experiment!$A$2:$A$33</c:f>
              <c:strCache>
                <c:ptCount val="32"/>
                <c:pt idx="0">
                  <c:v>A</c:v>
                </c:pt>
                <c:pt idx="1">
                  <c:v>B 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  <c:pt idx="7">
                  <c:v>H</c:v>
                </c:pt>
                <c:pt idx="8">
                  <c:v>I </c:v>
                </c:pt>
                <c:pt idx="9">
                  <c:v>J</c:v>
                </c:pt>
                <c:pt idx="10">
                  <c:v>K</c:v>
                </c:pt>
                <c:pt idx="11">
                  <c:v>L</c:v>
                </c:pt>
                <c:pt idx="12">
                  <c:v>M</c:v>
                </c:pt>
                <c:pt idx="13">
                  <c:v>N</c:v>
                </c:pt>
                <c:pt idx="14">
                  <c:v>O</c:v>
                </c:pt>
                <c:pt idx="15">
                  <c:v>P</c:v>
                </c:pt>
                <c:pt idx="16">
                  <c:v>Q</c:v>
                </c:pt>
                <c:pt idx="17">
                  <c:v>R</c:v>
                </c:pt>
                <c:pt idx="18">
                  <c:v>S</c:v>
                </c:pt>
                <c:pt idx="19">
                  <c:v>T</c:v>
                </c:pt>
                <c:pt idx="20">
                  <c:v>U</c:v>
                </c:pt>
                <c:pt idx="21">
                  <c:v>V</c:v>
                </c:pt>
                <c:pt idx="22">
                  <c:v>W</c:v>
                </c:pt>
                <c:pt idx="23">
                  <c:v>X</c:v>
                </c:pt>
                <c:pt idx="24">
                  <c:v>Y</c:v>
                </c:pt>
                <c:pt idx="25">
                  <c:v>Z </c:v>
                </c:pt>
                <c:pt idx="26">
                  <c:v>AA</c:v>
                </c:pt>
                <c:pt idx="27">
                  <c:v>AB</c:v>
                </c:pt>
                <c:pt idx="28">
                  <c:v>AC</c:v>
                </c:pt>
                <c:pt idx="29">
                  <c:v>AD</c:v>
                </c:pt>
                <c:pt idx="30">
                  <c:v>AE</c:v>
                </c:pt>
                <c:pt idx="31">
                  <c:v>AF</c:v>
                </c:pt>
              </c:strCache>
            </c:strRef>
          </c:cat>
          <c:val>
            <c:numRef>
              <c:f>batch_experiment!$V$2:$V$33</c:f>
              <c:numCache>
                <c:formatCode>General</c:formatCode>
                <c:ptCount val="32"/>
                <c:pt idx="0">
                  <c:v>263376</c:v>
                </c:pt>
                <c:pt idx="1">
                  <c:v>263376</c:v>
                </c:pt>
                <c:pt idx="2">
                  <c:v>271716</c:v>
                </c:pt>
                <c:pt idx="3">
                  <c:v>271716</c:v>
                </c:pt>
                <c:pt idx="4">
                  <c:v>261543</c:v>
                </c:pt>
                <c:pt idx="5">
                  <c:v>261543</c:v>
                </c:pt>
                <c:pt idx="6">
                  <c:v>271871</c:v>
                </c:pt>
                <c:pt idx="7">
                  <c:v>271871</c:v>
                </c:pt>
                <c:pt idx="8">
                  <c:v>272599</c:v>
                </c:pt>
                <c:pt idx="9">
                  <c:v>272599</c:v>
                </c:pt>
                <c:pt idx="10">
                  <c:v>272207</c:v>
                </c:pt>
                <c:pt idx="11">
                  <c:v>272207</c:v>
                </c:pt>
                <c:pt idx="12">
                  <c:v>269382</c:v>
                </c:pt>
                <c:pt idx="13">
                  <c:v>269382</c:v>
                </c:pt>
                <c:pt idx="14">
                  <c:v>272589</c:v>
                </c:pt>
                <c:pt idx="15">
                  <c:v>272589</c:v>
                </c:pt>
                <c:pt idx="16">
                  <c:v>265350</c:v>
                </c:pt>
                <c:pt idx="17">
                  <c:v>270659</c:v>
                </c:pt>
                <c:pt idx="18">
                  <c:v>274099</c:v>
                </c:pt>
                <c:pt idx="19">
                  <c:v>269957</c:v>
                </c:pt>
                <c:pt idx="20">
                  <c:v>260726</c:v>
                </c:pt>
                <c:pt idx="21">
                  <c:v>260726</c:v>
                </c:pt>
                <c:pt idx="22">
                  <c:v>270120</c:v>
                </c:pt>
                <c:pt idx="23">
                  <c:v>270120</c:v>
                </c:pt>
                <c:pt idx="24">
                  <c:v>273577</c:v>
                </c:pt>
                <c:pt idx="25">
                  <c:v>273577</c:v>
                </c:pt>
                <c:pt idx="26">
                  <c:v>271571</c:v>
                </c:pt>
                <c:pt idx="27">
                  <c:v>271571</c:v>
                </c:pt>
                <c:pt idx="28">
                  <c:v>276299</c:v>
                </c:pt>
                <c:pt idx="29">
                  <c:v>266377</c:v>
                </c:pt>
                <c:pt idx="30">
                  <c:v>265996</c:v>
                </c:pt>
                <c:pt idx="31">
                  <c:v>265830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8D5-944C-9BF5-266AAC3A56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49191472"/>
        <c:axId val="298016512"/>
      </c:barChart>
      <c:catAx>
        <c:axId val="549191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298016512"/>
        <c:crosses val="autoZero"/>
        <c:auto val="1"/>
        <c:lblAlgn val="ctr"/>
        <c:lblOffset val="100"/>
        <c:noMultiLvlLbl val="0"/>
      </c:catAx>
      <c:valAx>
        <c:axId val="29801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49191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batch_experiment!$Y$1</c:f>
              <c:strCache>
                <c:ptCount val="1"/>
                <c:pt idx="0">
                  <c:v>net_running_earning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batch_experiment!$A$2:$A$33</c:f>
              <c:strCache>
                <c:ptCount val="32"/>
                <c:pt idx="0">
                  <c:v>A</c:v>
                </c:pt>
                <c:pt idx="1">
                  <c:v>B 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  <c:pt idx="7">
                  <c:v>H</c:v>
                </c:pt>
                <c:pt idx="8">
                  <c:v>I </c:v>
                </c:pt>
                <c:pt idx="9">
                  <c:v>J</c:v>
                </c:pt>
                <c:pt idx="10">
                  <c:v>K</c:v>
                </c:pt>
                <c:pt idx="11">
                  <c:v>L</c:v>
                </c:pt>
                <c:pt idx="12">
                  <c:v>M</c:v>
                </c:pt>
                <c:pt idx="13">
                  <c:v>N</c:v>
                </c:pt>
                <c:pt idx="14">
                  <c:v>O</c:v>
                </c:pt>
                <c:pt idx="15">
                  <c:v>P</c:v>
                </c:pt>
                <c:pt idx="16">
                  <c:v>Q</c:v>
                </c:pt>
                <c:pt idx="17">
                  <c:v>R</c:v>
                </c:pt>
                <c:pt idx="18">
                  <c:v>S</c:v>
                </c:pt>
                <c:pt idx="19">
                  <c:v>T</c:v>
                </c:pt>
                <c:pt idx="20">
                  <c:v>U</c:v>
                </c:pt>
                <c:pt idx="21">
                  <c:v>V</c:v>
                </c:pt>
                <c:pt idx="22">
                  <c:v>W</c:v>
                </c:pt>
                <c:pt idx="23">
                  <c:v>X</c:v>
                </c:pt>
                <c:pt idx="24">
                  <c:v>Y</c:v>
                </c:pt>
                <c:pt idx="25">
                  <c:v>Z </c:v>
                </c:pt>
                <c:pt idx="26">
                  <c:v>AA</c:v>
                </c:pt>
                <c:pt idx="27">
                  <c:v>AB</c:v>
                </c:pt>
                <c:pt idx="28">
                  <c:v>AC</c:v>
                </c:pt>
                <c:pt idx="29">
                  <c:v>AD</c:v>
                </c:pt>
                <c:pt idx="30">
                  <c:v>AE</c:v>
                </c:pt>
                <c:pt idx="31">
                  <c:v>AF</c:v>
                </c:pt>
              </c:strCache>
            </c:strRef>
          </c:cat>
          <c:val>
            <c:numRef>
              <c:f>batch_experiment!$Y$2:$Y$33</c:f>
              <c:numCache>
                <c:formatCode>General</c:formatCode>
                <c:ptCount val="32"/>
                <c:pt idx="0">
                  <c:v>-5110696.5549652204</c:v>
                </c:pt>
                <c:pt idx="1">
                  <c:v>376534.83871673601</c:v>
                </c:pt>
                <c:pt idx="2">
                  <c:v>-5483757.6468358496</c:v>
                </c:pt>
                <c:pt idx="3">
                  <c:v>-511354.86345331097</c:v>
                </c:pt>
                <c:pt idx="4">
                  <c:v>-3895847.54459078</c:v>
                </c:pt>
                <c:pt idx="5">
                  <c:v>1606587.74507741</c:v>
                </c:pt>
                <c:pt idx="6">
                  <c:v>-5512493.8075291999</c:v>
                </c:pt>
                <c:pt idx="7">
                  <c:v>-606032.27669434994</c:v>
                </c:pt>
                <c:pt idx="8">
                  <c:v>-6265989.51732805</c:v>
                </c:pt>
                <c:pt idx="9">
                  <c:v>-100464.283328561</c:v>
                </c:pt>
                <c:pt idx="10">
                  <c:v>-7057991.67289773</c:v>
                </c:pt>
                <c:pt idx="11">
                  <c:v>-1915359.4171470699</c:v>
                </c:pt>
                <c:pt idx="12">
                  <c:v>-6067088.3667623997</c:v>
                </c:pt>
                <c:pt idx="13">
                  <c:v>-178276.599932849</c:v>
                </c:pt>
                <c:pt idx="14">
                  <c:v>-6943503.4151456403</c:v>
                </c:pt>
                <c:pt idx="15">
                  <c:v>-1748019.8115733301</c:v>
                </c:pt>
                <c:pt idx="16">
                  <c:v>-15269130.329689</c:v>
                </c:pt>
                <c:pt idx="17">
                  <c:v>-3263792.0778216901</c:v>
                </c:pt>
                <c:pt idx="18">
                  <c:v>-7792441.6816649605</c:v>
                </c:pt>
                <c:pt idx="19">
                  <c:v>1761533.41888296</c:v>
                </c:pt>
                <c:pt idx="20">
                  <c:v>-14882932.0594467</c:v>
                </c:pt>
                <c:pt idx="21">
                  <c:v>-4327959.56624607</c:v>
                </c:pt>
                <c:pt idx="22">
                  <c:v>-9722913.0374852195</c:v>
                </c:pt>
                <c:pt idx="23">
                  <c:v>-809030.129542373</c:v>
                </c:pt>
                <c:pt idx="24">
                  <c:v>-16437005.400413301</c:v>
                </c:pt>
                <c:pt idx="25">
                  <c:v>-7634628.40162668</c:v>
                </c:pt>
                <c:pt idx="26">
                  <c:v>-8951066.4719297197</c:v>
                </c:pt>
                <c:pt idx="27">
                  <c:v>296225.64565976302</c:v>
                </c:pt>
                <c:pt idx="28">
                  <c:v>-16545365.4393514</c:v>
                </c:pt>
                <c:pt idx="29">
                  <c:v>-5595906.3897781903</c:v>
                </c:pt>
                <c:pt idx="30">
                  <c:v>-11886864.216076899</c:v>
                </c:pt>
                <c:pt idx="31">
                  <c:v>-4178601.4332850901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7B-FB41-A103-F7AD6A85DE45}"/>
            </c:ext>
          </c:extLst>
        </c:ser>
        <c:ser>
          <c:idx val="1"/>
          <c:order val="1"/>
          <c:tx>
            <c:strRef>
              <c:f>batch_experiment!$AA$1</c:f>
              <c:strCache>
                <c:ptCount val="1"/>
                <c:pt idx="0">
                  <c:v>Average partners earning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batch_experiment!$A$2:$A$33</c:f>
              <c:strCache>
                <c:ptCount val="32"/>
                <c:pt idx="0">
                  <c:v>A</c:v>
                </c:pt>
                <c:pt idx="1">
                  <c:v>B 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  <c:pt idx="7">
                  <c:v>H</c:v>
                </c:pt>
                <c:pt idx="8">
                  <c:v>I </c:v>
                </c:pt>
                <c:pt idx="9">
                  <c:v>J</c:v>
                </c:pt>
                <c:pt idx="10">
                  <c:v>K</c:v>
                </c:pt>
                <c:pt idx="11">
                  <c:v>L</c:v>
                </c:pt>
                <c:pt idx="12">
                  <c:v>M</c:v>
                </c:pt>
                <c:pt idx="13">
                  <c:v>N</c:v>
                </c:pt>
                <c:pt idx="14">
                  <c:v>O</c:v>
                </c:pt>
                <c:pt idx="15">
                  <c:v>P</c:v>
                </c:pt>
                <c:pt idx="16">
                  <c:v>Q</c:v>
                </c:pt>
                <c:pt idx="17">
                  <c:v>R</c:v>
                </c:pt>
                <c:pt idx="18">
                  <c:v>S</c:v>
                </c:pt>
                <c:pt idx="19">
                  <c:v>T</c:v>
                </c:pt>
                <c:pt idx="20">
                  <c:v>U</c:v>
                </c:pt>
                <c:pt idx="21">
                  <c:v>V</c:v>
                </c:pt>
                <c:pt idx="22">
                  <c:v>W</c:v>
                </c:pt>
                <c:pt idx="23">
                  <c:v>X</c:v>
                </c:pt>
                <c:pt idx="24">
                  <c:v>Y</c:v>
                </c:pt>
                <c:pt idx="25">
                  <c:v>Z </c:v>
                </c:pt>
                <c:pt idx="26">
                  <c:v>AA</c:v>
                </c:pt>
                <c:pt idx="27">
                  <c:v>AB</c:v>
                </c:pt>
                <c:pt idx="28">
                  <c:v>AC</c:v>
                </c:pt>
                <c:pt idx="29">
                  <c:v>AD</c:v>
                </c:pt>
                <c:pt idx="30">
                  <c:v>AE</c:v>
                </c:pt>
                <c:pt idx="31">
                  <c:v>AF</c:v>
                </c:pt>
              </c:strCache>
            </c:strRef>
          </c:cat>
          <c:val>
            <c:numRef>
              <c:f>batch_experiment!$AA$2:$AA$33</c:f>
              <c:numCache>
                <c:formatCode>General</c:formatCode>
                <c:ptCount val="32"/>
                <c:pt idx="0">
                  <c:v>314038.83030987164</c:v>
                </c:pt>
                <c:pt idx="1">
                  <c:v>334129.77411842335</c:v>
                </c:pt>
                <c:pt idx="2">
                  <c:v>405011.74125387997</c:v>
                </c:pt>
                <c:pt idx="3">
                  <c:v>405011.74125387997</c:v>
                </c:pt>
                <c:pt idx="4">
                  <c:v>219435.01404197799</c:v>
                </c:pt>
                <c:pt idx="5">
                  <c:v>220218.09962605967</c:v>
                </c:pt>
                <c:pt idx="6">
                  <c:v>403621.85056026129</c:v>
                </c:pt>
                <c:pt idx="7">
                  <c:v>403621.85056026129</c:v>
                </c:pt>
                <c:pt idx="8">
                  <c:v>314154.60495151638</c:v>
                </c:pt>
                <c:pt idx="9">
                  <c:v>314154.60495151638</c:v>
                </c:pt>
                <c:pt idx="10">
                  <c:v>372839.23107482062</c:v>
                </c:pt>
                <c:pt idx="11">
                  <c:v>372839.23107482062</c:v>
                </c:pt>
                <c:pt idx="12">
                  <c:v>292180.337131896</c:v>
                </c:pt>
                <c:pt idx="13">
                  <c:v>292180.337131896</c:v>
                </c:pt>
                <c:pt idx="14">
                  <c:v>383493.54071005195</c:v>
                </c:pt>
                <c:pt idx="15">
                  <c:v>383493.54071005195</c:v>
                </c:pt>
                <c:pt idx="16">
                  <c:v>556352.13772145996</c:v>
                </c:pt>
                <c:pt idx="17">
                  <c:v>552728.42999116005</c:v>
                </c:pt>
                <c:pt idx="18">
                  <c:v>442475.81273180997</c:v>
                </c:pt>
                <c:pt idx="19">
                  <c:v>478490.20429604728</c:v>
                </c:pt>
                <c:pt idx="20">
                  <c:v>516882.69374553004</c:v>
                </c:pt>
                <c:pt idx="21">
                  <c:v>516882.69374553004</c:v>
                </c:pt>
                <c:pt idx="22">
                  <c:v>498161.22237868869</c:v>
                </c:pt>
                <c:pt idx="23">
                  <c:v>498161.22237868869</c:v>
                </c:pt>
                <c:pt idx="24">
                  <c:v>455276.75351923</c:v>
                </c:pt>
                <c:pt idx="25">
                  <c:v>455276.75351923</c:v>
                </c:pt>
                <c:pt idx="26">
                  <c:v>494931.55879901734</c:v>
                </c:pt>
                <c:pt idx="27">
                  <c:v>494931.55879901734</c:v>
                </c:pt>
                <c:pt idx="28">
                  <c:v>495834.07964916661</c:v>
                </c:pt>
                <c:pt idx="29">
                  <c:v>486641.70683519664</c:v>
                </c:pt>
                <c:pt idx="30">
                  <c:v>479273.45037275128</c:v>
                </c:pt>
                <c:pt idx="31">
                  <c:v>463047.63534129201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7B-FB41-A103-F7AD6A85DE45}"/>
            </c:ext>
          </c:extLst>
        </c:ser>
        <c:ser>
          <c:idx val="2"/>
          <c:order val="2"/>
          <c:tx>
            <c:strRef>
              <c:f>batch_experiment!$AF$1</c:f>
              <c:strCache>
                <c:ptCount val="1"/>
                <c:pt idx="0">
                  <c:v>Average investor net earning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batch_experiment!$A$2:$A$33</c:f>
              <c:strCache>
                <c:ptCount val="32"/>
                <c:pt idx="0">
                  <c:v>A</c:v>
                </c:pt>
                <c:pt idx="1">
                  <c:v>B 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  <c:pt idx="7">
                  <c:v>H</c:v>
                </c:pt>
                <c:pt idx="8">
                  <c:v>I </c:v>
                </c:pt>
                <c:pt idx="9">
                  <c:v>J</c:v>
                </c:pt>
                <c:pt idx="10">
                  <c:v>K</c:v>
                </c:pt>
                <c:pt idx="11">
                  <c:v>L</c:v>
                </c:pt>
                <c:pt idx="12">
                  <c:v>M</c:v>
                </c:pt>
                <c:pt idx="13">
                  <c:v>N</c:v>
                </c:pt>
                <c:pt idx="14">
                  <c:v>O</c:v>
                </c:pt>
                <c:pt idx="15">
                  <c:v>P</c:v>
                </c:pt>
                <c:pt idx="16">
                  <c:v>Q</c:v>
                </c:pt>
                <c:pt idx="17">
                  <c:v>R</c:v>
                </c:pt>
                <c:pt idx="18">
                  <c:v>S</c:v>
                </c:pt>
                <c:pt idx="19">
                  <c:v>T</c:v>
                </c:pt>
                <c:pt idx="20">
                  <c:v>U</c:v>
                </c:pt>
                <c:pt idx="21">
                  <c:v>V</c:v>
                </c:pt>
                <c:pt idx="22">
                  <c:v>W</c:v>
                </c:pt>
                <c:pt idx="23">
                  <c:v>X</c:v>
                </c:pt>
                <c:pt idx="24">
                  <c:v>Y</c:v>
                </c:pt>
                <c:pt idx="25">
                  <c:v>Z </c:v>
                </c:pt>
                <c:pt idx="26">
                  <c:v>AA</c:v>
                </c:pt>
                <c:pt idx="27">
                  <c:v>AB</c:v>
                </c:pt>
                <c:pt idx="28">
                  <c:v>AC</c:v>
                </c:pt>
                <c:pt idx="29">
                  <c:v>AD</c:v>
                </c:pt>
                <c:pt idx="30">
                  <c:v>AE</c:v>
                </c:pt>
                <c:pt idx="31">
                  <c:v>AF</c:v>
                </c:pt>
              </c:strCache>
            </c:strRef>
          </c:cat>
          <c:val>
            <c:numRef>
              <c:f>batch_experiment!$AF$2:$AF$33</c:f>
              <c:numCache>
                <c:formatCode>General</c:formatCode>
                <c:ptCount val="32"/>
                <c:pt idx="0">
                  <c:v>170506.00618162297</c:v>
                </c:pt>
                <c:pt idx="1">
                  <c:v>454924.97236324596</c:v>
                </c:pt>
                <c:pt idx="2">
                  <c:v>158967.81305451802</c:v>
                </c:pt>
                <c:pt idx="3">
                  <c:v>431848.58610903501</c:v>
                </c:pt>
                <c:pt idx="4">
                  <c:v>170506.00618162297</c:v>
                </c:pt>
                <c:pt idx="5">
                  <c:v>454924.97236324596</c:v>
                </c:pt>
                <c:pt idx="6">
                  <c:v>153568.67284811501</c:v>
                </c:pt>
                <c:pt idx="7">
                  <c:v>421050.30569622898</c:v>
                </c:pt>
                <c:pt idx="8">
                  <c:v>170506.00618162297</c:v>
                </c:pt>
                <c:pt idx="9">
                  <c:v>454924.97236324596</c:v>
                </c:pt>
                <c:pt idx="10">
                  <c:v>150417.64561247698</c:v>
                </c:pt>
                <c:pt idx="11">
                  <c:v>414748.25122495292</c:v>
                </c:pt>
                <c:pt idx="12">
                  <c:v>145054.67558516099</c:v>
                </c:pt>
                <c:pt idx="13">
                  <c:v>404022.31117032096</c:v>
                </c:pt>
                <c:pt idx="14">
                  <c:v>119772.67901531898</c:v>
                </c:pt>
                <c:pt idx="15">
                  <c:v>353458.31803063693</c:v>
                </c:pt>
                <c:pt idx="16">
                  <c:v>64325.00706920166</c:v>
                </c:pt>
                <c:pt idx="17">
                  <c:v>244289.09630337698</c:v>
                </c:pt>
                <c:pt idx="18">
                  <c:v>6250.880900642338</c:v>
                </c:pt>
                <c:pt idx="19">
                  <c:v>140910.50298999398</c:v>
                </c:pt>
                <c:pt idx="20">
                  <c:v>53015.413193028995</c:v>
                </c:pt>
                <c:pt idx="21">
                  <c:v>219943.78638605698</c:v>
                </c:pt>
                <c:pt idx="22">
                  <c:v>40305.630112363659</c:v>
                </c:pt>
                <c:pt idx="23">
                  <c:v>194524.220224727</c:v>
                </c:pt>
                <c:pt idx="24">
                  <c:v>-37732.355094624996</c:v>
                </c:pt>
                <c:pt idx="25">
                  <c:v>38448.249810749992</c:v>
                </c:pt>
                <c:pt idx="26">
                  <c:v>-7425.1758325950086</c:v>
                </c:pt>
                <c:pt idx="27">
                  <c:v>99062.608334809993</c:v>
                </c:pt>
                <c:pt idx="28">
                  <c:v>65564.401169095669</c:v>
                </c:pt>
                <c:pt idx="29">
                  <c:v>214551.84786527001</c:v>
                </c:pt>
                <c:pt idx="30">
                  <c:v>-10431.904740521002</c:v>
                </c:pt>
                <c:pt idx="31">
                  <c:v>66163.033528278655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7B-FB41-A103-F7AD6A85DE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06286127"/>
        <c:axId val="549889312"/>
      </c:barChart>
      <c:catAx>
        <c:axId val="9062861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49889312"/>
        <c:crosses val="autoZero"/>
        <c:auto val="1"/>
        <c:lblAlgn val="ctr"/>
        <c:lblOffset val="100"/>
        <c:noMultiLvlLbl val="0"/>
      </c:catAx>
      <c:valAx>
        <c:axId val="549889312"/>
        <c:scaling>
          <c:orientation val="minMax"/>
          <c:max val="2000000"/>
          <c:min val="-170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90628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Final tree population</a:t>
            </a:r>
          </a:p>
        </c:rich>
      </c:tx>
      <c:overlay val="0"/>
      <c:spPr>
        <a:noFill/>
        <a:ln w="2540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Sheet4!$B$1</c:f>
              <c:strCache>
                <c:ptCount val="1"/>
                <c:pt idx="0">
                  <c:v>Native</c:v>
                </c:pt>
              </c:strCache>
            </c:strRef>
          </c:tx>
          <c:spPr>
            <a:solidFill>
              <a:srgbClr val="4472C4"/>
            </a:solidFill>
            <a:ln w="25400">
              <a:noFill/>
            </a:ln>
          </c:spPr>
          <c:invertIfNegative val="0"/>
          <c:cat>
            <c:strRef>
              <c:f>Sheet4!$A$2:$A$33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Sheet4!$B$2:$B$33</c:f>
              <c:numCache>
                <c:formatCode>General</c:formatCode>
                <c:ptCount val="32"/>
                <c:pt idx="0">
                  <c:v>233027</c:v>
                </c:pt>
                <c:pt idx="1">
                  <c:v>230505</c:v>
                </c:pt>
                <c:pt idx="2">
                  <c:v>232202</c:v>
                </c:pt>
                <c:pt idx="3">
                  <c:v>230508</c:v>
                </c:pt>
                <c:pt idx="4">
                  <c:v>232684</c:v>
                </c:pt>
                <c:pt idx="5">
                  <c:v>235124</c:v>
                </c:pt>
                <c:pt idx="6">
                  <c:v>234120</c:v>
                </c:pt>
                <c:pt idx="7">
                  <c:v>228801</c:v>
                </c:pt>
                <c:pt idx="8">
                  <c:v>235900</c:v>
                </c:pt>
                <c:pt idx="9">
                  <c:v>237872</c:v>
                </c:pt>
                <c:pt idx="10">
                  <c:v>235802</c:v>
                </c:pt>
                <c:pt idx="11">
                  <c:v>237158</c:v>
                </c:pt>
                <c:pt idx="12">
                  <c:v>236342</c:v>
                </c:pt>
                <c:pt idx="13">
                  <c:v>237304</c:v>
                </c:pt>
                <c:pt idx="14">
                  <c:v>235732</c:v>
                </c:pt>
                <c:pt idx="15">
                  <c:v>237501</c:v>
                </c:pt>
                <c:pt idx="16">
                  <c:v>233093</c:v>
                </c:pt>
                <c:pt idx="17">
                  <c:v>230671</c:v>
                </c:pt>
                <c:pt idx="18">
                  <c:v>232147</c:v>
                </c:pt>
                <c:pt idx="19">
                  <c:v>230425</c:v>
                </c:pt>
                <c:pt idx="20">
                  <c:v>232916</c:v>
                </c:pt>
                <c:pt idx="21">
                  <c:v>235202</c:v>
                </c:pt>
                <c:pt idx="22">
                  <c:v>234251</c:v>
                </c:pt>
                <c:pt idx="23">
                  <c:v>228871</c:v>
                </c:pt>
                <c:pt idx="24">
                  <c:v>236996</c:v>
                </c:pt>
                <c:pt idx="25">
                  <c:v>238054</c:v>
                </c:pt>
                <c:pt idx="26">
                  <c:v>237187</c:v>
                </c:pt>
                <c:pt idx="27">
                  <c:v>238752</c:v>
                </c:pt>
                <c:pt idx="28">
                  <c:v>236800</c:v>
                </c:pt>
                <c:pt idx="29">
                  <c:v>237992</c:v>
                </c:pt>
                <c:pt idx="30">
                  <c:v>236638</c:v>
                </c:pt>
                <c:pt idx="31">
                  <c:v>236705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AA-7847-8F82-1E5C83DC2D3B}"/>
            </c:ext>
          </c:extLst>
        </c:ser>
        <c:ser>
          <c:idx val="1"/>
          <c:order val="1"/>
          <c:tx>
            <c:strRef>
              <c:f>Sheet4!$C$1</c:f>
              <c:strCache>
                <c:ptCount val="1"/>
                <c:pt idx="0">
                  <c:v>Exotic</c:v>
                </c:pt>
              </c:strCache>
            </c:strRef>
          </c:tx>
          <c:spPr>
            <a:solidFill>
              <a:srgbClr val="ED7D31"/>
            </a:solidFill>
            <a:ln w="25400">
              <a:noFill/>
            </a:ln>
          </c:spPr>
          <c:invertIfNegative val="0"/>
          <c:cat>
            <c:strRef>
              <c:f>Sheet4!$A$2:$A$33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Sheet4!$C$2:$C$33</c:f>
              <c:numCache>
                <c:formatCode>General</c:formatCode>
                <c:ptCount val="32"/>
                <c:pt idx="0">
                  <c:v>116922</c:v>
                </c:pt>
                <c:pt idx="1">
                  <c:v>111447</c:v>
                </c:pt>
                <c:pt idx="2">
                  <c:v>117211</c:v>
                </c:pt>
                <c:pt idx="3">
                  <c:v>108966</c:v>
                </c:pt>
                <c:pt idx="4">
                  <c:v>116330</c:v>
                </c:pt>
                <c:pt idx="5">
                  <c:v>116581</c:v>
                </c:pt>
                <c:pt idx="6">
                  <c:v>116241</c:v>
                </c:pt>
                <c:pt idx="7">
                  <c:v>108583</c:v>
                </c:pt>
                <c:pt idx="8">
                  <c:v>116393</c:v>
                </c:pt>
                <c:pt idx="9">
                  <c:v>116866</c:v>
                </c:pt>
                <c:pt idx="10">
                  <c:v>116378</c:v>
                </c:pt>
                <c:pt idx="11">
                  <c:v>116600</c:v>
                </c:pt>
                <c:pt idx="12">
                  <c:v>116480</c:v>
                </c:pt>
                <c:pt idx="13">
                  <c:v>116167</c:v>
                </c:pt>
                <c:pt idx="14">
                  <c:v>116966</c:v>
                </c:pt>
                <c:pt idx="15">
                  <c:v>116380</c:v>
                </c:pt>
                <c:pt idx="16">
                  <c:v>116761</c:v>
                </c:pt>
                <c:pt idx="17">
                  <c:v>111431</c:v>
                </c:pt>
                <c:pt idx="18">
                  <c:v>117210</c:v>
                </c:pt>
                <c:pt idx="19">
                  <c:v>108962</c:v>
                </c:pt>
                <c:pt idx="20">
                  <c:v>116280</c:v>
                </c:pt>
                <c:pt idx="21">
                  <c:v>116550</c:v>
                </c:pt>
                <c:pt idx="22">
                  <c:v>116296</c:v>
                </c:pt>
                <c:pt idx="23">
                  <c:v>108558</c:v>
                </c:pt>
                <c:pt idx="24">
                  <c:v>116400</c:v>
                </c:pt>
                <c:pt idx="25">
                  <c:v>116794</c:v>
                </c:pt>
                <c:pt idx="26">
                  <c:v>116558</c:v>
                </c:pt>
                <c:pt idx="27">
                  <c:v>116347</c:v>
                </c:pt>
                <c:pt idx="28">
                  <c:v>116898</c:v>
                </c:pt>
                <c:pt idx="29">
                  <c:v>116533</c:v>
                </c:pt>
                <c:pt idx="30">
                  <c:v>116218</c:v>
                </c:pt>
                <c:pt idx="31">
                  <c:v>116326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3AA-7847-8F82-1E5C83DC2D3B}"/>
            </c:ext>
          </c:extLst>
        </c:ser>
        <c:ser>
          <c:idx val="2"/>
          <c:order val="2"/>
          <c:tx>
            <c:strRef>
              <c:f>Sheet4!$D$1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A5A5A5"/>
            </a:solidFill>
            <a:ln w="25400">
              <a:noFill/>
            </a:ln>
          </c:spPr>
          <c:invertIfNegative val="0"/>
          <c:cat>
            <c:strRef>
              <c:f>Sheet4!$A$2:$A$33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Sheet4!$D$2:$D$33</c:f>
              <c:numCache>
                <c:formatCode>General</c:formatCode>
                <c:ptCount val="32"/>
                <c:pt idx="0">
                  <c:v>349949</c:v>
                </c:pt>
                <c:pt idx="1">
                  <c:v>341952</c:v>
                </c:pt>
                <c:pt idx="2">
                  <c:v>349413</c:v>
                </c:pt>
                <c:pt idx="3">
                  <c:v>339474</c:v>
                </c:pt>
                <c:pt idx="4">
                  <c:v>349014</c:v>
                </c:pt>
                <c:pt idx="5">
                  <c:v>351705</c:v>
                </c:pt>
                <c:pt idx="6">
                  <c:v>350361</c:v>
                </c:pt>
                <c:pt idx="7">
                  <c:v>337384</c:v>
                </c:pt>
                <c:pt idx="8">
                  <c:v>352293</c:v>
                </c:pt>
                <c:pt idx="9">
                  <c:v>354738</c:v>
                </c:pt>
                <c:pt idx="10">
                  <c:v>352180</c:v>
                </c:pt>
                <c:pt idx="11">
                  <c:v>353758</c:v>
                </c:pt>
                <c:pt idx="12">
                  <c:v>352822</c:v>
                </c:pt>
                <c:pt idx="13">
                  <c:v>353471</c:v>
                </c:pt>
                <c:pt idx="14">
                  <c:v>352698</c:v>
                </c:pt>
                <c:pt idx="15">
                  <c:v>353881</c:v>
                </c:pt>
                <c:pt idx="16">
                  <c:v>349854</c:v>
                </c:pt>
                <c:pt idx="17">
                  <c:v>342102</c:v>
                </c:pt>
                <c:pt idx="18">
                  <c:v>349357</c:v>
                </c:pt>
                <c:pt idx="19">
                  <c:v>339387</c:v>
                </c:pt>
                <c:pt idx="20">
                  <c:v>349196</c:v>
                </c:pt>
                <c:pt idx="21">
                  <c:v>351752</c:v>
                </c:pt>
                <c:pt idx="22">
                  <c:v>350547</c:v>
                </c:pt>
                <c:pt idx="23">
                  <c:v>337429</c:v>
                </c:pt>
                <c:pt idx="24">
                  <c:v>353396</c:v>
                </c:pt>
                <c:pt idx="25">
                  <c:v>354848</c:v>
                </c:pt>
                <c:pt idx="26">
                  <c:v>353745</c:v>
                </c:pt>
                <c:pt idx="27">
                  <c:v>355099</c:v>
                </c:pt>
                <c:pt idx="28">
                  <c:v>353698</c:v>
                </c:pt>
                <c:pt idx="29">
                  <c:v>354525</c:v>
                </c:pt>
                <c:pt idx="30">
                  <c:v>352856</c:v>
                </c:pt>
                <c:pt idx="31">
                  <c:v>353031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3AA-7847-8F82-1E5C83DC2D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6644656"/>
        <c:axId val="1"/>
      </c:barChart>
      <c:catAx>
        <c:axId val="516644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16644656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Harvested trees from invested plots</a:t>
            </a:r>
          </a:p>
        </c:rich>
      </c:tx>
      <c:overlay val="0"/>
      <c:spPr>
        <a:noFill/>
        <a:ln w="2540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Sheet4!$E$1</c:f>
              <c:strCache>
                <c:ptCount val="1"/>
                <c:pt idx="0">
                  <c:v>inv_harvested_trees</c:v>
                </c:pt>
              </c:strCache>
            </c:strRef>
          </c:tx>
          <c:spPr>
            <a:solidFill>
              <a:srgbClr val="4472C4"/>
            </a:solidFill>
            <a:ln w="25400">
              <a:noFill/>
            </a:ln>
          </c:spPr>
          <c:invertIfNegative val="0"/>
          <c:cat>
            <c:strRef>
              <c:f>Sheet4!$A$2:$A$33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Sheet4!$E$2:$E$33</c:f>
              <c:numCache>
                <c:formatCode>General</c:formatCode>
                <c:ptCount val="32"/>
                <c:pt idx="0">
                  <c:v>242</c:v>
                </c:pt>
                <c:pt idx="1">
                  <c:v>57</c:v>
                </c:pt>
                <c:pt idx="2">
                  <c:v>224</c:v>
                </c:pt>
                <c:pt idx="3">
                  <c:v>89</c:v>
                </c:pt>
                <c:pt idx="4">
                  <c:v>250</c:v>
                </c:pt>
                <c:pt idx="5">
                  <c:v>64</c:v>
                </c:pt>
                <c:pt idx="6">
                  <c:v>195</c:v>
                </c:pt>
                <c:pt idx="7">
                  <c:v>70</c:v>
                </c:pt>
                <c:pt idx="8">
                  <c:v>882</c:v>
                </c:pt>
                <c:pt idx="9">
                  <c:v>805</c:v>
                </c:pt>
                <c:pt idx="10">
                  <c:v>831</c:v>
                </c:pt>
                <c:pt idx="11">
                  <c:v>754</c:v>
                </c:pt>
                <c:pt idx="12">
                  <c:v>914</c:v>
                </c:pt>
                <c:pt idx="13">
                  <c:v>623</c:v>
                </c:pt>
                <c:pt idx="14">
                  <c:v>1032</c:v>
                </c:pt>
                <c:pt idx="15">
                  <c:v>795</c:v>
                </c:pt>
                <c:pt idx="16">
                  <c:v>242</c:v>
                </c:pt>
                <c:pt idx="17">
                  <c:v>57</c:v>
                </c:pt>
                <c:pt idx="18">
                  <c:v>224</c:v>
                </c:pt>
                <c:pt idx="19">
                  <c:v>91</c:v>
                </c:pt>
                <c:pt idx="20">
                  <c:v>250</c:v>
                </c:pt>
                <c:pt idx="21">
                  <c:v>64</c:v>
                </c:pt>
                <c:pt idx="22">
                  <c:v>202</c:v>
                </c:pt>
                <c:pt idx="23">
                  <c:v>77</c:v>
                </c:pt>
                <c:pt idx="24">
                  <c:v>887</c:v>
                </c:pt>
                <c:pt idx="25">
                  <c:v>808</c:v>
                </c:pt>
                <c:pt idx="26">
                  <c:v>847</c:v>
                </c:pt>
                <c:pt idx="27">
                  <c:v>761</c:v>
                </c:pt>
                <c:pt idx="28">
                  <c:v>1006</c:v>
                </c:pt>
                <c:pt idx="29">
                  <c:v>804</c:v>
                </c:pt>
                <c:pt idx="30">
                  <c:v>930</c:v>
                </c:pt>
                <c:pt idx="31">
                  <c:v>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65-354B-ADDA-E49CC70AB4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6676928"/>
        <c:axId val="1"/>
      </c:barChart>
      <c:catAx>
        <c:axId val="51667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16676928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management_running_cost</c:v>
                </c:pt>
              </c:strCache>
            </c:strRef>
          </c:tx>
          <c:spPr>
            <a:solidFill>
              <a:srgbClr val="4472C4"/>
            </a:solidFill>
            <a:ln w="25400">
              <a:noFill/>
            </a:ln>
          </c:spPr>
          <c:invertIfNegative val="0"/>
          <c:cat>
            <c:strRef>
              <c:f>Sheet2!$A$2:$A$33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Sheet2!$B$2:$B$33</c:f>
              <c:numCache>
                <c:formatCode>General</c:formatCode>
                <c:ptCount val="32"/>
                <c:pt idx="0">
                  <c:v>32013291.439649198</c:v>
                </c:pt>
                <c:pt idx="1">
                  <c:v>36017986.831419297</c:v>
                </c:pt>
                <c:pt idx="2">
                  <c:v>32261388.9861346</c:v>
                </c:pt>
                <c:pt idx="3">
                  <c:v>35208089.766689397</c:v>
                </c:pt>
                <c:pt idx="4">
                  <c:v>33502289.924249001</c:v>
                </c:pt>
                <c:pt idx="5">
                  <c:v>38035410.462154403</c:v>
                </c:pt>
                <c:pt idx="6">
                  <c:v>33621428.798318103</c:v>
                </c:pt>
                <c:pt idx="7">
                  <c:v>35753828.272347897</c:v>
                </c:pt>
                <c:pt idx="8">
                  <c:v>44440757.1488363</c:v>
                </c:pt>
                <c:pt idx="9">
                  <c:v>58553148.090120301</c:v>
                </c:pt>
                <c:pt idx="10">
                  <c:v>44997606.2187014</c:v>
                </c:pt>
                <c:pt idx="11">
                  <c:v>58051610.443007402</c:v>
                </c:pt>
                <c:pt idx="12">
                  <c:v>44198633.007532097</c:v>
                </c:pt>
                <c:pt idx="13">
                  <c:v>59845621.974735603</c:v>
                </c:pt>
                <c:pt idx="14">
                  <c:v>43443059.379594199</c:v>
                </c:pt>
                <c:pt idx="15">
                  <c:v>58497245.573351704</c:v>
                </c:pt>
                <c:pt idx="16">
                  <c:v>32158330.651666999</c:v>
                </c:pt>
                <c:pt idx="17">
                  <c:v>35968086.221370302</c:v>
                </c:pt>
                <c:pt idx="18">
                  <c:v>32270993.364936799</c:v>
                </c:pt>
                <c:pt idx="19">
                  <c:v>35181414.376074404</c:v>
                </c:pt>
                <c:pt idx="20">
                  <c:v>33580032.230374299</c:v>
                </c:pt>
                <c:pt idx="21">
                  <c:v>38101942.795548201</c:v>
                </c:pt>
                <c:pt idx="22">
                  <c:v>33635657.664458998</c:v>
                </c:pt>
                <c:pt idx="23">
                  <c:v>35679512.108589202</c:v>
                </c:pt>
                <c:pt idx="24">
                  <c:v>44319108.751037501</c:v>
                </c:pt>
                <c:pt idx="25">
                  <c:v>58611864.474740699</c:v>
                </c:pt>
                <c:pt idx="26">
                  <c:v>44827668.225665703</c:v>
                </c:pt>
                <c:pt idx="27">
                  <c:v>58774761.059560299</c:v>
                </c:pt>
                <c:pt idx="28">
                  <c:v>43133139.885631099</c:v>
                </c:pt>
                <c:pt idx="29">
                  <c:v>57800714.602525301</c:v>
                </c:pt>
                <c:pt idx="30">
                  <c:v>44093599.091592498</c:v>
                </c:pt>
                <c:pt idx="31">
                  <c:v>59739184.075714603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FB-0C46-B94A-D694F40D978D}"/>
            </c:ext>
          </c:extLst>
        </c:ser>
        <c:ser>
          <c:idx val="1"/>
          <c:order val="1"/>
          <c:tx>
            <c:strRef>
              <c:f>Sheet2!$C$1</c:f>
              <c:strCache>
                <c:ptCount val="1"/>
                <c:pt idx="0">
                  <c:v>ITP_running_earning</c:v>
                </c:pt>
              </c:strCache>
            </c:strRef>
          </c:tx>
          <c:spPr>
            <a:solidFill>
              <a:srgbClr val="ED7D31"/>
            </a:solidFill>
            <a:ln w="25400">
              <a:noFill/>
            </a:ln>
          </c:spPr>
          <c:invertIfNegative val="0"/>
          <c:cat>
            <c:strRef>
              <c:f>Sheet2!$A$2:$A$33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Sheet2!$C$2:$C$33</c:f>
              <c:numCache>
                <c:formatCode>General</c:formatCode>
                <c:ptCount val="32"/>
                <c:pt idx="0">
                  <c:v>13669087.935521601</c:v>
                </c:pt>
                <c:pt idx="1">
                  <c:v>18617268.7772009</c:v>
                </c:pt>
                <c:pt idx="2">
                  <c:v>14280750.159051601</c:v>
                </c:pt>
                <c:pt idx="3">
                  <c:v>17274192.549144398</c:v>
                </c:pt>
                <c:pt idx="4">
                  <c:v>15027102.4151637</c:v>
                </c:pt>
                <c:pt idx="5">
                  <c:v>18188488.7728904</c:v>
                </c:pt>
                <c:pt idx="6">
                  <c:v>15396715.5530074</c:v>
                </c:pt>
                <c:pt idx="7">
                  <c:v>20289222.3914482</c:v>
                </c:pt>
                <c:pt idx="8">
                  <c:v>34444808.895708598</c:v>
                </c:pt>
                <c:pt idx="9">
                  <c:v>37281556.479362503</c:v>
                </c:pt>
                <c:pt idx="10">
                  <c:v>36258226.497209102</c:v>
                </c:pt>
                <c:pt idx="11">
                  <c:v>37963000.064385802</c:v>
                </c:pt>
                <c:pt idx="12">
                  <c:v>33241507.350822099</c:v>
                </c:pt>
                <c:pt idx="13">
                  <c:v>40547563.2628683</c:v>
                </c:pt>
                <c:pt idx="14">
                  <c:v>29819495.686450001</c:v>
                </c:pt>
                <c:pt idx="15">
                  <c:v>37801832.569196701</c:v>
                </c:pt>
                <c:pt idx="16">
                  <c:v>24334071.243900001</c:v>
                </c:pt>
                <c:pt idx="17">
                  <c:v>34552204.271637604</c:v>
                </c:pt>
                <c:pt idx="18">
                  <c:v>25574946.229021698</c:v>
                </c:pt>
                <c:pt idx="19">
                  <c:v>31751240.718002301</c:v>
                </c:pt>
                <c:pt idx="20">
                  <c:v>27254184.135608699</c:v>
                </c:pt>
                <c:pt idx="21">
                  <c:v>33820239.621598698</c:v>
                </c:pt>
                <c:pt idx="22">
                  <c:v>27922423.7531044</c:v>
                </c:pt>
                <c:pt idx="23">
                  <c:v>36677953.627322502</c:v>
                </c:pt>
                <c:pt idx="24">
                  <c:v>60406314.299913697</c:v>
                </c:pt>
                <c:pt idx="25">
                  <c:v>66441135.748124801</c:v>
                </c:pt>
                <c:pt idx="26">
                  <c:v>63918214.256502599</c:v>
                </c:pt>
                <c:pt idx="27">
                  <c:v>66776580.522116199</c:v>
                </c:pt>
                <c:pt idx="28">
                  <c:v>52009259.660008103</c:v>
                </c:pt>
                <c:pt idx="29">
                  <c:v>65279205.055693902</c:v>
                </c:pt>
                <c:pt idx="30">
                  <c:v>55296714.751731902</c:v>
                </c:pt>
                <c:pt idx="31">
                  <c:v>71434641.699422106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0FB-0C46-B94A-D694F40D978D}"/>
            </c:ext>
          </c:extLst>
        </c:ser>
        <c:ser>
          <c:idx val="2"/>
          <c:order val="2"/>
          <c:tx>
            <c:strRef>
              <c:f>Sheet2!$D$1</c:f>
              <c:strCache>
                <c:ptCount val="1"/>
                <c:pt idx="0">
                  <c:v>University net earning</c:v>
                </c:pt>
              </c:strCache>
            </c:strRef>
          </c:tx>
          <c:spPr>
            <a:solidFill>
              <a:srgbClr val="A5A5A5"/>
            </a:solidFill>
            <a:ln w="25400">
              <a:noFill/>
            </a:ln>
          </c:spPr>
          <c:invertIfNegative val="0"/>
          <c:cat>
            <c:strRef>
              <c:f>Sheet2!$A$2:$A$33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Sheet2!$D$2:$D$33</c:f>
              <c:numCache>
                <c:formatCode>General</c:formatCode>
                <c:ptCount val="32"/>
                <c:pt idx="0">
                  <c:v>-18344203.504127599</c:v>
                </c:pt>
                <c:pt idx="1">
                  <c:v>-17400718.0542183</c:v>
                </c:pt>
                <c:pt idx="2">
                  <c:v>-17980638.827082999</c:v>
                </c:pt>
                <c:pt idx="3">
                  <c:v>-17933897.217544898</c:v>
                </c:pt>
                <c:pt idx="4">
                  <c:v>-18475187.509085301</c:v>
                </c:pt>
                <c:pt idx="5">
                  <c:v>-19846921.689263899</c:v>
                </c:pt>
                <c:pt idx="6">
                  <c:v>-18224713.245310701</c:v>
                </c:pt>
                <c:pt idx="7">
                  <c:v>-15464605.880899699</c:v>
                </c:pt>
                <c:pt idx="8">
                  <c:v>-9995948.2531276699</c:v>
                </c:pt>
                <c:pt idx="9">
                  <c:v>-21271591.610757701</c:v>
                </c:pt>
                <c:pt idx="10">
                  <c:v>-8739379.7214922309</c:v>
                </c:pt>
                <c:pt idx="11">
                  <c:v>-20088610.378621601</c:v>
                </c:pt>
                <c:pt idx="12">
                  <c:v>-10957125.6567099</c:v>
                </c:pt>
                <c:pt idx="13">
                  <c:v>-19298058.711867299</c:v>
                </c:pt>
                <c:pt idx="14">
                  <c:v>-13623563.6931441</c:v>
                </c:pt>
                <c:pt idx="15">
                  <c:v>-20695413.004154898</c:v>
                </c:pt>
                <c:pt idx="16">
                  <c:v>-7824259.4077669401</c:v>
                </c:pt>
                <c:pt idx="17">
                  <c:v>-1415881.9497326899</c:v>
                </c:pt>
                <c:pt idx="18">
                  <c:v>-6696047.13591504</c:v>
                </c:pt>
                <c:pt idx="19">
                  <c:v>-3430173.6580720502</c:v>
                </c:pt>
                <c:pt idx="20">
                  <c:v>-6325848.0947655402</c:v>
                </c:pt>
                <c:pt idx="21">
                  <c:v>-4281703.1739495499</c:v>
                </c:pt>
                <c:pt idx="22">
                  <c:v>-5713233.9113545902</c:v>
                </c:pt>
                <c:pt idx="23">
                  <c:v>998441.51873332204</c:v>
                </c:pt>
                <c:pt idx="24">
                  <c:v>16087205.5488762</c:v>
                </c:pt>
                <c:pt idx="25">
                  <c:v>7829271.27338407</c:v>
                </c:pt>
                <c:pt idx="26">
                  <c:v>19090546.030836798</c:v>
                </c:pt>
                <c:pt idx="27">
                  <c:v>8001819.4625559598</c:v>
                </c:pt>
                <c:pt idx="28">
                  <c:v>8876119.7743770704</c:v>
                </c:pt>
                <c:pt idx="29">
                  <c:v>7478490.4531686101</c:v>
                </c:pt>
                <c:pt idx="30">
                  <c:v>11203115.6601393</c:v>
                </c:pt>
                <c:pt idx="31">
                  <c:v>11695457.623707499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0FB-0C46-B94A-D694F40D97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6455136"/>
        <c:axId val="1"/>
      </c:barChart>
      <c:catAx>
        <c:axId val="516455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16455136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Sheet2!$E$1</c:f>
              <c:strCache>
                <c:ptCount val="1"/>
                <c:pt idx="0">
                  <c:v>investor_total_profit</c:v>
                </c:pt>
              </c:strCache>
            </c:strRef>
          </c:tx>
          <c:spPr>
            <a:solidFill>
              <a:srgbClr val="4472C4"/>
            </a:solidFill>
            <a:ln w="25400">
              <a:noFill/>
            </a:ln>
          </c:spPr>
          <c:invertIfNegative val="0"/>
          <c:cat>
            <c:strRef>
              <c:f>Sheet2!$A$2:$A$33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Sheet2!$E$2:$E$33</c:f>
              <c:numCache>
                <c:formatCode>General</c:formatCode>
                <c:ptCount val="32"/>
                <c:pt idx="0">
                  <c:v>2854300.44741912</c:v>
                </c:pt>
                <c:pt idx="1">
                  <c:v>5276152.1540186601</c:v>
                </c:pt>
                <c:pt idx="2">
                  <c:v>3541708.8077705898</c:v>
                </c:pt>
                <c:pt idx="3">
                  <c:v>5555419.1405721698</c:v>
                </c:pt>
                <c:pt idx="4">
                  <c:v>3739077.3759767199</c:v>
                </c:pt>
                <c:pt idx="5">
                  <c:v>5523068.9465412097</c:v>
                </c:pt>
                <c:pt idx="6">
                  <c:v>3324545.1185254999</c:v>
                </c:pt>
                <c:pt idx="7">
                  <c:v>5562969.6226570401</c:v>
                </c:pt>
                <c:pt idx="8">
                  <c:v>5860014.4728399199</c:v>
                </c:pt>
                <c:pt idx="9">
                  <c:v>6890859.1300853696</c:v>
                </c:pt>
                <c:pt idx="10">
                  <c:v>5583320.0365047902</c:v>
                </c:pt>
                <c:pt idx="11">
                  <c:v>6763097.8479180001</c:v>
                </c:pt>
                <c:pt idx="12">
                  <c:v>5208207.0322256703</c:v>
                </c:pt>
                <c:pt idx="13">
                  <c:v>9006970.76167983</c:v>
                </c:pt>
                <c:pt idx="14">
                  <c:v>5524899.5580428503</c:v>
                </c:pt>
                <c:pt idx="15">
                  <c:v>5671163.8589687198</c:v>
                </c:pt>
                <c:pt idx="16">
                  <c:v>5708600.89483824</c:v>
                </c:pt>
                <c:pt idx="17">
                  <c:v>10552304.3080373</c:v>
                </c:pt>
                <c:pt idx="18">
                  <c:v>7083417.6155411899</c:v>
                </c:pt>
                <c:pt idx="19">
                  <c:v>11110838.2811443</c:v>
                </c:pt>
                <c:pt idx="20">
                  <c:v>7478154.75195345</c:v>
                </c:pt>
                <c:pt idx="21">
                  <c:v>11046137.893082401</c:v>
                </c:pt>
                <c:pt idx="22">
                  <c:v>6649090.2370510101</c:v>
                </c:pt>
                <c:pt idx="23">
                  <c:v>11125939.245314</c:v>
                </c:pt>
                <c:pt idx="24">
                  <c:v>12197497.5760267</c:v>
                </c:pt>
                <c:pt idx="25">
                  <c:v>13380392.997028699</c:v>
                </c:pt>
                <c:pt idx="26">
                  <c:v>11345372.3988533</c:v>
                </c:pt>
                <c:pt idx="27">
                  <c:v>12545363.3466218</c:v>
                </c:pt>
                <c:pt idx="28">
                  <c:v>8448705.5089329593</c:v>
                </c:pt>
                <c:pt idx="29">
                  <c:v>9910339.2978468593</c:v>
                </c:pt>
                <c:pt idx="30">
                  <c:v>11557598.5557454</c:v>
                </c:pt>
                <c:pt idx="31">
                  <c:v>16310583.0297658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58-BC47-BE8B-164C218C9409}"/>
            </c:ext>
          </c:extLst>
        </c:ser>
        <c:ser>
          <c:idx val="1"/>
          <c:order val="1"/>
          <c:tx>
            <c:strRef>
              <c:f>Sheet2!$F$1</c:f>
              <c:strCache>
                <c:ptCount val="1"/>
                <c:pt idx="0">
                  <c:v>total_investment_cost</c:v>
                </c:pt>
              </c:strCache>
            </c:strRef>
          </c:tx>
          <c:spPr>
            <a:solidFill>
              <a:srgbClr val="ED7D31"/>
            </a:solidFill>
            <a:ln w="25400">
              <a:noFill/>
            </a:ln>
          </c:spPr>
          <c:invertIfNegative val="0"/>
          <c:cat>
            <c:strRef>
              <c:f>Sheet2!$A$2:$A$33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Sheet2!$F$2:$F$33</c:f>
              <c:numCache>
                <c:formatCode>General</c:formatCode>
                <c:ptCount val="32"/>
                <c:pt idx="0">
                  <c:v>3303475.8399999901</c:v>
                </c:pt>
                <c:pt idx="1">
                  <c:v>3303475.8399999901</c:v>
                </c:pt>
                <c:pt idx="2">
                  <c:v>3303475.8399999901</c:v>
                </c:pt>
                <c:pt idx="3">
                  <c:v>3303475.8399999901</c:v>
                </c:pt>
                <c:pt idx="4">
                  <c:v>3303475.8399999901</c:v>
                </c:pt>
                <c:pt idx="5">
                  <c:v>3189562.8799999901</c:v>
                </c:pt>
                <c:pt idx="6">
                  <c:v>3189562.8799999901</c:v>
                </c:pt>
                <c:pt idx="7">
                  <c:v>3417388.79999999</c:v>
                </c:pt>
                <c:pt idx="8">
                  <c:v>9796514.5600000005</c:v>
                </c:pt>
                <c:pt idx="9">
                  <c:v>9682601.5999999996</c:v>
                </c:pt>
                <c:pt idx="10">
                  <c:v>9796514.5600000005</c:v>
                </c:pt>
                <c:pt idx="11">
                  <c:v>9796514.5600000005</c:v>
                </c:pt>
                <c:pt idx="12">
                  <c:v>9568688.6399999894</c:v>
                </c:pt>
                <c:pt idx="13">
                  <c:v>9682601.5999999996</c:v>
                </c:pt>
                <c:pt idx="14">
                  <c:v>9568688.6399999894</c:v>
                </c:pt>
                <c:pt idx="15">
                  <c:v>9682601.5999999996</c:v>
                </c:pt>
                <c:pt idx="16">
                  <c:v>3417388.79999999</c:v>
                </c:pt>
                <c:pt idx="17">
                  <c:v>3417388.79999999</c:v>
                </c:pt>
                <c:pt idx="18">
                  <c:v>3417388.79999999</c:v>
                </c:pt>
                <c:pt idx="19">
                  <c:v>3417388.79999999</c:v>
                </c:pt>
                <c:pt idx="20">
                  <c:v>3417388.79999999</c:v>
                </c:pt>
                <c:pt idx="21">
                  <c:v>3417388.79999999</c:v>
                </c:pt>
                <c:pt idx="22">
                  <c:v>3417388.79999999</c:v>
                </c:pt>
                <c:pt idx="23">
                  <c:v>3417388.79999999</c:v>
                </c:pt>
                <c:pt idx="24">
                  <c:v>10252166.4</c:v>
                </c:pt>
                <c:pt idx="25">
                  <c:v>10138253.439999999</c:v>
                </c:pt>
                <c:pt idx="26">
                  <c:v>10252166.4</c:v>
                </c:pt>
                <c:pt idx="27">
                  <c:v>10138253.439999999</c:v>
                </c:pt>
                <c:pt idx="28">
                  <c:v>10138253.439999999</c:v>
                </c:pt>
                <c:pt idx="29">
                  <c:v>10024340.48</c:v>
                </c:pt>
                <c:pt idx="30">
                  <c:v>10024340.48</c:v>
                </c:pt>
                <c:pt idx="31">
                  <c:v>10138253.439999999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858-BC47-BE8B-164C218C9409}"/>
            </c:ext>
          </c:extLst>
        </c:ser>
        <c:ser>
          <c:idx val="2"/>
          <c:order val="2"/>
          <c:tx>
            <c:strRef>
              <c:f>Sheet2!$G$1</c:f>
              <c:strCache>
                <c:ptCount val="1"/>
                <c:pt idx="0">
                  <c:v>Investor net earning</c:v>
                </c:pt>
              </c:strCache>
            </c:strRef>
          </c:tx>
          <c:spPr>
            <a:solidFill>
              <a:srgbClr val="A5A5A5"/>
            </a:solidFill>
            <a:ln w="25400">
              <a:noFill/>
            </a:ln>
          </c:spPr>
          <c:invertIfNegative val="0"/>
          <c:cat>
            <c:strRef>
              <c:f>Sheet2!$A$2:$A$33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Sheet2!$G$2:$G$33</c:f>
              <c:numCache>
                <c:formatCode>General</c:formatCode>
                <c:ptCount val="32"/>
                <c:pt idx="0">
                  <c:v>-449175.39258087007</c:v>
                </c:pt>
                <c:pt idx="1">
                  <c:v>1972676.31401867</c:v>
                </c:pt>
                <c:pt idx="2">
                  <c:v>238232.96777059976</c:v>
                </c:pt>
                <c:pt idx="3">
                  <c:v>2251943.3005721797</c:v>
                </c:pt>
                <c:pt idx="4">
                  <c:v>435601.53597672982</c:v>
                </c:pt>
                <c:pt idx="5">
                  <c:v>2333506.0665412196</c:v>
                </c:pt>
                <c:pt idx="6">
                  <c:v>134982.23852550983</c:v>
                </c:pt>
                <c:pt idx="7">
                  <c:v>2145580.8226570501</c:v>
                </c:pt>
                <c:pt idx="8">
                  <c:v>-3936500.0871600807</c:v>
                </c:pt>
                <c:pt idx="9">
                  <c:v>-2791742.4699146301</c:v>
                </c:pt>
                <c:pt idx="10">
                  <c:v>-4213194.5234952103</c:v>
                </c:pt>
                <c:pt idx="11">
                  <c:v>-3033416.7120820004</c:v>
                </c:pt>
                <c:pt idx="12">
                  <c:v>-4360481.6077743191</c:v>
                </c:pt>
                <c:pt idx="13">
                  <c:v>-675630.8383201696</c:v>
                </c:pt>
                <c:pt idx="14">
                  <c:v>-4043789.0819571391</c:v>
                </c:pt>
                <c:pt idx="15">
                  <c:v>-4011437.7410312798</c:v>
                </c:pt>
                <c:pt idx="16">
                  <c:v>2291212.09483825</c:v>
                </c:pt>
                <c:pt idx="17">
                  <c:v>7134915.5080373101</c:v>
                </c:pt>
                <c:pt idx="18">
                  <c:v>3666028.8155411999</c:v>
                </c:pt>
                <c:pt idx="19">
                  <c:v>7693449.4811443109</c:v>
                </c:pt>
                <c:pt idx="20">
                  <c:v>4060765.95195346</c:v>
                </c:pt>
                <c:pt idx="21">
                  <c:v>7628749.0930824112</c:v>
                </c:pt>
                <c:pt idx="22">
                  <c:v>3231701.4370510201</c:v>
                </c:pt>
                <c:pt idx="23">
                  <c:v>7708550.4453140106</c:v>
                </c:pt>
                <c:pt idx="24">
                  <c:v>1945331.1760267001</c:v>
                </c:pt>
                <c:pt idx="25">
                  <c:v>3242139.5570286997</c:v>
                </c:pt>
                <c:pt idx="26">
                  <c:v>1093205.9988532998</c:v>
                </c:pt>
                <c:pt idx="27">
                  <c:v>2407109.9066218007</c:v>
                </c:pt>
                <c:pt idx="28">
                  <c:v>-1689547.9310670402</c:v>
                </c:pt>
                <c:pt idx="29">
                  <c:v>-114001.18215314113</c:v>
                </c:pt>
                <c:pt idx="30">
                  <c:v>1533258.0757454</c:v>
                </c:pt>
                <c:pt idx="31">
                  <c:v>6172329.5897658002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58-BC47-BE8B-164C218C94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6505120"/>
        <c:axId val="1"/>
      </c:barChart>
      <c:catAx>
        <c:axId val="516505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16505120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Sheet2!$H$1</c:f>
              <c:strCache>
                <c:ptCount val="1"/>
                <c:pt idx="0">
                  <c:v>average net earning</c:v>
                </c:pt>
              </c:strCache>
            </c:strRef>
          </c:tx>
          <c:spPr>
            <a:solidFill>
              <a:srgbClr val="4472C4"/>
            </a:solidFill>
            <a:ln w="25400">
              <a:noFill/>
            </a:ln>
          </c:spPr>
          <c:invertIfNegative val="0"/>
          <c:cat>
            <c:strRef>
              <c:f>Sheet2!$A$2:$A$33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Sheet2!$H$2:$H$33</c:f>
              <c:numCache>
                <c:formatCode>General</c:formatCode>
                <c:ptCount val="32"/>
                <c:pt idx="0">
                  <c:v>-44917.53925808701</c:v>
                </c:pt>
                <c:pt idx="1">
                  <c:v>197267.63140186699</c:v>
                </c:pt>
                <c:pt idx="2">
                  <c:v>23823.296777059975</c:v>
                </c:pt>
                <c:pt idx="3">
                  <c:v>225194.33005721797</c:v>
                </c:pt>
                <c:pt idx="4">
                  <c:v>43560.153597672979</c:v>
                </c:pt>
                <c:pt idx="5">
                  <c:v>233350.60665412195</c:v>
                </c:pt>
                <c:pt idx="6">
                  <c:v>13498.223852550984</c:v>
                </c:pt>
                <c:pt idx="7">
                  <c:v>214558.08226570502</c:v>
                </c:pt>
                <c:pt idx="8">
                  <c:v>-131216.66957200269</c:v>
                </c:pt>
                <c:pt idx="9">
                  <c:v>-93058.082330487669</c:v>
                </c:pt>
                <c:pt idx="10">
                  <c:v>-140439.81744984034</c:v>
                </c:pt>
                <c:pt idx="11">
                  <c:v>-101113.89040273335</c:v>
                </c:pt>
                <c:pt idx="12">
                  <c:v>-145349.38692581063</c:v>
                </c:pt>
                <c:pt idx="13">
                  <c:v>-22521.027944005655</c:v>
                </c:pt>
                <c:pt idx="14">
                  <c:v>-134792.96939857129</c:v>
                </c:pt>
                <c:pt idx="15">
                  <c:v>-133714.59136770933</c:v>
                </c:pt>
                <c:pt idx="16">
                  <c:v>229121.20948382499</c:v>
                </c:pt>
                <c:pt idx="17">
                  <c:v>713491.55080373096</c:v>
                </c:pt>
                <c:pt idx="18">
                  <c:v>366602.88155411999</c:v>
                </c:pt>
                <c:pt idx="19">
                  <c:v>769344.94811443111</c:v>
                </c:pt>
                <c:pt idx="20">
                  <c:v>406076.59519534599</c:v>
                </c:pt>
                <c:pt idx="21">
                  <c:v>762874.9093082411</c:v>
                </c:pt>
                <c:pt idx="22">
                  <c:v>323170.14370510203</c:v>
                </c:pt>
                <c:pt idx="23">
                  <c:v>770855.04453140101</c:v>
                </c:pt>
                <c:pt idx="24">
                  <c:v>64844.372534223337</c:v>
                </c:pt>
                <c:pt idx="25">
                  <c:v>108071.31856762333</c:v>
                </c:pt>
                <c:pt idx="26">
                  <c:v>36440.199961776656</c:v>
                </c:pt>
                <c:pt idx="27">
                  <c:v>80236.996887393354</c:v>
                </c:pt>
                <c:pt idx="28">
                  <c:v>-56318.264368901342</c:v>
                </c:pt>
                <c:pt idx="29">
                  <c:v>-3800.0394051047042</c:v>
                </c:pt>
                <c:pt idx="30">
                  <c:v>51108.602524846669</c:v>
                </c:pt>
                <c:pt idx="31">
                  <c:v>205744.31965886001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AE-FB44-8CB5-9534EFEEA2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16536192"/>
        <c:axId val="1"/>
      </c:barChart>
      <c:catAx>
        <c:axId val="5165361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16536192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Sheet2!$D$1</c:f>
              <c:strCache>
                <c:ptCount val="1"/>
                <c:pt idx="0">
                  <c:v>University net earning</c:v>
                </c:pt>
              </c:strCache>
            </c:strRef>
          </c:tx>
          <c:spPr>
            <a:solidFill>
              <a:srgbClr val="4472C4"/>
            </a:solidFill>
            <a:ln w="25400">
              <a:noFill/>
            </a:ln>
          </c:spPr>
          <c:invertIfNegative val="0"/>
          <c:cat>
            <c:strRef>
              <c:f>Sheet2!$A$2:$A$33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Sheet2!$D$2:$D$33</c:f>
              <c:numCache>
                <c:formatCode>General</c:formatCode>
                <c:ptCount val="32"/>
                <c:pt idx="0">
                  <c:v>-18344203.504127599</c:v>
                </c:pt>
                <c:pt idx="1">
                  <c:v>-17400718.0542183</c:v>
                </c:pt>
                <c:pt idx="2">
                  <c:v>-17980638.827082999</c:v>
                </c:pt>
                <c:pt idx="3">
                  <c:v>-17933897.217544898</c:v>
                </c:pt>
                <c:pt idx="4">
                  <c:v>-18475187.509085301</c:v>
                </c:pt>
                <c:pt idx="5">
                  <c:v>-19846921.689263899</c:v>
                </c:pt>
                <c:pt idx="6">
                  <c:v>-18224713.245310701</c:v>
                </c:pt>
                <c:pt idx="7">
                  <c:v>-15464605.880899699</c:v>
                </c:pt>
                <c:pt idx="8">
                  <c:v>-9995948.2531276699</c:v>
                </c:pt>
                <c:pt idx="9">
                  <c:v>-21271591.610757701</c:v>
                </c:pt>
                <c:pt idx="10">
                  <c:v>-8739379.7214922309</c:v>
                </c:pt>
                <c:pt idx="11">
                  <c:v>-20088610.378621601</c:v>
                </c:pt>
                <c:pt idx="12">
                  <c:v>-10957125.6567099</c:v>
                </c:pt>
                <c:pt idx="13">
                  <c:v>-19298058.711867299</c:v>
                </c:pt>
                <c:pt idx="14">
                  <c:v>-13623563.6931441</c:v>
                </c:pt>
                <c:pt idx="15">
                  <c:v>-20695413.004154898</c:v>
                </c:pt>
                <c:pt idx="16">
                  <c:v>-7824259.4077669401</c:v>
                </c:pt>
                <c:pt idx="17">
                  <c:v>-1415881.9497326899</c:v>
                </c:pt>
                <c:pt idx="18">
                  <c:v>-6696047.13591504</c:v>
                </c:pt>
                <c:pt idx="19">
                  <c:v>-3430173.6580720502</c:v>
                </c:pt>
                <c:pt idx="20">
                  <c:v>-6325848.0947655402</c:v>
                </c:pt>
                <c:pt idx="21">
                  <c:v>-4281703.1739495499</c:v>
                </c:pt>
                <c:pt idx="22">
                  <c:v>-5713233.9113545902</c:v>
                </c:pt>
                <c:pt idx="23">
                  <c:v>998441.51873332204</c:v>
                </c:pt>
                <c:pt idx="24">
                  <c:v>16087205.5488762</c:v>
                </c:pt>
                <c:pt idx="25">
                  <c:v>7829271.27338407</c:v>
                </c:pt>
                <c:pt idx="26">
                  <c:v>19090546.030836798</c:v>
                </c:pt>
                <c:pt idx="27">
                  <c:v>8001819.4625559598</c:v>
                </c:pt>
                <c:pt idx="28">
                  <c:v>8876119.7743770704</c:v>
                </c:pt>
                <c:pt idx="29">
                  <c:v>7478490.4531686101</c:v>
                </c:pt>
                <c:pt idx="30">
                  <c:v>11203115.6601393</c:v>
                </c:pt>
                <c:pt idx="31">
                  <c:v>11695457.623707499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26-7444-9CB1-FD8D269D5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16566496"/>
        <c:axId val="1"/>
      </c:barChart>
      <c:catAx>
        <c:axId val="5165664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16566496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Comparison of university and investor final net earnings</a:t>
            </a:r>
          </a:p>
        </c:rich>
      </c:tx>
      <c:overlay val="0"/>
      <c:spPr>
        <a:noFill/>
        <a:ln w="2540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Sheet2!$D$1</c:f>
              <c:strCache>
                <c:ptCount val="1"/>
                <c:pt idx="0">
                  <c:v>University net earning</c:v>
                </c:pt>
              </c:strCache>
            </c:strRef>
          </c:tx>
          <c:spPr>
            <a:solidFill>
              <a:srgbClr val="4472C4"/>
            </a:solidFill>
            <a:ln w="25400">
              <a:noFill/>
            </a:ln>
          </c:spPr>
          <c:invertIfNegative val="0"/>
          <c:cat>
            <c:strRef>
              <c:f>Sheet2!$A$2:$A$33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Sheet2!$D$2:$D$33</c:f>
              <c:numCache>
                <c:formatCode>General</c:formatCode>
                <c:ptCount val="32"/>
                <c:pt idx="0">
                  <c:v>-18344203.504127599</c:v>
                </c:pt>
                <c:pt idx="1">
                  <c:v>-17400718.0542183</c:v>
                </c:pt>
                <c:pt idx="2">
                  <c:v>-17980638.827082999</c:v>
                </c:pt>
                <c:pt idx="3">
                  <c:v>-17933897.217544898</c:v>
                </c:pt>
                <c:pt idx="4">
                  <c:v>-18475187.509085301</c:v>
                </c:pt>
                <c:pt idx="5">
                  <c:v>-19846921.689263899</c:v>
                </c:pt>
                <c:pt idx="6">
                  <c:v>-18224713.245310701</c:v>
                </c:pt>
                <c:pt idx="7">
                  <c:v>-15464605.880899699</c:v>
                </c:pt>
                <c:pt idx="8">
                  <c:v>-9995948.2531276699</c:v>
                </c:pt>
                <c:pt idx="9">
                  <c:v>-21271591.610757701</c:v>
                </c:pt>
                <c:pt idx="10">
                  <c:v>-8739379.7214922309</c:v>
                </c:pt>
                <c:pt idx="11">
                  <c:v>-20088610.378621601</c:v>
                </c:pt>
                <c:pt idx="12">
                  <c:v>-10957125.6567099</c:v>
                </c:pt>
                <c:pt idx="13">
                  <c:v>-19298058.711867299</c:v>
                </c:pt>
                <c:pt idx="14">
                  <c:v>-13623563.6931441</c:v>
                </c:pt>
                <c:pt idx="15">
                  <c:v>-20695413.004154898</c:v>
                </c:pt>
                <c:pt idx="16">
                  <c:v>-7824259.4077669401</c:v>
                </c:pt>
                <c:pt idx="17">
                  <c:v>-1415881.9497326899</c:v>
                </c:pt>
                <c:pt idx="18">
                  <c:v>-6696047.13591504</c:v>
                </c:pt>
                <c:pt idx="19">
                  <c:v>-3430173.6580720502</c:v>
                </c:pt>
                <c:pt idx="20">
                  <c:v>-6325848.0947655402</c:v>
                </c:pt>
                <c:pt idx="21">
                  <c:v>-4281703.1739495499</c:v>
                </c:pt>
                <c:pt idx="22">
                  <c:v>-5713233.9113545902</c:v>
                </c:pt>
                <c:pt idx="23">
                  <c:v>998441.51873332204</c:v>
                </c:pt>
                <c:pt idx="24">
                  <c:v>16087205.5488762</c:v>
                </c:pt>
                <c:pt idx="25">
                  <c:v>7829271.27338407</c:v>
                </c:pt>
                <c:pt idx="26">
                  <c:v>19090546.030836798</c:v>
                </c:pt>
                <c:pt idx="27">
                  <c:v>8001819.4625559598</c:v>
                </c:pt>
                <c:pt idx="28">
                  <c:v>8876119.7743770704</c:v>
                </c:pt>
                <c:pt idx="29">
                  <c:v>7478490.4531686101</c:v>
                </c:pt>
                <c:pt idx="30">
                  <c:v>11203115.6601393</c:v>
                </c:pt>
                <c:pt idx="31">
                  <c:v>11695457.623707499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5E-604A-ADF9-BAF0089099F4}"/>
            </c:ext>
          </c:extLst>
        </c:ser>
        <c:ser>
          <c:idx val="1"/>
          <c:order val="1"/>
          <c:tx>
            <c:strRef>
              <c:f>Sheet2!$G$1</c:f>
              <c:strCache>
                <c:ptCount val="1"/>
                <c:pt idx="0">
                  <c:v>Investor net earning</c:v>
                </c:pt>
              </c:strCache>
            </c:strRef>
          </c:tx>
          <c:spPr>
            <a:solidFill>
              <a:srgbClr val="ED7D31"/>
            </a:solidFill>
            <a:ln w="25400">
              <a:noFill/>
            </a:ln>
          </c:spPr>
          <c:invertIfNegative val="0"/>
          <c:cat>
            <c:strRef>
              <c:f>Sheet2!$A$2:$A$33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Sheet2!$G$2:$G$33</c:f>
              <c:numCache>
                <c:formatCode>General</c:formatCode>
                <c:ptCount val="32"/>
                <c:pt idx="0">
                  <c:v>-449175.39258087007</c:v>
                </c:pt>
                <c:pt idx="1">
                  <c:v>1972676.31401867</c:v>
                </c:pt>
                <c:pt idx="2">
                  <c:v>238232.96777059976</c:v>
                </c:pt>
                <c:pt idx="3">
                  <c:v>2251943.3005721797</c:v>
                </c:pt>
                <c:pt idx="4">
                  <c:v>435601.53597672982</c:v>
                </c:pt>
                <c:pt idx="5">
                  <c:v>2333506.0665412196</c:v>
                </c:pt>
                <c:pt idx="6">
                  <c:v>134982.23852550983</c:v>
                </c:pt>
                <c:pt idx="7">
                  <c:v>2145580.8226570501</c:v>
                </c:pt>
                <c:pt idx="8">
                  <c:v>-3936500.0871600807</c:v>
                </c:pt>
                <c:pt idx="9">
                  <c:v>-2791742.4699146301</c:v>
                </c:pt>
                <c:pt idx="10">
                  <c:v>-4213194.5234952103</c:v>
                </c:pt>
                <c:pt idx="11">
                  <c:v>-3033416.7120820004</c:v>
                </c:pt>
                <c:pt idx="12">
                  <c:v>-4360481.6077743191</c:v>
                </c:pt>
                <c:pt idx="13">
                  <c:v>-675630.8383201696</c:v>
                </c:pt>
                <c:pt idx="14">
                  <c:v>-4043789.0819571391</c:v>
                </c:pt>
                <c:pt idx="15">
                  <c:v>-4011437.7410312798</c:v>
                </c:pt>
                <c:pt idx="16">
                  <c:v>2291212.09483825</c:v>
                </c:pt>
                <c:pt idx="17">
                  <c:v>7134915.5080373101</c:v>
                </c:pt>
                <c:pt idx="18">
                  <c:v>3666028.8155411999</c:v>
                </c:pt>
                <c:pt idx="19">
                  <c:v>7693449.4811443109</c:v>
                </c:pt>
                <c:pt idx="20">
                  <c:v>4060765.95195346</c:v>
                </c:pt>
                <c:pt idx="21">
                  <c:v>7628749.0930824112</c:v>
                </c:pt>
                <c:pt idx="22">
                  <c:v>3231701.4370510201</c:v>
                </c:pt>
                <c:pt idx="23">
                  <c:v>7708550.4453140106</c:v>
                </c:pt>
                <c:pt idx="24">
                  <c:v>1945331.1760267001</c:v>
                </c:pt>
                <c:pt idx="25">
                  <c:v>3242139.5570286997</c:v>
                </c:pt>
                <c:pt idx="26">
                  <c:v>1093205.9988532998</c:v>
                </c:pt>
                <c:pt idx="27">
                  <c:v>2407109.9066218007</c:v>
                </c:pt>
                <c:pt idx="28">
                  <c:v>-1689547.9310670402</c:v>
                </c:pt>
                <c:pt idx="29">
                  <c:v>-114001.18215314113</c:v>
                </c:pt>
                <c:pt idx="30">
                  <c:v>1533258.0757454</c:v>
                </c:pt>
                <c:pt idx="31">
                  <c:v>6172329.5897658002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5E-604A-ADF9-BAF0089099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16601888"/>
        <c:axId val="1"/>
      </c:barChart>
      <c:catAx>
        <c:axId val="5166018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20000000"/>
          <c:min val="-220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1660188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Parameter</a:t>
            </a:r>
            <a:r>
              <a:rPr lang="en-GB" baseline="0"/>
              <a:t> setups</a:t>
            </a:r>
            <a:endParaRPr lang="en-GB"/>
          </a:p>
        </c:rich>
      </c:tx>
      <c:overlay val="0"/>
      <c:spPr>
        <a:noFill/>
        <a:ln w="2540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Sheet3!$C$1</c:f>
              <c:strCache>
                <c:ptCount val="1"/>
                <c:pt idx="0">
                  <c:v>nursery_count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Sheet3!$A$2:$A$39</c:f>
              <c:strCache>
                <c:ptCount val="38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AG</c:v>
                </c:pt>
                <c:pt idx="17">
                  <c:v>AI</c:v>
                </c:pt>
                <c:pt idx="18">
                  <c:v>AK</c:v>
                </c:pt>
                <c:pt idx="19">
                  <c:v>AM </c:v>
                </c:pt>
                <c:pt idx="20">
                  <c:v>AO</c:v>
                </c:pt>
                <c:pt idx="21">
                  <c:v>AQ</c:v>
                </c:pt>
                <c:pt idx="22">
                  <c:v>B </c:v>
                </c:pt>
                <c:pt idx="23">
                  <c:v>D</c:v>
                </c:pt>
                <c:pt idx="24">
                  <c:v>F</c:v>
                </c:pt>
                <c:pt idx="25">
                  <c:v>H</c:v>
                </c:pt>
                <c:pt idx="26">
                  <c:v>J</c:v>
                </c:pt>
                <c:pt idx="27">
                  <c:v>L</c:v>
                </c:pt>
                <c:pt idx="28">
                  <c:v>N</c:v>
                </c:pt>
                <c:pt idx="29">
                  <c:v>P</c:v>
                </c:pt>
                <c:pt idx="30">
                  <c:v>R</c:v>
                </c:pt>
                <c:pt idx="31">
                  <c:v>T</c:v>
                </c:pt>
                <c:pt idx="32">
                  <c:v>V</c:v>
                </c:pt>
                <c:pt idx="33">
                  <c:v>X</c:v>
                </c:pt>
                <c:pt idx="34">
                  <c:v>Z </c:v>
                </c:pt>
                <c:pt idx="35">
                  <c:v>AB</c:v>
                </c:pt>
                <c:pt idx="36">
                  <c:v>AD</c:v>
                </c:pt>
                <c:pt idx="37">
                  <c:v>AF</c:v>
                </c:pt>
              </c:strCache>
            </c:strRef>
          </c:cat>
          <c:val>
            <c:numRef>
              <c:f>Sheet3!$C$2:$C$39</c:f>
              <c:numCache>
                <c:formatCode>General</c:formatCode>
                <c:ptCount val="3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4</c:v>
                </c:pt>
                <c:pt idx="21">
                  <c:v>4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C8-C148-B52B-30A1F5087FD3}"/>
            </c:ext>
          </c:extLst>
        </c:ser>
        <c:ser>
          <c:idx val="1"/>
          <c:order val="1"/>
          <c:tx>
            <c:strRef>
              <c:f>Sheet3!$D$1</c:f>
              <c:strCache>
                <c:ptCount val="1"/>
                <c:pt idx="0">
                  <c:v>police_count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Sheet3!$A$2:$A$39</c:f>
              <c:strCache>
                <c:ptCount val="38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AG</c:v>
                </c:pt>
                <c:pt idx="17">
                  <c:v>AI</c:v>
                </c:pt>
                <c:pt idx="18">
                  <c:v>AK</c:v>
                </c:pt>
                <c:pt idx="19">
                  <c:v>AM </c:v>
                </c:pt>
                <c:pt idx="20">
                  <c:v>AO</c:v>
                </c:pt>
                <c:pt idx="21">
                  <c:v>AQ</c:v>
                </c:pt>
                <c:pt idx="22">
                  <c:v>B </c:v>
                </c:pt>
                <c:pt idx="23">
                  <c:v>D</c:v>
                </c:pt>
                <c:pt idx="24">
                  <c:v>F</c:v>
                </c:pt>
                <c:pt idx="25">
                  <c:v>H</c:v>
                </c:pt>
                <c:pt idx="26">
                  <c:v>J</c:v>
                </c:pt>
                <c:pt idx="27">
                  <c:v>L</c:v>
                </c:pt>
                <c:pt idx="28">
                  <c:v>N</c:v>
                </c:pt>
                <c:pt idx="29">
                  <c:v>P</c:v>
                </c:pt>
                <c:pt idx="30">
                  <c:v>R</c:v>
                </c:pt>
                <c:pt idx="31">
                  <c:v>T</c:v>
                </c:pt>
                <c:pt idx="32">
                  <c:v>V</c:v>
                </c:pt>
                <c:pt idx="33">
                  <c:v>X</c:v>
                </c:pt>
                <c:pt idx="34">
                  <c:v>Z </c:v>
                </c:pt>
                <c:pt idx="35">
                  <c:v>AB</c:v>
                </c:pt>
                <c:pt idx="36">
                  <c:v>AD</c:v>
                </c:pt>
                <c:pt idx="37">
                  <c:v>AF</c:v>
                </c:pt>
              </c:strCache>
            </c:strRef>
          </c:cat>
          <c:val>
            <c:numRef>
              <c:f>Sheet3!$D$2:$D$39</c:f>
              <c:numCache>
                <c:formatCode>General</c:formatCode>
                <c:ptCount val="38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3</c:v>
                </c:pt>
                <c:pt idx="4">
                  <c:v>1</c:v>
                </c:pt>
                <c:pt idx="5">
                  <c:v>1</c:v>
                </c:pt>
                <c:pt idx="6">
                  <c:v>3</c:v>
                </c:pt>
                <c:pt idx="7">
                  <c:v>3</c:v>
                </c:pt>
                <c:pt idx="8">
                  <c:v>1</c:v>
                </c:pt>
                <c:pt idx="9">
                  <c:v>1</c:v>
                </c:pt>
                <c:pt idx="10">
                  <c:v>3</c:v>
                </c:pt>
                <c:pt idx="11">
                  <c:v>3</c:v>
                </c:pt>
                <c:pt idx="12">
                  <c:v>1</c:v>
                </c:pt>
                <c:pt idx="13">
                  <c:v>1</c:v>
                </c:pt>
                <c:pt idx="14">
                  <c:v>3</c:v>
                </c:pt>
                <c:pt idx="15">
                  <c:v>3</c:v>
                </c:pt>
                <c:pt idx="16">
                  <c:v>1</c:v>
                </c:pt>
                <c:pt idx="17">
                  <c:v>1</c:v>
                </c:pt>
                <c:pt idx="18">
                  <c:v>3</c:v>
                </c:pt>
                <c:pt idx="19">
                  <c:v>3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3</c:v>
                </c:pt>
                <c:pt idx="25">
                  <c:v>3</c:v>
                </c:pt>
                <c:pt idx="26">
                  <c:v>1</c:v>
                </c:pt>
                <c:pt idx="27">
                  <c:v>1</c:v>
                </c:pt>
                <c:pt idx="28">
                  <c:v>3</c:v>
                </c:pt>
                <c:pt idx="29">
                  <c:v>3</c:v>
                </c:pt>
                <c:pt idx="30">
                  <c:v>1</c:v>
                </c:pt>
                <c:pt idx="31">
                  <c:v>1</c:v>
                </c:pt>
                <c:pt idx="32">
                  <c:v>3</c:v>
                </c:pt>
                <c:pt idx="33">
                  <c:v>3</c:v>
                </c:pt>
                <c:pt idx="34">
                  <c:v>1</c:v>
                </c:pt>
                <c:pt idx="35">
                  <c:v>1</c:v>
                </c:pt>
                <c:pt idx="36">
                  <c:v>3</c:v>
                </c:pt>
                <c:pt idx="37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C8-C148-B52B-30A1F5087FD3}"/>
            </c:ext>
          </c:extLst>
        </c:ser>
        <c:ser>
          <c:idx val="2"/>
          <c:order val="2"/>
          <c:tx>
            <c:strRef>
              <c:f>Sheet3!$E$1</c:f>
              <c:strCache>
                <c:ptCount val="1"/>
                <c:pt idx="0">
                  <c:v>member_count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Sheet3!$A$2:$A$39</c:f>
              <c:strCache>
                <c:ptCount val="38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AG</c:v>
                </c:pt>
                <c:pt idx="17">
                  <c:v>AI</c:v>
                </c:pt>
                <c:pt idx="18">
                  <c:v>AK</c:v>
                </c:pt>
                <c:pt idx="19">
                  <c:v>AM </c:v>
                </c:pt>
                <c:pt idx="20">
                  <c:v>AO</c:v>
                </c:pt>
                <c:pt idx="21">
                  <c:v>AQ</c:v>
                </c:pt>
                <c:pt idx="22">
                  <c:v>B </c:v>
                </c:pt>
                <c:pt idx="23">
                  <c:v>D</c:v>
                </c:pt>
                <c:pt idx="24">
                  <c:v>F</c:v>
                </c:pt>
                <c:pt idx="25">
                  <c:v>H</c:v>
                </c:pt>
                <c:pt idx="26">
                  <c:v>J</c:v>
                </c:pt>
                <c:pt idx="27">
                  <c:v>L</c:v>
                </c:pt>
                <c:pt idx="28">
                  <c:v>N</c:v>
                </c:pt>
                <c:pt idx="29">
                  <c:v>P</c:v>
                </c:pt>
                <c:pt idx="30">
                  <c:v>R</c:v>
                </c:pt>
                <c:pt idx="31">
                  <c:v>T</c:v>
                </c:pt>
                <c:pt idx="32">
                  <c:v>V</c:v>
                </c:pt>
                <c:pt idx="33">
                  <c:v>X</c:v>
                </c:pt>
                <c:pt idx="34">
                  <c:v>Z </c:v>
                </c:pt>
                <c:pt idx="35">
                  <c:v>AB</c:v>
                </c:pt>
                <c:pt idx="36">
                  <c:v>AD</c:v>
                </c:pt>
                <c:pt idx="37">
                  <c:v>AF</c:v>
                </c:pt>
              </c:strCache>
            </c:strRef>
          </c:cat>
          <c:val>
            <c:numRef>
              <c:f>Sheet3!$E$2:$E$39</c:f>
              <c:numCache>
                <c:formatCode>General</c:formatCode>
                <c:ptCount val="38"/>
                <c:pt idx="0">
                  <c:v>15</c:v>
                </c:pt>
                <c:pt idx="1">
                  <c:v>30</c:v>
                </c:pt>
                <c:pt idx="2">
                  <c:v>15</c:v>
                </c:pt>
                <c:pt idx="3">
                  <c:v>30</c:v>
                </c:pt>
                <c:pt idx="4">
                  <c:v>15</c:v>
                </c:pt>
                <c:pt idx="5">
                  <c:v>30</c:v>
                </c:pt>
                <c:pt idx="6">
                  <c:v>15</c:v>
                </c:pt>
                <c:pt idx="7">
                  <c:v>30</c:v>
                </c:pt>
                <c:pt idx="8">
                  <c:v>15</c:v>
                </c:pt>
                <c:pt idx="9">
                  <c:v>30</c:v>
                </c:pt>
                <c:pt idx="10">
                  <c:v>15</c:v>
                </c:pt>
                <c:pt idx="11">
                  <c:v>30</c:v>
                </c:pt>
                <c:pt idx="12">
                  <c:v>15</c:v>
                </c:pt>
                <c:pt idx="13">
                  <c:v>30</c:v>
                </c:pt>
                <c:pt idx="14">
                  <c:v>15</c:v>
                </c:pt>
                <c:pt idx="15">
                  <c:v>30</c:v>
                </c:pt>
                <c:pt idx="16">
                  <c:v>15</c:v>
                </c:pt>
                <c:pt idx="17">
                  <c:v>30</c:v>
                </c:pt>
                <c:pt idx="18">
                  <c:v>15</c:v>
                </c:pt>
                <c:pt idx="19">
                  <c:v>30</c:v>
                </c:pt>
                <c:pt idx="20">
                  <c:v>15</c:v>
                </c:pt>
                <c:pt idx="21">
                  <c:v>30</c:v>
                </c:pt>
                <c:pt idx="22">
                  <c:v>15</c:v>
                </c:pt>
                <c:pt idx="23">
                  <c:v>30</c:v>
                </c:pt>
                <c:pt idx="24">
                  <c:v>15</c:v>
                </c:pt>
                <c:pt idx="25">
                  <c:v>30</c:v>
                </c:pt>
                <c:pt idx="26">
                  <c:v>15</c:v>
                </c:pt>
                <c:pt idx="27">
                  <c:v>30</c:v>
                </c:pt>
                <c:pt idx="28">
                  <c:v>15</c:v>
                </c:pt>
                <c:pt idx="29">
                  <c:v>30</c:v>
                </c:pt>
                <c:pt idx="30">
                  <c:v>15</c:v>
                </c:pt>
                <c:pt idx="31">
                  <c:v>30</c:v>
                </c:pt>
                <c:pt idx="32">
                  <c:v>15</c:v>
                </c:pt>
                <c:pt idx="33">
                  <c:v>30</c:v>
                </c:pt>
                <c:pt idx="34">
                  <c:v>15</c:v>
                </c:pt>
                <c:pt idx="35">
                  <c:v>30</c:v>
                </c:pt>
                <c:pt idx="36">
                  <c:v>15</c:v>
                </c:pt>
                <c:pt idx="37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6C8-C148-B52B-30A1F5087FD3}"/>
            </c:ext>
          </c:extLst>
        </c:ser>
        <c:ser>
          <c:idx val="3"/>
          <c:order val="3"/>
          <c:tx>
            <c:strRef>
              <c:f>Sheet3!$F$1</c:f>
              <c:strCache>
                <c:ptCount val="1"/>
                <c:pt idx="0">
                  <c:v>investor_count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Sheet3!$A$2:$A$39</c:f>
              <c:strCache>
                <c:ptCount val="38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AG</c:v>
                </c:pt>
                <c:pt idx="17">
                  <c:v>AI</c:v>
                </c:pt>
                <c:pt idx="18">
                  <c:v>AK</c:v>
                </c:pt>
                <c:pt idx="19">
                  <c:v>AM </c:v>
                </c:pt>
                <c:pt idx="20">
                  <c:v>AO</c:v>
                </c:pt>
                <c:pt idx="21">
                  <c:v>AQ</c:v>
                </c:pt>
                <c:pt idx="22">
                  <c:v>B </c:v>
                </c:pt>
                <c:pt idx="23">
                  <c:v>D</c:v>
                </c:pt>
                <c:pt idx="24">
                  <c:v>F</c:v>
                </c:pt>
                <c:pt idx="25">
                  <c:v>H</c:v>
                </c:pt>
                <c:pt idx="26">
                  <c:v>J</c:v>
                </c:pt>
                <c:pt idx="27">
                  <c:v>L</c:v>
                </c:pt>
                <c:pt idx="28">
                  <c:v>N</c:v>
                </c:pt>
                <c:pt idx="29">
                  <c:v>P</c:v>
                </c:pt>
                <c:pt idx="30">
                  <c:v>R</c:v>
                </c:pt>
                <c:pt idx="31">
                  <c:v>T</c:v>
                </c:pt>
                <c:pt idx="32">
                  <c:v>V</c:v>
                </c:pt>
                <c:pt idx="33">
                  <c:v>X</c:v>
                </c:pt>
                <c:pt idx="34">
                  <c:v>Z </c:v>
                </c:pt>
                <c:pt idx="35">
                  <c:v>AB</c:v>
                </c:pt>
                <c:pt idx="36">
                  <c:v>AD</c:v>
                </c:pt>
                <c:pt idx="37">
                  <c:v>AF</c:v>
                </c:pt>
              </c:strCache>
            </c:strRef>
          </c:cat>
          <c:val>
            <c:numRef>
              <c:f>Sheet3!$F$2:$F$39</c:f>
              <c:numCache>
                <c:formatCode>General</c:formatCode>
                <c:ptCount val="38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30</c:v>
                </c:pt>
                <c:pt idx="9">
                  <c:v>30</c:v>
                </c:pt>
                <c:pt idx="10">
                  <c:v>30</c:v>
                </c:pt>
                <c:pt idx="11">
                  <c:v>30</c:v>
                </c:pt>
                <c:pt idx="12">
                  <c:v>30</c:v>
                </c:pt>
                <c:pt idx="13">
                  <c:v>30</c:v>
                </c:pt>
                <c:pt idx="14">
                  <c:v>30</c:v>
                </c:pt>
                <c:pt idx="15">
                  <c:v>30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10</c:v>
                </c:pt>
                <c:pt idx="29">
                  <c:v>10</c:v>
                </c:pt>
                <c:pt idx="30">
                  <c:v>30</c:v>
                </c:pt>
                <c:pt idx="31">
                  <c:v>30</c:v>
                </c:pt>
                <c:pt idx="32">
                  <c:v>30</c:v>
                </c:pt>
                <c:pt idx="33">
                  <c:v>30</c:v>
                </c:pt>
                <c:pt idx="34">
                  <c:v>30</c:v>
                </c:pt>
                <c:pt idx="35">
                  <c:v>30</c:v>
                </c:pt>
                <c:pt idx="36">
                  <c:v>30</c:v>
                </c:pt>
                <c:pt idx="37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6C8-C148-B52B-30A1F5087FD3}"/>
            </c:ext>
          </c:extLst>
        </c:ser>
        <c:ser>
          <c:idx val="4"/>
          <c:order val="4"/>
          <c:tx>
            <c:strRef>
              <c:f>Sheet3!$G$1</c:f>
              <c:strCache>
                <c:ptCount val="1"/>
                <c:pt idx="0">
                  <c:v>Price multiplier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Sheet3!$A$2:$A$39</c:f>
              <c:strCache>
                <c:ptCount val="38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AG</c:v>
                </c:pt>
                <c:pt idx="17">
                  <c:v>AI</c:v>
                </c:pt>
                <c:pt idx="18">
                  <c:v>AK</c:v>
                </c:pt>
                <c:pt idx="19">
                  <c:v>AM </c:v>
                </c:pt>
                <c:pt idx="20">
                  <c:v>AO</c:v>
                </c:pt>
                <c:pt idx="21">
                  <c:v>AQ</c:v>
                </c:pt>
                <c:pt idx="22">
                  <c:v>B </c:v>
                </c:pt>
                <c:pt idx="23">
                  <c:v>D</c:v>
                </c:pt>
                <c:pt idx="24">
                  <c:v>F</c:v>
                </c:pt>
                <c:pt idx="25">
                  <c:v>H</c:v>
                </c:pt>
                <c:pt idx="26">
                  <c:v>J</c:v>
                </c:pt>
                <c:pt idx="27">
                  <c:v>L</c:v>
                </c:pt>
                <c:pt idx="28">
                  <c:v>N</c:v>
                </c:pt>
                <c:pt idx="29">
                  <c:v>P</c:v>
                </c:pt>
                <c:pt idx="30">
                  <c:v>R</c:v>
                </c:pt>
                <c:pt idx="31">
                  <c:v>T</c:v>
                </c:pt>
                <c:pt idx="32">
                  <c:v>V</c:v>
                </c:pt>
                <c:pt idx="33">
                  <c:v>X</c:v>
                </c:pt>
                <c:pt idx="34">
                  <c:v>Z </c:v>
                </c:pt>
                <c:pt idx="35">
                  <c:v>AB</c:v>
                </c:pt>
                <c:pt idx="36">
                  <c:v>AD</c:v>
                </c:pt>
                <c:pt idx="37">
                  <c:v>AF</c:v>
                </c:pt>
              </c:strCache>
            </c:strRef>
          </c:cat>
          <c:val>
            <c:numRef>
              <c:f>Sheet3!$G$2:$G$39</c:f>
              <c:numCache>
                <c:formatCode>General</c:formatCode>
                <c:ptCount val="3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6C8-C148-B52B-30A1F5087F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9116463"/>
        <c:axId val="1"/>
      </c:lineChart>
      <c:catAx>
        <c:axId val="5391164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39116463"/>
        <c:crosses val="autoZero"/>
        <c:crossBetween val="between"/>
        <c:majorUnit val="1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Independent earning</a:t>
            </a:r>
          </a:p>
        </c:rich>
      </c:tx>
      <c:overlay val="0"/>
      <c:spPr>
        <a:noFill/>
        <a:ln w="2540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Sheet5!$H$1</c:f>
              <c:strCache>
                <c:ptCount val="1"/>
                <c:pt idx="0">
                  <c:v>m_independent_earning</c:v>
                </c:pt>
              </c:strCache>
            </c:strRef>
          </c:tx>
          <c:spPr>
            <a:solidFill>
              <a:srgbClr val="4472C4"/>
            </a:solidFill>
            <a:ln w="25400">
              <a:noFill/>
            </a:ln>
          </c:spPr>
          <c:invertIfNegative val="0"/>
          <c:cat>
            <c:strRef>
              <c:f>Sheet5!$E$2:$E$33</c:f>
              <c:strCache>
                <c:ptCount val="32"/>
                <c:pt idx="0">
                  <c:v>30-30 S</c:v>
                </c:pt>
                <c:pt idx="1">
                  <c:v>30-30 W</c:v>
                </c:pt>
                <c:pt idx="2">
                  <c:v>30-30 AA</c:v>
                </c:pt>
                <c:pt idx="3">
                  <c:v>30-30 AE</c:v>
                </c:pt>
                <c:pt idx="4">
                  <c:v>30-30 T</c:v>
                </c:pt>
                <c:pt idx="5">
                  <c:v>30-30 X</c:v>
                </c:pt>
                <c:pt idx="6">
                  <c:v>30-30 AB</c:v>
                </c:pt>
                <c:pt idx="7">
                  <c:v>30-30 AF</c:v>
                </c:pt>
                <c:pt idx="8">
                  <c:v>30-10 C</c:v>
                </c:pt>
                <c:pt idx="9">
                  <c:v>30-10 G</c:v>
                </c:pt>
                <c:pt idx="10">
                  <c:v>30-10 K</c:v>
                </c:pt>
                <c:pt idx="11">
                  <c:v>30-10 O</c:v>
                </c:pt>
                <c:pt idx="12">
                  <c:v>30-10 D</c:v>
                </c:pt>
                <c:pt idx="13">
                  <c:v>30-10 H</c:v>
                </c:pt>
                <c:pt idx="14">
                  <c:v>30-10 L</c:v>
                </c:pt>
                <c:pt idx="15">
                  <c:v>30-10 P</c:v>
                </c:pt>
                <c:pt idx="16">
                  <c:v>15-30 Q</c:v>
                </c:pt>
                <c:pt idx="17">
                  <c:v>15-30 U</c:v>
                </c:pt>
                <c:pt idx="18">
                  <c:v>15-30 Y</c:v>
                </c:pt>
                <c:pt idx="19">
                  <c:v>15-30 AC</c:v>
                </c:pt>
                <c:pt idx="20">
                  <c:v>15-30 R</c:v>
                </c:pt>
                <c:pt idx="21">
                  <c:v>15-30 V</c:v>
                </c:pt>
                <c:pt idx="22">
                  <c:v>15-30 Z </c:v>
                </c:pt>
                <c:pt idx="23">
                  <c:v>15-30 AD</c:v>
                </c:pt>
                <c:pt idx="24">
                  <c:v>15-10 A</c:v>
                </c:pt>
                <c:pt idx="25">
                  <c:v>15-10 E</c:v>
                </c:pt>
                <c:pt idx="26">
                  <c:v>15-10 I </c:v>
                </c:pt>
                <c:pt idx="27">
                  <c:v>15-10 M</c:v>
                </c:pt>
                <c:pt idx="28">
                  <c:v>15-10 B </c:v>
                </c:pt>
                <c:pt idx="29">
                  <c:v>15-10 F</c:v>
                </c:pt>
                <c:pt idx="30">
                  <c:v>15-10 J</c:v>
                </c:pt>
                <c:pt idx="31">
                  <c:v>15-10 N</c:v>
                </c:pt>
              </c:strCache>
            </c:strRef>
          </c:cat>
          <c:val>
            <c:numRef>
              <c:f>Sheet5!$H$2:$H$33</c:f>
              <c:numCache>
                <c:formatCode>General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58709.1250899999</c:v>
                </c:pt>
                <c:pt idx="9">
                  <c:v>58709.125090000001</c:v>
                </c:pt>
                <c:pt idx="10">
                  <c:v>0</c:v>
                </c:pt>
                <c:pt idx="11">
                  <c:v>8387.0178699999997</c:v>
                </c:pt>
                <c:pt idx="12">
                  <c:v>58709.1250899999</c:v>
                </c:pt>
                <c:pt idx="13">
                  <c:v>58709.125090000001</c:v>
                </c:pt>
                <c:pt idx="14">
                  <c:v>0</c:v>
                </c:pt>
                <c:pt idx="15">
                  <c:v>8387.0178699999997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E3-304D-B790-F612D40EBE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16482560"/>
        <c:axId val="1"/>
      </c:barChart>
      <c:catAx>
        <c:axId val="5164825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6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16482560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Sheet5!$Q$1</c:f>
              <c:strCache>
                <c:ptCount val="1"/>
                <c:pt idx="0">
                  <c:v>net_running_earning</c:v>
                </c:pt>
              </c:strCache>
            </c:strRef>
          </c:tx>
          <c:spPr>
            <a:solidFill>
              <a:srgbClr val="4472C4"/>
            </a:solidFill>
            <a:ln w="25400">
              <a:noFill/>
            </a:ln>
          </c:spPr>
          <c:invertIfNegative val="0"/>
          <c:cat>
            <c:strRef>
              <c:f>Sheet5!$O$2:$O$33</c:f>
              <c:strCache>
                <c:ptCount val="32"/>
                <c:pt idx="0">
                  <c:v>10-A</c:v>
                </c:pt>
                <c:pt idx="1">
                  <c:v>10-C</c:v>
                </c:pt>
                <c:pt idx="2">
                  <c:v>10-E</c:v>
                </c:pt>
                <c:pt idx="3">
                  <c:v>10-G</c:v>
                </c:pt>
                <c:pt idx="4">
                  <c:v>10-I</c:v>
                </c:pt>
                <c:pt idx="5">
                  <c:v>10-K</c:v>
                </c:pt>
                <c:pt idx="6">
                  <c:v>10-M</c:v>
                </c:pt>
                <c:pt idx="7">
                  <c:v>10-O</c:v>
                </c:pt>
                <c:pt idx="8">
                  <c:v>10-B </c:v>
                </c:pt>
                <c:pt idx="9">
                  <c:v>10-D</c:v>
                </c:pt>
                <c:pt idx="10">
                  <c:v>10-F</c:v>
                </c:pt>
                <c:pt idx="11">
                  <c:v>10-H</c:v>
                </c:pt>
                <c:pt idx="12">
                  <c:v>10-J</c:v>
                </c:pt>
                <c:pt idx="13">
                  <c:v>10-L</c:v>
                </c:pt>
                <c:pt idx="14">
                  <c:v>10-N</c:v>
                </c:pt>
                <c:pt idx="15">
                  <c:v>10-P</c:v>
                </c:pt>
                <c:pt idx="16">
                  <c:v>30-Q</c:v>
                </c:pt>
                <c:pt idx="17">
                  <c:v>30-S</c:v>
                </c:pt>
                <c:pt idx="18">
                  <c:v>30-U</c:v>
                </c:pt>
                <c:pt idx="19">
                  <c:v>30-W</c:v>
                </c:pt>
                <c:pt idx="20">
                  <c:v>30-Y</c:v>
                </c:pt>
                <c:pt idx="21">
                  <c:v>30-AA</c:v>
                </c:pt>
                <c:pt idx="22">
                  <c:v>30-AC</c:v>
                </c:pt>
                <c:pt idx="23">
                  <c:v>30-AE</c:v>
                </c:pt>
                <c:pt idx="24">
                  <c:v>30-R</c:v>
                </c:pt>
                <c:pt idx="25">
                  <c:v>30-T</c:v>
                </c:pt>
                <c:pt idx="26">
                  <c:v>30-V</c:v>
                </c:pt>
                <c:pt idx="27">
                  <c:v>30-X</c:v>
                </c:pt>
                <c:pt idx="28">
                  <c:v>30-Z </c:v>
                </c:pt>
                <c:pt idx="29">
                  <c:v>30-AB</c:v>
                </c:pt>
                <c:pt idx="30">
                  <c:v>30-AD</c:v>
                </c:pt>
                <c:pt idx="31">
                  <c:v>30-AF</c:v>
                </c:pt>
              </c:strCache>
            </c:strRef>
          </c:cat>
          <c:val>
            <c:numRef>
              <c:f>Sheet5!$Q$2:$Q$33</c:f>
              <c:numCache>
                <c:formatCode>General</c:formatCode>
                <c:ptCount val="32"/>
                <c:pt idx="0">
                  <c:v>-18344203.504127599</c:v>
                </c:pt>
                <c:pt idx="1">
                  <c:v>-17400718.0542183</c:v>
                </c:pt>
                <c:pt idx="2">
                  <c:v>-17980638.827082999</c:v>
                </c:pt>
                <c:pt idx="3">
                  <c:v>-17933897.217544898</c:v>
                </c:pt>
                <c:pt idx="4">
                  <c:v>-18475187.509085301</c:v>
                </c:pt>
                <c:pt idx="5">
                  <c:v>-19846921.689263899</c:v>
                </c:pt>
                <c:pt idx="6">
                  <c:v>-18224713.245310701</c:v>
                </c:pt>
                <c:pt idx="7">
                  <c:v>-15464605.880899699</c:v>
                </c:pt>
                <c:pt idx="8">
                  <c:v>-7824259.4077669401</c:v>
                </c:pt>
                <c:pt idx="9">
                  <c:v>-1415881.9497326899</c:v>
                </c:pt>
                <c:pt idx="10">
                  <c:v>-6696047.13591504</c:v>
                </c:pt>
                <c:pt idx="11">
                  <c:v>-3430173.6580720502</c:v>
                </c:pt>
                <c:pt idx="12">
                  <c:v>-6325848.0947655402</c:v>
                </c:pt>
                <c:pt idx="13">
                  <c:v>-4281703.1739495499</c:v>
                </c:pt>
                <c:pt idx="14">
                  <c:v>-5713233.9113545902</c:v>
                </c:pt>
                <c:pt idx="15">
                  <c:v>998441.51873332204</c:v>
                </c:pt>
                <c:pt idx="16">
                  <c:v>-9995948.2531276699</c:v>
                </c:pt>
                <c:pt idx="17">
                  <c:v>-21271591.610757701</c:v>
                </c:pt>
                <c:pt idx="18">
                  <c:v>-8739379.7214922309</c:v>
                </c:pt>
                <c:pt idx="19">
                  <c:v>-20088610.378621601</c:v>
                </c:pt>
                <c:pt idx="20">
                  <c:v>-10957125.6567099</c:v>
                </c:pt>
                <c:pt idx="21">
                  <c:v>-19298058.711867299</c:v>
                </c:pt>
                <c:pt idx="22">
                  <c:v>-13623563.6931441</c:v>
                </c:pt>
                <c:pt idx="23">
                  <c:v>-20695413.004154898</c:v>
                </c:pt>
                <c:pt idx="24">
                  <c:v>16087205.5488762</c:v>
                </c:pt>
                <c:pt idx="25">
                  <c:v>7829271.27338407</c:v>
                </c:pt>
                <c:pt idx="26">
                  <c:v>19090546.030836798</c:v>
                </c:pt>
                <c:pt idx="27">
                  <c:v>8001819.4625559598</c:v>
                </c:pt>
                <c:pt idx="28">
                  <c:v>8876119.7743770704</c:v>
                </c:pt>
                <c:pt idx="29">
                  <c:v>7478490.4531686101</c:v>
                </c:pt>
                <c:pt idx="30">
                  <c:v>11203115.6601393</c:v>
                </c:pt>
                <c:pt idx="31">
                  <c:v>11695457.623707499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8B-224D-9734-CF2F980B4E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16209216"/>
        <c:axId val="1"/>
      </c:barChart>
      <c:catAx>
        <c:axId val="5162092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16209216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University net earning given investor count and tree price per bdft</a:t>
            </a:r>
          </a:p>
        </c:rich>
      </c:tx>
      <c:overlay val="0"/>
      <c:spPr>
        <a:noFill/>
        <a:ln w="2540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Sheet5!$AD$1</c:f>
              <c:strCache>
                <c:ptCount val="1"/>
                <c:pt idx="0">
                  <c:v>net_running_earning</c:v>
                </c:pt>
              </c:strCache>
            </c:strRef>
          </c:tx>
          <c:spPr>
            <a:solidFill>
              <a:srgbClr val="4472C4"/>
            </a:solidFill>
            <a:ln w="25400">
              <a:noFill/>
            </a:ln>
          </c:spPr>
          <c:invertIfNegative val="0"/>
          <c:cat>
            <c:strRef>
              <c:f>Sheet5!$Z$2:$Z$33</c:f>
              <c:strCache>
                <c:ptCount val="32"/>
                <c:pt idx="0">
                  <c:v>30-2 R</c:v>
                </c:pt>
                <c:pt idx="1">
                  <c:v>30-2 T</c:v>
                </c:pt>
                <c:pt idx="2">
                  <c:v>30-2 V</c:v>
                </c:pt>
                <c:pt idx="3">
                  <c:v>30-2 X</c:v>
                </c:pt>
                <c:pt idx="4">
                  <c:v>30-2 Z </c:v>
                </c:pt>
                <c:pt idx="5">
                  <c:v>30-2 AB</c:v>
                </c:pt>
                <c:pt idx="6">
                  <c:v>30-2 AD</c:v>
                </c:pt>
                <c:pt idx="7">
                  <c:v>30-2 AF</c:v>
                </c:pt>
                <c:pt idx="8">
                  <c:v>30-1 Q</c:v>
                </c:pt>
                <c:pt idx="9">
                  <c:v>30-1 S</c:v>
                </c:pt>
                <c:pt idx="10">
                  <c:v>30-1 U</c:v>
                </c:pt>
                <c:pt idx="11">
                  <c:v>30-1 W</c:v>
                </c:pt>
                <c:pt idx="12">
                  <c:v>30-1 Y</c:v>
                </c:pt>
                <c:pt idx="13">
                  <c:v>30-1 AA</c:v>
                </c:pt>
                <c:pt idx="14">
                  <c:v>30-1 AC</c:v>
                </c:pt>
                <c:pt idx="15">
                  <c:v>30-1 AE</c:v>
                </c:pt>
                <c:pt idx="16">
                  <c:v>10-2 B </c:v>
                </c:pt>
                <c:pt idx="17">
                  <c:v>10-2 D</c:v>
                </c:pt>
                <c:pt idx="18">
                  <c:v>10-2 F</c:v>
                </c:pt>
                <c:pt idx="19">
                  <c:v>10-2 H</c:v>
                </c:pt>
                <c:pt idx="20">
                  <c:v>10-2 J</c:v>
                </c:pt>
                <c:pt idx="21">
                  <c:v>10-2 L</c:v>
                </c:pt>
                <c:pt idx="22">
                  <c:v>10-2 N</c:v>
                </c:pt>
                <c:pt idx="23">
                  <c:v>10-2 P</c:v>
                </c:pt>
                <c:pt idx="24">
                  <c:v>10-1 A</c:v>
                </c:pt>
                <c:pt idx="25">
                  <c:v>10-1 C</c:v>
                </c:pt>
                <c:pt idx="26">
                  <c:v>10-1 E</c:v>
                </c:pt>
                <c:pt idx="27">
                  <c:v>10-1 G</c:v>
                </c:pt>
                <c:pt idx="28">
                  <c:v>10-1 I </c:v>
                </c:pt>
                <c:pt idx="29">
                  <c:v>10-1 K</c:v>
                </c:pt>
                <c:pt idx="30">
                  <c:v>10-1 M</c:v>
                </c:pt>
                <c:pt idx="31">
                  <c:v>10-1 O</c:v>
                </c:pt>
              </c:strCache>
            </c:strRef>
          </c:cat>
          <c:val>
            <c:numRef>
              <c:f>Sheet5!$AD$2:$AD$33</c:f>
              <c:numCache>
                <c:formatCode>General</c:formatCode>
                <c:ptCount val="32"/>
                <c:pt idx="0">
                  <c:v>16087205.5488762</c:v>
                </c:pt>
                <c:pt idx="1">
                  <c:v>7829271.27338407</c:v>
                </c:pt>
                <c:pt idx="2">
                  <c:v>19090546.030836798</c:v>
                </c:pt>
                <c:pt idx="3">
                  <c:v>8001819.4625559598</c:v>
                </c:pt>
                <c:pt idx="4">
                  <c:v>8876119.7743770704</c:v>
                </c:pt>
                <c:pt idx="5">
                  <c:v>7478490.4531686101</c:v>
                </c:pt>
                <c:pt idx="6">
                  <c:v>11203115.6601393</c:v>
                </c:pt>
                <c:pt idx="7">
                  <c:v>11695457.623707499</c:v>
                </c:pt>
                <c:pt idx="8">
                  <c:v>-9995948.2531276699</c:v>
                </c:pt>
                <c:pt idx="9">
                  <c:v>-21271591.610757701</c:v>
                </c:pt>
                <c:pt idx="10">
                  <c:v>-8739379.7214922309</c:v>
                </c:pt>
                <c:pt idx="11">
                  <c:v>-20088610.378621601</c:v>
                </c:pt>
                <c:pt idx="12">
                  <c:v>-10957125.6567099</c:v>
                </c:pt>
                <c:pt idx="13">
                  <c:v>-19298058.711867299</c:v>
                </c:pt>
                <c:pt idx="14">
                  <c:v>-13623563.6931441</c:v>
                </c:pt>
                <c:pt idx="15">
                  <c:v>-20695413.004154898</c:v>
                </c:pt>
                <c:pt idx="16">
                  <c:v>-7824259.4077669401</c:v>
                </c:pt>
                <c:pt idx="17">
                  <c:v>-1415881.9497326899</c:v>
                </c:pt>
                <c:pt idx="18">
                  <c:v>-6696047.13591504</c:v>
                </c:pt>
                <c:pt idx="19">
                  <c:v>-3430173.6580720502</c:v>
                </c:pt>
                <c:pt idx="20">
                  <c:v>-6325848.0947655402</c:v>
                </c:pt>
                <c:pt idx="21">
                  <c:v>-4281703.1739495499</c:v>
                </c:pt>
                <c:pt idx="22">
                  <c:v>-5713233.9113545902</c:v>
                </c:pt>
                <c:pt idx="23">
                  <c:v>998441.51873332204</c:v>
                </c:pt>
                <c:pt idx="24">
                  <c:v>-18344203.504127599</c:v>
                </c:pt>
                <c:pt idx="25">
                  <c:v>-17400718.0542183</c:v>
                </c:pt>
                <c:pt idx="26">
                  <c:v>-17980638.827082999</c:v>
                </c:pt>
                <c:pt idx="27">
                  <c:v>-17933897.217544898</c:v>
                </c:pt>
                <c:pt idx="28">
                  <c:v>-18475187.509085301</c:v>
                </c:pt>
                <c:pt idx="29">
                  <c:v>-19846921.689263899</c:v>
                </c:pt>
                <c:pt idx="30">
                  <c:v>-18224713.245310701</c:v>
                </c:pt>
                <c:pt idx="31">
                  <c:v>-15464605.880899699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80-D646-BA0E-014C6F5E5B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16721488"/>
        <c:axId val="1"/>
      </c:barChart>
      <c:catAx>
        <c:axId val="5167214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20000000"/>
          <c:min val="-200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16721488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692150</xdr:colOff>
      <xdr:row>0</xdr:row>
      <xdr:rowOff>57150</xdr:rowOff>
    </xdr:from>
    <xdr:to>
      <xdr:col>42</xdr:col>
      <xdr:colOff>0</xdr:colOff>
      <xdr:row>20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5228246-6B22-5571-AEA3-0EDF803427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42</xdr:col>
      <xdr:colOff>539750</xdr:colOff>
      <xdr:row>0</xdr:row>
      <xdr:rowOff>0</xdr:rowOff>
    </xdr:from>
    <xdr:to>
      <xdr:col>50</xdr:col>
      <xdr:colOff>393700</xdr:colOff>
      <xdr:row>39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FD69A86-AB9E-D4A3-6997-D3F33CBC27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88900</xdr:colOff>
      <xdr:row>0</xdr:row>
      <xdr:rowOff>38100</xdr:rowOff>
    </xdr:from>
    <xdr:to>
      <xdr:col>18</xdr:col>
      <xdr:colOff>88900</xdr:colOff>
      <xdr:row>22</xdr:row>
      <xdr:rowOff>190500</xdr:rowOff>
    </xdr:to>
    <xdr:graphicFrame macro="">
      <xdr:nvGraphicFramePr>
        <xdr:cNvPr id="172290" name="Chart 1">
          <a:extLst>
            <a:ext uri="{FF2B5EF4-FFF2-40B4-BE49-F238E27FC236}">
              <a16:creationId xmlns:a16="http://schemas.microsoft.com/office/drawing/2014/main" id="{77C4EEE5-501A-20E5-AC41-69AEE9D362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88900</xdr:colOff>
      <xdr:row>23</xdr:row>
      <xdr:rowOff>127000</xdr:rowOff>
    </xdr:from>
    <xdr:to>
      <xdr:col>18</xdr:col>
      <xdr:colOff>63500</xdr:colOff>
      <xdr:row>41</xdr:row>
      <xdr:rowOff>38100</xdr:rowOff>
    </xdr:to>
    <xdr:graphicFrame macro="">
      <xdr:nvGraphicFramePr>
        <xdr:cNvPr id="172291" name="Chart 2">
          <a:extLst>
            <a:ext uri="{FF2B5EF4-FFF2-40B4-BE49-F238E27FC236}">
              <a16:creationId xmlns:a16="http://schemas.microsoft.com/office/drawing/2014/main" id="{087B62B3-8BD6-265B-FC20-A73FF893D3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101600</xdr:colOff>
      <xdr:row>5</xdr:row>
      <xdr:rowOff>88900</xdr:rowOff>
    </xdr:from>
    <xdr:to>
      <xdr:col>53</xdr:col>
      <xdr:colOff>254000</xdr:colOff>
      <xdr:row>30</xdr:row>
      <xdr:rowOff>139700</xdr:rowOff>
    </xdr:to>
    <xdr:graphicFrame macro="">
      <xdr:nvGraphicFramePr>
        <xdr:cNvPr id="3879" name="Chart 1">
          <a:extLst>
            <a:ext uri="{FF2B5EF4-FFF2-40B4-BE49-F238E27FC236}">
              <a16:creationId xmlns:a16="http://schemas.microsoft.com/office/drawing/2014/main" id="{5544D674-3DA6-434A-DB5C-DD76CE0DAD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774700</xdr:colOff>
      <xdr:row>40</xdr:row>
      <xdr:rowOff>165100</xdr:rowOff>
    </xdr:from>
    <xdr:to>
      <xdr:col>22</xdr:col>
      <xdr:colOff>101600</xdr:colOff>
      <xdr:row>59</xdr:row>
      <xdr:rowOff>139700</xdr:rowOff>
    </xdr:to>
    <xdr:graphicFrame macro="">
      <xdr:nvGraphicFramePr>
        <xdr:cNvPr id="3880" name="Chart 2">
          <a:extLst>
            <a:ext uri="{FF2B5EF4-FFF2-40B4-BE49-F238E27FC236}">
              <a16:creationId xmlns:a16="http://schemas.microsoft.com/office/drawing/2014/main" id="{542266FA-4171-A5F9-191C-5778961464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469900</xdr:colOff>
      <xdr:row>25</xdr:row>
      <xdr:rowOff>139700</xdr:rowOff>
    </xdr:from>
    <xdr:to>
      <xdr:col>25</xdr:col>
      <xdr:colOff>292100</xdr:colOff>
      <xdr:row>44</xdr:row>
      <xdr:rowOff>127000</xdr:rowOff>
    </xdr:to>
    <xdr:graphicFrame macro="">
      <xdr:nvGraphicFramePr>
        <xdr:cNvPr id="3881" name="Chart 3">
          <a:extLst>
            <a:ext uri="{FF2B5EF4-FFF2-40B4-BE49-F238E27FC236}">
              <a16:creationId xmlns:a16="http://schemas.microsoft.com/office/drawing/2014/main" id="{F966E353-741D-2002-E8CA-41ACE15840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558800</xdr:colOff>
      <xdr:row>0</xdr:row>
      <xdr:rowOff>12700</xdr:rowOff>
    </xdr:from>
    <xdr:to>
      <xdr:col>25</xdr:col>
      <xdr:colOff>254000</xdr:colOff>
      <xdr:row>24</xdr:row>
      <xdr:rowOff>152400</xdr:rowOff>
    </xdr:to>
    <xdr:graphicFrame macro="">
      <xdr:nvGraphicFramePr>
        <xdr:cNvPr id="3882" name="Chart 4">
          <a:extLst>
            <a:ext uri="{FF2B5EF4-FFF2-40B4-BE49-F238E27FC236}">
              <a16:creationId xmlns:a16="http://schemas.microsoft.com/office/drawing/2014/main" id="{32BF1810-5AF1-FA64-409D-BC71B26C32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101600</xdr:colOff>
      <xdr:row>0</xdr:row>
      <xdr:rowOff>0</xdr:rowOff>
    </xdr:from>
    <xdr:to>
      <xdr:col>16</xdr:col>
      <xdr:colOff>673100</xdr:colOff>
      <xdr:row>32</xdr:row>
      <xdr:rowOff>177800</xdr:rowOff>
    </xdr:to>
    <xdr:graphicFrame macro="">
      <xdr:nvGraphicFramePr>
        <xdr:cNvPr id="3883" name="Chart 8">
          <a:extLst>
            <a:ext uri="{FF2B5EF4-FFF2-40B4-BE49-F238E27FC236}">
              <a16:creationId xmlns:a16="http://schemas.microsoft.com/office/drawing/2014/main" id="{C3E4B58F-4AAB-3930-F79F-0D2336D0BB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647700</xdr:colOff>
      <xdr:row>0</xdr:row>
      <xdr:rowOff>0</xdr:rowOff>
    </xdr:from>
    <xdr:to>
      <xdr:col>20</xdr:col>
      <xdr:colOff>228600</xdr:colOff>
      <xdr:row>24</xdr:row>
      <xdr:rowOff>114300</xdr:rowOff>
    </xdr:to>
    <xdr:graphicFrame macro="">
      <xdr:nvGraphicFramePr>
        <xdr:cNvPr id="8347" name="Chart 4">
          <a:extLst>
            <a:ext uri="{FF2B5EF4-FFF2-40B4-BE49-F238E27FC236}">
              <a16:creationId xmlns:a16="http://schemas.microsoft.com/office/drawing/2014/main" id="{94FE2C35-3DB2-229B-41B8-F59F0801C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647700</xdr:colOff>
      <xdr:row>3</xdr:row>
      <xdr:rowOff>38100</xdr:rowOff>
    </xdr:from>
    <xdr:to>
      <xdr:col>12</xdr:col>
      <xdr:colOff>749300</xdr:colOff>
      <xdr:row>37</xdr:row>
      <xdr:rowOff>12700</xdr:rowOff>
    </xdr:to>
    <xdr:graphicFrame macro="">
      <xdr:nvGraphicFramePr>
        <xdr:cNvPr id="523406" name="Chart 2">
          <a:extLst>
            <a:ext uri="{FF2B5EF4-FFF2-40B4-BE49-F238E27FC236}">
              <a16:creationId xmlns:a16="http://schemas.microsoft.com/office/drawing/2014/main" id="{83094552-4C55-A8C8-0284-E4593FAA72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127000</xdr:colOff>
      <xdr:row>0</xdr:row>
      <xdr:rowOff>0</xdr:rowOff>
    </xdr:from>
    <xdr:to>
      <xdr:col>22</xdr:col>
      <xdr:colOff>622300</xdr:colOff>
      <xdr:row>30</xdr:row>
      <xdr:rowOff>165100</xdr:rowOff>
    </xdr:to>
    <xdr:graphicFrame macro="">
      <xdr:nvGraphicFramePr>
        <xdr:cNvPr id="523407" name="Chart 4">
          <a:extLst>
            <a:ext uri="{FF2B5EF4-FFF2-40B4-BE49-F238E27FC236}">
              <a16:creationId xmlns:a16="http://schemas.microsoft.com/office/drawing/2014/main" id="{85C0C2B8-D932-AA21-E25A-0E0657A377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228600</xdr:colOff>
      <xdr:row>0</xdr:row>
      <xdr:rowOff>0</xdr:rowOff>
    </xdr:from>
    <xdr:to>
      <xdr:col>36</xdr:col>
      <xdr:colOff>520700</xdr:colOff>
      <xdr:row>33</xdr:row>
      <xdr:rowOff>0</xdr:rowOff>
    </xdr:to>
    <xdr:graphicFrame macro="">
      <xdr:nvGraphicFramePr>
        <xdr:cNvPr id="523408" name="Chart 5">
          <a:extLst>
            <a:ext uri="{FF2B5EF4-FFF2-40B4-BE49-F238E27FC236}">
              <a16:creationId xmlns:a16="http://schemas.microsoft.com/office/drawing/2014/main" id="{8F68F667-2C3D-D7CA-ADE4-20D3BE5F5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65"/>
  <sheetViews>
    <sheetView tabSelected="1" topLeftCell="J1" zoomScaleNormal="100" workbookViewId="0">
      <selection activeCell="A2" sqref="A2"/>
    </sheetView>
  </sheetViews>
  <sheetFormatPr baseColWidth="10" defaultRowHeight="16" x14ac:dyDescent="0.2"/>
  <cols>
    <col min="2" max="2" width="21.83203125" customWidth="1"/>
    <col min="4" max="4" width="23.5" bestFit="1" customWidth="1"/>
    <col min="7" max="7" width="13.6640625" bestFit="1" customWidth="1"/>
    <col min="16" max="16" width="10.83203125" style="4"/>
    <col min="21" max="22" width="10.83203125" style="4"/>
    <col min="25" max="25" width="18.33203125" bestFit="1" customWidth="1"/>
    <col min="26" max="26" width="18.1640625" bestFit="1" customWidth="1"/>
    <col min="27" max="27" width="22.1640625" style="4" bestFit="1" customWidth="1"/>
    <col min="29" max="29" width="27.6640625" bestFit="1" customWidth="1"/>
    <col min="32" max="32" width="25" style="4" bestFit="1" customWidth="1"/>
    <col min="36" max="36" width="22.83203125" bestFit="1" customWidth="1"/>
  </cols>
  <sheetData>
    <row r="1" spans="1:60" x14ac:dyDescent="0.2">
      <c r="A1" t="s">
        <v>75</v>
      </c>
      <c r="B1" t="s">
        <v>287</v>
      </c>
      <c r="C1" t="s">
        <v>0</v>
      </c>
      <c r="D1" t="s">
        <v>1</v>
      </c>
      <c r="E1" t="s">
        <v>2</v>
      </c>
      <c r="F1" t="s">
        <v>3</v>
      </c>
      <c r="G1" s="6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s="4" t="s">
        <v>27</v>
      </c>
      <c r="Q1" t="s">
        <v>13</v>
      </c>
      <c r="R1" t="s">
        <v>14</v>
      </c>
      <c r="S1" t="s">
        <v>15</v>
      </c>
      <c r="T1" t="s">
        <v>16</v>
      </c>
      <c r="U1" s="4" t="s">
        <v>28</v>
      </c>
      <c r="V1" s="4" t="s">
        <v>29</v>
      </c>
      <c r="W1" t="s">
        <v>17</v>
      </c>
      <c r="X1" t="s">
        <v>18</v>
      </c>
      <c r="Y1" s="6" t="s">
        <v>19</v>
      </c>
      <c r="Z1" t="s">
        <v>20</v>
      </c>
      <c r="AA1" s="4" t="s">
        <v>291</v>
      </c>
      <c r="AB1" t="s">
        <v>21</v>
      </c>
      <c r="AC1" t="s">
        <v>22</v>
      </c>
      <c r="AD1" t="s">
        <v>23</v>
      </c>
      <c r="AE1" t="s">
        <v>290</v>
      </c>
      <c r="AF1" s="12" t="s">
        <v>292</v>
      </c>
      <c r="AG1" t="s">
        <v>24</v>
      </c>
      <c r="AH1" t="s">
        <v>25</v>
      </c>
      <c r="AI1" t="s">
        <v>288</v>
      </c>
      <c r="AZ1" s="7" t="s">
        <v>293</v>
      </c>
      <c r="BA1" t="s">
        <v>1</v>
      </c>
      <c r="BB1" t="s">
        <v>2</v>
      </c>
      <c r="BC1" t="s">
        <v>3</v>
      </c>
      <c r="BD1" s="6" t="s">
        <v>4</v>
      </c>
      <c r="BE1" t="s">
        <v>5</v>
      </c>
      <c r="BF1" t="s">
        <v>6</v>
      </c>
      <c r="BG1" t="s">
        <v>7</v>
      </c>
      <c r="BH1" t="s">
        <v>8</v>
      </c>
    </row>
    <row r="2" spans="1:60" x14ac:dyDescent="0.2">
      <c r="A2" t="s">
        <v>76</v>
      </c>
      <c r="B2" s="11" t="s">
        <v>289</v>
      </c>
      <c r="C2">
        <v>128</v>
      </c>
      <c r="D2">
        <v>10</v>
      </c>
      <c r="E2">
        <v>1</v>
      </c>
      <c r="F2">
        <v>1</v>
      </c>
      <c r="G2">
        <v>30</v>
      </c>
      <c r="H2">
        <v>10</v>
      </c>
      <c r="I2">
        <v>45.06</v>
      </c>
      <c r="J2">
        <v>49.35</v>
      </c>
      <c r="K2">
        <v>0.3</v>
      </c>
      <c r="L2">
        <v>72989</v>
      </c>
      <c r="M2">
        <v>54935</v>
      </c>
      <c r="N2">
        <v>34022</v>
      </c>
      <c r="O2">
        <v>9846</v>
      </c>
      <c r="P2" s="4">
        <f>SUM(L2:O2)</f>
        <v>171792</v>
      </c>
      <c r="Q2">
        <v>20926</v>
      </c>
      <c r="R2">
        <v>29290</v>
      </c>
      <c r="S2">
        <v>8507</v>
      </c>
      <c r="T2">
        <v>32861</v>
      </c>
      <c r="U2" s="4">
        <f>SUM(Q2:T2)</f>
        <v>91584</v>
      </c>
      <c r="V2" s="4">
        <f>P2+U2</f>
        <v>263376</v>
      </c>
      <c r="W2">
        <v>11737057.5486471</v>
      </c>
      <c r="X2">
        <v>6626360.9936819496</v>
      </c>
      <c r="Y2">
        <v>-5110696.5549652204</v>
      </c>
      <c r="Z2">
        <v>9421164.9092961494</v>
      </c>
      <c r="AA2" s="4">
        <f>Z2/G2</f>
        <v>314038.83030987164</v>
      </c>
      <c r="AB2">
        <v>64684109.504126497</v>
      </c>
      <c r="AC2">
        <v>2844189.6618162198</v>
      </c>
      <c r="AD2">
        <v>1139129.5999999901</v>
      </c>
      <c r="AE2">
        <f>AC2-AD2</f>
        <v>1705060.0618162297</v>
      </c>
      <c r="AF2" s="4">
        <f>AE2/H2</f>
        <v>170506.00618162297</v>
      </c>
      <c r="AG2">
        <v>10</v>
      </c>
      <c r="AH2">
        <v>48</v>
      </c>
      <c r="AI2" t="b">
        <v>1</v>
      </c>
      <c r="AZ2" s="7" t="s">
        <v>42</v>
      </c>
      <c r="BA2">
        <v>10</v>
      </c>
      <c r="BB2">
        <v>1</v>
      </c>
      <c r="BC2">
        <v>3</v>
      </c>
      <c r="BD2">
        <v>30</v>
      </c>
      <c r="BE2">
        <v>10</v>
      </c>
      <c r="BF2">
        <v>90.12</v>
      </c>
      <c r="BG2">
        <v>98.7</v>
      </c>
      <c r="BH2">
        <v>0.3</v>
      </c>
    </row>
    <row r="3" spans="1:60" x14ac:dyDescent="0.2">
      <c r="A3" t="s">
        <v>77</v>
      </c>
      <c r="B3" s="11" t="s">
        <v>289</v>
      </c>
      <c r="C3">
        <v>128</v>
      </c>
      <c r="D3">
        <v>10</v>
      </c>
      <c r="E3">
        <v>1</v>
      </c>
      <c r="F3">
        <v>1</v>
      </c>
      <c r="G3">
        <v>30</v>
      </c>
      <c r="H3">
        <v>10</v>
      </c>
      <c r="I3">
        <v>90.12</v>
      </c>
      <c r="J3">
        <v>98.7</v>
      </c>
      <c r="K3">
        <v>0.3</v>
      </c>
      <c r="L3">
        <v>72989</v>
      </c>
      <c r="M3">
        <v>54935</v>
      </c>
      <c r="N3">
        <v>34022</v>
      </c>
      <c r="O3">
        <v>9846</v>
      </c>
      <c r="P3" s="4">
        <f t="shared" ref="P3:P65" si="0">SUM(L3:O3)</f>
        <v>171792</v>
      </c>
      <c r="Q3">
        <v>20926</v>
      </c>
      <c r="R3">
        <v>29290</v>
      </c>
      <c r="S3">
        <v>8507</v>
      </c>
      <c r="T3">
        <v>32861</v>
      </c>
      <c r="U3" s="4">
        <f t="shared" ref="U3:U65" si="1">SUM(Q3:T3)</f>
        <v>91584</v>
      </c>
      <c r="V3" s="4">
        <f t="shared" ref="V3:V65" si="2">P3+U3</f>
        <v>263376</v>
      </c>
      <c r="W3">
        <v>11737057.5486471</v>
      </c>
      <c r="X3">
        <v>12113592.387363899</v>
      </c>
      <c r="Y3">
        <v>376534.83871673601</v>
      </c>
      <c r="Z3">
        <v>10023893.2235527</v>
      </c>
      <c r="AA3" s="4">
        <f t="shared" ref="AA3:AA65" si="3">Z3/G3</f>
        <v>334129.77411842335</v>
      </c>
      <c r="AB3">
        <v>129368219.00825299</v>
      </c>
      <c r="AC3">
        <v>5688379.3236324498</v>
      </c>
      <c r="AD3">
        <v>1139129.5999999901</v>
      </c>
      <c r="AE3">
        <f t="shared" ref="AE3:AE33" si="4">AC3-AD3</f>
        <v>4549249.7236324595</v>
      </c>
      <c r="AF3" s="4">
        <f t="shared" ref="AF3:AF65" si="5">AE3/H3</f>
        <v>454924.97236324596</v>
      </c>
      <c r="AG3">
        <v>10</v>
      </c>
      <c r="AH3">
        <v>48</v>
      </c>
      <c r="AI3" t="b">
        <v>1</v>
      </c>
    </row>
    <row r="4" spans="1:60" x14ac:dyDescent="0.2">
      <c r="A4" t="s">
        <v>78</v>
      </c>
      <c r="B4" s="11" t="s">
        <v>289</v>
      </c>
      <c r="C4">
        <v>128</v>
      </c>
      <c r="D4">
        <v>10</v>
      </c>
      <c r="E4">
        <v>1</v>
      </c>
      <c r="F4">
        <v>1</v>
      </c>
      <c r="G4">
        <v>15</v>
      </c>
      <c r="H4">
        <v>10</v>
      </c>
      <c r="I4">
        <v>45.06</v>
      </c>
      <c r="J4">
        <v>49.35</v>
      </c>
      <c r="K4">
        <v>0.3</v>
      </c>
      <c r="L4">
        <v>75261</v>
      </c>
      <c r="M4">
        <v>54329</v>
      </c>
      <c r="N4">
        <v>34393</v>
      </c>
      <c r="O4">
        <v>10304</v>
      </c>
      <c r="P4" s="4">
        <f t="shared" si="0"/>
        <v>174287</v>
      </c>
      <c r="Q4">
        <v>22949</v>
      </c>
      <c r="R4">
        <v>30574</v>
      </c>
      <c r="S4">
        <v>8382</v>
      </c>
      <c r="T4">
        <v>35524</v>
      </c>
      <c r="U4" s="4">
        <f t="shared" si="1"/>
        <v>97429</v>
      </c>
      <c r="V4" s="4">
        <f t="shared" si="2"/>
        <v>271716</v>
      </c>
      <c r="W4">
        <v>11595290.0302184</v>
      </c>
      <c r="X4">
        <v>6111532.3833825402</v>
      </c>
      <c r="Y4">
        <v>-5483757.6468358496</v>
      </c>
      <c r="Z4">
        <v>6075176.1188081997</v>
      </c>
      <c r="AA4" s="4">
        <f t="shared" si="3"/>
        <v>405011.74125387997</v>
      </c>
      <c r="AB4">
        <v>0</v>
      </c>
      <c r="AC4">
        <v>2728807.7305451701</v>
      </c>
      <c r="AD4">
        <v>1139129.5999999901</v>
      </c>
      <c r="AE4">
        <f t="shared" si="4"/>
        <v>1589678.1305451801</v>
      </c>
      <c r="AF4" s="4">
        <f t="shared" si="5"/>
        <v>158967.81305451802</v>
      </c>
      <c r="AG4">
        <v>10</v>
      </c>
      <c r="AH4">
        <v>70</v>
      </c>
      <c r="AI4" t="b">
        <v>1</v>
      </c>
    </row>
    <row r="5" spans="1:60" x14ac:dyDescent="0.2">
      <c r="A5" t="s">
        <v>79</v>
      </c>
      <c r="B5" s="11" t="s">
        <v>289</v>
      </c>
      <c r="C5">
        <v>128</v>
      </c>
      <c r="D5">
        <v>10</v>
      </c>
      <c r="E5">
        <v>1</v>
      </c>
      <c r="F5">
        <v>1</v>
      </c>
      <c r="G5">
        <v>15</v>
      </c>
      <c r="H5">
        <v>10</v>
      </c>
      <c r="I5">
        <v>90.12</v>
      </c>
      <c r="J5">
        <v>98.7</v>
      </c>
      <c r="K5">
        <v>0.3</v>
      </c>
      <c r="L5">
        <v>75261</v>
      </c>
      <c r="M5">
        <v>54329</v>
      </c>
      <c r="N5">
        <v>34393</v>
      </c>
      <c r="O5">
        <v>10304</v>
      </c>
      <c r="P5" s="4">
        <f t="shared" si="0"/>
        <v>174287</v>
      </c>
      <c r="Q5">
        <v>22949</v>
      </c>
      <c r="R5">
        <v>30574</v>
      </c>
      <c r="S5">
        <v>8382</v>
      </c>
      <c r="T5">
        <v>35524</v>
      </c>
      <c r="U5" s="4">
        <f t="shared" si="1"/>
        <v>97429</v>
      </c>
      <c r="V5" s="4">
        <f t="shared" si="2"/>
        <v>271716</v>
      </c>
      <c r="W5">
        <v>11595290.0302184</v>
      </c>
      <c r="X5">
        <v>11083935.166765001</v>
      </c>
      <c r="Y5">
        <v>-511354.86345331097</v>
      </c>
      <c r="Z5">
        <v>6075176.1188081997</v>
      </c>
      <c r="AA5" s="4">
        <f t="shared" si="3"/>
        <v>405011.74125387997</v>
      </c>
      <c r="AB5">
        <v>0</v>
      </c>
      <c r="AC5">
        <v>5457615.4610903403</v>
      </c>
      <c r="AD5">
        <v>1139129.5999999901</v>
      </c>
      <c r="AE5">
        <f t="shared" si="4"/>
        <v>4318485.86109035</v>
      </c>
      <c r="AF5" s="4">
        <f t="shared" si="5"/>
        <v>431848.58610903501</v>
      </c>
      <c r="AG5">
        <v>10</v>
      </c>
      <c r="AH5">
        <v>70</v>
      </c>
      <c r="AI5" t="b">
        <v>1</v>
      </c>
    </row>
    <row r="6" spans="1:60" x14ac:dyDescent="0.2">
      <c r="A6" t="s">
        <v>80</v>
      </c>
      <c r="B6" s="11" t="s">
        <v>289</v>
      </c>
      <c r="C6">
        <v>128</v>
      </c>
      <c r="D6">
        <v>10</v>
      </c>
      <c r="E6">
        <v>1</v>
      </c>
      <c r="F6">
        <v>3</v>
      </c>
      <c r="G6">
        <v>30</v>
      </c>
      <c r="H6">
        <v>10</v>
      </c>
      <c r="I6">
        <v>45.06</v>
      </c>
      <c r="J6">
        <v>49.35</v>
      </c>
      <c r="K6">
        <v>0.3</v>
      </c>
      <c r="L6">
        <v>73458</v>
      </c>
      <c r="M6">
        <v>55946</v>
      </c>
      <c r="N6">
        <v>34279</v>
      </c>
      <c r="O6">
        <v>9612</v>
      </c>
      <c r="P6" s="4">
        <f t="shared" si="0"/>
        <v>173295</v>
      </c>
      <c r="Q6">
        <v>19778</v>
      </c>
      <c r="R6">
        <v>29152</v>
      </c>
      <c r="S6">
        <v>8354</v>
      </c>
      <c r="T6">
        <v>30964</v>
      </c>
      <c r="U6" s="4">
        <f t="shared" si="1"/>
        <v>88248</v>
      </c>
      <c r="V6" s="4">
        <f t="shared" si="2"/>
        <v>261543</v>
      </c>
      <c r="W6">
        <v>10537412.434258901</v>
      </c>
      <c r="X6">
        <v>6641564.8896682002</v>
      </c>
      <c r="Y6">
        <v>-3895847.54459078</v>
      </c>
      <c r="Z6">
        <v>6583050.4212593399</v>
      </c>
      <c r="AA6" s="4">
        <f t="shared" si="3"/>
        <v>219435.01404197799</v>
      </c>
      <c r="AB6">
        <v>122295727.362151</v>
      </c>
      <c r="AC6">
        <v>2844189.6618162198</v>
      </c>
      <c r="AD6">
        <v>1139129.5999999901</v>
      </c>
      <c r="AE6">
        <f t="shared" si="4"/>
        <v>1705060.0618162297</v>
      </c>
      <c r="AF6" s="4">
        <f t="shared" si="5"/>
        <v>170506.00618162297</v>
      </c>
      <c r="AG6">
        <v>10</v>
      </c>
      <c r="AH6">
        <v>48</v>
      </c>
      <c r="AI6" t="b">
        <v>1</v>
      </c>
    </row>
    <row r="7" spans="1:60" x14ac:dyDescent="0.2">
      <c r="A7" t="s">
        <v>42</v>
      </c>
      <c r="B7" s="11" t="s">
        <v>289</v>
      </c>
      <c r="C7">
        <v>128</v>
      </c>
      <c r="D7">
        <v>10</v>
      </c>
      <c r="E7">
        <v>1</v>
      </c>
      <c r="F7">
        <v>3</v>
      </c>
      <c r="G7">
        <v>30</v>
      </c>
      <c r="H7">
        <v>10</v>
      </c>
      <c r="I7">
        <v>90.12</v>
      </c>
      <c r="J7">
        <v>98.7</v>
      </c>
      <c r="K7">
        <v>0.3</v>
      </c>
      <c r="L7">
        <v>73458</v>
      </c>
      <c r="M7">
        <v>55946</v>
      </c>
      <c r="N7">
        <v>34279</v>
      </c>
      <c r="O7">
        <v>9612</v>
      </c>
      <c r="P7" s="4">
        <f t="shared" si="0"/>
        <v>173295</v>
      </c>
      <c r="Q7">
        <v>19778</v>
      </c>
      <c r="R7">
        <v>29152</v>
      </c>
      <c r="S7">
        <v>8354</v>
      </c>
      <c r="T7">
        <v>30964</v>
      </c>
      <c r="U7" s="4">
        <f t="shared" si="1"/>
        <v>88248</v>
      </c>
      <c r="V7" s="4">
        <f t="shared" si="2"/>
        <v>261543</v>
      </c>
      <c r="W7">
        <v>10537412.434258901</v>
      </c>
      <c r="X7">
        <v>12144000.179336401</v>
      </c>
      <c r="Y7">
        <v>1606587.74507741</v>
      </c>
      <c r="Z7">
        <v>6606542.9887817902</v>
      </c>
      <c r="AA7" s="4">
        <f t="shared" si="3"/>
        <v>220218.09962605967</v>
      </c>
      <c r="AB7">
        <v>244591454.72430199</v>
      </c>
      <c r="AC7">
        <v>5688379.3236324498</v>
      </c>
      <c r="AD7">
        <v>1139129.5999999901</v>
      </c>
      <c r="AE7">
        <f t="shared" si="4"/>
        <v>4549249.7236324595</v>
      </c>
      <c r="AF7" s="4">
        <f t="shared" si="5"/>
        <v>454924.97236324596</v>
      </c>
      <c r="AG7">
        <v>10</v>
      </c>
      <c r="AH7">
        <v>48</v>
      </c>
      <c r="AI7" t="b">
        <v>1</v>
      </c>
    </row>
    <row r="8" spans="1:60" x14ac:dyDescent="0.2">
      <c r="A8" t="s">
        <v>81</v>
      </c>
      <c r="B8" s="11" t="s">
        <v>289</v>
      </c>
      <c r="C8">
        <v>128</v>
      </c>
      <c r="D8">
        <v>10</v>
      </c>
      <c r="E8">
        <v>1</v>
      </c>
      <c r="F8">
        <v>3</v>
      </c>
      <c r="G8">
        <v>15</v>
      </c>
      <c r="H8">
        <v>10</v>
      </c>
      <c r="I8">
        <v>45.06</v>
      </c>
      <c r="J8">
        <v>49.35</v>
      </c>
      <c r="K8">
        <v>0.3</v>
      </c>
      <c r="L8">
        <v>75174</v>
      </c>
      <c r="M8">
        <v>54740</v>
      </c>
      <c r="N8">
        <v>34296</v>
      </c>
      <c r="O8">
        <v>10274</v>
      </c>
      <c r="P8" s="4">
        <f t="shared" si="0"/>
        <v>174484</v>
      </c>
      <c r="Q8">
        <v>23076</v>
      </c>
      <c r="R8">
        <v>30364</v>
      </c>
      <c r="S8">
        <v>8421</v>
      </c>
      <c r="T8">
        <v>35526</v>
      </c>
      <c r="U8" s="4">
        <f t="shared" si="1"/>
        <v>97387</v>
      </c>
      <c r="V8" s="4">
        <f t="shared" si="2"/>
        <v>271871</v>
      </c>
      <c r="W8">
        <v>11558084.938363999</v>
      </c>
      <c r="X8">
        <v>6045591.1308348496</v>
      </c>
      <c r="Y8">
        <v>-5512493.8075291999</v>
      </c>
      <c r="Z8">
        <v>6054327.7584039196</v>
      </c>
      <c r="AA8" s="4">
        <f t="shared" si="3"/>
        <v>403621.85056026129</v>
      </c>
      <c r="AB8">
        <v>0</v>
      </c>
      <c r="AC8">
        <v>2674816.3284811401</v>
      </c>
      <c r="AD8">
        <v>1139129.5999999901</v>
      </c>
      <c r="AE8">
        <f t="shared" si="4"/>
        <v>1535686.72848115</v>
      </c>
      <c r="AF8" s="4">
        <f t="shared" si="5"/>
        <v>153568.67284811501</v>
      </c>
      <c r="AG8">
        <v>10</v>
      </c>
      <c r="AH8">
        <v>72</v>
      </c>
      <c r="AI8" t="b">
        <v>1</v>
      </c>
    </row>
    <row r="9" spans="1:60" x14ac:dyDescent="0.2">
      <c r="A9" t="s">
        <v>82</v>
      </c>
      <c r="B9" s="11" t="s">
        <v>289</v>
      </c>
      <c r="C9">
        <v>128</v>
      </c>
      <c r="D9">
        <v>10</v>
      </c>
      <c r="E9">
        <v>1</v>
      </c>
      <c r="F9">
        <v>3</v>
      </c>
      <c r="G9">
        <v>15</v>
      </c>
      <c r="H9">
        <v>10</v>
      </c>
      <c r="I9">
        <v>90.12</v>
      </c>
      <c r="J9">
        <v>98.7</v>
      </c>
      <c r="K9">
        <v>0.3</v>
      </c>
      <c r="L9">
        <v>75174</v>
      </c>
      <c r="M9">
        <v>54740</v>
      </c>
      <c r="N9">
        <v>34296</v>
      </c>
      <c r="O9">
        <v>10274</v>
      </c>
      <c r="P9" s="4">
        <f t="shared" si="0"/>
        <v>174484</v>
      </c>
      <c r="Q9">
        <v>23076</v>
      </c>
      <c r="R9">
        <v>30364</v>
      </c>
      <c r="S9">
        <v>8421</v>
      </c>
      <c r="T9">
        <v>35526</v>
      </c>
      <c r="U9" s="4">
        <f t="shared" si="1"/>
        <v>97387</v>
      </c>
      <c r="V9" s="4">
        <f t="shared" si="2"/>
        <v>271871</v>
      </c>
      <c r="W9">
        <v>11558084.938363999</v>
      </c>
      <c r="X9">
        <v>10952052.661669699</v>
      </c>
      <c r="Y9">
        <v>-606032.27669434994</v>
      </c>
      <c r="Z9">
        <v>6054327.7584039196</v>
      </c>
      <c r="AA9" s="4">
        <f t="shared" si="3"/>
        <v>403621.85056026129</v>
      </c>
      <c r="AB9">
        <v>0</v>
      </c>
      <c r="AC9">
        <v>5349632.6569622802</v>
      </c>
      <c r="AD9">
        <v>1139129.5999999901</v>
      </c>
      <c r="AE9">
        <f t="shared" si="4"/>
        <v>4210503.0569622898</v>
      </c>
      <c r="AF9" s="4">
        <f t="shared" si="5"/>
        <v>421050.30569622898</v>
      </c>
      <c r="AG9">
        <v>10</v>
      </c>
      <c r="AH9">
        <v>72</v>
      </c>
      <c r="AI9" t="b">
        <v>1</v>
      </c>
    </row>
    <row r="10" spans="1:60" x14ac:dyDescent="0.2">
      <c r="A10" t="s">
        <v>83</v>
      </c>
      <c r="B10" s="11" t="s">
        <v>289</v>
      </c>
      <c r="C10">
        <v>128</v>
      </c>
      <c r="D10">
        <v>10</v>
      </c>
      <c r="E10">
        <v>4</v>
      </c>
      <c r="F10">
        <v>1</v>
      </c>
      <c r="G10">
        <v>30</v>
      </c>
      <c r="H10">
        <v>10</v>
      </c>
      <c r="I10">
        <v>45.06</v>
      </c>
      <c r="J10">
        <v>49.35</v>
      </c>
      <c r="K10">
        <v>0.3</v>
      </c>
      <c r="L10">
        <v>75553</v>
      </c>
      <c r="M10">
        <v>54832</v>
      </c>
      <c r="N10">
        <v>34537</v>
      </c>
      <c r="O10">
        <v>10286</v>
      </c>
      <c r="P10" s="4">
        <f t="shared" si="0"/>
        <v>175208</v>
      </c>
      <c r="Q10">
        <v>22973</v>
      </c>
      <c r="R10">
        <v>30551</v>
      </c>
      <c r="S10">
        <v>8332</v>
      </c>
      <c r="T10">
        <v>35535</v>
      </c>
      <c r="U10" s="4">
        <f t="shared" si="1"/>
        <v>97391</v>
      </c>
      <c r="V10" s="4">
        <f t="shared" si="2"/>
        <v>272599</v>
      </c>
      <c r="W10">
        <v>13570644.351327499</v>
      </c>
      <c r="X10">
        <v>7304654.8339994904</v>
      </c>
      <c r="Y10">
        <v>-6265989.51732805</v>
      </c>
      <c r="Z10">
        <v>9424638.1485454906</v>
      </c>
      <c r="AA10" s="4">
        <f t="shared" si="3"/>
        <v>314154.60495151638</v>
      </c>
      <c r="AB10">
        <v>0</v>
      </c>
      <c r="AC10">
        <v>2844189.6618162198</v>
      </c>
      <c r="AD10">
        <v>1139129.5999999901</v>
      </c>
      <c r="AE10">
        <f t="shared" si="4"/>
        <v>1705060.0618162297</v>
      </c>
      <c r="AF10" s="4">
        <f t="shared" si="5"/>
        <v>170506.00618162297</v>
      </c>
      <c r="AG10">
        <v>10</v>
      </c>
      <c r="AH10">
        <v>48</v>
      </c>
      <c r="AI10" t="b">
        <v>1</v>
      </c>
    </row>
    <row r="11" spans="1:60" x14ac:dyDescent="0.2">
      <c r="A11" t="s">
        <v>84</v>
      </c>
      <c r="B11" s="11" t="s">
        <v>289</v>
      </c>
      <c r="C11">
        <v>128</v>
      </c>
      <c r="D11">
        <v>10</v>
      </c>
      <c r="E11">
        <v>4</v>
      </c>
      <c r="F11">
        <v>1</v>
      </c>
      <c r="G11">
        <v>30</v>
      </c>
      <c r="H11">
        <v>10</v>
      </c>
      <c r="I11">
        <v>90.12</v>
      </c>
      <c r="J11">
        <v>98.7</v>
      </c>
      <c r="K11">
        <v>0.3</v>
      </c>
      <c r="L11">
        <v>75553</v>
      </c>
      <c r="M11">
        <v>54832</v>
      </c>
      <c r="N11">
        <v>34537</v>
      </c>
      <c r="O11">
        <v>10286</v>
      </c>
      <c r="P11" s="4">
        <f t="shared" si="0"/>
        <v>175208</v>
      </c>
      <c r="Q11">
        <v>22973</v>
      </c>
      <c r="R11">
        <v>30551</v>
      </c>
      <c r="S11">
        <v>8332</v>
      </c>
      <c r="T11">
        <v>35535</v>
      </c>
      <c r="U11" s="4">
        <f t="shared" si="1"/>
        <v>97391</v>
      </c>
      <c r="V11" s="4">
        <f t="shared" si="2"/>
        <v>272599</v>
      </c>
      <c r="W11">
        <v>13570644.351327499</v>
      </c>
      <c r="X11">
        <v>13470180.067998899</v>
      </c>
      <c r="Y11">
        <v>-100464.283328561</v>
      </c>
      <c r="Z11">
        <v>9424638.1485454906</v>
      </c>
      <c r="AA11" s="4">
        <f t="shared" si="3"/>
        <v>314154.60495151638</v>
      </c>
      <c r="AB11">
        <v>0</v>
      </c>
      <c r="AC11">
        <v>5688379.3236324498</v>
      </c>
      <c r="AD11">
        <v>1139129.5999999901</v>
      </c>
      <c r="AE11">
        <f t="shared" si="4"/>
        <v>4549249.7236324595</v>
      </c>
      <c r="AF11" s="4">
        <f t="shared" si="5"/>
        <v>454924.97236324596</v>
      </c>
      <c r="AG11">
        <v>10</v>
      </c>
      <c r="AH11">
        <v>48</v>
      </c>
      <c r="AI11" t="b">
        <v>1</v>
      </c>
    </row>
    <row r="12" spans="1:60" x14ac:dyDescent="0.2">
      <c r="A12" t="s">
        <v>85</v>
      </c>
      <c r="B12" s="11" t="s">
        <v>289</v>
      </c>
      <c r="C12">
        <v>128</v>
      </c>
      <c r="D12">
        <v>10</v>
      </c>
      <c r="E12">
        <v>4</v>
      </c>
      <c r="F12">
        <v>1</v>
      </c>
      <c r="G12">
        <v>15</v>
      </c>
      <c r="H12">
        <v>10</v>
      </c>
      <c r="I12">
        <v>45.06</v>
      </c>
      <c r="J12">
        <v>49.35</v>
      </c>
      <c r="K12">
        <v>0.3</v>
      </c>
      <c r="L12">
        <v>75571</v>
      </c>
      <c r="M12">
        <v>54698</v>
      </c>
      <c r="N12">
        <v>34285</v>
      </c>
      <c r="O12">
        <v>10299</v>
      </c>
      <c r="P12" s="4">
        <f t="shared" si="0"/>
        <v>174853</v>
      </c>
      <c r="Q12">
        <v>22931</v>
      </c>
      <c r="R12">
        <v>30574</v>
      </c>
      <c r="S12">
        <v>8436</v>
      </c>
      <c r="T12">
        <v>35413</v>
      </c>
      <c r="U12" s="4">
        <f t="shared" si="1"/>
        <v>97354</v>
      </c>
      <c r="V12" s="4">
        <f t="shared" si="2"/>
        <v>272207</v>
      </c>
      <c r="W12">
        <v>13339753.5286483</v>
      </c>
      <c r="X12">
        <v>6281761.8557506502</v>
      </c>
      <c r="Y12">
        <v>-7057991.67289773</v>
      </c>
      <c r="Z12">
        <v>5592588.4661223097</v>
      </c>
      <c r="AA12" s="4">
        <f t="shared" si="3"/>
        <v>372839.23107482062</v>
      </c>
      <c r="AB12">
        <v>0</v>
      </c>
      <c r="AC12">
        <v>2643306.0561247598</v>
      </c>
      <c r="AD12">
        <v>1139129.5999999901</v>
      </c>
      <c r="AE12">
        <f t="shared" si="4"/>
        <v>1504176.4561247698</v>
      </c>
      <c r="AF12" s="4">
        <f t="shared" si="5"/>
        <v>150417.64561247698</v>
      </c>
      <c r="AG12">
        <v>10</v>
      </c>
      <c r="AH12">
        <v>94</v>
      </c>
      <c r="AI12" t="b">
        <v>1</v>
      </c>
    </row>
    <row r="13" spans="1:60" x14ac:dyDescent="0.2">
      <c r="A13" t="s">
        <v>86</v>
      </c>
      <c r="B13" s="11" t="s">
        <v>289</v>
      </c>
      <c r="C13">
        <v>128</v>
      </c>
      <c r="D13">
        <v>10</v>
      </c>
      <c r="E13">
        <v>4</v>
      </c>
      <c r="F13">
        <v>1</v>
      </c>
      <c r="G13">
        <v>15</v>
      </c>
      <c r="H13">
        <v>10</v>
      </c>
      <c r="I13">
        <v>90.12</v>
      </c>
      <c r="J13">
        <v>98.7</v>
      </c>
      <c r="K13">
        <v>0.3</v>
      </c>
      <c r="L13">
        <v>75571</v>
      </c>
      <c r="M13">
        <v>54698</v>
      </c>
      <c r="N13">
        <v>34285</v>
      </c>
      <c r="O13">
        <v>10299</v>
      </c>
      <c r="P13" s="4">
        <f t="shared" si="0"/>
        <v>174853</v>
      </c>
      <c r="Q13">
        <v>22931</v>
      </c>
      <c r="R13">
        <v>30574</v>
      </c>
      <c r="S13">
        <v>8436</v>
      </c>
      <c r="T13">
        <v>35413</v>
      </c>
      <c r="U13" s="4">
        <f t="shared" si="1"/>
        <v>97354</v>
      </c>
      <c r="V13" s="4">
        <f t="shared" si="2"/>
        <v>272207</v>
      </c>
      <c r="W13">
        <v>13339753.5286483</v>
      </c>
      <c r="X13">
        <v>11424394.111501301</v>
      </c>
      <c r="Y13">
        <v>-1915359.4171470699</v>
      </c>
      <c r="Z13">
        <v>5592588.4661223097</v>
      </c>
      <c r="AA13" s="4">
        <f t="shared" si="3"/>
        <v>372839.23107482062</v>
      </c>
      <c r="AB13">
        <v>0</v>
      </c>
      <c r="AC13">
        <v>5286612.1122495197</v>
      </c>
      <c r="AD13">
        <v>1139129.5999999901</v>
      </c>
      <c r="AE13">
        <f t="shared" si="4"/>
        <v>4147482.5122495294</v>
      </c>
      <c r="AF13" s="4">
        <f t="shared" si="5"/>
        <v>414748.25122495292</v>
      </c>
      <c r="AG13">
        <v>10</v>
      </c>
      <c r="AH13">
        <v>94</v>
      </c>
      <c r="AI13" t="b">
        <v>1</v>
      </c>
    </row>
    <row r="14" spans="1:60" x14ac:dyDescent="0.2">
      <c r="A14" t="s">
        <v>87</v>
      </c>
      <c r="B14" s="11" t="s">
        <v>289</v>
      </c>
      <c r="C14">
        <v>128</v>
      </c>
      <c r="D14">
        <v>10</v>
      </c>
      <c r="E14">
        <v>4</v>
      </c>
      <c r="F14">
        <v>3</v>
      </c>
      <c r="G14">
        <v>30</v>
      </c>
      <c r="H14">
        <v>10</v>
      </c>
      <c r="I14">
        <v>45.06</v>
      </c>
      <c r="J14">
        <v>49.35</v>
      </c>
      <c r="K14">
        <v>0.3</v>
      </c>
      <c r="L14">
        <v>75493</v>
      </c>
      <c r="M14">
        <v>55219</v>
      </c>
      <c r="N14">
        <v>34331</v>
      </c>
      <c r="O14">
        <v>10154</v>
      </c>
      <c r="P14" s="4">
        <f t="shared" si="0"/>
        <v>175197</v>
      </c>
      <c r="Q14">
        <v>21750</v>
      </c>
      <c r="R14">
        <v>29987</v>
      </c>
      <c r="S14">
        <v>8492</v>
      </c>
      <c r="T14">
        <v>33956</v>
      </c>
      <c r="U14" s="4">
        <f t="shared" si="1"/>
        <v>94185</v>
      </c>
      <c r="V14" s="4">
        <f t="shared" si="2"/>
        <v>269382</v>
      </c>
      <c r="W14">
        <v>13095029.733591899</v>
      </c>
      <c r="X14">
        <v>7027941.3668295499</v>
      </c>
      <c r="Y14">
        <v>-6067088.3667623997</v>
      </c>
      <c r="Z14">
        <v>8765410.1139568798</v>
      </c>
      <c r="AA14" s="4">
        <f t="shared" si="3"/>
        <v>292180.337131896</v>
      </c>
      <c r="AB14">
        <v>44962883.056708299</v>
      </c>
      <c r="AC14">
        <v>2589676.3558515999</v>
      </c>
      <c r="AD14">
        <v>1139129.5999999901</v>
      </c>
      <c r="AE14">
        <f t="shared" si="4"/>
        <v>1450546.7558516099</v>
      </c>
      <c r="AF14" s="4">
        <f t="shared" si="5"/>
        <v>145054.67558516099</v>
      </c>
      <c r="AG14">
        <v>10</v>
      </c>
      <c r="AH14">
        <v>48</v>
      </c>
      <c r="AI14" t="b">
        <v>1</v>
      </c>
    </row>
    <row r="15" spans="1:60" x14ac:dyDescent="0.2">
      <c r="A15" t="s">
        <v>88</v>
      </c>
      <c r="B15" s="11" t="s">
        <v>289</v>
      </c>
      <c r="C15">
        <v>128</v>
      </c>
      <c r="D15">
        <v>10</v>
      </c>
      <c r="E15">
        <v>4</v>
      </c>
      <c r="F15">
        <v>3</v>
      </c>
      <c r="G15">
        <v>30</v>
      </c>
      <c r="H15">
        <v>10</v>
      </c>
      <c r="I15">
        <v>90.12</v>
      </c>
      <c r="J15">
        <v>98.7</v>
      </c>
      <c r="K15">
        <v>0.3</v>
      </c>
      <c r="L15">
        <v>75493</v>
      </c>
      <c r="M15">
        <v>55219</v>
      </c>
      <c r="N15">
        <v>34331</v>
      </c>
      <c r="O15">
        <v>10154</v>
      </c>
      <c r="P15" s="4">
        <f t="shared" si="0"/>
        <v>175197</v>
      </c>
      <c r="Q15">
        <v>21750</v>
      </c>
      <c r="R15">
        <v>29987</v>
      </c>
      <c r="S15">
        <v>8492</v>
      </c>
      <c r="T15">
        <v>33956</v>
      </c>
      <c r="U15" s="4">
        <f t="shared" si="1"/>
        <v>94185</v>
      </c>
      <c r="V15" s="4">
        <f t="shared" si="2"/>
        <v>269382</v>
      </c>
      <c r="W15">
        <v>13095029.733591899</v>
      </c>
      <c r="X15">
        <v>12916753.1336591</v>
      </c>
      <c r="Y15">
        <v>-178276.599932849</v>
      </c>
      <c r="Z15">
        <v>8765410.1139568798</v>
      </c>
      <c r="AA15" s="4">
        <f t="shared" si="3"/>
        <v>292180.337131896</v>
      </c>
      <c r="AB15">
        <v>89925766.113416597</v>
      </c>
      <c r="AC15">
        <v>5179352.7117031999</v>
      </c>
      <c r="AD15">
        <v>1139129.5999999901</v>
      </c>
      <c r="AE15">
        <f t="shared" si="4"/>
        <v>4040223.1117032096</v>
      </c>
      <c r="AF15" s="4">
        <f t="shared" si="5"/>
        <v>404022.31117032096</v>
      </c>
      <c r="AG15">
        <v>10</v>
      </c>
      <c r="AH15">
        <v>48</v>
      </c>
      <c r="AI15" t="b">
        <v>1</v>
      </c>
    </row>
    <row r="16" spans="1:60" x14ac:dyDescent="0.2">
      <c r="A16" t="s">
        <v>89</v>
      </c>
      <c r="B16" s="11" t="s">
        <v>289</v>
      </c>
      <c r="C16">
        <v>128</v>
      </c>
      <c r="D16">
        <v>10</v>
      </c>
      <c r="E16">
        <v>4</v>
      </c>
      <c r="F16">
        <v>3</v>
      </c>
      <c r="G16">
        <v>15</v>
      </c>
      <c r="H16">
        <v>10</v>
      </c>
      <c r="I16">
        <v>45.06</v>
      </c>
      <c r="J16">
        <v>49.35</v>
      </c>
      <c r="K16">
        <v>0.3</v>
      </c>
      <c r="L16">
        <v>75602</v>
      </c>
      <c r="M16">
        <v>54828</v>
      </c>
      <c r="N16">
        <v>34496</v>
      </c>
      <c r="O16">
        <v>10291</v>
      </c>
      <c r="P16" s="4">
        <f t="shared" si="0"/>
        <v>175217</v>
      </c>
      <c r="Q16">
        <v>22919</v>
      </c>
      <c r="R16">
        <v>30437</v>
      </c>
      <c r="S16">
        <v>8440</v>
      </c>
      <c r="T16">
        <v>35576</v>
      </c>
      <c r="U16" s="4">
        <f t="shared" si="1"/>
        <v>97372</v>
      </c>
      <c r="V16" s="4">
        <f t="shared" si="2"/>
        <v>272589</v>
      </c>
      <c r="W16">
        <v>13278116.6187179</v>
      </c>
      <c r="X16">
        <v>6334613.2035723003</v>
      </c>
      <c r="Y16">
        <v>-6943503.4151456403</v>
      </c>
      <c r="Z16">
        <v>5752403.1106507797</v>
      </c>
      <c r="AA16" s="4">
        <f t="shared" si="3"/>
        <v>383493.54071005195</v>
      </c>
      <c r="AB16">
        <v>0</v>
      </c>
      <c r="AC16">
        <v>2336856.3901531799</v>
      </c>
      <c r="AD16">
        <v>1139129.5999999901</v>
      </c>
      <c r="AE16">
        <f t="shared" si="4"/>
        <v>1197726.7901531898</v>
      </c>
      <c r="AF16" s="4">
        <f t="shared" si="5"/>
        <v>119772.67901531898</v>
      </c>
      <c r="AG16">
        <v>10</v>
      </c>
      <c r="AH16">
        <v>84</v>
      </c>
      <c r="AI16" t="b">
        <v>1</v>
      </c>
    </row>
    <row r="17" spans="1:35" x14ac:dyDescent="0.2">
      <c r="A17" t="s">
        <v>90</v>
      </c>
      <c r="B17" s="11" t="s">
        <v>289</v>
      </c>
      <c r="C17">
        <v>128</v>
      </c>
      <c r="D17">
        <v>10</v>
      </c>
      <c r="E17">
        <v>4</v>
      </c>
      <c r="F17">
        <v>3</v>
      </c>
      <c r="G17">
        <v>15</v>
      </c>
      <c r="H17">
        <v>10</v>
      </c>
      <c r="I17">
        <v>90.12</v>
      </c>
      <c r="J17">
        <v>98.7</v>
      </c>
      <c r="K17">
        <v>0.3</v>
      </c>
      <c r="L17">
        <v>75602</v>
      </c>
      <c r="M17">
        <v>54828</v>
      </c>
      <c r="N17">
        <v>34496</v>
      </c>
      <c r="O17">
        <v>10291</v>
      </c>
      <c r="P17" s="4">
        <f t="shared" si="0"/>
        <v>175217</v>
      </c>
      <c r="Q17">
        <v>22919</v>
      </c>
      <c r="R17">
        <v>30437</v>
      </c>
      <c r="S17">
        <v>8440</v>
      </c>
      <c r="T17">
        <v>35576</v>
      </c>
      <c r="U17" s="4">
        <f t="shared" si="1"/>
        <v>97372</v>
      </c>
      <c r="V17" s="4">
        <f t="shared" si="2"/>
        <v>272589</v>
      </c>
      <c r="W17">
        <v>13278116.6187179</v>
      </c>
      <c r="X17">
        <v>11530096.807144601</v>
      </c>
      <c r="Y17">
        <v>-1748019.8115733301</v>
      </c>
      <c r="Z17">
        <v>5752403.1106507797</v>
      </c>
      <c r="AA17" s="4">
        <f t="shared" si="3"/>
        <v>383493.54071005195</v>
      </c>
      <c r="AB17">
        <v>0</v>
      </c>
      <c r="AC17">
        <v>4673712.7803063598</v>
      </c>
      <c r="AD17">
        <v>1139129.5999999901</v>
      </c>
      <c r="AE17">
        <f t="shared" si="4"/>
        <v>3534583.1803063694</v>
      </c>
      <c r="AF17" s="4">
        <f t="shared" si="5"/>
        <v>353458.31803063693</v>
      </c>
      <c r="AG17">
        <v>10</v>
      </c>
      <c r="AH17">
        <v>84</v>
      </c>
      <c r="AI17" t="b">
        <v>1</v>
      </c>
    </row>
    <row r="18" spans="1:35" x14ac:dyDescent="0.2">
      <c r="A18" t="s">
        <v>91</v>
      </c>
      <c r="B18" s="11" t="s">
        <v>289</v>
      </c>
      <c r="C18">
        <v>143</v>
      </c>
      <c r="D18">
        <v>10</v>
      </c>
      <c r="E18">
        <v>1</v>
      </c>
      <c r="F18">
        <v>1</v>
      </c>
      <c r="G18">
        <v>30</v>
      </c>
      <c r="H18">
        <v>30</v>
      </c>
      <c r="I18">
        <v>45.06</v>
      </c>
      <c r="J18">
        <v>49.35</v>
      </c>
      <c r="K18">
        <v>0.3</v>
      </c>
      <c r="L18">
        <v>66148</v>
      </c>
      <c r="M18">
        <v>69587</v>
      </c>
      <c r="N18">
        <v>33227</v>
      </c>
      <c r="O18">
        <v>10728</v>
      </c>
      <c r="P18" s="4">
        <f t="shared" si="0"/>
        <v>179690</v>
      </c>
      <c r="Q18">
        <v>4972</v>
      </c>
      <c r="R18">
        <v>37760</v>
      </c>
      <c r="S18">
        <v>5937</v>
      </c>
      <c r="T18">
        <v>36991</v>
      </c>
      <c r="U18" s="4">
        <f t="shared" si="1"/>
        <v>85660</v>
      </c>
      <c r="V18" s="4">
        <f t="shared" si="2"/>
        <v>265350</v>
      </c>
      <c r="W18">
        <v>30863336.106968801</v>
      </c>
      <c r="X18">
        <v>15594205.777279699</v>
      </c>
      <c r="Y18">
        <v>-15269130.329689</v>
      </c>
      <c r="Z18">
        <v>16690564.1316438</v>
      </c>
      <c r="AA18" s="4">
        <f t="shared" si="3"/>
        <v>556352.13772145996</v>
      </c>
      <c r="AB18">
        <v>0</v>
      </c>
      <c r="AC18">
        <v>5347139.0120760398</v>
      </c>
      <c r="AD18">
        <v>3417388.79999999</v>
      </c>
      <c r="AE18">
        <f t="shared" si="4"/>
        <v>1929750.2120760498</v>
      </c>
      <c r="AF18" s="4">
        <f t="shared" si="5"/>
        <v>64325.00706920166</v>
      </c>
      <c r="AG18">
        <v>30</v>
      </c>
      <c r="AH18">
        <v>242</v>
      </c>
      <c r="AI18" t="b">
        <v>1</v>
      </c>
    </row>
    <row r="19" spans="1:35" x14ac:dyDescent="0.2">
      <c r="A19" t="s">
        <v>92</v>
      </c>
      <c r="B19" s="11" t="s">
        <v>289</v>
      </c>
      <c r="C19">
        <v>141</v>
      </c>
      <c r="D19">
        <v>10</v>
      </c>
      <c r="E19">
        <v>1</v>
      </c>
      <c r="F19">
        <v>1</v>
      </c>
      <c r="G19">
        <v>30</v>
      </c>
      <c r="H19">
        <v>30</v>
      </c>
      <c r="I19">
        <v>90.12</v>
      </c>
      <c r="J19">
        <v>98.7</v>
      </c>
      <c r="K19">
        <v>0.3</v>
      </c>
      <c r="L19">
        <v>76591</v>
      </c>
      <c r="M19">
        <v>61993</v>
      </c>
      <c r="N19">
        <v>33580</v>
      </c>
      <c r="O19">
        <v>10678</v>
      </c>
      <c r="P19" s="4">
        <f t="shared" si="0"/>
        <v>182842</v>
      </c>
      <c r="Q19">
        <v>5322</v>
      </c>
      <c r="R19">
        <v>39509</v>
      </c>
      <c r="S19">
        <v>6198</v>
      </c>
      <c r="T19">
        <v>36788</v>
      </c>
      <c r="U19" s="4">
        <f t="shared" si="1"/>
        <v>87817</v>
      </c>
      <c r="V19" s="4">
        <f t="shared" si="2"/>
        <v>270659</v>
      </c>
      <c r="W19">
        <v>30486084.650672801</v>
      </c>
      <c r="X19">
        <v>27222292.572851099</v>
      </c>
      <c r="Y19">
        <v>-3263792.0778216901</v>
      </c>
      <c r="Z19">
        <v>16581852.899734801</v>
      </c>
      <c r="AA19" s="4">
        <f t="shared" si="3"/>
        <v>552728.42999116005</v>
      </c>
      <c r="AB19">
        <v>0</v>
      </c>
      <c r="AC19">
        <v>10746061.689101299</v>
      </c>
      <c r="AD19">
        <v>3417388.79999999</v>
      </c>
      <c r="AE19">
        <f t="shared" si="4"/>
        <v>7328672.8891013097</v>
      </c>
      <c r="AF19" s="4">
        <f t="shared" si="5"/>
        <v>244289.09630337698</v>
      </c>
      <c r="AG19">
        <v>30</v>
      </c>
      <c r="AH19">
        <v>257</v>
      </c>
      <c r="AI19" t="b">
        <v>1</v>
      </c>
    </row>
    <row r="20" spans="1:35" x14ac:dyDescent="0.2">
      <c r="A20" t="s">
        <v>93</v>
      </c>
      <c r="B20" s="11" t="s">
        <v>289</v>
      </c>
      <c r="C20">
        <v>139</v>
      </c>
      <c r="D20">
        <v>10</v>
      </c>
      <c r="E20">
        <v>1</v>
      </c>
      <c r="F20">
        <v>1</v>
      </c>
      <c r="G20">
        <v>15</v>
      </c>
      <c r="H20">
        <v>30</v>
      </c>
      <c r="I20">
        <v>45.06</v>
      </c>
      <c r="J20">
        <v>49.35</v>
      </c>
      <c r="K20">
        <v>0.3</v>
      </c>
      <c r="L20">
        <v>78448</v>
      </c>
      <c r="M20">
        <v>62015</v>
      </c>
      <c r="N20">
        <v>33663</v>
      </c>
      <c r="O20">
        <v>10615</v>
      </c>
      <c r="P20" s="4">
        <f t="shared" si="0"/>
        <v>184741</v>
      </c>
      <c r="Q20">
        <v>5657</v>
      </c>
      <c r="R20">
        <v>40597</v>
      </c>
      <c r="S20">
        <v>7140</v>
      </c>
      <c r="T20">
        <v>35964</v>
      </c>
      <c r="U20" s="4">
        <f t="shared" si="1"/>
        <v>89358</v>
      </c>
      <c r="V20" s="4">
        <f t="shared" si="2"/>
        <v>274099</v>
      </c>
      <c r="W20">
        <v>21140953.3390949</v>
      </c>
      <c r="X20">
        <v>13348511.657430001</v>
      </c>
      <c r="Y20">
        <v>-7792441.6816649605</v>
      </c>
      <c r="Z20">
        <v>6637137.1909771496</v>
      </c>
      <c r="AA20" s="4">
        <f t="shared" si="3"/>
        <v>442475.81273180997</v>
      </c>
      <c r="AB20">
        <v>0</v>
      </c>
      <c r="AC20">
        <v>3604915.2270192602</v>
      </c>
      <c r="AD20">
        <v>3417388.79999999</v>
      </c>
      <c r="AE20">
        <f t="shared" si="4"/>
        <v>187526.42701927014</v>
      </c>
      <c r="AF20" s="4">
        <f t="shared" si="5"/>
        <v>6250.880900642338</v>
      </c>
      <c r="AG20">
        <v>30</v>
      </c>
      <c r="AH20">
        <v>322</v>
      </c>
      <c r="AI20" t="b">
        <v>1</v>
      </c>
    </row>
    <row r="21" spans="1:35" x14ac:dyDescent="0.2">
      <c r="A21" t="s">
        <v>94</v>
      </c>
      <c r="B21" s="11" t="s">
        <v>289</v>
      </c>
      <c r="C21">
        <v>138</v>
      </c>
      <c r="D21">
        <v>10</v>
      </c>
      <c r="E21">
        <v>1</v>
      </c>
      <c r="F21">
        <v>1</v>
      </c>
      <c r="G21">
        <v>15</v>
      </c>
      <c r="H21">
        <v>30</v>
      </c>
      <c r="I21">
        <v>90.12</v>
      </c>
      <c r="J21">
        <v>98.7</v>
      </c>
      <c r="K21">
        <v>0.3</v>
      </c>
      <c r="L21">
        <v>72190</v>
      </c>
      <c r="M21">
        <v>62674</v>
      </c>
      <c r="N21">
        <v>33800</v>
      </c>
      <c r="O21">
        <v>10574</v>
      </c>
      <c r="P21" s="4">
        <f t="shared" si="0"/>
        <v>179238</v>
      </c>
      <c r="Q21">
        <v>5836</v>
      </c>
      <c r="R21">
        <v>41723</v>
      </c>
      <c r="S21">
        <v>7723</v>
      </c>
      <c r="T21">
        <v>35437</v>
      </c>
      <c r="U21" s="4">
        <f t="shared" si="1"/>
        <v>90719</v>
      </c>
      <c r="V21" s="4">
        <f t="shared" si="2"/>
        <v>269957</v>
      </c>
      <c r="W21">
        <v>21803546.696291</v>
      </c>
      <c r="X21">
        <v>23565080.115173899</v>
      </c>
      <c r="Y21">
        <v>1761533.41888296</v>
      </c>
      <c r="Z21">
        <v>7177353.0644407095</v>
      </c>
      <c r="AA21" s="4">
        <f t="shared" si="3"/>
        <v>478490.20429604728</v>
      </c>
      <c r="AB21">
        <v>0</v>
      </c>
      <c r="AC21">
        <v>7644703.8896998102</v>
      </c>
      <c r="AD21">
        <v>3417388.79999999</v>
      </c>
      <c r="AE21">
        <f t="shared" si="4"/>
        <v>4227315.0896998197</v>
      </c>
      <c r="AF21" s="4">
        <f t="shared" si="5"/>
        <v>140910.50298999398</v>
      </c>
      <c r="AG21">
        <v>30</v>
      </c>
      <c r="AH21">
        <v>314</v>
      </c>
      <c r="AI21" t="b">
        <v>1</v>
      </c>
    </row>
    <row r="22" spans="1:35" x14ac:dyDescent="0.2">
      <c r="A22" t="s">
        <v>95</v>
      </c>
      <c r="B22" s="11" t="s">
        <v>289</v>
      </c>
      <c r="C22">
        <v>136</v>
      </c>
      <c r="D22">
        <v>10</v>
      </c>
      <c r="E22">
        <v>1</v>
      </c>
      <c r="F22">
        <v>3</v>
      </c>
      <c r="G22">
        <v>30</v>
      </c>
      <c r="H22">
        <v>30</v>
      </c>
      <c r="I22">
        <v>45.06</v>
      </c>
      <c r="J22">
        <v>49.35</v>
      </c>
      <c r="K22">
        <v>0.3</v>
      </c>
      <c r="L22">
        <v>57116</v>
      </c>
      <c r="M22">
        <v>64342</v>
      </c>
      <c r="N22">
        <v>33970</v>
      </c>
      <c r="O22">
        <v>10608</v>
      </c>
      <c r="P22" s="4">
        <f t="shared" si="0"/>
        <v>166036</v>
      </c>
      <c r="Q22">
        <v>6319</v>
      </c>
      <c r="R22">
        <v>44880</v>
      </c>
      <c r="S22">
        <v>7971</v>
      </c>
      <c r="T22">
        <v>35520</v>
      </c>
      <c r="U22" s="4">
        <f t="shared" si="1"/>
        <v>94690</v>
      </c>
      <c r="V22" s="4">
        <f t="shared" si="2"/>
        <v>260726</v>
      </c>
      <c r="W22">
        <v>28855293.352647401</v>
      </c>
      <c r="X22">
        <v>13972361.2932007</v>
      </c>
      <c r="Y22">
        <v>-14882932.0594467</v>
      </c>
      <c r="Z22">
        <v>15506480.812365901</v>
      </c>
      <c r="AA22" s="4">
        <f t="shared" si="3"/>
        <v>516882.69374553004</v>
      </c>
      <c r="AB22">
        <v>0</v>
      </c>
      <c r="AC22">
        <v>5007851.1957908599</v>
      </c>
      <c r="AD22">
        <v>3417388.79999999</v>
      </c>
      <c r="AE22">
        <f t="shared" si="4"/>
        <v>1590462.3957908698</v>
      </c>
      <c r="AF22" s="4">
        <f t="shared" si="5"/>
        <v>53015.413193028995</v>
      </c>
      <c r="AG22">
        <v>30</v>
      </c>
      <c r="AH22">
        <v>313</v>
      </c>
      <c r="AI22" t="b">
        <v>1</v>
      </c>
    </row>
    <row r="23" spans="1:35" x14ac:dyDescent="0.2">
      <c r="A23" t="s">
        <v>96</v>
      </c>
      <c r="B23" s="11" t="s">
        <v>289</v>
      </c>
      <c r="C23">
        <v>136</v>
      </c>
      <c r="D23">
        <v>10</v>
      </c>
      <c r="E23">
        <v>1</v>
      </c>
      <c r="F23">
        <v>3</v>
      </c>
      <c r="G23">
        <v>30</v>
      </c>
      <c r="H23">
        <v>30</v>
      </c>
      <c r="I23">
        <v>90.12</v>
      </c>
      <c r="J23">
        <v>98.7</v>
      </c>
      <c r="K23">
        <v>0.3</v>
      </c>
      <c r="L23">
        <v>57116</v>
      </c>
      <c r="M23">
        <v>64342</v>
      </c>
      <c r="N23">
        <v>33970</v>
      </c>
      <c r="O23">
        <v>10608</v>
      </c>
      <c r="P23" s="4">
        <f t="shared" si="0"/>
        <v>166036</v>
      </c>
      <c r="Q23">
        <v>6319</v>
      </c>
      <c r="R23">
        <v>44880</v>
      </c>
      <c r="S23">
        <v>7971</v>
      </c>
      <c r="T23">
        <v>35520</v>
      </c>
      <c r="U23" s="4">
        <f t="shared" si="1"/>
        <v>94690</v>
      </c>
      <c r="V23" s="4">
        <f t="shared" si="2"/>
        <v>260726</v>
      </c>
      <c r="W23">
        <v>28855293.352647401</v>
      </c>
      <c r="X23">
        <v>24527333.786401398</v>
      </c>
      <c r="Y23">
        <v>-4327959.56624607</v>
      </c>
      <c r="Z23">
        <v>15506480.812365901</v>
      </c>
      <c r="AA23" s="4">
        <f t="shared" si="3"/>
        <v>516882.69374553004</v>
      </c>
      <c r="AB23">
        <v>0</v>
      </c>
      <c r="AC23">
        <v>10015702.391581699</v>
      </c>
      <c r="AD23">
        <v>3417388.79999999</v>
      </c>
      <c r="AE23">
        <f t="shared" si="4"/>
        <v>6598313.5915817097</v>
      </c>
      <c r="AF23" s="4">
        <f t="shared" si="5"/>
        <v>219943.78638605698</v>
      </c>
      <c r="AG23">
        <v>30</v>
      </c>
      <c r="AH23">
        <v>313</v>
      </c>
      <c r="AI23" t="b">
        <v>1</v>
      </c>
    </row>
    <row r="24" spans="1:35" x14ac:dyDescent="0.2">
      <c r="A24" t="s">
        <v>97</v>
      </c>
      <c r="B24" s="11" t="s">
        <v>289</v>
      </c>
      <c r="C24">
        <v>138</v>
      </c>
      <c r="D24">
        <v>10</v>
      </c>
      <c r="E24">
        <v>1</v>
      </c>
      <c r="F24">
        <v>3</v>
      </c>
      <c r="G24">
        <v>15</v>
      </c>
      <c r="H24">
        <v>30</v>
      </c>
      <c r="I24">
        <v>45.06</v>
      </c>
      <c r="J24">
        <v>49.35</v>
      </c>
      <c r="K24">
        <v>0.3</v>
      </c>
      <c r="L24">
        <v>72233</v>
      </c>
      <c r="M24">
        <v>62666</v>
      </c>
      <c r="N24">
        <v>33486</v>
      </c>
      <c r="O24">
        <v>10579</v>
      </c>
      <c r="P24" s="4">
        <f t="shared" si="0"/>
        <v>178964</v>
      </c>
      <c r="Q24">
        <v>5871</v>
      </c>
      <c r="R24">
        <v>42001</v>
      </c>
      <c r="S24">
        <v>7755</v>
      </c>
      <c r="T24">
        <v>35529</v>
      </c>
      <c r="U24" s="4">
        <f t="shared" si="1"/>
        <v>91156</v>
      </c>
      <c r="V24" s="4">
        <f t="shared" si="2"/>
        <v>270120</v>
      </c>
      <c r="W24">
        <v>22054184.745428</v>
      </c>
      <c r="X24">
        <v>12331271.707942801</v>
      </c>
      <c r="Y24">
        <v>-9722913.0374852195</v>
      </c>
      <c r="Z24">
        <v>7472418.3356803302</v>
      </c>
      <c r="AA24" s="4">
        <f t="shared" si="3"/>
        <v>498161.22237868869</v>
      </c>
      <c r="AB24">
        <v>0</v>
      </c>
      <c r="AC24">
        <v>4626557.7033708999</v>
      </c>
      <c r="AD24">
        <v>3417388.79999999</v>
      </c>
      <c r="AE24">
        <f t="shared" si="4"/>
        <v>1209168.9033709099</v>
      </c>
      <c r="AF24" s="4">
        <f t="shared" si="5"/>
        <v>40305.630112363659</v>
      </c>
      <c r="AG24">
        <v>30</v>
      </c>
      <c r="AH24">
        <v>375</v>
      </c>
      <c r="AI24" t="b">
        <v>1</v>
      </c>
    </row>
    <row r="25" spans="1:35" x14ac:dyDescent="0.2">
      <c r="A25" t="s">
        <v>98</v>
      </c>
      <c r="B25" s="11" t="s">
        <v>289</v>
      </c>
      <c r="C25">
        <v>138</v>
      </c>
      <c r="D25">
        <v>10</v>
      </c>
      <c r="E25">
        <v>1</v>
      </c>
      <c r="F25">
        <v>3</v>
      </c>
      <c r="G25">
        <v>15</v>
      </c>
      <c r="H25">
        <v>30</v>
      </c>
      <c r="I25">
        <v>90.12</v>
      </c>
      <c r="J25">
        <v>98.7</v>
      </c>
      <c r="K25">
        <v>0.3</v>
      </c>
      <c r="L25">
        <v>72233</v>
      </c>
      <c r="M25">
        <v>62666</v>
      </c>
      <c r="N25">
        <v>33486</v>
      </c>
      <c r="O25">
        <v>10579</v>
      </c>
      <c r="P25" s="4">
        <f t="shared" si="0"/>
        <v>178964</v>
      </c>
      <c r="Q25">
        <v>5871</v>
      </c>
      <c r="R25">
        <v>42001</v>
      </c>
      <c r="S25">
        <v>7755</v>
      </c>
      <c r="T25">
        <v>35529</v>
      </c>
      <c r="U25" s="4">
        <f t="shared" si="1"/>
        <v>91156</v>
      </c>
      <c r="V25" s="4">
        <f t="shared" si="2"/>
        <v>270120</v>
      </c>
      <c r="W25">
        <v>22054184.745428</v>
      </c>
      <c r="X25">
        <v>21245154.615885701</v>
      </c>
      <c r="Y25">
        <v>-809030.129542373</v>
      </c>
      <c r="Z25">
        <v>7472418.3356803302</v>
      </c>
      <c r="AA25" s="4">
        <f t="shared" si="3"/>
        <v>498161.22237868869</v>
      </c>
      <c r="AB25">
        <v>0</v>
      </c>
      <c r="AC25">
        <v>9253115.4067417998</v>
      </c>
      <c r="AD25">
        <v>3417388.79999999</v>
      </c>
      <c r="AE25">
        <f t="shared" si="4"/>
        <v>5835726.6067418102</v>
      </c>
      <c r="AF25" s="4">
        <f t="shared" si="5"/>
        <v>194524.220224727</v>
      </c>
      <c r="AG25">
        <v>30</v>
      </c>
      <c r="AH25">
        <v>375</v>
      </c>
      <c r="AI25" t="b">
        <v>1</v>
      </c>
    </row>
    <row r="26" spans="1:35" x14ac:dyDescent="0.2">
      <c r="A26" t="s">
        <v>99</v>
      </c>
      <c r="B26" s="11" t="s">
        <v>289</v>
      </c>
      <c r="C26">
        <v>140</v>
      </c>
      <c r="D26">
        <v>10</v>
      </c>
      <c r="E26">
        <v>4</v>
      </c>
      <c r="F26">
        <v>1</v>
      </c>
      <c r="G26">
        <v>30</v>
      </c>
      <c r="H26">
        <v>30</v>
      </c>
      <c r="I26">
        <v>45.06</v>
      </c>
      <c r="J26">
        <v>49.35</v>
      </c>
      <c r="K26">
        <v>0.3</v>
      </c>
      <c r="L26">
        <v>78217</v>
      </c>
      <c r="M26">
        <v>61978</v>
      </c>
      <c r="N26">
        <v>33769</v>
      </c>
      <c r="O26">
        <v>10678</v>
      </c>
      <c r="P26" s="4">
        <f t="shared" si="0"/>
        <v>184642</v>
      </c>
      <c r="Q26">
        <v>5505</v>
      </c>
      <c r="R26">
        <v>40336</v>
      </c>
      <c r="S26">
        <v>6662</v>
      </c>
      <c r="T26">
        <v>36432</v>
      </c>
      <c r="U26" s="4">
        <f t="shared" si="1"/>
        <v>88935</v>
      </c>
      <c r="V26" s="4">
        <f t="shared" si="2"/>
        <v>273577</v>
      </c>
      <c r="W26">
        <v>28656771.1991999</v>
      </c>
      <c r="X26">
        <v>12219765.798786599</v>
      </c>
      <c r="Y26">
        <v>-16437005.400413301</v>
      </c>
      <c r="Z26">
        <v>13658302.605576901</v>
      </c>
      <c r="AA26" s="4">
        <f t="shared" si="3"/>
        <v>455276.75351923</v>
      </c>
      <c r="AB26">
        <v>0</v>
      </c>
      <c r="AC26">
        <v>2285418.1471612402</v>
      </c>
      <c r="AD26">
        <v>3417388.79999999</v>
      </c>
      <c r="AE26">
        <f t="shared" si="4"/>
        <v>-1131970.6528387498</v>
      </c>
      <c r="AF26" s="4">
        <f t="shared" si="5"/>
        <v>-37732.355094624996</v>
      </c>
      <c r="AG26">
        <v>30</v>
      </c>
      <c r="AH26">
        <v>369</v>
      </c>
      <c r="AI26" t="b">
        <v>1</v>
      </c>
    </row>
    <row r="27" spans="1:35" x14ac:dyDescent="0.2">
      <c r="A27" t="s">
        <v>100</v>
      </c>
      <c r="B27" s="11" t="s">
        <v>289</v>
      </c>
      <c r="C27">
        <v>140</v>
      </c>
      <c r="D27">
        <v>10</v>
      </c>
      <c r="E27">
        <v>4</v>
      </c>
      <c r="F27">
        <v>1</v>
      </c>
      <c r="G27">
        <v>30</v>
      </c>
      <c r="H27">
        <v>30</v>
      </c>
      <c r="I27">
        <v>90.12</v>
      </c>
      <c r="J27">
        <v>98.7</v>
      </c>
      <c r="K27">
        <v>0.3</v>
      </c>
      <c r="L27">
        <v>78217</v>
      </c>
      <c r="M27">
        <v>61978</v>
      </c>
      <c r="N27">
        <v>33769</v>
      </c>
      <c r="O27">
        <v>10678</v>
      </c>
      <c r="P27" s="4">
        <f t="shared" si="0"/>
        <v>184642</v>
      </c>
      <c r="Q27">
        <v>5505</v>
      </c>
      <c r="R27">
        <v>40336</v>
      </c>
      <c r="S27">
        <v>6662</v>
      </c>
      <c r="T27">
        <v>36432</v>
      </c>
      <c r="U27" s="4">
        <f t="shared" si="1"/>
        <v>88935</v>
      </c>
      <c r="V27" s="4">
        <f t="shared" si="2"/>
        <v>273577</v>
      </c>
      <c r="W27">
        <v>28656771.1991999</v>
      </c>
      <c r="X27">
        <v>21022142.797573298</v>
      </c>
      <c r="Y27">
        <v>-7634628.40162668</v>
      </c>
      <c r="Z27">
        <v>13658302.605576901</v>
      </c>
      <c r="AA27" s="4">
        <f t="shared" si="3"/>
        <v>455276.75351923</v>
      </c>
      <c r="AB27">
        <v>0</v>
      </c>
      <c r="AC27">
        <v>4570836.2943224898</v>
      </c>
      <c r="AD27">
        <v>3417388.79999999</v>
      </c>
      <c r="AE27">
        <f t="shared" si="4"/>
        <v>1153447.4943224997</v>
      </c>
      <c r="AF27" s="4">
        <f t="shared" si="5"/>
        <v>38448.249810749992</v>
      </c>
      <c r="AG27">
        <v>30</v>
      </c>
      <c r="AH27">
        <v>369</v>
      </c>
      <c r="AI27" t="b">
        <v>1</v>
      </c>
    </row>
    <row r="28" spans="1:35" x14ac:dyDescent="0.2">
      <c r="A28" t="s">
        <v>101</v>
      </c>
      <c r="B28" s="11" t="s">
        <v>289</v>
      </c>
      <c r="C28">
        <v>140</v>
      </c>
      <c r="D28">
        <v>10</v>
      </c>
      <c r="E28">
        <v>4</v>
      </c>
      <c r="F28">
        <v>1</v>
      </c>
      <c r="G28">
        <v>15</v>
      </c>
      <c r="H28">
        <v>30</v>
      </c>
      <c r="I28">
        <v>45.06</v>
      </c>
      <c r="J28">
        <v>49.35</v>
      </c>
      <c r="K28">
        <v>0.3</v>
      </c>
      <c r="L28">
        <v>77806</v>
      </c>
      <c r="M28">
        <v>61397</v>
      </c>
      <c r="N28">
        <v>33240</v>
      </c>
      <c r="O28">
        <v>10612</v>
      </c>
      <c r="P28" s="4">
        <f t="shared" si="0"/>
        <v>183055</v>
      </c>
      <c r="Q28">
        <v>5510</v>
      </c>
      <c r="R28">
        <v>39781</v>
      </c>
      <c r="S28">
        <v>6690</v>
      </c>
      <c r="T28">
        <v>36535</v>
      </c>
      <c r="U28" s="4">
        <f t="shared" si="1"/>
        <v>88516</v>
      </c>
      <c r="V28" s="4">
        <f t="shared" si="2"/>
        <v>271571</v>
      </c>
      <c r="W28">
        <v>21615747.3895192</v>
      </c>
      <c r="X28">
        <v>12664680.9175894</v>
      </c>
      <c r="Y28">
        <v>-8951066.4719297197</v>
      </c>
      <c r="Z28">
        <v>7423973.3819852602</v>
      </c>
      <c r="AA28" s="4">
        <f t="shared" si="3"/>
        <v>494931.55879901734</v>
      </c>
      <c r="AB28">
        <v>0</v>
      </c>
      <c r="AC28">
        <v>3194633.5250221398</v>
      </c>
      <c r="AD28">
        <v>3417388.79999999</v>
      </c>
      <c r="AE28">
        <f t="shared" si="4"/>
        <v>-222755.27497785026</v>
      </c>
      <c r="AF28" s="4">
        <f t="shared" si="5"/>
        <v>-7425.1758325950086</v>
      </c>
      <c r="AG28">
        <v>30</v>
      </c>
      <c r="AH28">
        <v>373</v>
      </c>
      <c r="AI28" t="b">
        <v>1</v>
      </c>
    </row>
    <row r="29" spans="1:35" x14ac:dyDescent="0.2">
      <c r="A29" t="s">
        <v>102</v>
      </c>
      <c r="B29" s="11" t="s">
        <v>289</v>
      </c>
      <c r="C29">
        <v>140</v>
      </c>
      <c r="D29">
        <v>10</v>
      </c>
      <c r="E29">
        <v>4</v>
      </c>
      <c r="F29">
        <v>1</v>
      </c>
      <c r="G29">
        <v>15</v>
      </c>
      <c r="H29">
        <v>30</v>
      </c>
      <c r="I29">
        <v>90.12</v>
      </c>
      <c r="J29">
        <v>98.7</v>
      </c>
      <c r="K29">
        <v>0.3</v>
      </c>
      <c r="L29">
        <v>77806</v>
      </c>
      <c r="M29">
        <v>61397</v>
      </c>
      <c r="N29">
        <v>33240</v>
      </c>
      <c r="O29">
        <v>10612</v>
      </c>
      <c r="P29" s="4">
        <f t="shared" si="0"/>
        <v>183055</v>
      </c>
      <c r="Q29">
        <v>5510</v>
      </c>
      <c r="R29">
        <v>39781</v>
      </c>
      <c r="S29">
        <v>6690</v>
      </c>
      <c r="T29">
        <v>36535</v>
      </c>
      <c r="U29" s="4">
        <f t="shared" si="1"/>
        <v>88516</v>
      </c>
      <c r="V29" s="4">
        <f t="shared" si="2"/>
        <v>271571</v>
      </c>
      <c r="W29">
        <v>21615747.3895192</v>
      </c>
      <c r="X29">
        <v>21911973.0351789</v>
      </c>
      <c r="Y29">
        <v>296225.64565976302</v>
      </c>
      <c r="Z29">
        <v>7423973.3819852602</v>
      </c>
      <c r="AA29" s="4">
        <f t="shared" si="3"/>
        <v>494931.55879901734</v>
      </c>
      <c r="AB29">
        <v>0</v>
      </c>
      <c r="AC29">
        <v>6389267.0500442898</v>
      </c>
      <c r="AD29">
        <v>3417388.79999999</v>
      </c>
      <c r="AE29">
        <f t="shared" si="4"/>
        <v>2971878.2500442998</v>
      </c>
      <c r="AF29" s="4">
        <f t="shared" si="5"/>
        <v>99062.608334809993</v>
      </c>
      <c r="AG29">
        <v>30</v>
      </c>
      <c r="AH29">
        <v>373</v>
      </c>
      <c r="AI29" t="b">
        <v>1</v>
      </c>
    </row>
    <row r="30" spans="1:35" x14ac:dyDescent="0.2">
      <c r="A30" t="s">
        <v>103</v>
      </c>
      <c r="B30" s="11" t="s">
        <v>289</v>
      </c>
      <c r="C30">
        <v>139</v>
      </c>
      <c r="D30">
        <v>10</v>
      </c>
      <c r="E30">
        <v>4</v>
      </c>
      <c r="F30">
        <v>3</v>
      </c>
      <c r="G30">
        <v>30</v>
      </c>
      <c r="H30">
        <v>30</v>
      </c>
      <c r="I30">
        <v>45.06</v>
      </c>
      <c r="J30">
        <v>49.35</v>
      </c>
      <c r="K30">
        <v>0.3</v>
      </c>
      <c r="L30">
        <v>79296</v>
      </c>
      <c r="M30">
        <v>62618</v>
      </c>
      <c r="N30">
        <v>33523</v>
      </c>
      <c r="O30">
        <v>10659</v>
      </c>
      <c r="P30" s="4">
        <f t="shared" si="0"/>
        <v>186096</v>
      </c>
      <c r="Q30">
        <v>5585</v>
      </c>
      <c r="R30">
        <v>41627</v>
      </c>
      <c r="S30">
        <v>7100</v>
      </c>
      <c r="T30">
        <v>35891</v>
      </c>
      <c r="U30" s="4">
        <f t="shared" si="1"/>
        <v>90203</v>
      </c>
      <c r="V30" s="4">
        <f t="shared" si="2"/>
        <v>276299</v>
      </c>
      <c r="W30">
        <v>30478294.012814</v>
      </c>
      <c r="X30">
        <v>13932928.5734626</v>
      </c>
      <c r="Y30">
        <v>-16545365.4393514</v>
      </c>
      <c r="Z30">
        <v>14875022.389474999</v>
      </c>
      <c r="AA30" s="4">
        <f t="shared" si="3"/>
        <v>495834.07964916661</v>
      </c>
      <c r="AB30">
        <v>0</v>
      </c>
      <c r="AC30">
        <v>5384320.8350728601</v>
      </c>
      <c r="AD30">
        <v>3417388.79999999</v>
      </c>
      <c r="AE30">
        <f t="shared" si="4"/>
        <v>1966932.0350728701</v>
      </c>
      <c r="AF30" s="4">
        <f t="shared" si="5"/>
        <v>65564.401169095669</v>
      </c>
      <c r="AG30">
        <v>30</v>
      </c>
      <c r="AH30">
        <v>350</v>
      </c>
      <c r="AI30" t="b">
        <v>1</v>
      </c>
    </row>
    <row r="31" spans="1:35" x14ac:dyDescent="0.2">
      <c r="A31" t="s">
        <v>104</v>
      </c>
      <c r="B31" s="11" t="s">
        <v>289</v>
      </c>
      <c r="C31">
        <v>137</v>
      </c>
      <c r="D31">
        <v>10</v>
      </c>
      <c r="E31">
        <v>4</v>
      </c>
      <c r="F31">
        <v>3</v>
      </c>
      <c r="G31">
        <v>30</v>
      </c>
      <c r="H31">
        <v>30</v>
      </c>
      <c r="I31">
        <v>90.12</v>
      </c>
      <c r="J31">
        <v>98.7</v>
      </c>
      <c r="K31">
        <v>0.3</v>
      </c>
      <c r="L31">
        <v>65208</v>
      </c>
      <c r="M31">
        <v>63930</v>
      </c>
      <c r="N31">
        <v>33687</v>
      </c>
      <c r="O31">
        <v>10629</v>
      </c>
      <c r="P31" s="4">
        <f t="shared" si="0"/>
        <v>173454</v>
      </c>
      <c r="Q31">
        <v>6095</v>
      </c>
      <c r="R31">
        <v>43638</v>
      </c>
      <c r="S31">
        <v>7840</v>
      </c>
      <c r="T31">
        <v>35350</v>
      </c>
      <c r="U31" s="4">
        <f t="shared" si="1"/>
        <v>92923</v>
      </c>
      <c r="V31" s="4">
        <f t="shared" si="2"/>
        <v>266377</v>
      </c>
      <c r="W31">
        <v>29082145.918392502</v>
      </c>
      <c r="X31">
        <v>23486239.528614301</v>
      </c>
      <c r="Y31">
        <v>-5595906.3897781903</v>
      </c>
      <c r="Z31">
        <v>14599251.2050559</v>
      </c>
      <c r="AA31" s="4">
        <f t="shared" si="3"/>
        <v>486641.70683519664</v>
      </c>
      <c r="AB31">
        <v>0</v>
      </c>
      <c r="AC31">
        <v>9853944.2359580901</v>
      </c>
      <c r="AD31">
        <v>3417388.79999999</v>
      </c>
      <c r="AE31">
        <f t="shared" si="4"/>
        <v>6436555.4359581005</v>
      </c>
      <c r="AF31" s="4">
        <f t="shared" si="5"/>
        <v>214551.84786527001</v>
      </c>
      <c r="AG31">
        <v>30</v>
      </c>
      <c r="AH31">
        <v>361</v>
      </c>
      <c r="AI31" t="b">
        <v>1</v>
      </c>
    </row>
    <row r="32" spans="1:35" x14ac:dyDescent="0.2">
      <c r="A32" t="s">
        <v>105</v>
      </c>
      <c r="B32" s="11" t="s">
        <v>289</v>
      </c>
      <c r="C32">
        <v>142</v>
      </c>
      <c r="D32">
        <v>10</v>
      </c>
      <c r="E32">
        <v>4</v>
      </c>
      <c r="F32">
        <v>3</v>
      </c>
      <c r="G32">
        <v>15</v>
      </c>
      <c r="H32">
        <v>30</v>
      </c>
      <c r="I32">
        <v>45.06</v>
      </c>
      <c r="J32">
        <v>49.35</v>
      </c>
      <c r="K32">
        <v>0.3</v>
      </c>
      <c r="L32">
        <v>70144</v>
      </c>
      <c r="M32">
        <v>66030</v>
      </c>
      <c r="N32">
        <v>32932</v>
      </c>
      <c r="O32">
        <v>10625</v>
      </c>
      <c r="P32" s="4">
        <f t="shared" si="0"/>
        <v>179731</v>
      </c>
      <c r="Q32">
        <v>5218</v>
      </c>
      <c r="R32">
        <v>38027</v>
      </c>
      <c r="S32">
        <v>5990</v>
      </c>
      <c r="T32">
        <v>37030</v>
      </c>
      <c r="U32" s="4">
        <f t="shared" si="1"/>
        <v>86265</v>
      </c>
      <c r="V32" s="4">
        <f t="shared" si="2"/>
        <v>265996</v>
      </c>
      <c r="W32">
        <v>22096114.547306299</v>
      </c>
      <c r="X32">
        <v>10209250.331229299</v>
      </c>
      <c r="Y32">
        <v>-11886864.216076899</v>
      </c>
      <c r="Z32">
        <v>7189101.7555912696</v>
      </c>
      <c r="AA32" s="4">
        <f t="shared" si="3"/>
        <v>479273.45037275128</v>
      </c>
      <c r="AB32">
        <v>0</v>
      </c>
      <c r="AC32">
        <v>3104431.65778436</v>
      </c>
      <c r="AD32">
        <v>3417388.79999999</v>
      </c>
      <c r="AE32">
        <f t="shared" si="4"/>
        <v>-312957.14221563004</v>
      </c>
      <c r="AF32" s="4">
        <f t="shared" si="5"/>
        <v>-10431.904740521002</v>
      </c>
      <c r="AG32">
        <v>30</v>
      </c>
      <c r="AH32">
        <v>473</v>
      </c>
      <c r="AI32" t="b">
        <v>1</v>
      </c>
    </row>
    <row r="33" spans="1:35" x14ac:dyDescent="0.2">
      <c r="A33" s="4" t="s">
        <v>106</v>
      </c>
      <c r="B33" s="11" t="s">
        <v>289</v>
      </c>
      <c r="C33">
        <v>142</v>
      </c>
      <c r="D33">
        <v>10</v>
      </c>
      <c r="E33">
        <v>4</v>
      </c>
      <c r="F33">
        <v>3</v>
      </c>
      <c r="G33">
        <v>15</v>
      </c>
      <c r="H33">
        <v>30</v>
      </c>
      <c r="I33">
        <v>90.12</v>
      </c>
      <c r="J33">
        <v>98.7</v>
      </c>
      <c r="K33">
        <v>0.3</v>
      </c>
      <c r="L33">
        <v>69934</v>
      </c>
      <c r="M33">
        <v>65563</v>
      </c>
      <c r="N33">
        <v>32925</v>
      </c>
      <c r="O33">
        <v>10665</v>
      </c>
      <c r="P33" s="4">
        <f t="shared" si="0"/>
        <v>179087</v>
      </c>
      <c r="Q33">
        <v>5281</v>
      </c>
      <c r="R33">
        <v>38290</v>
      </c>
      <c r="S33">
        <v>6035</v>
      </c>
      <c r="T33">
        <v>37137</v>
      </c>
      <c r="U33" s="4">
        <f t="shared" si="1"/>
        <v>86743</v>
      </c>
      <c r="V33" s="4">
        <f t="shared" si="2"/>
        <v>265830</v>
      </c>
      <c r="W33">
        <v>21522453.1005827</v>
      </c>
      <c r="X33">
        <v>17343851.667297602</v>
      </c>
      <c r="Y33">
        <v>-4178601.4332850901</v>
      </c>
      <c r="Z33">
        <v>6945714.53011938</v>
      </c>
      <c r="AA33" s="4">
        <f t="shared" si="3"/>
        <v>463047.63534129201</v>
      </c>
      <c r="AB33">
        <v>0</v>
      </c>
      <c r="AC33">
        <v>5402279.8058483498</v>
      </c>
      <c r="AD33">
        <v>3417388.79999999</v>
      </c>
      <c r="AE33">
        <f t="shared" si="4"/>
        <v>1984891.0058483598</v>
      </c>
      <c r="AF33" s="4">
        <f t="shared" si="5"/>
        <v>66163.033528278655</v>
      </c>
      <c r="AG33">
        <v>30</v>
      </c>
      <c r="AH33">
        <v>462</v>
      </c>
      <c r="AI33" t="b">
        <v>1</v>
      </c>
    </row>
    <row r="34" spans="1:35" x14ac:dyDescent="0.2">
      <c r="A34" t="s">
        <v>107</v>
      </c>
    </row>
    <row r="35" spans="1:35" x14ac:dyDescent="0.2">
      <c r="A35" t="s">
        <v>108</v>
      </c>
    </row>
    <row r="36" spans="1:35" x14ac:dyDescent="0.2">
      <c r="A36" t="s">
        <v>109</v>
      </c>
    </row>
    <row r="37" spans="1:35" x14ac:dyDescent="0.2">
      <c r="A37" t="s">
        <v>110</v>
      </c>
    </row>
    <row r="38" spans="1:35" x14ac:dyDescent="0.2">
      <c r="A38" t="s">
        <v>111</v>
      </c>
    </row>
    <row r="39" spans="1:35" x14ac:dyDescent="0.2">
      <c r="A39" t="s">
        <v>112</v>
      </c>
      <c r="B39" s="10"/>
    </row>
    <row r="40" spans="1:35" x14ac:dyDescent="0.2">
      <c r="A40" t="s">
        <v>113</v>
      </c>
    </row>
    <row r="41" spans="1:35" x14ac:dyDescent="0.2">
      <c r="A41" t="s">
        <v>114</v>
      </c>
    </row>
    <row r="42" spans="1:35" x14ac:dyDescent="0.2">
      <c r="A42" t="s">
        <v>115</v>
      </c>
    </row>
    <row r="43" spans="1:35" x14ac:dyDescent="0.2">
      <c r="A43" t="s">
        <v>116</v>
      </c>
    </row>
    <row r="44" spans="1:35" x14ac:dyDescent="0.2">
      <c r="A44" t="s">
        <v>117</v>
      </c>
    </row>
    <row r="45" spans="1:35" x14ac:dyDescent="0.2">
      <c r="A45" t="s">
        <v>261</v>
      </c>
    </row>
    <row r="46" spans="1:35" x14ac:dyDescent="0.2">
      <c r="A46" t="s">
        <v>262</v>
      </c>
    </row>
    <row r="47" spans="1:35" x14ac:dyDescent="0.2">
      <c r="A47" t="s">
        <v>263</v>
      </c>
    </row>
    <row r="48" spans="1:35" x14ac:dyDescent="0.2">
      <c r="A48" t="s">
        <v>264</v>
      </c>
    </row>
    <row r="49" spans="1:1" x14ac:dyDescent="0.2">
      <c r="A49" t="s">
        <v>265</v>
      </c>
    </row>
    <row r="50" spans="1:1" x14ac:dyDescent="0.2">
      <c r="A50" t="s">
        <v>266</v>
      </c>
    </row>
    <row r="51" spans="1:1" x14ac:dyDescent="0.2">
      <c r="A51" t="s">
        <v>267</v>
      </c>
    </row>
    <row r="52" spans="1:1" x14ac:dyDescent="0.2">
      <c r="A52" t="s">
        <v>268</v>
      </c>
    </row>
    <row r="53" spans="1:1" x14ac:dyDescent="0.2">
      <c r="A53" t="s">
        <v>269</v>
      </c>
    </row>
    <row r="54" spans="1:1" x14ac:dyDescent="0.2">
      <c r="A54" t="s">
        <v>270</v>
      </c>
    </row>
    <row r="55" spans="1:1" x14ac:dyDescent="0.2">
      <c r="A55" t="s">
        <v>271</v>
      </c>
    </row>
    <row r="56" spans="1:1" x14ac:dyDescent="0.2">
      <c r="A56" t="s">
        <v>272</v>
      </c>
    </row>
    <row r="57" spans="1:1" x14ac:dyDescent="0.2">
      <c r="A57" t="s">
        <v>273</v>
      </c>
    </row>
    <row r="58" spans="1:1" x14ac:dyDescent="0.2">
      <c r="A58" t="s">
        <v>274</v>
      </c>
    </row>
    <row r="59" spans="1:1" x14ac:dyDescent="0.2">
      <c r="A59" t="s">
        <v>275</v>
      </c>
    </row>
    <row r="60" spans="1:1" x14ac:dyDescent="0.2">
      <c r="A60" t="s">
        <v>276</v>
      </c>
    </row>
    <row r="61" spans="1:1" x14ac:dyDescent="0.2">
      <c r="A61" t="s">
        <v>277</v>
      </c>
    </row>
    <row r="62" spans="1:1" x14ac:dyDescent="0.2">
      <c r="A62" t="s">
        <v>278</v>
      </c>
    </row>
    <row r="63" spans="1:1" x14ac:dyDescent="0.2">
      <c r="A63" t="s">
        <v>279</v>
      </c>
    </row>
    <row r="64" spans="1:1" x14ac:dyDescent="0.2">
      <c r="A64" t="s">
        <v>280</v>
      </c>
    </row>
    <row r="65" spans="1:1" x14ac:dyDescent="0.2">
      <c r="A65" t="s">
        <v>281</v>
      </c>
    </row>
  </sheetData>
  <sortState xmlns:xlrd2="http://schemas.microsoft.com/office/spreadsheetml/2017/richdata2" ref="A2:AM44">
    <sortCondition ref="A1:A44"/>
  </sortState>
  <pageMargins left="0.75" right="0.75" top="1" bottom="1" header="0.5" footer="0.5"/>
  <ignoredErrors>
    <ignoredError sqref="B2:B33" numberStoredAsText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65"/>
  <sheetViews>
    <sheetView workbookViewId="0">
      <selection activeCell="AC22" sqref="AC22"/>
    </sheetView>
  </sheetViews>
  <sheetFormatPr baseColWidth="10" defaultRowHeight="16" x14ac:dyDescent="0.2"/>
  <cols>
    <col min="8" max="8" width="18.33203125" bestFit="1" customWidth="1"/>
    <col min="9" max="9" width="22.5" bestFit="1" customWidth="1"/>
    <col min="10" max="10" width="17.6640625" bestFit="1" customWidth="1"/>
    <col min="23" max="23" width="23.5" bestFit="1" customWidth="1"/>
  </cols>
  <sheetData>
    <row r="1" spans="1:37" x14ac:dyDescent="0.2">
      <c r="A1" t="s">
        <v>75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19</v>
      </c>
      <c r="K1" t="s">
        <v>282</v>
      </c>
      <c r="L1" t="s">
        <v>60</v>
      </c>
      <c r="P1" t="s">
        <v>19</v>
      </c>
      <c r="Q1" t="s">
        <v>282</v>
      </c>
      <c r="R1" t="s">
        <v>60</v>
      </c>
      <c r="V1" t="s">
        <v>75</v>
      </c>
      <c r="W1" t="s">
        <v>1</v>
      </c>
      <c r="X1" t="s">
        <v>2</v>
      </c>
      <c r="Y1" t="s">
        <v>3</v>
      </c>
      <c r="Z1" t="s">
        <v>4</v>
      </c>
      <c r="AA1" t="s">
        <v>5</v>
      </c>
      <c r="AB1" t="s">
        <v>6</v>
      </c>
      <c r="AC1" t="s">
        <v>7</v>
      </c>
      <c r="AD1" t="s">
        <v>8</v>
      </c>
      <c r="AE1" t="s">
        <v>19</v>
      </c>
      <c r="AF1" t="s">
        <v>284</v>
      </c>
      <c r="AG1" t="s">
        <v>282</v>
      </c>
      <c r="AH1" t="s">
        <v>285</v>
      </c>
      <c r="AI1" t="s">
        <v>60</v>
      </c>
      <c r="AJ1" t="s">
        <v>286</v>
      </c>
    </row>
    <row r="2" spans="1:37" x14ac:dyDescent="0.2">
      <c r="A2" t="s">
        <v>76</v>
      </c>
      <c r="B2">
        <v>10</v>
      </c>
      <c r="C2">
        <v>1</v>
      </c>
      <c r="D2">
        <v>1</v>
      </c>
      <c r="E2">
        <v>15</v>
      </c>
      <c r="F2">
        <v>10</v>
      </c>
      <c r="G2">
        <v>45.06</v>
      </c>
      <c r="H2">
        <v>49.35</v>
      </c>
      <c r="I2">
        <v>0.3</v>
      </c>
      <c r="J2">
        <v>-18344203.504127599</v>
      </c>
      <c r="K2">
        <v>128635.69871115933</v>
      </c>
      <c r="L2">
        <v>-44917.53925808701</v>
      </c>
      <c r="M2" t="b">
        <f t="shared" ref="M2:M33" si="0">AND(J2&gt;0, K2&gt;0, L2&gt;0)</f>
        <v>0</v>
      </c>
      <c r="O2" t="s">
        <v>283</v>
      </c>
      <c r="P2">
        <v>19090546.030836798</v>
      </c>
      <c r="Q2">
        <v>219895.56303168266</v>
      </c>
      <c r="R2">
        <v>770855.04453140101</v>
      </c>
      <c r="V2" s="6" t="s">
        <v>96</v>
      </c>
      <c r="W2" s="6">
        <v>10</v>
      </c>
      <c r="X2" s="6">
        <v>1</v>
      </c>
      <c r="Y2" s="6">
        <v>3</v>
      </c>
      <c r="Z2" s="6">
        <v>15</v>
      </c>
      <c r="AA2" s="6">
        <v>30</v>
      </c>
      <c r="AB2" s="6">
        <v>90.12</v>
      </c>
      <c r="AC2" s="6">
        <v>98.7</v>
      </c>
      <c r="AD2" s="6">
        <v>0.3</v>
      </c>
      <c r="AE2" s="6">
        <v>19090546.030836798</v>
      </c>
      <c r="AF2" s="6">
        <v>1</v>
      </c>
      <c r="AG2" s="6">
        <v>147938.14870926933</v>
      </c>
      <c r="AH2" s="6">
        <v>4</v>
      </c>
      <c r="AI2" s="6">
        <v>36440.199961776656</v>
      </c>
      <c r="AJ2" s="6">
        <v>12</v>
      </c>
      <c r="AK2" s="6" t="b">
        <f t="shared" ref="AK2:AK13" si="1">AND(AE2&gt;0, AG2&gt;0, AI2&gt;0)</f>
        <v>1</v>
      </c>
    </row>
    <row r="3" spans="1:37" x14ac:dyDescent="0.2">
      <c r="A3" t="s">
        <v>77</v>
      </c>
      <c r="B3">
        <v>10</v>
      </c>
      <c r="C3">
        <v>1</v>
      </c>
      <c r="D3">
        <v>1</v>
      </c>
      <c r="E3">
        <v>15</v>
      </c>
      <c r="F3">
        <v>10</v>
      </c>
      <c r="G3">
        <v>90.12</v>
      </c>
      <c r="H3">
        <v>98.7</v>
      </c>
      <c r="I3">
        <v>0.3</v>
      </c>
      <c r="J3">
        <v>-7824259.4077669401</v>
      </c>
      <c r="K3">
        <v>137309.57597981466</v>
      </c>
      <c r="L3">
        <v>229121.20948382499</v>
      </c>
      <c r="M3" t="b">
        <f t="shared" si="0"/>
        <v>0</v>
      </c>
      <c r="V3" s="6" t="s">
        <v>92</v>
      </c>
      <c r="W3" s="6">
        <v>10</v>
      </c>
      <c r="X3" s="6">
        <v>1</v>
      </c>
      <c r="Y3" s="6">
        <v>1</v>
      </c>
      <c r="Z3" s="6">
        <v>15</v>
      </c>
      <c r="AA3" s="6">
        <v>30</v>
      </c>
      <c r="AB3" s="6">
        <v>90.12</v>
      </c>
      <c r="AC3" s="6">
        <v>98.7</v>
      </c>
      <c r="AD3" s="6">
        <v>0.3</v>
      </c>
      <c r="AE3" s="6">
        <v>16087205.5488762</v>
      </c>
      <c r="AF3" s="6">
        <v>2</v>
      </c>
      <c r="AG3" s="6">
        <v>162008.20497532267</v>
      </c>
      <c r="AH3" s="6">
        <v>2</v>
      </c>
      <c r="AI3" s="6">
        <v>64844.372534223337</v>
      </c>
      <c r="AJ3" s="6">
        <v>10</v>
      </c>
      <c r="AK3" s="6" t="b">
        <f t="shared" si="1"/>
        <v>1</v>
      </c>
    </row>
    <row r="4" spans="1:37" x14ac:dyDescent="0.2">
      <c r="A4" t="s">
        <v>78</v>
      </c>
      <c r="B4">
        <v>10</v>
      </c>
      <c r="C4">
        <v>1</v>
      </c>
      <c r="D4">
        <v>1</v>
      </c>
      <c r="E4">
        <v>30</v>
      </c>
      <c r="F4">
        <v>10</v>
      </c>
      <c r="G4">
        <v>45.06</v>
      </c>
      <c r="H4">
        <v>49.35</v>
      </c>
      <c r="I4">
        <v>0.3</v>
      </c>
      <c r="J4">
        <v>-17400718.0542183</v>
      </c>
      <c r="K4">
        <v>63060.020033272333</v>
      </c>
      <c r="L4">
        <v>197267.63140186699</v>
      </c>
      <c r="M4" t="b">
        <f t="shared" si="0"/>
        <v>0</v>
      </c>
      <c r="V4" s="8" t="s">
        <v>269</v>
      </c>
      <c r="W4" s="8">
        <v>20</v>
      </c>
      <c r="X4" s="8">
        <v>1</v>
      </c>
      <c r="Y4" s="8">
        <v>1</v>
      </c>
      <c r="Z4" s="8">
        <v>30</v>
      </c>
      <c r="AA4" s="8">
        <v>30</v>
      </c>
      <c r="AB4" s="8">
        <v>90.12</v>
      </c>
      <c r="AC4" s="8">
        <v>98.7</v>
      </c>
      <c r="AD4" s="8">
        <v>0.3</v>
      </c>
      <c r="AE4" s="8">
        <v>11758454.6214043</v>
      </c>
      <c r="AF4" s="8">
        <v>3</v>
      </c>
      <c r="AG4" s="8">
        <v>192354.87929308033</v>
      </c>
      <c r="AH4" s="8">
        <v>1</v>
      </c>
      <c r="AI4" s="8">
        <v>355103.84085718001</v>
      </c>
      <c r="AJ4" s="8">
        <v>6</v>
      </c>
      <c r="AK4" s="8" t="b">
        <f t="shared" si="1"/>
        <v>1</v>
      </c>
    </row>
    <row r="5" spans="1:37" x14ac:dyDescent="0.2">
      <c r="A5" t="s">
        <v>79</v>
      </c>
      <c r="B5">
        <v>10</v>
      </c>
      <c r="C5">
        <v>1</v>
      </c>
      <c r="D5">
        <v>1</v>
      </c>
      <c r="E5">
        <v>30</v>
      </c>
      <c r="F5">
        <v>10</v>
      </c>
      <c r="G5">
        <v>90.12</v>
      </c>
      <c r="H5">
        <v>98.7</v>
      </c>
      <c r="I5">
        <v>0.3</v>
      </c>
      <c r="J5">
        <v>-1415881.9497326899</v>
      </c>
      <c r="K5">
        <v>73485.876136297331</v>
      </c>
      <c r="L5">
        <v>713491.55080373096</v>
      </c>
      <c r="M5" t="b">
        <f t="shared" si="0"/>
        <v>0</v>
      </c>
      <c r="V5" s="7" t="s">
        <v>106</v>
      </c>
      <c r="W5" s="7">
        <v>10</v>
      </c>
      <c r="X5" s="7">
        <v>4</v>
      </c>
      <c r="Y5" s="7">
        <v>3</v>
      </c>
      <c r="Z5" s="7">
        <v>30</v>
      </c>
      <c r="AA5" s="7">
        <v>30</v>
      </c>
      <c r="AB5" s="7">
        <v>90.12</v>
      </c>
      <c r="AC5" s="7">
        <v>98.7</v>
      </c>
      <c r="AD5" s="7">
        <v>0.3</v>
      </c>
      <c r="AE5" s="7">
        <v>11695457.623707499</v>
      </c>
      <c r="AF5" s="6">
        <v>4</v>
      </c>
      <c r="AG5" s="6">
        <v>158322.13665198401</v>
      </c>
      <c r="AH5" s="6">
        <v>3</v>
      </c>
      <c r="AI5" s="7">
        <v>205744.31965886001</v>
      </c>
      <c r="AJ5" s="6">
        <v>7</v>
      </c>
      <c r="AK5" s="6" t="b">
        <f t="shared" si="1"/>
        <v>1</v>
      </c>
    </row>
    <row r="6" spans="1:37" x14ac:dyDescent="0.2">
      <c r="A6" t="s">
        <v>80</v>
      </c>
      <c r="B6">
        <v>10</v>
      </c>
      <c r="C6">
        <v>1</v>
      </c>
      <c r="D6">
        <v>3</v>
      </c>
      <c r="E6">
        <v>15</v>
      </c>
      <c r="F6">
        <v>10</v>
      </c>
      <c r="G6">
        <v>45.06</v>
      </c>
      <c r="H6">
        <v>49.35</v>
      </c>
      <c r="I6">
        <v>0.3</v>
      </c>
      <c r="J6">
        <v>-17980638.827082999</v>
      </c>
      <c r="K6">
        <v>145554.21915504735</v>
      </c>
      <c r="L6">
        <v>23823.296777059975</v>
      </c>
      <c r="M6" t="b">
        <f t="shared" si="0"/>
        <v>0</v>
      </c>
      <c r="V6" s="6" t="s">
        <v>104</v>
      </c>
      <c r="W6" s="6">
        <v>10</v>
      </c>
      <c r="X6" s="6">
        <v>4</v>
      </c>
      <c r="Y6" s="6">
        <v>3</v>
      </c>
      <c r="Z6" s="6">
        <v>15</v>
      </c>
      <c r="AA6" s="6">
        <v>30</v>
      </c>
      <c r="AB6" s="6">
        <v>90.12</v>
      </c>
      <c r="AC6" s="6">
        <v>98.7</v>
      </c>
      <c r="AD6" s="6">
        <v>0.3</v>
      </c>
      <c r="AE6" s="6">
        <v>11203115.6601393</v>
      </c>
      <c r="AF6" s="6">
        <v>5</v>
      </c>
      <c r="AG6" s="6">
        <v>137501.41859871533</v>
      </c>
      <c r="AH6" s="6">
        <v>5</v>
      </c>
      <c r="AI6" s="6">
        <v>51108.602524846669</v>
      </c>
      <c r="AJ6" s="6">
        <v>11</v>
      </c>
      <c r="AK6" s="6" t="b">
        <f t="shared" si="1"/>
        <v>1</v>
      </c>
    </row>
    <row r="7" spans="1:37" x14ac:dyDescent="0.2">
      <c r="A7" t="s">
        <v>42</v>
      </c>
      <c r="B7">
        <v>10</v>
      </c>
      <c r="C7">
        <v>1</v>
      </c>
      <c r="D7">
        <v>3</v>
      </c>
      <c r="E7">
        <v>15</v>
      </c>
      <c r="F7">
        <v>10</v>
      </c>
      <c r="G7">
        <v>90.12</v>
      </c>
      <c r="H7">
        <v>98.7</v>
      </c>
      <c r="I7">
        <v>0.3</v>
      </c>
      <c r="J7">
        <v>-6696047.13591504</v>
      </c>
      <c r="K7">
        <v>145274.651892714</v>
      </c>
      <c r="L7">
        <v>366602.88155411999</v>
      </c>
      <c r="M7" t="b">
        <f t="shared" si="0"/>
        <v>0</v>
      </c>
      <c r="V7" s="6" t="s">
        <v>98</v>
      </c>
      <c r="W7" s="6">
        <v>10</v>
      </c>
      <c r="X7" s="6">
        <v>1</v>
      </c>
      <c r="Y7" s="6">
        <v>3</v>
      </c>
      <c r="Z7" s="6">
        <v>30</v>
      </c>
      <c r="AA7" s="6">
        <v>30</v>
      </c>
      <c r="AB7" s="6">
        <v>90.12</v>
      </c>
      <c r="AC7" s="6">
        <v>98.7</v>
      </c>
      <c r="AD7" s="6">
        <v>0.3</v>
      </c>
      <c r="AE7" s="6">
        <v>8001819.4625559598</v>
      </c>
      <c r="AF7" s="6">
        <v>6</v>
      </c>
      <c r="AG7" s="6">
        <v>117116.00745286167</v>
      </c>
      <c r="AH7" s="6">
        <v>6</v>
      </c>
      <c r="AI7" s="6">
        <v>80236.996887393354</v>
      </c>
      <c r="AJ7" s="6">
        <v>9</v>
      </c>
      <c r="AK7" s="6" t="b">
        <f t="shared" si="1"/>
        <v>1</v>
      </c>
    </row>
    <row r="8" spans="1:37" x14ac:dyDescent="0.2">
      <c r="A8" t="s">
        <v>81</v>
      </c>
      <c r="B8">
        <v>10</v>
      </c>
      <c r="C8">
        <v>1</v>
      </c>
      <c r="D8">
        <v>3</v>
      </c>
      <c r="E8">
        <v>30</v>
      </c>
      <c r="F8">
        <v>10</v>
      </c>
      <c r="G8">
        <v>45.06</v>
      </c>
      <c r="H8">
        <v>49.35</v>
      </c>
      <c r="I8">
        <v>0.3</v>
      </c>
      <c r="J8">
        <v>-17933897.217544898</v>
      </c>
      <c r="K8">
        <v>91646.246555128659</v>
      </c>
      <c r="L8">
        <v>225194.33005721797</v>
      </c>
      <c r="M8" t="b">
        <f t="shared" si="0"/>
        <v>0</v>
      </c>
      <c r="V8" s="6" t="s">
        <v>94</v>
      </c>
      <c r="W8" s="6">
        <v>10</v>
      </c>
      <c r="X8" s="6">
        <v>1</v>
      </c>
      <c r="Y8" s="6">
        <v>1</v>
      </c>
      <c r="Z8" s="6">
        <v>30</v>
      </c>
      <c r="AA8" s="6">
        <v>30</v>
      </c>
      <c r="AB8" s="6">
        <v>90.12</v>
      </c>
      <c r="AC8" s="6">
        <v>98.7</v>
      </c>
      <c r="AD8" s="6">
        <v>0.3</v>
      </c>
      <c r="AE8" s="6">
        <v>7829271.27338407</v>
      </c>
      <c r="AF8" s="6">
        <v>7</v>
      </c>
      <c r="AG8" s="6">
        <v>85057.363871949667</v>
      </c>
      <c r="AH8" s="6">
        <v>10</v>
      </c>
      <c r="AI8" s="6">
        <v>108071.31856762333</v>
      </c>
      <c r="AJ8" s="6">
        <v>8</v>
      </c>
      <c r="AK8" s="6" t="b">
        <f t="shared" si="1"/>
        <v>1</v>
      </c>
    </row>
    <row r="9" spans="1:37" x14ac:dyDescent="0.2">
      <c r="A9" t="s">
        <v>82</v>
      </c>
      <c r="B9">
        <v>10</v>
      </c>
      <c r="C9">
        <v>1</v>
      </c>
      <c r="D9">
        <v>3</v>
      </c>
      <c r="E9">
        <v>30</v>
      </c>
      <c r="F9">
        <v>10</v>
      </c>
      <c r="G9">
        <v>90.12</v>
      </c>
      <c r="H9">
        <v>98.7</v>
      </c>
      <c r="I9">
        <v>0.3</v>
      </c>
      <c r="J9">
        <v>-3430173.6580720502</v>
      </c>
      <c r="K9">
        <v>100289.59137442401</v>
      </c>
      <c r="L9">
        <v>769344.94811443111</v>
      </c>
      <c r="M9" t="b">
        <f t="shared" si="0"/>
        <v>0</v>
      </c>
      <c r="V9" s="6" t="s">
        <v>114</v>
      </c>
      <c r="W9" s="6">
        <v>20</v>
      </c>
      <c r="X9" s="6">
        <v>1</v>
      </c>
      <c r="Y9" s="6">
        <v>3</v>
      </c>
      <c r="Z9" s="6">
        <v>30</v>
      </c>
      <c r="AA9" s="6">
        <v>10</v>
      </c>
      <c r="AB9" s="6">
        <v>90.12</v>
      </c>
      <c r="AC9" s="6">
        <v>98.7</v>
      </c>
      <c r="AD9" s="6">
        <v>0.3</v>
      </c>
      <c r="AE9" s="6">
        <v>2917235.6496432601</v>
      </c>
      <c r="AF9" s="6">
        <v>8</v>
      </c>
      <c r="AG9" s="6">
        <v>113705.55760996933</v>
      </c>
      <c r="AH9" s="6">
        <v>7</v>
      </c>
      <c r="AI9" s="6">
        <v>695491.04580451106</v>
      </c>
      <c r="AJ9" s="6">
        <v>2</v>
      </c>
      <c r="AK9" s="6" t="b">
        <f t="shared" si="1"/>
        <v>1</v>
      </c>
    </row>
    <row r="10" spans="1:37" x14ac:dyDescent="0.2">
      <c r="A10" t="s">
        <v>83</v>
      </c>
      <c r="B10">
        <v>10</v>
      </c>
      <c r="C10">
        <v>4</v>
      </c>
      <c r="D10">
        <v>1</v>
      </c>
      <c r="E10">
        <v>15</v>
      </c>
      <c r="F10">
        <v>10</v>
      </c>
      <c r="G10">
        <v>45.06</v>
      </c>
      <c r="H10">
        <v>49.35</v>
      </c>
      <c r="I10">
        <v>0.3</v>
      </c>
      <c r="J10">
        <v>-18475187.509085301</v>
      </c>
      <c r="K10">
        <v>159574.76673925732</v>
      </c>
      <c r="L10">
        <v>43560.153597672979</v>
      </c>
      <c r="M10" t="b">
        <f t="shared" si="0"/>
        <v>0</v>
      </c>
      <c r="V10" s="6" t="s">
        <v>110</v>
      </c>
      <c r="W10" s="6">
        <v>20</v>
      </c>
      <c r="X10" s="6">
        <v>1</v>
      </c>
      <c r="Y10" s="6">
        <v>1</v>
      </c>
      <c r="Z10" s="6">
        <v>30</v>
      </c>
      <c r="AA10" s="6">
        <v>10</v>
      </c>
      <c r="AB10" s="6">
        <v>90.12</v>
      </c>
      <c r="AC10" s="6">
        <v>98.7</v>
      </c>
      <c r="AD10" s="6">
        <v>0.3</v>
      </c>
      <c r="AE10" s="6">
        <v>2140895.61597201</v>
      </c>
      <c r="AF10" s="6">
        <v>9</v>
      </c>
      <c r="AG10" s="6">
        <v>45927.017847999668</v>
      </c>
      <c r="AH10" s="6">
        <v>12</v>
      </c>
      <c r="AI10" s="6">
        <v>586293.3360830911</v>
      </c>
      <c r="AJ10" s="6">
        <v>4</v>
      </c>
      <c r="AK10" s="6" t="b">
        <f t="shared" si="1"/>
        <v>1</v>
      </c>
    </row>
    <row r="11" spans="1:37" x14ac:dyDescent="0.2">
      <c r="A11" t="s">
        <v>84</v>
      </c>
      <c r="B11">
        <v>10</v>
      </c>
      <c r="C11">
        <v>4</v>
      </c>
      <c r="D11">
        <v>1</v>
      </c>
      <c r="E11">
        <v>15</v>
      </c>
      <c r="F11">
        <v>10</v>
      </c>
      <c r="G11">
        <v>90.12</v>
      </c>
      <c r="H11">
        <v>98.7</v>
      </c>
      <c r="I11">
        <v>0.3</v>
      </c>
      <c r="J11">
        <v>-6325848.0947655402</v>
      </c>
      <c r="K11">
        <v>159574.76673925732</v>
      </c>
      <c r="L11">
        <v>406076.59519534599</v>
      </c>
      <c r="M11" t="b">
        <f t="shared" si="0"/>
        <v>0</v>
      </c>
      <c r="V11" s="6" t="s">
        <v>261</v>
      </c>
      <c r="W11" s="6">
        <v>20</v>
      </c>
      <c r="X11" s="6">
        <v>4</v>
      </c>
      <c r="Y11" s="6">
        <v>1</v>
      </c>
      <c r="Z11" s="6">
        <v>30</v>
      </c>
      <c r="AA11" s="6">
        <v>10</v>
      </c>
      <c r="AB11" s="6">
        <v>90.12</v>
      </c>
      <c r="AC11" s="6">
        <v>98.7</v>
      </c>
      <c r="AD11" s="6">
        <v>0.3</v>
      </c>
      <c r="AE11" s="6">
        <v>2039707.14753238</v>
      </c>
      <c r="AF11" s="6">
        <v>10</v>
      </c>
      <c r="AG11" s="6">
        <v>99064.038199855</v>
      </c>
      <c r="AH11" s="6">
        <v>8</v>
      </c>
      <c r="AI11" s="6">
        <v>620080.85733771103</v>
      </c>
      <c r="AJ11" s="6">
        <v>3</v>
      </c>
      <c r="AK11" s="6" t="b">
        <f t="shared" si="1"/>
        <v>1</v>
      </c>
    </row>
    <row r="12" spans="1:37" x14ac:dyDescent="0.2">
      <c r="A12" t="s">
        <v>85</v>
      </c>
      <c r="B12">
        <v>10</v>
      </c>
      <c r="C12">
        <v>4</v>
      </c>
      <c r="D12">
        <v>1</v>
      </c>
      <c r="E12">
        <v>30</v>
      </c>
      <c r="F12">
        <v>10</v>
      </c>
      <c r="G12">
        <v>45.06</v>
      </c>
      <c r="H12">
        <v>49.35</v>
      </c>
      <c r="I12">
        <v>0.3</v>
      </c>
      <c r="J12">
        <v>-19846921.689263899</v>
      </c>
      <c r="K12">
        <v>86020.359148990334</v>
      </c>
      <c r="L12">
        <v>233350.60665412195</v>
      </c>
      <c r="M12" t="b">
        <f t="shared" si="0"/>
        <v>0</v>
      </c>
      <c r="V12" s="6" t="s">
        <v>265</v>
      </c>
      <c r="W12" s="6">
        <v>20</v>
      </c>
      <c r="X12" s="6">
        <v>4</v>
      </c>
      <c r="Y12" s="6">
        <v>3</v>
      </c>
      <c r="Z12" s="6">
        <v>30</v>
      </c>
      <c r="AA12" s="6">
        <v>10</v>
      </c>
      <c r="AB12" s="6">
        <v>90.12</v>
      </c>
      <c r="AC12" s="6">
        <v>98.7</v>
      </c>
      <c r="AD12" s="6">
        <v>0.3</v>
      </c>
      <c r="AE12" s="6">
        <v>1538952.67080183</v>
      </c>
      <c r="AF12" s="6">
        <v>11</v>
      </c>
      <c r="AG12" s="6">
        <v>74287.572360074657</v>
      </c>
      <c r="AH12" s="6">
        <v>11</v>
      </c>
      <c r="AI12" s="6">
        <v>546190.68025862495</v>
      </c>
      <c r="AJ12" s="6">
        <v>5</v>
      </c>
      <c r="AK12" s="6" t="b">
        <f t="shared" si="1"/>
        <v>1</v>
      </c>
    </row>
    <row r="13" spans="1:37" x14ac:dyDescent="0.2">
      <c r="A13" t="s">
        <v>86</v>
      </c>
      <c r="B13">
        <v>10</v>
      </c>
      <c r="C13">
        <v>4</v>
      </c>
      <c r="D13">
        <v>1</v>
      </c>
      <c r="E13">
        <v>30</v>
      </c>
      <c r="F13">
        <v>10</v>
      </c>
      <c r="G13">
        <v>90.12</v>
      </c>
      <c r="H13">
        <v>98.7</v>
      </c>
      <c r="I13">
        <v>0.3</v>
      </c>
      <c r="J13">
        <v>-4281703.1739495499</v>
      </c>
      <c r="K13">
        <v>91299.257006580665</v>
      </c>
      <c r="L13">
        <v>762874.9093082411</v>
      </c>
      <c r="M13" t="b">
        <f t="shared" si="0"/>
        <v>0</v>
      </c>
      <c r="V13" s="6" t="s">
        <v>90</v>
      </c>
      <c r="W13" s="6">
        <v>10</v>
      </c>
      <c r="X13" s="6">
        <v>4</v>
      </c>
      <c r="Y13" s="6">
        <v>3</v>
      </c>
      <c r="Z13" s="6">
        <v>30</v>
      </c>
      <c r="AA13" s="6">
        <v>10</v>
      </c>
      <c r="AB13" s="6">
        <v>90.12</v>
      </c>
      <c r="AC13" s="6">
        <v>98.7</v>
      </c>
      <c r="AD13" s="6">
        <v>0.3</v>
      </c>
      <c r="AE13" s="6">
        <v>998441.51873332204</v>
      </c>
      <c r="AF13" s="6">
        <v>12</v>
      </c>
      <c r="AG13" s="6">
        <v>95631.468611435994</v>
      </c>
      <c r="AH13" s="6">
        <v>9</v>
      </c>
      <c r="AI13" s="6">
        <v>770855.04453140101</v>
      </c>
      <c r="AJ13" s="6">
        <v>1</v>
      </c>
      <c r="AK13" s="6" t="b">
        <f t="shared" si="1"/>
        <v>1</v>
      </c>
    </row>
    <row r="14" spans="1:37" x14ac:dyDescent="0.2">
      <c r="A14" t="s">
        <v>87</v>
      </c>
      <c r="B14">
        <v>10</v>
      </c>
      <c r="C14">
        <v>4</v>
      </c>
      <c r="D14">
        <v>3</v>
      </c>
      <c r="E14">
        <v>15</v>
      </c>
      <c r="F14">
        <v>10</v>
      </c>
      <c r="G14">
        <v>45.06</v>
      </c>
      <c r="H14">
        <v>49.35</v>
      </c>
      <c r="I14">
        <v>0.3</v>
      </c>
      <c r="J14">
        <v>-18224713.245310701</v>
      </c>
      <c r="K14">
        <v>168735.11548630733</v>
      </c>
      <c r="L14">
        <v>13498.223852550984</v>
      </c>
      <c r="M14" t="b">
        <f t="shared" si="0"/>
        <v>0</v>
      </c>
    </row>
    <row r="15" spans="1:37" x14ac:dyDescent="0.2">
      <c r="A15" t="s">
        <v>88</v>
      </c>
      <c r="B15">
        <v>10</v>
      </c>
      <c r="C15">
        <v>4</v>
      </c>
      <c r="D15">
        <v>3</v>
      </c>
      <c r="E15">
        <v>15</v>
      </c>
      <c r="F15">
        <v>10</v>
      </c>
      <c r="G15">
        <v>90.12</v>
      </c>
      <c r="H15">
        <v>98.7</v>
      </c>
      <c r="I15">
        <v>0.3</v>
      </c>
      <c r="J15">
        <v>-5713233.9113545902</v>
      </c>
      <c r="K15">
        <v>172963.38054390598</v>
      </c>
      <c r="L15">
        <v>323170.14370510203</v>
      </c>
      <c r="M15" t="b">
        <f t="shared" si="0"/>
        <v>0</v>
      </c>
    </row>
    <row r="16" spans="1:37" x14ac:dyDescent="0.2">
      <c r="A16" t="s">
        <v>89</v>
      </c>
      <c r="B16">
        <v>10</v>
      </c>
      <c r="C16">
        <v>4</v>
      </c>
      <c r="D16">
        <v>3</v>
      </c>
      <c r="E16">
        <v>30</v>
      </c>
      <c r="F16">
        <v>10</v>
      </c>
      <c r="G16">
        <v>45.06</v>
      </c>
      <c r="H16">
        <v>49.35</v>
      </c>
      <c r="I16">
        <v>0.3</v>
      </c>
      <c r="J16">
        <v>-15464605.880899699</v>
      </c>
      <c r="K16">
        <v>85876.374447771334</v>
      </c>
      <c r="L16">
        <v>214558.08226570502</v>
      </c>
      <c r="M16" t="b">
        <f t="shared" si="0"/>
        <v>0</v>
      </c>
      <c r="V16" t="s">
        <v>75</v>
      </c>
      <c r="W16" t="s">
        <v>284</v>
      </c>
      <c r="X16" t="s">
        <v>285</v>
      </c>
      <c r="Y16" t="s">
        <v>286</v>
      </c>
      <c r="Z16" t="s">
        <v>35</v>
      </c>
    </row>
    <row r="17" spans="1:26" x14ac:dyDescent="0.2">
      <c r="A17" t="s">
        <v>91</v>
      </c>
      <c r="B17">
        <v>10</v>
      </c>
      <c r="C17">
        <v>1</v>
      </c>
      <c r="D17">
        <v>1</v>
      </c>
      <c r="E17">
        <v>15</v>
      </c>
      <c r="F17">
        <v>30</v>
      </c>
      <c r="G17">
        <v>45.06</v>
      </c>
      <c r="H17">
        <v>49.35</v>
      </c>
      <c r="I17">
        <v>0.3</v>
      </c>
      <c r="J17">
        <v>-9995948.2531276699</v>
      </c>
      <c r="K17">
        <v>164181.46455519466</v>
      </c>
      <c r="L17">
        <v>-131216.66957200269</v>
      </c>
      <c r="M17" t="b">
        <f t="shared" si="0"/>
        <v>0</v>
      </c>
      <c r="V17" s="6" t="s">
        <v>96</v>
      </c>
      <c r="W17" s="6">
        <v>1</v>
      </c>
      <c r="X17" s="6">
        <v>4</v>
      </c>
      <c r="Y17" s="6">
        <v>12</v>
      </c>
      <c r="Z17">
        <f>AVERAGE(W17:Y17)</f>
        <v>5.666666666666667</v>
      </c>
    </row>
    <row r="18" spans="1:26" x14ac:dyDescent="0.2">
      <c r="A18" t="s">
        <v>93</v>
      </c>
      <c r="B18">
        <v>10</v>
      </c>
      <c r="C18">
        <v>1</v>
      </c>
      <c r="D18">
        <v>1</v>
      </c>
      <c r="E18">
        <v>30</v>
      </c>
      <c r="F18">
        <v>30</v>
      </c>
      <c r="G18">
        <v>45.06</v>
      </c>
      <c r="H18">
        <v>49.35</v>
      </c>
      <c r="I18">
        <v>0.3</v>
      </c>
      <c r="J18">
        <v>-21271591.610757701</v>
      </c>
      <c r="K18">
        <v>91536.582479840668</v>
      </c>
      <c r="L18">
        <v>-93058.082330487669</v>
      </c>
      <c r="M18" t="b">
        <f t="shared" si="0"/>
        <v>0</v>
      </c>
      <c r="V18" s="6" t="s">
        <v>92</v>
      </c>
      <c r="W18" s="6">
        <v>2</v>
      </c>
      <c r="X18" s="6">
        <v>2</v>
      </c>
      <c r="Y18" s="6">
        <v>10</v>
      </c>
      <c r="Z18">
        <f t="shared" ref="Z18:Z28" si="2">AVERAGE(W18:Y18)</f>
        <v>4.666666666666667</v>
      </c>
    </row>
    <row r="19" spans="1:26" x14ac:dyDescent="0.2">
      <c r="A19" t="s">
        <v>95</v>
      </c>
      <c r="B19">
        <v>10</v>
      </c>
      <c r="C19">
        <v>1</v>
      </c>
      <c r="D19">
        <v>3</v>
      </c>
      <c r="E19">
        <v>15</v>
      </c>
      <c r="F19">
        <v>30</v>
      </c>
      <c r="G19">
        <v>45.06</v>
      </c>
      <c r="H19">
        <v>49.35</v>
      </c>
      <c r="I19">
        <v>0.3</v>
      </c>
      <c r="J19">
        <v>-8739379.7214922309</v>
      </c>
      <c r="K19">
        <v>162939.30905820001</v>
      </c>
      <c r="L19">
        <v>-140439.81744984034</v>
      </c>
      <c r="M19" t="b">
        <f t="shared" si="0"/>
        <v>0</v>
      </c>
      <c r="V19" s="8" t="s">
        <v>269</v>
      </c>
      <c r="W19" s="8">
        <v>3</v>
      </c>
      <c r="X19" s="8">
        <v>1</v>
      </c>
      <c r="Y19" s="8">
        <v>6</v>
      </c>
      <c r="Z19" s="9">
        <f t="shared" si="2"/>
        <v>3.3333333333333335</v>
      </c>
    </row>
    <row r="20" spans="1:26" x14ac:dyDescent="0.2">
      <c r="A20" t="s">
        <v>97</v>
      </c>
      <c r="B20">
        <v>10</v>
      </c>
      <c r="C20">
        <v>1</v>
      </c>
      <c r="D20">
        <v>3</v>
      </c>
      <c r="E20">
        <v>30</v>
      </c>
      <c r="F20">
        <v>30</v>
      </c>
      <c r="G20">
        <v>45.06</v>
      </c>
      <c r="H20">
        <v>49.35</v>
      </c>
      <c r="I20">
        <v>0.3</v>
      </c>
      <c r="J20">
        <v>-20088610.378621601</v>
      </c>
      <c r="K20">
        <v>139789.42503649366</v>
      </c>
      <c r="L20">
        <v>-101113.89040273335</v>
      </c>
      <c r="M20" t="b">
        <f t="shared" si="0"/>
        <v>0</v>
      </c>
      <c r="V20" s="7" t="s">
        <v>106</v>
      </c>
      <c r="W20" s="6">
        <v>4</v>
      </c>
      <c r="X20" s="6">
        <v>3</v>
      </c>
      <c r="Y20" s="6">
        <v>7</v>
      </c>
      <c r="Z20">
        <f t="shared" si="2"/>
        <v>4.666666666666667</v>
      </c>
    </row>
    <row r="21" spans="1:26" x14ac:dyDescent="0.2">
      <c r="A21" t="s">
        <v>99</v>
      </c>
      <c r="B21">
        <v>10</v>
      </c>
      <c r="C21">
        <v>4</v>
      </c>
      <c r="D21">
        <v>1</v>
      </c>
      <c r="E21">
        <v>15</v>
      </c>
      <c r="F21">
        <v>30</v>
      </c>
      <c r="G21">
        <v>45.06</v>
      </c>
      <c r="H21">
        <v>49.35</v>
      </c>
      <c r="I21">
        <v>0.3</v>
      </c>
      <c r="J21">
        <v>-10957125.6567099</v>
      </c>
      <c r="K21">
        <v>107071.21644525467</v>
      </c>
      <c r="L21">
        <v>-145349.38692581063</v>
      </c>
      <c r="M21" t="b">
        <f t="shared" si="0"/>
        <v>0</v>
      </c>
      <c r="V21" s="6" t="s">
        <v>104</v>
      </c>
      <c r="W21" s="6">
        <v>5</v>
      </c>
      <c r="X21" s="6">
        <v>5</v>
      </c>
      <c r="Y21" s="6">
        <v>11</v>
      </c>
      <c r="Z21">
        <f t="shared" si="2"/>
        <v>7</v>
      </c>
    </row>
    <row r="22" spans="1:26" x14ac:dyDescent="0.2">
      <c r="A22" t="s">
        <v>100</v>
      </c>
      <c r="B22">
        <v>10</v>
      </c>
      <c r="C22">
        <v>4</v>
      </c>
      <c r="D22">
        <v>1</v>
      </c>
      <c r="E22">
        <v>15</v>
      </c>
      <c r="F22">
        <v>30</v>
      </c>
      <c r="G22">
        <v>90.12</v>
      </c>
      <c r="H22">
        <v>98.7</v>
      </c>
      <c r="I22">
        <v>0.3</v>
      </c>
      <c r="J22">
        <v>8876119.7743770704</v>
      </c>
      <c r="K22">
        <v>108369.05075124934</v>
      </c>
      <c r="L22">
        <v>-56318.264368901342</v>
      </c>
      <c r="M22" t="b">
        <f t="shared" si="0"/>
        <v>0</v>
      </c>
      <c r="V22" s="6" t="s">
        <v>98</v>
      </c>
      <c r="W22" s="6">
        <v>6</v>
      </c>
      <c r="X22" s="6">
        <v>6</v>
      </c>
      <c r="Y22" s="6">
        <v>9</v>
      </c>
      <c r="Z22">
        <f t="shared" si="2"/>
        <v>7</v>
      </c>
    </row>
    <row r="23" spans="1:26" x14ac:dyDescent="0.2">
      <c r="A23" t="s">
        <v>101</v>
      </c>
      <c r="B23">
        <v>10</v>
      </c>
      <c r="C23">
        <v>4</v>
      </c>
      <c r="D23">
        <v>1</v>
      </c>
      <c r="E23">
        <v>30</v>
      </c>
      <c r="F23">
        <v>30</v>
      </c>
      <c r="G23">
        <v>45.06</v>
      </c>
      <c r="H23">
        <v>49.35</v>
      </c>
      <c r="I23">
        <v>0.3</v>
      </c>
      <c r="J23">
        <v>-19298058.711867299</v>
      </c>
      <c r="K23">
        <v>163161.93156995432</v>
      </c>
      <c r="L23">
        <v>-22521.027944005655</v>
      </c>
      <c r="M23" t="b">
        <f t="shared" si="0"/>
        <v>0</v>
      </c>
      <c r="V23" s="6" t="s">
        <v>94</v>
      </c>
      <c r="W23" s="6">
        <v>7</v>
      </c>
      <c r="X23" s="6">
        <v>10</v>
      </c>
      <c r="Y23" s="6">
        <v>8</v>
      </c>
      <c r="Z23">
        <f t="shared" si="2"/>
        <v>8.3333333333333339</v>
      </c>
    </row>
    <row r="24" spans="1:26" x14ac:dyDescent="0.2">
      <c r="A24" t="s">
        <v>102</v>
      </c>
      <c r="B24">
        <v>10</v>
      </c>
      <c r="C24">
        <v>4</v>
      </c>
      <c r="D24">
        <v>1</v>
      </c>
      <c r="E24">
        <v>30</v>
      </c>
      <c r="F24">
        <v>30</v>
      </c>
      <c r="G24">
        <v>90.12</v>
      </c>
      <c r="H24">
        <v>98.7</v>
      </c>
      <c r="I24">
        <v>0.3</v>
      </c>
      <c r="J24">
        <v>7478490.4531686101</v>
      </c>
      <c r="K24">
        <v>63059.595452224334</v>
      </c>
      <c r="L24">
        <v>-3800.0394051047042</v>
      </c>
      <c r="M24" t="b">
        <f t="shared" si="0"/>
        <v>0</v>
      </c>
      <c r="V24" s="6" t="s">
        <v>114</v>
      </c>
      <c r="W24" s="6">
        <v>8</v>
      </c>
      <c r="X24" s="6">
        <v>7</v>
      </c>
      <c r="Y24" s="6">
        <v>2</v>
      </c>
      <c r="Z24">
        <f t="shared" si="2"/>
        <v>5.666666666666667</v>
      </c>
    </row>
    <row r="25" spans="1:26" x14ac:dyDescent="0.2">
      <c r="A25" t="s">
        <v>103</v>
      </c>
      <c r="B25">
        <v>10</v>
      </c>
      <c r="C25">
        <v>4</v>
      </c>
      <c r="D25">
        <v>3</v>
      </c>
      <c r="E25">
        <v>15</v>
      </c>
      <c r="F25">
        <v>30</v>
      </c>
      <c r="G25">
        <v>45.06</v>
      </c>
      <c r="H25">
        <v>49.35</v>
      </c>
      <c r="I25">
        <v>0.3</v>
      </c>
      <c r="J25">
        <v>-13623563.6931441</v>
      </c>
      <c r="K25">
        <v>162179.59360580801</v>
      </c>
      <c r="L25">
        <v>-134792.96939857129</v>
      </c>
      <c r="M25" t="b">
        <f t="shared" si="0"/>
        <v>0</v>
      </c>
      <c r="V25" s="6" t="s">
        <v>110</v>
      </c>
      <c r="W25" s="6">
        <v>9</v>
      </c>
      <c r="X25" s="6">
        <v>12</v>
      </c>
      <c r="Y25" s="6">
        <v>4</v>
      </c>
      <c r="Z25">
        <f t="shared" si="2"/>
        <v>8.3333333333333339</v>
      </c>
    </row>
    <row r="26" spans="1:26" x14ac:dyDescent="0.2">
      <c r="A26" t="s">
        <v>105</v>
      </c>
      <c r="B26">
        <v>10</v>
      </c>
      <c r="C26">
        <v>4</v>
      </c>
      <c r="D26">
        <v>3</v>
      </c>
      <c r="E26">
        <v>30</v>
      </c>
      <c r="F26">
        <v>30</v>
      </c>
      <c r="G26">
        <v>45.06</v>
      </c>
      <c r="H26">
        <v>49.35</v>
      </c>
      <c r="I26">
        <v>0.3</v>
      </c>
      <c r="J26">
        <v>-20695413.004154898</v>
      </c>
      <c r="K26">
        <v>114420.706916836</v>
      </c>
      <c r="L26">
        <v>-133714.59136770933</v>
      </c>
      <c r="M26" t="b">
        <f t="shared" si="0"/>
        <v>0</v>
      </c>
      <c r="V26" s="6" t="s">
        <v>261</v>
      </c>
      <c r="W26" s="6">
        <v>10</v>
      </c>
      <c r="X26" s="6">
        <v>8</v>
      </c>
      <c r="Y26" s="6">
        <v>3</v>
      </c>
      <c r="Z26">
        <f t="shared" si="2"/>
        <v>7</v>
      </c>
    </row>
    <row r="27" spans="1:26" x14ac:dyDescent="0.2">
      <c r="A27" t="s">
        <v>107</v>
      </c>
      <c r="B27">
        <v>20</v>
      </c>
      <c r="C27">
        <v>1</v>
      </c>
      <c r="D27">
        <v>1</v>
      </c>
      <c r="E27">
        <v>15</v>
      </c>
      <c r="F27">
        <v>10</v>
      </c>
      <c r="G27">
        <v>45.06</v>
      </c>
      <c r="H27">
        <v>49.35</v>
      </c>
      <c r="I27">
        <v>0.3</v>
      </c>
      <c r="J27">
        <v>-9974524.3655612096</v>
      </c>
      <c r="K27">
        <v>37005.713513599731</v>
      </c>
      <c r="L27">
        <v>-54399.08588461201</v>
      </c>
      <c r="M27" t="b">
        <f t="shared" si="0"/>
        <v>0</v>
      </c>
      <c r="V27" s="6" t="s">
        <v>265</v>
      </c>
      <c r="W27" s="6">
        <v>11</v>
      </c>
      <c r="X27" s="6">
        <v>11</v>
      </c>
      <c r="Y27" s="6">
        <v>5</v>
      </c>
      <c r="Z27">
        <f t="shared" si="2"/>
        <v>9</v>
      </c>
    </row>
    <row r="28" spans="1:26" x14ac:dyDescent="0.2">
      <c r="A28" t="s">
        <v>108</v>
      </c>
      <c r="B28">
        <v>20</v>
      </c>
      <c r="C28">
        <v>1</v>
      </c>
      <c r="D28">
        <v>1</v>
      </c>
      <c r="E28">
        <v>15</v>
      </c>
      <c r="F28">
        <v>10</v>
      </c>
      <c r="G28">
        <v>90.12</v>
      </c>
      <c r="H28">
        <v>98.7</v>
      </c>
      <c r="I28">
        <v>0.3</v>
      </c>
      <c r="J28">
        <v>-2814700.8762633</v>
      </c>
      <c r="K28">
        <v>35064.564979829003</v>
      </c>
      <c r="L28">
        <v>264417.11000202998</v>
      </c>
      <c r="M28" t="b">
        <f t="shared" si="0"/>
        <v>0</v>
      </c>
      <c r="V28" s="6" t="s">
        <v>90</v>
      </c>
      <c r="W28" s="6">
        <v>12</v>
      </c>
      <c r="X28" s="6">
        <v>9</v>
      </c>
      <c r="Y28" s="6">
        <v>1</v>
      </c>
      <c r="Z28">
        <f t="shared" si="2"/>
        <v>7.333333333333333</v>
      </c>
    </row>
    <row r="29" spans="1:26" x14ac:dyDescent="0.2">
      <c r="A29" t="s">
        <v>109</v>
      </c>
      <c r="B29">
        <v>20</v>
      </c>
      <c r="C29">
        <v>1</v>
      </c>
      <c r="D29">
        <v>1</v>
      </c>
      <c r="E29">
        <v>30</v>
      </c>
      <c r="F29">
        <v>10</v>
      </c>
      <c r="G29">
        <v>45.06</v>
      </c>
      <c r="H29">
        <v>49.35</v>
      </c>
      <c r="I29">
        <v>0.3</v>
      </c>
      <c r="J29">
        <v>-8724081.6805444993</v>
      </c>
      <c r="K29">
        <v>50943.688942816669</v>
      </c>
      <c r="L29">
        <v>164388.12275233399</v>
      </c>
      <c r="M29" t="b">
        <f t="shared" si="0"/>
        <v>0</v>
      </c>
    </row>
    <row r="30" spans="1:26" x14ac:dyDescent="0.2">
      <c r="A30" t="s">
        <v>111</v>
      </c>
      <c r="B30">
        <v>20</v>
      </c>
      <c r="C30">
        <v>1</v>
      </c>
      <c r="D30">
        <v>3</v>
      </c>
      <c r="E30">
        <v>15</v>
      </c>
      <c r="F30">
        <v>10</v>
      </c>
      <c r="G30">
        <v>45.06</v>
      </c>
      <c r="H30">
        <v>49.35</v>
      </c>
      <c r="I30">
        <v>0.3</v>
      </c>
      <c r="J30">
        <v>-10224372.6192447</v>
      </c>
      <c r="K30">
        <v>27051.586941221136</v>
      </c>
      <c r="L30">
        <v>-48560.631516717003</v>
      </c>
      <c r="M30" t="b">
        <f t="shared" si="0"/>
        <v>0</v>
      </c>
    </row>
    <row r="31" spans="1:26" x14ac:dyDescent="0.2">
      <c r="A31" t="s">
        <v>112</v>
      </c>
      <c r="B31">
        <v>20</v>
      </c>
      <c r="C31">
        <v>1</v>
      </c>
      <c r="D31">
        <v>3</v>
      </c>
      <c r="E31">
        <v>15</v>
      </c>
      <c r="F31">
        <v>10</v>
      </c>
      <c r="G31">
        <v>90.12</v>
      </c>
      <c r="H31">
        <v>98.7</v>
      </c>
      <c r="I31">
        <v>0.3</v>
      </c>
      <c r="J31">
        <v>-3672801.90529245</v>
      </c>
      <c r="K31">
        <v>35064.564979829003</v>
      </c>
      <c r="L31">
        <v>148900.45625976101</v>
      </c>
      <c r="M31" t="b">
        <f t="shared" si="0"/>
        <v>0</v>
      </c>
    </row>
    <row r="32" spans="1:26" x14ac:dyDescent="0.2">
      <c r="A32" t="s">
        <v>113</v>
      </c>
      <c r="B32">
        <v>20</v>
      </c>
      <c r="C32">
        <v>1</v>
      </c>
      <c r="D32">
        <v>3</v>
      </c>
      <c r="E32">
        <v>30</v>
      </c>
      <c r="F32">
        <v>10</v>
      </c>
      <c r="G32">
        <v>45.06</v>
      </c>
      <c r="H32">
        <v>49.35</v>
      </c>
      <c r="I32">
        <v>0.3</v>
      </c>
      <c r="J32">
        <v>-7209509.57838606</v>
      </c>
      <c r="K32">
        <v>51469.905827520328</v>
      </c>
      <c r="L32">
        <v>143385.83940210502</v>
      </c>
      <c r="M32" t="b">
        <f t="shared" si="0"/>
        <v>0</v>
      </c>
    </row>
    <row r="33" spans="1:13" x14ac:dyDescent="0.2">
      <c r="A33" t="s">
        <v>115</v>
      </c>
      <c r="B33">
        <v>20</v>
      </c>
      <c r="C33">
        <v>4</v>
      </c>
      <c r="D33">
        <v>1</v>
      </c>
      <c r="E33">
        <v>15</v>
      </c>
      <c r="F33">
        <v>10</v>
      </c>
      <c r="G33">
        <v>45.06</v>
      </c>
      <c r="H33">
        <v>49.35</v>
      </c>
      <c r="I33">
        <v>0.3</v>
      </c>
      <c r="J33">
        <v>-12680207.569932001</v>
      </c>
      <c r="K33">
        <v>39024.978513045266</v>
      </c>
      <c r="L33">
        <v>-51528.26832115501</v>
      </c>
      <c r="M33" t="b">
        <f t="shared" si="0"/>
        <v>0</v>
      </c>
    </row>
    <row r="34" spans="1:13" x14ac:dyDescent="0.2">
      <c r="A34" t="s">
        <v>116</v>
      </c>
      <c r="B34">
        <v>20</v>
      </c>
      <c r="C34">
        <v>4</v>
      </c>
      <c r="D34">
        <v>1</v>
      </c>
      <c r="E34">
        <v>15</v>
      </c>
      <c r="F34">
        <v>10</v>
      </c>
      <c r="G34">
        <v>90.12</v>
      </c>
      <c r="H34">
        <v>98.7</v>
      </c>
      <c r="I34">
        <v>0.3</v>
      </c>
      <c r="J34">
        <v>-7812554.0346577903</v>
      </c>
      <c r="K34">
        <v>40623.313960450396</v>
      </c>
      <c r="L34">
        <v>-1535.7869529490358</v>
      </c>
      <c r="M34" t="b">
        <f t="shared" ref="M34:M65" si="3">AND(J34&gt;0, K34&gt;0, L34&gt;0)</f>
        <v>0</v>
      </c>
    </row>
    <row r="35" spans="1:13" x14ac:dyDescent="0.2">
      <c r="A35" t="s">
        <v>117</v>
      </c>
      <c r="B35">
        <v>20</v>
      </c>
      <c r="C35">
        <v>4</v>
      </c>
      <c r="D35">
        <v>1</v>
      </c>
      <c r="E35">
        <v>30</v>
      </c>
      <c r="F35">
        <v>10</v>
      </c>
      <c r="G35">
        <v>45.06</v>
      </c>
      <c r="H35">
        <v>49.35</v>
      </c>
      <c r="I35">
        <v>0.3</v>
      </c>
      <c r="J35">
        <v>-11289952.688961901</v>
      </c>
      <c r="K35">
        <v>44703.457461836668</v>
      </c>
      <c r="L35">
        <v>140681.94632259299</v>
      </c>
      <c r="M35" t="b">
        <f t="shared" si="3"/>
        <v>0</v>
      </c>
    </row>
    <row r="36" spans="1:13" x14ac:dyDescent="0.2">
      <c r="A36" t="s">
        <v>262</v>
      </c>
      <c r="B36">
        <v>20</v>
      </c>
      <c r="C36">
        <v>4</v>
      </c>
      <c r="D36">
        <v>3</v>
      </c>
      <c r="E36">
        <v>15</v>
      </c>
      <c r="F36">
        <v>10</v>
      </c>
      <c r="G36">
        <v>45.06</v>
      </c>
      <c r="H36">
        <v>49.35</v>
      </c>
      <c r="I36">
        <v>0.3</v>
      </c>
      <c r="J36">
        <v>-12648716.7417781</v>
      </c>
      <c r="K36">
        <v>42284.8952318878</v>
      </c>
      <c r="L36">
        <v>-46534.037328423001</v>
      </c>
      <c r="M36" t="b">
        <f t="shared" si="3"/>
        <v>0</v>
      </c>
    </row>
    <row r="37" spans="1:13" x14ac:dyDescent="0.2">
      <c r="A37" t="s">
        <v>263</v>
      </c>
      <c r="B37">
        <v>20</v>
      </c>
      <c r="C37">
        <v>4</v>
      </c>
      <c r="D37">
        <v>3</v>
      </c>
      <c r="E37">
        <v>15</v>
      </c>
      <c r="F37">
        <v>10</v>
      </c>
      <c r="G37">
        <v>90.12</v>
      </c>
      <c r="H37">
        <v>98.7</v>
      </c>
      <c r="I37">
        <v>0.3</v>
      </c>
      <c r="J37">
        <v>-8420835.0624525808</v>
      </c>
      <c r="K37">
        <v>50297.873270495598</v>
      </c>
      <c r="L37">
        <v>12048.50759242503</v>
      </c>
      <c r="M37" t="b">
        <f t="shared" si="3"/>
        <v>0</v>
      </c>
    </row>
    <row r="38" spans="1:13" x14ac:dyDescent="0.2">
      <c r="A38" t="s">
        <v>264</v>
      </c>
      <c r="B38">
        <v>20</v>
      </c>
      <c r="C38">
        <v>4</v>
      </c>
      <c r="D38">
        <v>3</v>
      </c>
      <c r="E38">
        <v>30</v>
      </c>
      <c r="F38">
        <v>10</v>
      </c>
      <c r="G38">
        <v>45.06</v>
      </c>
      <c r="H38">
        <v>49.35</v>
      </c>
      <c r="I38">
        <v>0.3</v>
      </c>
      <c r="J38">
        <v>-11201534.594255799</v>
      </c>
      <c r="K38">
        <v>43448.035897535337</v>
      </c>
      <c r="L38">
        <v>144488.65429894402</v>
      </c>
      <c r="M38" t="b">
        <f t="shared" si="3"/>
        <v>0</v>
      </c>
    </row>
    <row r="39" spans="1:13" x14ac:dyDescent="0.2">
      <c r="A39" t="s">
        <v>266</v>
      </c>
      <c r="B39">
        <v>20</v>
      </c>
      <c r="C39">
        <v>1</v>
      </c>
      <c r="D39">
        <v>1</v>
      </c>
      <c r="E39">
        <v>15</v>
      </c>
      <c r="F39">
        <v>30</v>
      </c>
      <c r="G39">
        <v>45.06</v>
      </c>
      <c r="H39">
        <v>49.35</v>
      </c>
      <c r="I39">
        <v>0.3</v>
      </c>
      <c r="J39">
        <v>-9983842.5361318402</v>
      </c>
      <c r="K39">
        <v>56891.418013625</v>
      </c>
      <c r="L39">
        <v>-207165.17586593566</v>
      </c>
      <c r="M39" t="b">
        <f t="shared" si="3"/>
        <v>0</v>
      </c>
    </row>
    <row r="40" spans="1:13" x14ac:dyDescent="0.2">
      <c r="A40" t="s">
        <v>267</v>
      </c>
      <c r="B40">
        <v>20</v>
      </c>
      <c r="C40">
        <v>1</v>
      </c>
      <c r="D40">
        <v>1</v>
      </c>
      <c r="E40">
        <v>15</v>
      </c>
      <c r="F40">
        <v>30</v>
      </c>
      <c r="G40">
        <v>90.12</v>
      </c>
      <c r="H40">
        <v>98.7</v>
      </c>
      <c r="I40">
        <v>0.3</v>
      </c>
      <c r="J40">
        <v>1170780.35995139</v>
      </c>
      <c r="K40">
        <v>215057.80898604466</v>
      </c>
      <c r="L40">
        <v>-143889.28184559935</v>
      </c>
      <c r="M40" t="b">
        <f t="shared" si="3"/>
        <v>0</v>
      </c>
    </row>
    <row r="41" spans="1:13" x14ac:dyDescent="0.2">
      <c r="A41" t="s">
        <v>268</v>
      </c>
      <c r="B41">
        <v>20</v>
      </c>
      <c r="C41">
        <v>1</v>
      </c>
      <c r="D41">
        <v>1</v>
      </c>
      <c r="E41">
        <v>30</v>
      </c>
      <c r="F41">
        <v>30</v>
      </c>
      <c r="G41">
        <v>45.06</v>
      </c>
      <c r="H41">
        <v>49.35</v>
      </c>
      <c r="I41">
        <v>0.3</v>
      </c>
      <c r="J41">
        <v>-20483693.002895702</v>
      </c>
      <c r="K41">
        <v>53722.638657076663</v>
      </c>
      <c r="L41">
        <v>-178375.61762462431</v>
      </c>
      <c r="M41" t="b">
        <f t="shared" si="3"/>
        <v>0</v>
      </c>
    </row>
    <row r="42" spans="1:13" x14ac:dyDescent="0.2">
      <c r="A42" t="s">
        <v>270</v>
      </c>
      <c r="B42">
        <v>20</v>
      </c>
      <c r="C42">
        <v>1</v>
      </c>
      <c r="D42">
        <v>3</v>
      </c>
      <c r="E42">
        <v>15</v>
      </c>
      <c r="F42">
        <v>30</v>
      </c>
      <c r="G42">
        <v>45.06</v>
      </c>
      <c r="H42">
        <v>49.35</v>
      </c>
      <c r="I42">
        <v>0.3</v>
      </c>
      <c r="J42">
        <v>-7683374.8453778001</v>
      </c>
      <c r="K42">
        <v>219895.56303168266</v>
      </c>
      <c r="L42">
        <v>-158490.38150381029</v>
      </c>
      <c r="M42" t="b">
        <f t="shared" si="3"/>
        <v>0</v>
      </c>
    </row>
    <row r="43" spans="1:13" x14ac:dyDescent="0.2">
      <c r="A43" t="s">
        <v>271</v>
      </c>
      <c r="B43">
        <v>20</v>
      </c>
      <c r="C43">
        <v>1</v>
      </c>
      <c r="D43">
        <v>3</v>
      </c>
      <c r="E43">
        <v>15</v>
      </c>
      <c r="F43">
        <v>30</v>
      </c>
      <c r="G43">
        <v>90.12</v>
      </c>
      <c r="H43">
        <v>98.7</v>
      </c>
      <c r="I43">
        <v>0.3</v>
      </c>
      <c r="J43">
        <v>3478334.4546847399</v>
      </c>
      <c r="K43">
        <v>46139.205869627665</v>
      </c>
      <c r="L43">
        <v>-247468.28973867599</v>
      </c>
      <c r="M43" t="b">
        <f t="shared" si="3"/>
        <v>0</v>
      </c>
    </row>
    <row r="44" spans="1:13" x14ac:dyDescent="0.2">
      <c r="A44" t="s">
        <v>272</v>
      </c>
      <c r="B44">
        <v>20</v>
      </c>
      <c r="C44">
        <v>1</v>
      </c>
      <c r="D44">
        <v>3</v>
      </c>
      <c r="E44">
        <v>30</v>
      </c>
      <c r="F44">
        <v>30</v>
      </c>
      <c r="G44">
        <v>45.06</v>
      </c>
      <c r="H44">
        <v>49.35</v>
      </c>
      <c r="I44">
        <v>0.3</v>
      </c>
      <c r="J44">
        <v>-16829417.698238999</v>
      </c>
      <c r="K44">
        <v>160458.37859792367</v>
      </c>
      <c r="L44">
        <v>-7615.0313893799985</v>
      </c>
      <c r="M44" t="b">
        <f t="shared" si="3"/>
        <v>0</v>
      </c>
    </row>
    <row r="45" spans="1:13" x14ac:dyDescent="0.2">
      <c r="A45" t="s">
        <v>273</v>
      </c>
      <c r="B45">
        <v>20</v>
      </c>
      <c r="C45">
        <v>1</v>
      </c>
      <c r="D45">
        <v>3</v>
      </c>
      <c r="E45">
        <v>30</v>
      </c>
      <c r="F45">
        <v>30</v>
      </c>
      <c r="G45">
        <v>90.12</v>
      </c>
      <c r="H45">
        <v>98.7</v>
      </c>
      <c r="I45">
        <v>0.3</v>
      </c>
      <c r="J45">
        <v>-1077171.78978102</v>
      </c>
      <c r="K45">
        <v>107468.75539175233</v>
      </c>
      <c r="L45">
        <v>-17882.174409356652</v>
      </c>
      <c r="M45" t="b">
        <f t="shared" si="3"/>
        <v>0</v>
      </c>
    </row>
    <row r="46" spans="1:13" x14ac:dyDescent="0.2">
      <c r="A46" t="s">
        <v>274</v>
      </c>
      <c r="B46">
        <v>20</v>
      </c>
      <c r="C46">
        <v>4</v>
      </c>
      <c r="D46">
        <v>1</v>
      </c>
      <c r="E46">
        <v>15</v>
      </c>
      <c r="F46">
        <v>30</v>
      </c>
      <c r="G46">
        <v>45.06</v>
      </c>
      <c r="H46">
        <v>49.35</v>
      </c>
      <c r="I46">
        <v>0.3</v>
      </c>
      <c r="J46">
        <v>-10723942.3936905</v>
      </c>
      <c r="K46">
        <v>74997.907405891994</v>
      </c>
      <c r="L46">
        <v>-248438.10835499797</v>
      </c>
      <c r="M46" t="b">
        <f t="shared" si="3"/>
        <v>0</v>
      </c>
    </row>
    <row r="47" spans="1:13" x14ac:dyDescent="0.2">
      <c r="A47" t="s">
        <v>275</v>
      </c>
      <c r="B47">
        <v>20</v>
      </c>
      <c r="C47">
        <v>4</v>
      </c>
      <c r="D47">
        <v>1</v>
      </c>
      <c r="E47">
        <v>15</v>
      </c>
      <c r="F47">
        <v>30</v>
      </c>
      <c r="G47">
        <v>90.12</v>
      </c>
      <c r="H47">
        <v>98.7</v>
      </c>
      <c r="I47">
        <v>0.3</v>
      </c>
      <c r="J47">
        <v>12256345.286451301</v>
      </c>
      <c r="K47">
        <v>144582.07918664668</v>
      </c>
      <c r="L47">
        <v>-50061.175659729975</v>
      </c>
      <c r="M47" t="b">
        <f t="shared" si="3"/>
        <v>0</v>
      </c>
    </row>
    <row r="48" spans="1:13" x14ac:dyDescent="0.2">
      <c r="A48" t="s">
        <v>276</v>
      </c>
      <c r="B48">
        <v>20</v>
      </c>
      <c r="C48">
        <v>4</v>
      </c>
      <c r="D48">
        <v>1</v>
      </c>
      <c r="E48">
        <v>30</v>
      </c>
      <c r="F48">
        <v>30</v>
      </c>
      <c r="G48">
        <v>45.06</v>
      </c>
      <c r="H48">
        <v>49.35</v>
      </c>
      <c r="I48">
        <v>0.3</v>
      </c>
      <c r="J48">
        <v>-23178729.2627629</v>
      </c>
      <c r="K48">
        <v>57514.595959827668</v>
      </c>
      <c r="L48">
        <v>-341921.40327716997</v>
      </c>
      <c r="M48" t="b">
        <f t="shared" si="3"/>
        <v>0</v>
      </c>
    </row>
    <row r="49" spans="1:13" x14ac:dyDescent="0.2">
      <c r="A49" t="s">
        <v>277</v>
      </c>
      <c r="B49">
        <v>20</v>
      </c>
      <c r="C49">
        <v>4</v>
      </c>
      <c r="D49">
        <v>1</v>
      </c>
      <c r="E49">
        <v>30</v>
      </c>
      <c r="F49">
        <v>30</v>
      </c>
      <c r="G49">
        <v>90.12</v>
      </c>
      <c r="H49">
        <v>98.7</v>
      </c>
      <c r="I49">
        <v>0.3</v>
      </c>
      <c r="J49">
        <v>-2353240.6413170602</v>
      </c>
      <c r="K49">
        <v>44835.363819890328</v>
      </c>
      <c r="L49">
        <v>-43505.718286609961</v>
      </c>
      <c r="M49" t="b">
        <f t="shared" si="3"/>
        <v>0</v>
      </c>
    </row>
    <row r="50" spans="1:13" x14ac:dyDescent="0.2">
      <c r="A50" t="s">
        <v>278</v>
      </c>
      <c r="B50">
        <v>20</v>
      </c>
      <c r="C50">
        <v>4</v>
      </c>
      <c r="D50">
        <v>3</v>
      </c>
      <c r="E50">
        <v>15</v>
      </c>
      <c r="F50">
        <v>30</v>
      </c>
      <c r="G50">
        <v>45.06</v>
      </c>
      <c r="H50">
        <v>49.35</v>
      </c>
      <c r="I50">
        <v>0.3</v>
      </c>
      <c r="J50">
        <v>-5900207.2414889103</v>
      </c>
      <c r="K50">
        <v>201768.58307319466</v>
      </c>
      <c r="L50">
        <v>-55692.743159160018</v>
      </c>
      <c r="M50" t="b">
        <f t="shared" si="3"/>
        <v>0</v>
      </c>
    </row>
    <row r="51" spans="1:13" x14ac:dyDescent="0.2">
      <c r="A51" t="s">
        <v>279</v>
      </c>
      <c r="B51">
        <v>20</v>
      </c>
      <c r="C51">
        <v>4</v>
      </c>
      <c r="D51">
        <v>3</v>
      </c>
      <c r="E51">
        <v>15</v>
      </c>
      <c r="F51">
        <v>30</v>
      </c>
      <c r="G51">
        <v>90.12</v>
      </c>
      <c r="H51">
        <v>98.7</v>
      </c>
      <c r="I51">
        <v>0.3</v>
      </c>
      <c r="J51">
        <v>1686153.21789441</v>
      </c>
      <c r="K51">
        <v>140836.37836563733</v>
      </c>
      <c r="L51">
        <v>-142806.55963010565</v>
      </c>
      <c r="M51" t="b">
        <f t="shared" si="3"/>
        <v>0</v>
      </c>
    </row>
    <row r="52" spans="1:13" x14ac:dyDescent="0.2">
      <c r="A52" t="s">
        <v>280</v>
      </c>
      <c r="B52">
        <v>20</v>
      </c>
      <c r="C52">
        <v>4</v>
      </c>
      <c r="D52">
        <v>3</v>
      </c>
      <c r="E52">
        <v>30</v>
      </c>
      <c r="F52">
        <v>30</v>
      </c>
      <c r="G52">
        <v>45.06</v>
      </c>
      <c r="H52">
        <v>49.35</v>
      </c>
      <c r="I52">
        <v>0.3</v>
      </c>
      <c r="J52">
        <v>-20579586.367209699</v>
      </c>
      <c r="K52">
        <v>141057.95521548935</v>
      </c>
      <c r="L52">
        <v>-271734.13210251933</v>
      </c>
      <c r="M52" t="b">
        <f t="shared" si="3"/>
        <v>0</v>
      </c>
    </row>
    <row r="53" spans="1:13" x14ac:dyDescent="0.2">
      <c r="A53" t="s">
        <v>281</v>
      </c>
      <c r="B53">
        <v>20</v>
      </c>
      <c r="C53">
        <v>4</v>
      </c>
      <c r="D53">
        <v>3</v>
      </c>
      <c r="E53">
        <v>30</v>
      </c>
      <c r="F53">
        <v>30</v>
      </c>
      <c r="G53">
        <v>90.12</v>
      </c>
      <c r="H53">
        <v>98.7</v>
      </c>
      <c r="I53">
        <v>0.3</v>
      </c>
      <c r="J53">
        <v>-1666732.7696102499</v>
      </c>
      <c r="K53">
        <v>89367.29785202333</v>
      </c>
      <c r="L53">
        <v>-111927.179356059</v>
      </c>
      <c r="M53" t="b">
        <f t="shared" si="3"/>
        <v>0</v>
      </c>
    </row>
    <row r="54" spans="1:13" x14ac:dyDescent="0.2">
      <c r="A54" s="6" t="s">
        <v>90</v>
      </c>
      <c r="B54" s="6">
        <v>10</v>
      </c>
      <c r="C54" s="6">
        <v>4</v>
      </c>
      <c r="D54" s="6">
        <v>3</v>
      </c>
      <c r="E54" s="6">
        <v>30</v>
      </c>
      <c r="F54" s="6">
        <v>10</v>
      </c>
      <c r="G54" s="6">
        <v>90.12</v>
      </c>
      <c r="H54" s="6">
        <v>98.7</v>
      </c>
      <c r="I54" s="6">
        <v>0.3</v>
      </c>
      <c r="J54" s="6">
        <v>998441.51873332204</v>
      </c>
      <c r="K54" s="6">
        <v>95631.468611435994</v>
      </c>
      <c r="L54" s="6">
        <v>770855.04453140101</v>
      </c>
      <c r="M54" s="6" t="b">
        <f t="shared" si="3"/>
        <v>1</v>
      </c>
    </row>
    <row r="55" spans="1:13" x14ac:dyDescent="0.2">
      <c r="A55" s="6" t="s">
        <v>92</v>
      </c>
      <c r="B55" s="6">
        <v>10</v>
      </c>
      <c r="C55" s="6">
        <v>1</v>
      </c>
      <c r="D55" s="6">
        <v>1</v>
      </c>
      <c r="E55" s="6">
        <v>15</v>
      </c>
      <c r="F55" s="6">
        <v>30</v>
      </c>
      <c r="G55" s="6">
        <v>90.12</v>
      </c>
      <c r="H55" s="6">
        <v>98.7</v>
      </c>
      <c r="I55" s="6">
        <v>0.3</v>
      </c>
      <c r="J55" s="6">
        <v>16087205.5488762</v>
      </c>
      <c r="K55" s="6">
        <v>162008.20497532267</v>
      </c>
      <c r="L55" s="6">
        <v>64844.372534223337</v>
      </c>
      <c r="M55" s="6" t="b">
        <f t="shared" si="3"/>
        <v>1</v>
      </c>
    </row>
    <row r="56" spans="1:13" x14ac:dyDescent="0.2">
      <c r="A56" s="6" t="s">
        <v>94</v>
      </c>
      <c r="B56" s="6">
        <v>10</v>
      </c>
      <c r="C56" s="6">
        <v>1</v>
      </c>
      <c r="D56" s="6">
        <v>1</v>
      </c>
      <c r="E56" s="6">
        <v>30</v>
      </c>
      <c r="F56" s="6">
        <v>30</v>
      </c>
      <c r="G56" s="6">
        <v>90.12</v>
      </c>
      <c r="H56" s="6">
        <v>98.7</v>
      </c>
      <c r="I56" s="6">
        <v>0.3</v>
      </c>
      <c r="J56" s="6">
        <v>7829271.27338407</v>
      </c>
      <c r="K56" s="6">
        <v>85057.363871949667</v>
      </c>
      <c r="L56" s="6">
        <v>108071.31856762333</v>
      </c>
      <c r="M56" s="6" t="b">
        <f t="shared" si="3"/>
        <v>1</v>
      </c>
    </row>
    <row r="57" spans="1:13" x14ac:dyDescent="0.2">
      <c r="A57" s="6" t="s">
        <v>96</v>
      </c>
      <c r="B57" s="6">
        <v>10</v>
      </c>
      <c r="C57" s="6">
        <v>1</v>
      </c>
      <c r="D57" s="6">
        <v>3</v>
      </c>
      <c r="E57" s="6">
        <v>15</v>
      </c>
      <c r="F57" s="6">
        <v>30</v>
      </c>
      <c r="G57" s="6">
        <v>90.12</v>
      </c>
      <c r="H57" s="6">
        <v>98.7</v>
      </c>
      <c r="I57" s="6">
        <v>0.3</v>
      </c>
      <c r="J57" s="6">
        <v>19090546.030836798</v>
      </c>
      <c r="K57" s="6">
        <v>147938.14870926933</v>
      </c>
      <c r="L57" s="6">
        <v>36440.199961776656</v>
      </c>
      <c r="M57" s="6" t="b">
        <f t="shared" si="3"/>
        <v>1</v>
      </c>
    </row>
    <row r="58" spans="1:13" x14ac:dyDescent="0.2">
      <c r="A58" s="6" t="s">
        <v>98</v>
      </c>
      <c r="B58" s="6">
        <v>10</v>
      </c>
      <c r="C58" s="6">
        <v>1</v>
      </c>
      <c r="D58" s="6">
        <v>3</v>
      </c>
      <c r="E58" s="6">
        <v>30</v>
      </c>
      <c r="F58" s="6">
        <v>30</v>
      </c>
      <c r="G58" s="6">
        <v>90.12</v>
      </c>
      <c r="H58" s="6">
        <v>98.7</v>
      </c>
      <c r="I58" s="6">
        <v>0.3</v>
      </c>
      <c r="J58" s="6">
        <v>8001819.4625559598</v>
      </c>
      <c r="K58" s="6">
        <v>117116.00745286167</v>
      </c>
      <c r="L58" s="6">
        <v>80236.996887393354</v>
      </c>
      <c r="M58" s="6" t="b">
        <f t="shared" si="3"/>
        <v>1</v>
      </c>
    </row>
    <row r="59" spans="1:13" x14ac:dyDescent="0.2">
      <c r="A59" s="6" t="s">
        <v>104</v>
      </c>
      <c r="B59" s="6">
        <v>10</v>
      </c>
      <c r="C59" s="6">
        <v>4</v>
      </c>
      <c r="D59" s="6">
        <v>3</v>
      </c>
      <c r="E59" s="6">
        <v>15</v>
      </c>
      <c r="F59" s="6">
        <v>30</v>
      </c>
      <c r="G59" s="6">
        <v>90.12</v>
      </c>
      <c r="H59" s="6">
        <v>98.7</v>
      </c>
      <c r="I59" s="6">
        <v>0.3</v>
      </c>
      <c r="J59" s="6">
        <v>11203115.6601393</v>
      </c>
      <c r="K59" s="6">
        <v>137501.41859871533</v>
      </c>
      <c r="L59" s="6">
        <v>51108.602524846669</v>
      </c>
      <c r="M59" s="6" t="b">
        <f t="shared" si="3"/>
        <v>1</v>
      </c>
    </row>
    <row r="60" spans="1:13" x14ac:dyDescent="0.2">
      <c r="A60" s="7" t="s">
        <v>106</v>
      </c>
      <c r="B60" s="7">
        <v>10</v>
      </c>
      <c r="C60" s="7">
        <v>4</v>
      </c>
      <c r="D60" s="7">
        <v>3</v>
      </c>
      <c r="E60" s="7">
        <v>30</v>
      </c>
      <c r="F60" s="7">
        <v>30</v>
      </c>
      <c r="G60" s="7">
        <v>90.12</v>
      </c>
      <c r="H60" s="7">
        <v>98.7</v>
      </c>
      <c r="I60" s="7">
        <v>0.3</v>
      </c>
      <c r="J60" s="7">
        <v>11695457.623707499</v>
      </c>
      <c r="K60" s="6">
        <v>158322.13665198401</v>
      </c>
      <c r="L60" s="7">
        <v>205744.31965886001</v>
      </c>
      <c r="M60" s="6" t="b">
        <f t="shared" si="3"/>
        <v>1</v>
      </c>
    </row>
    <row r="61" spans="1:13" x14ac:dyDescent="0.2">
      <c r="A61" s="6" t="s">
        <v>110</v>
      </c>
      <c r="B61" s="6">
        <v>20</v>
      </c>
      <c r="C61" s="6">
        <v>1</v>
      </c>
      <c r="D61" s="6">
        <v>1</v>
      </c>
      <c r="E61" s="6">
        <v>30</v>
      </c>
      <c r="F61" s="6">
        <v>10</v>
      </c>
      <c r="G61" s="6">
        <v>90.12</v>
      </c>
      <c r="H61" s="6">
        <v>98.7</v>
      </c>
      <c r="I61" s="6">
        <v>0.3</v>
      </c>
      <c r="J61" s="6">
        <v>2140895.61597201</v>
      </c>
      <c r="K61" s="6">
        <v>45927.017847999668</v>
      </c>
      <c r="L61" s="6">
        <v>586293.3360830911</v>
      </c>
      <c r="M61" s="6" t="b">
        <f t="shared" si="3"/>
        <v>1</v>
      </c>
    </row>
    <row r="62" spans="1:13" x14ac:dyDescent="0.2">
      <c r="A62" s="6" t="s">
        <v>114</v>
      </c>
      <c r="B62" s="6">
        <v>20</v>
      </c>
      <c r="C62" s="6">
        <v>1</v>
      </c>
      <c r="D62" s="6">
        <v>3</v>
      </c>
      <c r="E62" s="6">
        <v>30</v>
      </c>
      <c r="F62" s="6">
        <v>10</v>
      </c>
      <c r="G62" s="6">
        <v>90.12</v>
      </c>
      <c r="H62" s="6">
        <v>98.7</v>
      </c>
      <c r="I62" s="6">
        <v>0.3</v>
      </c>
      <c r="J62" s="6">
        <v>2917235.6496432601</v>
      </c>
      <c r="K62" s="6">
        <v>113705.55760996933</v>
      </c>
      <c r="L62" s="6">
        <v>695491.04580451106</v>
      </c>
      <c r="M62" s="6" t="b">
        <f t="shared" si="3"/>
        <v>1</v>
      </c>
    </row>
    <row r="63" spans="1:13" x14ac:dyDescent="0.2">
      <c r="A63" s="6" t="s">
        <v>261</v>
      </c>
      <c r="B63" s="6">
        <v>20</v>
      </c>
      <c r="C63" s="6">
        <v>4</v>
      </c>
      <c r="D63" s="6">
        <v>1</v>
      </c>
      <c r="E63" s="6">
        <v>30</v>
      </c>
      <c r="F63" s="6">
        <v>10</v>
      </c>
      <c r="G63" s="6">
        <v>90.12</v>
      </c>
      <c r="H63" s="6">
        <v>98.7</v>
      </c>
      <c r="I63" s="6">
        <v>0.3</v>
      </c>
      <c r="J63" s="6">
        <v>2039707.14753238</v>
      </c>
      <c r="K63" s="6">
        <v>99064.038199855</v>
      </c>
      <c r="L63" s="6">
        <v>620080.85733771103</v>
      </c>
      <c r="M63" s="6" t="b">
        <f t="shared" si="3"/>
        <v>1</v>
      </c>
    </row>
    <row r="64" spans="1:13" x14ac:dyDescent="0.2">
      <c r="A64" s="6" t="s">
        <v>265</v>
      </c>
      <c r="B64" s="6">
        <v>20</v>
      </c>
      <c r="C64" s="6">
        <v>4</v>
      </c>
      <c r="D64" s="6">
        <v>3</v>
      </c>
      <c r="E64" s="6">
        <v>30</v>
      </c>
      <c r="F64" s="6">
        <v>10</v>
      </c>
      <c r="G64" s="6">
        <v>90.12</v>
      </c>
      <c r="H64" s="6">
        <v>98.7</v>
      </c>
      <c r="I64" s="6">
        <v>0.3</v>
      </c>
      <c r="J64" s="6">
        <v>1538952.67080183</v>
      </c>
      <c r="K64" s="6">
        <v>74287.572360074657</v>
      </c>
      <c r="L64" s="6">
        <v>546190.68025862495</v>
      </c>
      <c r="M64" s="6" t="b">
        <f t="shared" si="3"/>
        <v>1</v>
      </c>
    </row>
    <row r="65" spans="1:13" x14ac:dyDescent="0.2">
      <c r="A65" s="6" t="s">
        <v>269</v>
      </c>
      <c r="B65" s="6">
        <v>20</v>
      </c>
      <c r="C65" s="6">
        <v>1</v>
      </c>
      <c r="D65" s="6">
        <v>1</v>
      </c>
      <c r="E65" s="6">
        <v>30</v>
      </c>
      <c r="F65" s="6">
        <v>30</v>
      </c>
      <c r="G65" s="6">
        <v>90.12</v>
      </c>
      <c r="H65" s="6">
        <v>98.7</v>
      </c>
      <c r="I65" s="6">
        <v>0.3</v>
      </c>
      <c r="J65" s="6">
        <v>11758454.6214043</v>
      </c>
      <c r="K65" s="6">
        <v>192354.87929308033</v>
      </c>
      <c r="L65" s="6">
        <v>355103.84085718001</v>
      </c>
      <c r="M65" s="6" t="b">
        <f t="shared" si="3"/>
        <v>1</v>
      </c>
    </row>
  </sheetData>
  <sortState xmlns:xlrd2="http://schemas.microsoft.com/office/spreadsheetml/2017/richdata2" ref="V2:AK66">
    <sortCondition ref="AF1:AF66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3"/>
  <sheetViews>
    <sheetView workbookViewId="0">
      <selection activeCell="F29" sqref="F29"/>
    </sheetView>
  </sheetViews>
  <sheetFormatPr baseColWidth="10" defaultRowHeight="16" x14ac:dyDescent="0.2"/>
  <sheetData>
    <row r="1" spans="1:5" x14ac:dyDescent="0.2">
      <c r="A1" t="s">
        <v>75</v>
      </c>
      <c r="B1" t="s">
        <v>27</v>
      </c>
      <c r="C1" t="s">
        <v>28</v>
      </c>
      <c r="D1" t="s">
        <v>29</v>
      </c>
      <c r="E1" t="s">
        <v>25</v>
      </c>
    </row>
    <row r="2" spans="1:5" x14ac:dyDescent="0.2">
      <c r="A2" t="s">
        <v>76</v>
      </c>
      <c r="B2">
        <v>233027</v>
      </c>
      <c r="C2">
        <v>116922</v>
      </c>
      <c r="D2">
        <v>349949</v>
      </c>
      <c r="E2">
        <v>242</v>
      </c>
    </row>
    <row r="3" spans="1:5" x14ac:dyDescent="0.2">
      <c r="A3" t="s">
        <v>78</v>
      </c>
      <c r="B3">
        <v>230505</v>
      </c>
      <c r="C3">
        <v>111447</v>
      </c>
      <c r="D3">
        <v>341952</v>
      </c>
      <c r="E3">
        <v>57</v>
      </c>
    </row>
    <row r="4" spans="1:5" x14ac:dyDescent="0.2">
      <c r="A4" t="s">
        <v>80</v>
      </c>
      <c r="B4">
        <v>232202</v>
      </c>
      <c r="C4">
        <v>117211</v>
      </c>
      <c r="D4">
        <v>349413</v>
      </c>
      <c r="E4">
        <v>224</v>
      </c>
    </row>
    <row r="5" spans="1:5" x14ac:dyDescent="0.2">
      <c r="A5" t="s">
        <v>81</v>
      </c>
      <c r="B5">
        <v>230508</v>
      </c>
      <c r="C5">
        <v>108966</v>
      </c>
      <c r="D5">
        <v>339474</v>
      </c>
      <c r="E5">
        <v>89</v>
      </c>
    </row>
    <row r="6" spans="1:5" x14ac:dyDescent="0.2">
      <c r="A6" t="s">
        <v>83</v>
      </c>
      <c r="B6">
        <v>232684</v>
      </c>
      <c r="C6">
        <v>116330</v>
      </c>
      <c r="D6">
        <v>349014</v>
      </c>
      <c r="E6">
        <v>250</v>
      </c>
    </row>
    <row r="7" spans="1:5" x14ac:dyDescent="0.2">
      <c r="A7" t="s">
        <v>85</v>
      </c>
      <c r="B7">
        <v>235124</v>
      </c>
      <c r="C7">
        <v>116581</v>
      </c>
      <c r="D7">
        <v>351705</v>
      </c>
      <c r="E7">
        <v>64</v>
      </c>
    </row>
    <row r="8" spans="1:5" x14ac:dyDescent="0.2">
      <c r="A8" t="s">
        <v>87</v>
      </c>
      <c r="B8">
        <v>234120</v>
      </c>
      <c r="C8">
        <v>116241</v>
      </c>
      <c r="D8">
        <v>350361</v>
      </c>
      <c r="E8">
        <v>195</v>
      </c>
    </row>
    <row r="9" spans="1:5" x14ac:dyDescent="0.2">
      <c r="A9" t="s">
        <v>89</v>
      </c>
      <c r="B9">
        <v>228801</v>
      </c>
      <c r="C9">
        <v>108583</v>
      </c>
      <c r="D9">
        <v>337384</v>
      </c>
      <c r="E9">
        <v>70</v>
      </c>
    </row>
    <row r="10" spans="1:5" x14ac:dyDescent="0.2">
      <c r="A10" t="s">
        <v>91</v>
      </c>
      <c r="B10">
        <v>235900</v>
      </c>
      <c r="C10">
        <v>116393</v>
      </c>
      <c r="D10">
        <v>352293</v>
      </c>
      <c r="E10">
        <v>882</v>
      </c>
    </row>
    <row r="11" spans="1:5" x14ac:dyDescent="0.2">
      <c r="A11" t="s">
        <v>93</v>
      </c>
      <c r="B11">
        <v>237872</v>
      </c>
      <c r="C11">
        <v>116866</v>
      </c>
      <c r="D11">
        <v>354738</v>
      </c>
      <c r="E11">
        <v>805</v>
      </c>
    </row>
    <row r="12" spans="1:5" x14ac:dyDescent="0.2">
      <c r="A12" t="s">
        <v>95</v>
      </c>
      <c r="B12">
        <v>235802</v>
      </c>
      <c r="C12">
        <v>116378</v>
      </c>
      <c r="D12">
        <v>352180</v>
      </c>
      <c r="E12">
        <v>831</v>
      </c>
    </row>
    <row r="13" spans="1:5" x14ac:dyDescent="0.2">
      <c r="A13" t="s">
        <v>97</v>
      </c>
      <c r="B13">
        <v>237158</v>
      </c>
      <c r="C13">
        <v>116600</v>
      </c>
      <c r="D13">
        <v>353758</v>
      </c>
      <c r="E13">
        <v>754</v>
      </c>
    </row>
    <row r="14" spans="1:5" x14ac:dyDescent="0.2">
      <c r="A14" t="s">
        <v>99</v>
      </c>
      <c r="B14">
        <v>236342</v>
      </c>
      <c r="C14">
        <v>116480</v>
      </c>
      <c r="D14">
        <v>352822</v>
      </c>
      <c r="E14">
        <v>914</v>
      </c>
    </row>
    <row r="15" spans="1:5" x14ac:dyDescent="0.2">
      <c r="A15" t="s">
        <v>101</v>
      </c>
      <c r="B15">
        <v>237304</v>
      </c>
      <c r="C15">
        <v>116167</v>
      </c>
      <c r="D15">
        <v>353471</v>
      </c>
      <c r="E15">
        <v>623</v>
      </c>
    </row>
    <row r="16" spans="1:5" x14ac:dyDescent="0.2">
      <c r="A16" t="s">
        <v>103</v>
      </c>
      <c r="B16">
        <v>235732</v>
      </c>
      <c r="C16">
        <v>116966</v>
      </c>
      <c r="D16">
        <v>352698</v>
      </c>
      <c r="E16">
        <v>1032</v>
      </c>
    </row>
    <row r="17" spans="1:5" x14ac:dyDescent="0.2">
      <c r="A17" t="s">
        <v>105</v>
      </c>
      <c r="B17">
        <v>237501</v>
      </c>
      <c r="C17">
        <v>116380</v>
      </c>
      <c r="D17">
        <v>353881</v>
      </c>
      <c r="E17">
        <v>795</v>
      </c>
    </row>
    <row r="18" spans="1:5" x14ac:dyDescent="0.2">
      <c r="A18" t="s">
        <v>77</v>
      </c>
      <c r="B18">
        <v>233093</v>
      </c>
      <c r="C18">
        <v>116761</v>
      </c>
      <c r="D18">
        <v>349854</v>
      </c>
      <c r="E18">
        <v>242</v>
      </c>
    </row>
    <row r="19" spans="1:5" x14ac:dyDescent="0.2">
      <c r="A19" t="s">
        <v>79</v>
      </c>
      <c r="B19">
        <v>230671</v>
      </c>
      <c r="C19">
        <v>111431</v>
      </c>
      <c r="D19">
        <v>342102</v>
      </c>
      <c r="E19">
        <v>57</v>
      </c>
    </row>
    <row r="20" spans="1:5" x14ac:dyDescent="0.2">
      <c r="A20" t="s">
        <v>42</v>
      </c>
      <c r="B20">
        <v>232147</v>
      </c>
      <c r="C20">
        <v>117210</v>
      </c>
      <c r="D20">
        <v>349357</v>
      </c>
      <c r="E20">
        <v>224</v>
      </c>
    </row>
    <row r="21" spans="1:5" x14ac:dyDescent="0.2">
      <c r="A21" t="s">
        <v>82</v>
      </c>
      <c r="B21">
        <v>230425</v>
      </c>
      <c r="C21">
        <v>108962</v>
      </c>
      <c r="D21">
        <v>339387</v>
      </c>
      <c r="E21">
        <v>91</v>
      </c>
    </row>
    <row r="22" spans="1:5" x14ac:dyDescent="0.2">
      <c r="A22" t="s">
        <v>84</v>
      </c>
      <c r="B22">
        <v>232916</v>
      </c>
      <c r="C22">
        <v>116280</v>
      </c>
      <c r="D22">
        <v>349196</v>
      </c>
      <c r="E22">
        <v>250</v>
      </c>
    </row>
    <row r="23" spans="1:5" x14ac:dyDescent="0.2">
      <c r="A23" t="s">
        <v>86</v>
      </c>
      <c r="B23">
        <v>235202</v>
      </c>
      <c r="C23">
        <v>116550</v>
      </c>
      <c r="D23">
        <v>351752</v>
      </c>
      <c r="E23">
        <v>64</v>
      </c>
    </row>
    <row r="24" spans="1:5" x14ac:dyDescent="0.2">
      <c r="A24" t="s">
        <v>88</v>
      </c>
      <c r="B24">
        <v>234251</v>
      </c>
      <c r="C24">
        <v>116296</v>
      </c>
      <c r="D24">
        <v>350547</v>
      </c>
      <c r="E24">
        <v>202</v>
      </c>
    </row>
    <row r="25" spans="1:5" x14ac:dyDescent="0.2">
      <c r="A25" t="s">
        <v>90</v>
      </c>
      <c r="B25">
        <v>228871</v>
      </c>
      <c r="C25">
        <v>108558</v>
      </c>
      <c r="D25">
        <v>337429</v>
      </c>
      <c r="E25">
        <v>77</v>
      </c>
    </row>
    <row r="26" spans="1:5" x14ac:dyDescent="0.2">
      <c r="A26" t="s">
        <v>92</v>
      </c>
      <c r="B26">
        <v>236996</v>
      </c>
      <c r="C26">
        <v>116400</v>
      </c>
      <c r="D26">
        <v>353396</v>
      </c>
      <c r="E26">
        <v>887</v>
      </c>
    </row>
    <row r="27" spans="1:5" x14ac:dyDescent="0.2">
      <c r="A27" t="s">
        <v>94</v>
      </c>
      <c r="B27">
        <v>238054</v>
      </c>
      <c r="C27">
        <v>116794</v>
      </c>
      <c r="D27">
        <v>354848</v>
      </c>
      <c r="E27">
        <v>808</v>
      </c>
    </row>
    <row r="28" spans="1:5" x14ac:dyDescent="0.2">
      <c r="A28" t="s">
        <v>96</v>
      </c>
      <c r="B28">
        <v>237187</v>
      </c>
      <c r="C28">
        <v>116558</v>
      </c>
      <c r="D28">
        <v>353745</v>
      </c>
      <c r="E28">
        <v>847</v>
      </c>
    </row>
    <row r="29" spans="1:5" x14ac:dyDescent="0.2">
      <c r="A29" t="s">
        <v>98</v>
      </c>
      <c r="B29">
        <v>238752</v>
      </c>
      <c r="C29">
        <v>116347</v>
      </c>
      <c r="D29">
        <v>355099</v>
      </c>
      <c r="E29">
        <v>761</v>
      </c>
    </row>
    <row r="30" spans="1:5" x14ac:dyDescent="0.2">
      <c r="A30" t="s">
        <v>100</v>
      </c>
      <c r="B30">
        <v>236800</v>
      </c>
      <c r="C30">
        <v>116898</v>
      </c>
      <c r="D30">
        <v>353698</v>
      </c>
      <c r="E30">
        <v>1006</v>
      </c>
    </row>
    <row r="31" spans="1:5" x14ac:dyDescent="0.2">
      <c r="A31" t="s">
        <v>102</v>
      </c>
      <c r="B31">
        <v>237992</v>
      </c>
      <c r="C31">
        <v>116533</v>
      </c>
      <c r="D31">
        <v>354525</v>
      </c>
      <c r="E31">
        <v>804</v>
      </c>
    </row>
    <row r="32" spans="1:5" x14ac:dyDescent="0.2">
      <c r="A32" t="s">
        <v>104</v>
      </c>
      <c r="B32">
        <v>236638</v>
      </c>
      <c r="C32">
        <v>116218</v>
      </c>
      <c r="D32">
        <v>352856</v>
      </c>
      <c r="E32">
        <v>930</v>
      </c>
    </row>
    <row r="33" spans="1:5" x14ac:dyDescent="0.2">
      <c r="A33" s="4" t="s">
        <v>106</v>
      </c>
      <c r="B33">
        <v>236705</v>
      </c>
      <c r="C33">
        <v>116326</v>
      </c>
      <c r="D33">
        <v>353031</v>
      </c>
      <c r="E33" s="4">
        <v>725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O33"/>
  <sheetViews>
    <sheetView workbookViewId="0">
      <selection activeCell="E35" sqref="E35"/>
    </sheetView>
  </sheetViews>
  <sheetFormatPr baseColWidth="10" defaultRowHeight="16" x14ac:dyDescent="0.2"/>
  <cols>
    <col min="36" max="36" width="6.1640625" customWidth="1"/>
    <col min="37" max="37" width="12.6640625" bestFit="1" customWidth="1"/>
    <col min="39" max="39" width="13.6640625" bestFit="1" customWidth="1"/>
    <col min="40" max="40" width="13.1640625" bestFit="1" customWidth="1"/>
    <col min="41" max="41" width="13.6640625" bestFit="1" customWidth="1"/>
  </cols>
  <sheetData>
    <row r="1" spans="1:41" x14ac:dyDescent="0.2">
      <c r="A1" t="s">
        <v>75</v>
      </c>
      <c r="B1" t="s">
        <v>17</v>
      </c>
      <c r="C1" t="s">
        <v>18</v>
      </c>
      <c r="D1" t="s">
        <v>120</v>
      </c>
      <c r="E1" t="s">
        <v>22</v>
      </c>
      <c r="F1" t="s">
        <v>23</v>
      </c>
      <c r="G1" t="s">
        <v>119</v>
      </c>
      <c r="H1" t="s">
        <v>60</v>
      </c>
      <c r="I1" t="s">
        <v>6</v>
      </c>
    </row>
    <row r="2" spans="1:41" x14ac:dyDescent="0.2">
      <c r="A2" t="s">
        <v>76</v>
      </c>
      <c r="B2">
        <v>32013291.439649198</v>
      </c>
      <c r="C2">
        <v>13669087.935521601</v>
      </c>
      <c r="D2">
        <v>-18344203.504127599</v>
      </c>
      <c r="E2">
        <v>2854300.44741912</v>
      </c>
      <c r="F2">
        <v>3303475.8399999901</v>
      </c>
      <c r="G2">
        <v>-449175.39258087007</v>
      </c>
      <c r="H2">
        <v>-44917.53925808701</v>
      </c>
      <c r="I2">
        <v>45.06</v>
      </c>
    </row>
    <row r="3" spans="1:41" x14ac:dyDescent="0.2">
      <c r="A3" t="s">
        <v>78</v>
      </c>
      <c r="B3">
        <v>36017986.831419297</v>
      </c>
      <c r="C3">
        <v>18617268.7772009</v>
      </c>
      <c r="D3">
        <v>-17400718.0542183</v>
      </c>
      <c r="E3">
        <v>5276152.1540186601</v>
      </c>
      <c r="F3">
        <v>3303475.8399999901</v>
      </c>
      <c r="G3">
        <v>1972676.31401867</v>
      </c>
      <c r="H3">
        <v>197267.63140186699</v>
      </c>
      <c r="I3">
        <v>45.06</v>
      </c>
    </row>
    <row r="4" spans="1:41" x14ac:dyDescent="0.2">
      <c r="A4" t="s">
        <v>80</v>
      </c>
      <c r="B4">
        <v>32261388.9861346</v>
      </c>
      <c r="C4">
        <v>14280750.159051601</v>
      </c>
      <c r="D4">
        <v>-17980638.827082999</v>
      </c>
      <c r="E4">
        <v>3541708.8077705898</v>
      </c>
      <c r="F4">
        <v>3303475.8399999901</v>
      </c>
      <c r="G4">
        <v>238232.96777059976</v>
      </c>
      <c r="H4">
        <v>23823.296777059975</v>
      </c>
      <c r="I4">
        <v>45.06</v>
      </c>
    </row>
    <row r="5" spans="1:41" x14ac:dyDescent="0.2">
      <c r="A5" t="s">
        <v>81</v>
      </c>
      <c r="B5">
        <v>35208089.766689397</v>
      </c>
      <c r="C5">
        <v>17274192.549144398</v>
      </c>
      <c r="D5">
        <v>-17933897.217544898</v>
      </c>
      <c r="E5">
        <v>5555419.1405721698</v>
      </c>
      <c r="F5">
        <v>3303475.8399999901</v>
      </c>
      <c r="G5">
        <v>2251943.3005721797</v>
      </c>
      <c r="H5">
        <v>225194.33005721797</v>
      </c>
      <c r="I5">
        <v>45.06</v>
      </c>
    </row>
    <row r="6" spans="1:41" x14ac:dyDescent="0.2">
      <c r="A6" t="s">
        <v>83</v>
      </c>
      <c r="B6">
        <v>33502289.924249001</v>
      </c>
      <c r="C6">
        <v>15027102.4151637</v>
      </c>
      <c r="D6">
        <v>-18475187.509085301</v>
      </c>
      <c r="E6">
        <v>3739077.3759767199</v>
      </c>
      <c r="F6">
        <v>3303475.8399999901</v>
      </c>
      <c r="G6">
        <v>435601.53597672982</v>
      </c>
      <c r="H6">
        <v>43560.153597672979</v>
      </c>
      <c r="I6">
        <v>45.06</v>
      </c>
    </row>
    <row r="7" spans="1:41" x14ac:dyDescent="0.2">
      <c r="A7" t="s">
        <v>85</v>
      </c>
      <c r="B7">
        <v>38035410.462154403</v>
      </c>
      <c r="C7">
        <v>18188488.7728904</v>
      </c>
      <c r="D7">
        <v>-19846921.689263899</v>
      </c>
      <c r="E7">
        <v>5523068.9465412097</v>
      </c>
      <c r="F7">
        <v>3189562.8799999901</v>
      </c>
      <c r="G7">
        <v>2333506.0665412196</v>
      </c>
      <c r="H7">
        <v>233350.60665412195</v>
      </c>
      <c r="I7">
        <v>45.06</v>
      </c>
    </row>
    <row r="8" spans="1:41" x14ac:dyDescent="0.2">
      <c r="A8" t="s">
        <v>87</v>
      </c>
      <c r="B8">
        <v>33621428.798318103</v>
      </c>
      <c r="C8">
        <v>15396715.5530074</v>
      </c>
      <c r="D8">
        <v>-18224713.245310701</v>
      </c>
      <c r="E8">
        <v>3324545.1185254999</v>
      </c>
      <c r="F8">
        <v>3189562.8799999901</v>
      </c>
      <c r="G8">
        <v>134982.23852550983</v>
      </c>
      <c r="H8">
        <v>13498.223852550984</v>
      </c>
      <c r="I8">
        <v>45.06</v>
      </c>
    </row>
    <row r="9" spans="1:41" x14ac:dyDescent="0.2">
      <c r="A9" t="s">
        <v>89</v>
      </c>
      <c r="B9">
        <v>35753828.272347897</v>
      </c>
      <c r="C9">
        <v>20289222.3914482</v>
      </c>
      <c r="D9">
        <v>-15464605.880899699</v>
      </c>
      <c r="E9">
        <v>5562969.6226570401</v>
      </c>
      <c r="F9">
        <v>3417388.79999999</v>
      </c>
      <c r="G9">
        <v>2145580.8226570501</v>
      </c>
      <c r="H9">
        <v>214558.08226570502</v>
      </c>
      <c r="I9">
        <v>45.06</v>
      </c>
    </row>
    <row r="10" spans="1:41" x14ac:dyDescent="0.2">
      <c r="A10" t="s">
        <v>91</v>
      </c>
      <c r="B10">
        <v>44440757.1488363</v>
      </c>
      <c r="C10">
        <v>34444808.895708598</v>
      </c>
      <c r="D10">
        <v>-9995948.2531276699</v>
      </c>
      <c r="E10">
        <v>5860014.4728399199</v>
      </c>
      <c r="F10">
        <v>9796514.5600000005</v>
      </c>
      <c r="G10">
        <v>-3936500.0871600807</v>
      </c>
      <c r="H10">
        <v>-131216.66957200269</v>
      </c>
      <c r="I10">
        <v>45.06</v>
      </c>
      <c r="AK10" t="s">
        <v>122</v>
      </c>
      <c r="AL10" t="s">
        <v>122</v>
      </c>
      <c r="AM10" t="s">
        <v>122</v>
      </c>
      <c r="AN10" t="s">
        <v>121</v>
      </c>
      <c r="AO10" t="s">
        <v>121</v>
      </c>
    </row>
    <row r="11" spans="1:41" x14ac:dyDescent="0.2">
      <c r="A11" t="s">
        <v>93</v>
      </c>
      <c r="B11">
        <v>58553148.090120301</v>
      </c>
      <c r="C11">
        <v>37281556.479362503</v>
      </c>
      <c r="D11">
        <v>-21271591.610757701</v>
      </c>
      <c r="E11">
        <v>6890859.1300853696</v>
      </c>
      <c r="F11">
        <v>9682601.5999999996</v>
      </c>
      <c r="G11">
        <v>-2791742.4699146301</v>
      </c>
      <c r="H11">
        <v>-93058.082330487669</v>
      </c>
      <c r="I11">
        <v>45.06</v>
      </c>
      <c r="AJ11" t="s">
        <v>75</v>
      </c>
      <c r="AK11" t="s">
        <v>2</v>
      </c>
      <c r="AL11" t="s">
        <v>3</v>
      </c>
      <c r="AM11" t="s">
        <v>4</v>
      </c>
      <c r="AN11" t="s">
        <v>5</v>
      </c>
      <c r="AO11" t="s">
        <v>118</v>
      </c>
    </row>
    <row r="12" spans="1:41" x14ac:dyDescent="0.2">
      <c r="A12" t="s">
        <v>95</v>
      </c>
      <c r="B12">
        <v>44997606.2187014</v>
      </c>
      <c r="C12">
        <v>36258226.497209102</v>
      </c>
      <c r="D12">
        <v>-8739379.7214922309</v>
      </c>
      <c r="E12">
        <v>5583320.0365047902</v>
      </c>
      <c r="F12">
        <v>9796514.5600000005</v>
      </c>
      <c r="G12">
        <v>-4213194.5234952103</v>
      </c>
      <c r="H12">
        <v>-140439.81744984034</v>
      </c>
      <c r="I12">
        <v>45.06</v>
      </c>
      <c r="AJ12" t="s">
        <v>92</v>
      </c>
      <c r="AK12">
        <v>1</v>
      </c>
      <c r="AL12">
        <v>1</v>
      </c>
      <c r="AM12">
        <v>15</v>
      </c>
      <c r="AN12">
        <v>30</v>
      </c>
      <c r="AO12">
        <v>2</v>
      </c>
    </row>
    <row r="13" spans="1:41" x14ac:dyDescent="0.2">
      <c r="A13" t="s">
        <v>97</v>
      </c>
      <c r="B13">
        <v>58051610.443007402</v>
      </c>
      <c r="C13">
        <v>37963000.064385802</v>
      </c>
      <c r="D13">
        <v>-20088610.378621601</v>
      </c>
      <c r="E13">
        <v>6763097.8479180001</v>
      </c>
      <c r="F13">
        <v>9796514.5600000005</v>
      </c>
      <c r="G13">
        <v>-3033416.7120820004</v>
      </c>
      <c r="H13">
        <v>-101113.89040273335</v>
      </c>
      <c r="I13">
        <v>45.06</v>
      </c>
      <c r="AJ13" t="s">
        <v>94</v>
      </c>
      <c r="AK13">
        <v>1</v>
      </c>
      <c r="AL13">
        <v>1</v>
      </c>
      <c r="AM13">
        <v>30</v>
      </c>
      <c r="AN13">
        <v>30</v>
      </c>
      <c r="AO13">
        <v>2</v>
      </c>
    </row>
    <row r="14" spans="1:41" x14ac:dyDescent="0.2">
      <c r="A14" t="s">
        <v>99</v>
      </c>
      <c r="B14">
        <v>44198633.007532097</v>
      </c>
      <c r="C14">
        <v>33241507.350822099</v>
      </c>
      <c r="D14">
        <v>-10957125.6567099</v>
      </c>
      <c r="E14">
        <v>5208207.0322256703</v>
      </c>
      <c r="F14">
        <v>9568688.6399999894</v>
      </c>
      <c r="G14">
        <v>-4360481.6077743191</v>
      </c>
      <c r="H14">
        <v>-145349.38692581063</v>
      </c>
      <c r="I14">
        <v>45.06</v>
      </c>
      <c r="AJ14" t="s">
        <v>96</v>
      </c>
      <c r="AK14">
        <v>1</v>
      </c>
      <c r="AL14">
        <v>3</v>
      </c>
      <c r="AM14">
        <v>15</v>
      </c>
      <c r="AN14">
        <v>30</v>
      </c>
      <c r="AO14">
        <v>2</v>
      </c>
    </row>
    <row r="15" spans="1:41" x14ac:dyDescent="0.2">
      <c r="A15" t="s">
        <v>101</v>
      </c>
      <c r="B15">
        <v>59845621.974735603</v>
      </c>
      <c r="C15">
        <v>40547563.2628683</v>
      </c>
      <c r="D15">
        <v>-19298058.711867299</v>
      </c>
      <c r="E15">
        <v>9006970.76167983</v>
      </c>
      <c r="F15">
        <v>9682601.5999999996</v>
      </c>
      <c r="G15">
        <v>-675630.8383201696</v>
      </c>
      <c r="H15">
        <v>-22521.027944005655</v>
      </c>
      <c r="I15">
        <v>45.06</v>
      </c>
      <c r="AJ15" t="s">
        <v>98</v>
      </c>
      <c r="AK15">
        <v>1</v>
      </c>
      <c r="AL15">
        <v>3</v>
      </c>
      <c r="AM15">
        <v>30</v>
      </c>
      <c r="AN15">
        <v>30</v>
      </c>
      <c r="AO15">
        <v>2</v>
      </c>
    </row>
    <row r="16" spans="1:41" x14ac:dyDescent="0.2">
      <c r="A16" t="s">
        <v>103</v>
      </c>
      <c r="B16">
        <v>43443059.379594199</v>
      </c>
      <c r="C16">
        <v>29819495.686450001</v>
      </c>
      <c r="D16">
        <v>-13623563.6931441</v>
      </c>
      <c r="E16">
        <v>5524899.5580428503</v>
      </c>
      <c r="F16">
        <v>9568688.6399999894</v>
      </c>
      <c r="G16">
        <v>-4043789.0819571391</v>
      </c>
      <c r="H16">
        <v>-134792.96939857129</v>
      </c>
      <c r="I16">
        <v>45.06</v>
      </c>
      <c r="AJ16" t="s">
        <v>104</v>
      </c>
      <c r="AK16">
        <v>4</v>
      </c>
      <c r="AL16">
        <v>3</v>
      </c>
      <c r="AM16">
        <v>15</v>
      </c>
      <c r="AN16">
        <v>30</v>
      </c>
      <c r="AO16">
        <v>2</v>
      </c>
    </row>
    <row r="17" spans="1:41" x14ac:dyDescent="0.2">
      <c r="A17" t="s">
        <v>105</v>
      </c>
      <c r="B17">
        <v>58497245.573351704</v>
      </c>
      <c r="C17">
        <v>37801832.569196701</v>
      </c>
      <c r="D17">
        <v>-20695413.004154898</v>
      </c>
      <c r="E17">
        <v>5671163.8589687198</v>
      </c>
      <c r="F17">
        <v>9682601.5999999996</v>
      </c>
      <c r="G17">
        <v>-4011437.7410312798</v>
      </c>
      <c r="H17">
        <v>-133714.59136770933</v>
      </c>
      <c r="I17">
        <v>45.06</v>
      </c>
      <c r="AJ17" t="s">
        <v>106</v>
      </c>
      <c r="AK17">
        <v>4</v>
      </c>
      <c r="AL17">
        <v>3</v>
      </c>
      <c r="AM17">
        <v>30</v>
      </c>
      <c r="AN17">
        <v>30</v>
      </c>
      <c r="AO17">
        <v>2</v>
      </c>
    </row>
    <row r="18" spans="1:41" x14ac:dyDescent="0.2">
      <c r="A18" t="s">
        <v>77</v>
      </c>
      <c r="B18">
        <v>32158330.651666999</v>
      </c>
      <c r="C18">
        <v>24334071.243900001</v>
      </c>
      <c r="D18">
        <v>-7824259.4077669401</v>
      </c>
      <c r="E18">
        <v>5708600.89483824</v>
      </c>
      <c r="F18">
        <v>3417388.79999999</v>
      </c>
      <c r="G18">
        <v>2291212.09483825</v>
      </c>
      <c r="H18">
        <v>229121.20948382499</v>
      </c>
      <c r="I18">
        <v>90.12</v>
      </c>
    </row>
    <row r="19" spans="1:41" x14ac:dyDescent="0.2">
      <c r="A19" t="s">
        <v>79</v>
      </c>
      <c r="B19">
        <v>35968086.221370302</v>
      </c>
      <c r="C19">
        <v>34552204.271637604</v>
      </c>
      <c r="D19">
        <v>-1415881.9497326899</v>
      </c>
      <c r="E19">
        <v>10552304.3080373</v>
      </c>
      <c r="F19">
        <v>3417388.79999999</v>
      </c>
      <c r="G19">
        <v>7134915.5080373101</v>
      </c>
      <c r="H19">
        <v>713491.55080373096</v>
      </c>
      <c r="I19">
        <v>90.12</v>
      </c>
    </row>
    <row r="20" spans="1:41" x14ac:dyDescent="0.2">
      <c r="A20" t="s">
        <v>42</v>
      </c>
      <c r="B20">
        <v>32270993.364936799</v>
      </c>
      <c r="C20">
        <v>25574946.229021698</v>
      </c>
      <c r="D20">
        <v>-6696047.13591504</v>
      </c>
      <c r="E20">
        <v>7083417.6155411899</v>
      </c>
      <c r="F20">
        <v>3417388.79999999</v>
      </c>
      <c r="G20">
        <v>3666028.8155411999</v>
      </c>
      <c r="H20">
        <v>366602.88155411999</v>
      </c>
      <c r="I20">
        <v>90.12</v>
      </c>
    </row>
    <row r="21" spans="1:41" x14ac:dyDescent="0.2">
      <c r="A21" t="s">
        <v>82</v>
      </c>
      <c r="B21">
        <v>35181414.376074404</v>
      </c>
      <c r="C21">
        <v>31751240.718002301</v>
      </c>
      <c r="D21">
        <v>-3430173.6580720502</v>
      </c>
      <c r="E21">
        <v>11110838.2811443</v>
      </c>
      <c r="F21">
        <v>3417388.79999999</v>
      </c>
      <c r="G21">
        <v>7693449.4811443109</v>
      </c>
      <c r="H21">
        <v>769344.94811443111</v>
      </c>
      <c r="I21">
        <v>90.12</v>
      </c>
    </row>
    <row r="22" spans="1:41" x14ac:dyDescent="0.2">
      <c r="A22" t="s">
        <v>84</v>
      </c>
      <c r="B22">
        <v>33580032.230374299</v>
      </c>
      <c r="C22">
        <v>27254184.135608699</v>
      </c>
      <c r="D22">
        <v>-6325848.0947655402</v>
      </c>
      <c r="E22">
        <v>7478154.75195345</v>
      </c>
      <c r="F22">
        <v>3417388.79999999</v>
      </c>
      <c r="G22">
        <v>4060765.95195346</v>
      </c>
      <c r="H22">
        <v>406076.59519534599</v>
      </c>
      <c r="I22">
        <v>90.12</v>
      </c>
    </row>
    <row r="23" spans="1:41" x14ac:dyDescent="0.2">
      <c r="A23" t="s">
        <v>86</v>
      </c>
      <c r="B23">
        <v>38101942.795548201</v>
      </c>
      <c r="C23">
        <v>33820239.621598698</v>
      </c>
      <c r="D23">
        <v>-4281703.1739495499</v>
      </c>
      <c r="E23">
        <v>11046137.893082401</v>
      </c>
      <c r="F23">
        <v>3417388.79999999</v>
      </c>
      <c r="G23">
        <v>7628749.0930824112</v>
      </c>
      <c r="H23">
        <v>762874.9093082411</v>
      </c>
      <c r="I23">
        <v>90.12</v>
      </c>
    </row>
    <row r="24" spans="1:41" x14ac:dyDescent="0.2">
      <c r="A24" t="s">
        <v>88</v>
      </c>
      <c r="B24">
        <v>33635657.664458998</v>
      </c>
      <c r="C24">
        <v>27922423.7531044</v>
      </c>
      <c r="D24">
        <v>-5713233.9113545902</v>
      </c>
      <c r="E24">
        <v>6649090.2370510101</v>
      </c>
      <c r="F24">
        <v>3417388.79999999</v>
      </c>
      <c r="G24">
        <v>3231701.4370510201</v>
      </c>
      <c r="H24">
        <v>323170.14370510203</v>
      </c>
      <c r="I24">
        <v>90.12</v>
      </c>
    </row>
    <row r="25" spans="1:41" x14ac:dyDescent="0.2">
      <c r="A25" t="s">
        <v>90</v>
      </c>
      <c r="B25">
        <v>35679512.108589202</v>
      </c>
      <c r="C25">
        <v>36677953.627322502</v>
      </c>
      <c r="D25">
        <v>998441.51873332204</v>
      </c>
      <c r="E25">
        <v>11125939.245314</v>
      </c>
      <c r="F25">
        <v>3417388.79999999</v>
      </c>
      <c r="G25">
        <v>7708550.4453140106</v>
      </c>
      <c r="H25">
        <v>770855.04453140101</v>
      </c>
      <c r="I25">
        <v>90.12</v>
      </c>
    </row>
    <row r="26" spans="1:41" x14ac:dyDescent="0.2">
      <c r="A26" t="s">
        <v>92</v>
      </c>
      <c r="B26">
        <v>44319108.751037501</v>
      </c>
      <c r="C26">
        <v>60406314.299913697</v>
      </c>
      <c r="D26">
        <v>16087205.5488762</v>
      </c>
      <c r="E26">
        <v>12197497.5760267</v>
      </c>
      <c r="F26">
        <v>10252166.4</v>
      </c>
      <c r="G26">
        <v>1945331.1760267001</v>
      </c>
      <c r="H26">
        <v>64844.372534223337</v>
      </c>
      <c r="I26">
        <v>90.12</v>
      </c>
    </row>
    <row r="27" spans="1:41" x14ac:dyDescent="0.2">
      <c r="A27" t="s">
        <v>94</v>
      </c>
      <c r="B27">
        <v>58611864.474740699</v>
      </c>
      <c r="C27">
        <v>66441135.748124801</v>
      </c>
      <c r="D27">
        <v>7829271.27338407</v>
      </c>
      <c r="E27">
        <v>13380392.997028699</v>
      </c>
      <c r="F27">
        <v>10138253.439999999</v>
      </c>
      <c r="G27">
        <v>3242139.5570286997</v>
      </c>
      <c r="H27">
        <v>108071.31856762333</v>
      </c>
      <c r="I27">
        <v>90.12</v>
      </c>
    </row>
    <row r="28" spans="1:41" x14ac:dyDescent="0.2">
      <c r="A28" t="s">
        <v>96</v>
      </c>
      <c r="B28">
        <v>44827668.225665703</v>
      </c>
      <c r="C28">
        <v>63918214.256502599</v>
      </c>
      <c r="D28">
        <v>19090546.030836798</v>
      </c>
      <c r="E28">
        <v>11345372.3988533</v>
      </c>
      <c r="F28">
        <v>10252166.4</v>
      </c>
      <c r="G28">
        <v>1093205.9988532998</v>
      </c>
      <c r="H28">
        <v>36440.199961776656</v>
      </c>
      <c r="I28">
        <v>90.12</v>
      </c>
    </row>
    <row r="29" spans="1:41" x14ac:dyDescent="0.2">
      <c r="A29" t="s">
        <v>98</v>
      </c>
      <c r="B29">
        <v>58774761.059560299</v>
      </c>
      <c r="C29">
        <v>66776580.522116199</v>
      </c>
      <c r="D29">
        <v>8001819.4625559598</v>
      </c>
      <c r="E29">
        <v>12545363.3466218</v>
      </c>
      <c r="F29">
        <v>10138253.439999999</v>
      </c>
      <c r="G29">
        <v>2407109.9066218007</v>
      </c>
      <c r="H29">
        <v>80236.996887393354</v>
      </c>
      <c r="I29">
        <v>90.12</v>
      </c>
    </row>
    <row r="30" spans="1:41" x14ac:dyDescent="0.2">
      <c r="A30" t="s">
        <v>100</v>
      </c>
      <c r="B30">
        <v>43133139.885631099</v>
      </c>
      <c r="C30">
        <v>52009259.660008103</v>
      </c>
      <c r="D30">
        <v>8876119.7743770704</v>
      </c>
      <c r="E30">
        <v>8448705.5089329593</v>
      </c>
      <c r="F30">
        <v>10138253.439999999</v>
      </c>
      <c r="G30">
        <v>-1689547.9310670402</v>
      </c>
      <c r="H30">
        <v>-56318.264368901342</v>
      </c>
      <c r="I30">
        <v>90.12</v>
      </c>
    </row>
    <row r="31" spans="1:41" x14ac:dyDescent="0.2">
      <c r="A31" t="s">
        <v>102</v>
      </c>
      <c r="B31">
        <v>57800714.602525301</v>
      </c>
      <c r="C31">
        <v>65279205.055693902</v>
      </c>
      <c r="D31">
        <v>7478490.4531686101</v>
      </c>
      <c r="E31">
        <v>9910339.2978468593</v>
      </c>
      <c r="F31">
        <v>10024340.48</v>
      </c>
      <c r="G31">
        <v>-114001.18215314113</v>
      </c>
      <c r="H31">
        <v>-3800.0394051047042</v>
      </c>
      <c r="I31">
        <v>90.12</v>
      </c>
    </row>
    <row r="32" spans="1:41" x14ac:dyDescent="0.2">
      <c r="A32" t="s">
        <v>104</v>
      </c>
      <c r="B32">
        <v>44093599.091592498</v>
      </c>
      <c r="C32">
        <v>55296714.751731902</v>
      </c>
      <c r="D32">
        <v>11203115.6601393</v>
      </c>
      <c r="E32">
        <v>11557598.5557454</v>
      </c>
      <c r="F32">
        <v>10024340.48</v>
      </c>
      <c r="G32">
        <v>1533258.0757454</v>
      </c>
      <c r="H32">
        <v>51108.602524846669</v>
      </c>
      <c r="I32">
        <v>90.12</v>
      </c>
    </row>
    <row r="33" spans="1:9" x14ac:dyDescent="0.2">
      <c r="A33" t="s">
        <v>106</v>
      </c>
      <c r="B33">
        <v>59739184.075714603</v>
      </c>
      <c r="C33">
        <v>71434641.699422106</v>
      </c>
      <c r="D33">
        <v>11695457.623707499</v>
      </c>
      <c r="E33">
        <v>16310583.0297658</v>
      </c>
      <c r="F33">
        <v>10138253.439999999</v>
      </c>
      <c r="G33">
        <v>6172329.5897658002</v>
      </c>
      <c r="H33">
        <v>205744.31965886001</v>
      </c>
      <c r="I33" s="4">
        <v>90.12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39"/>
  <sheetViews>
    <sheetView topLeftCell="E1" workbookViewId="0">
      <selection activeCell="I1" sqref="A1:I1"/>
    </sheetView>
  </sheetViews>
  <sheetFormatPr baseColWidth="10" defaultRowHeight="16" x14ac:dyDescent="0.2"/>
  <sheetData>
    <row r="1" spans="1:9" x14ac:dyDescent="0.2">
      <c r="A1" t="s">
        <v>75</v>
      </c>
      <c r="B1" t="s">
        <v>0</v>
      </c>
      <c r="C1" t="s">
        <v>2</v>
      </c>
      <c r="D1" t="s">
        <v>3</v>
      </c>
      <c r="E1" t="s">
        <v>4</v>
      </c>
      <c r="F1" t="s">
        <v>5</v>
      </c>
      <c r="G1" t="s">
        <v>118</v>
      </c>
      <c r="H1" t="s">
        <v>6</v>
      </c>
      <c r="I1" t="s">
        <v>7</v>
      </c>
    </row>
    <row r="2" spans="1:9" x14ac:dyDescent="0.2">
      <c r="A2" t="s">
        <v>76</v>
      </c>
      <c r="B2">
        <v>265</v>
      </c>
      <c r="C2">
        <v>1</v>
      </c>
      <c r="D2">
        <v>1</v>
      </c>
      <c r="E2">
        <v>15</v>
      </c>
      <c r="F2">
        <v>10</v>
      </c>
      <c r="G2">
        <v>1</v>
      </c>
      <c r="H2">
        <v>45.06</v>
      </c>
      <c r="I2">
        <v>49.35</v>
      </c>
    </row>
    <row r="3" spans="1:9" x14ac:dyDescent="0.2">
      <c r="A3" t="s">
        <v>78</v>
      </c>
      <c r="B3">
        <v>265</v>
      </c>
      <c r="C3">
        <v>1</v>
      </c>
      <c r="D3">
        <v>1</v>
      </c>
      <c r="E3">
        <v>30</v>
      </c>
      <c r="F3">
        <v>10</v>
      </c>
      <c r="G3">
        <v>1</v>
      </c>
      <c r="H3">
        <v>45.06</v>
      </c>
      <c r="I3">
        <v>49.35</v>
      </c>
    </row>
    <row r="4" spans="1:9" x14ac:dyDescent="0.2">
      <c r="A4" t="s">
        <v>80</v>
      </c>
      <c r="B4">
        <v>265</v>
      </c>
      <c r="C4">
        <v>1</v>
      </c>
      <c r="D4">
        <v>3</v>
      </c>
      <c r="E4">
        <v>15</v>
      </c>
      <c r="F4">
        <v>10</v>
      </c>
      <c r="G4">
        <v>1</v>
      </c>
      <c r="H4">
        <v>45.06</v>
      </c>
      <c r="I4">
        <v>49.35</v>
      </c>
    </row>
    <row r="5" spans="1:9" x14ac:dyDescent="0.2">
      <c r="A5" t="s">
        <v>81</v>
      </c>
      <c r="B5">
        <v>265</v>
      </c>
      <c r="C5">
        <v>1</v>
      </c>
      <c r="D5">
        <v>3</v>
      </c>
      <c r="E5">
        <v>30</v>
      </c>
      <c r="F5">
        <v>10</v>
      </c>
      <c r="G5">
        <v>1</v>
      </c>
      <c r="H5">
        <v>45.06</v>
      </c>
      <c r="I5">
        <v>49.35</v>
      </c>
    </row>
    <row r="6" spans="1:9" x14ac:dyDescent="0.2">
      <c r="A6" t="s">
        <v>83</v>
      </c>
      <c r="B6">
        <v>265</v>
      </c>
      <c r="C6">
        <v>4</v>
      </c>
      <c r="D6">
        <v>1</v>
      </c>
      <c r="E6">
        <v>15</v>
      </c>
      <c r="F6">
        <v>10</v>
      </c>
      <c r="G6">
        <v>1</v>
      </c>
      <c r="H6">
        <v>45.06</v>
      </c>
      <c r="I6">
        <v>49.35</v>
      </c>
    </row>
    <row r="7" spans="1:9" x14ac:dyDescent="0.2">
      <c r="A7" t="s">
        <v>85</v>
      </c>
      <c r="B7">
        <v>265</v>
      </c>
      <c r="C7">
        <v>4</v>
      </c>
      <c r="D7">
        <v>1</v>
      </c>
      <c r="E7">
        <v>30</v>
      </c>
      <c r="F7">
        <v>10</v>
      </c>
      <c r="G7">
        <v>1</v>
      </c>
      <c r="H7">
        <v>45.06</v>
      </c>
      <c r="I7">
        <v>49.35</v>
      </c>
    </row>
    <row r="8" spans="1:9" x14ac:dyDescent="0.2">
      <c r="A8" t="s">
        <v>87</v>
      </c>
      <c r="B8">
        <v>265</v>
      </c>
      <c r="C8">
        <v>4</v>
      </c>
      <c r="D8">
        <v>3</v>
      </c>
      <c r="E8">
        <v>15</v>
      </c>
      <c r="F8">
        <v>10</v>
      </c>
      <c r="G8">
        <v>1</v>
      </c>
      <c r="H8">
        <v>45.06</v>
      </c>
      <c r="I8">
        <v>49.35</v>
      </c>
    </row>
    <row r="9" spans="1:9" x14ac:dyDescent="0.2">
      <c r="A9" t="s">
        <v>89</v>
      </c>
      <c r="B9">
        <v>265</v>
      </c>
      <c r="C9">
        <v>4</v>
      </c>
      <c r="D9">
        <v>3</v>
      </c>
      <c r="E9">
        <v>30</v>
      </c>
      <c r="F9">
        <v>10</v>
      </c>
      <c r="G9">
        <v>1</v>
      </c>
      <c r="H9">
        <v>45.06</v>
      </c>
      <c r="I9">
        <v>49.35</v>
      </c>
    </row>
    <row r="10" spans="1:9" x14ac:dyDescent="0.2">
      <c r="A10" t="s">
        <v>91</v>
      </c>
      <c r="B10">
        <v>265</v>
      </c>
      <c r="C10">
        <v>1</v>
      </c>
      <c r="D10">
        <v>1</v>
      </c>
      <c r="E10">
        <v>15</v>
      </c>
      <c r="F10">
        <v>30</v>
      </c>
      <c r="G10">
        <v>1</v>
      </c>
      <c r="H10">
        <v>45.06</v>
      </c>
      <c r="I10">
        <v>49.35</v>
      </c>
    </row>
    <row r="11" spans="1:9" x14ac:dyDescent="0.2">
      <c r="A11" t="s">
        <v>93</v>
      </c>
      <c r="B11">
        <v>265</v>
      </c>
      <c r="C11">
        <v>1</v>
      </c>
      <c r="D11">
        <v>1</v>
      </c>
      <c r="E11">
        <v>30</v>
      </c>
      <c r="F11">
        <v>30</v>
      </c>
      <c r="G11">
        <v>1</v>
      </c>
      <c r="H11">
        <v>45.06</v>
      </c>
      <c r="I11">
        <v>49.35</v>
      </c>
    </row>
    <row r="12" spans="1:9" x14ac:dyDescent="0.2">
      <c r="A12" t="s">
        <v>95</v>
      </c>
      <c r="B12">
        <v>265</v>
      </c>
      <c r="C12">
        <v>1</v>
      </c>
      <c r="D12">
        <v>3</v>
      </c>
      <c r="E12">
        <v>15</v>
      </c>
      <c r="F12">
        <v>30</v>
      </c>
      <c r="G12">
        <v>1</v>
      </c>
      <c r="H12">
        <v>45.06</v>
      </c>
      <c r="I12">
        <v>49.35</v>
      </c>
    </row>
    <row r="13" spans="1:9" x14ac:dyDescent="0.2">
      <c r="A13" t="s">
        <v>97</v>
      </c>
      <c r="B13">
        <v>265</v>
      </c>
      <c r="C13">
        <v>1</v>
      </c>
      <c r="D13">
        <v>3</v>
      </c>
      <c r="E13">
        <v>30</v>
      </c>
      <c r="F13">
        <v>30</v>
      </c>
      <c r="G13">
        <v>1</v>
      </c>
      <c r="H13">
        <v>45.06</v>
      </c>
      <c r="I13">
        <v>49.35</v>
      </c>
    </row>
    <row r="14" spans="1:9" x14ac:dyDescent="0.2">
      <c r="A14" t="s">
        <v>99</v>
      </c>
      <c r="B14">
        <v>265</v>
      </c>
      <c r="C14">
        <v>4</v>
      </c>
      <c r="D14">
        <v>1</v>
      </c>
      <c r="E14">
        <v>15</v>
      </c>
      <c r="F14">
        <v>30</v>
      </c>
      <c r="G14">
        <v>1</v>
      </c>
      <c r="H14">
        <v>45.06</v>
      </c>
      <c r="I14">
        <v>49.35</v>
      </c>
    </row>
    <row r="15" spans="1:9" x14ac:dyDescent="0.2">
      <c r="A15" t="s">
        <v>101</v>
      </c>
      <c r="B15">
        <v>265</v>
      </c>
      <c r="C15">
        <v>4</v>
      </c>
      <c r="D15">
        <v>1</v>
      </c>
      <c r="E15">
        <v>30</v>
      </c>
      <c r="F15">
        <v>30</v>
      </c>
      <c r="G15">
        <v>1</v>
      </c>
      <c r="H15">
        <v>45.06</v>
      </c>
      <c r="I15">
        <v>49.35</v>
      </c>
    </row>
    <row r="16" spans="1:9" x14ac:dyDescent="0.2">
      <c r="A16" t="s">
        <v>103</v>
      </c>
      <c r="B16">
        <v>265</v>
      </c>
      <c r="C16">
        <v>4</v>
      </c>
      <c r="D16">
        <v>3</v>
      </c>
      <c r="E16">
        <v>15</v>
      </c>
      <c r="F16">
        <v>30</v>
      </c>
      <c r="G16">
        <v>1</v>
      </c>
      <c r="H16">
        <v>45.06</v>
      </c>
      <c r="I16">
        <v>49.35</v>
      </c>
    </row>
    <row r="17" spans="1:9" x14ac:dyDescent="0.2">
      <c r="A17" t="s">
        <v>105</v>
      </c>
      <c r="B17">
        <v>265</v>
      </c>
      <c r="C17">
        <v>4</v>
      </c>
      <c r="D17">
        <v>3</v>
      </c>
      <c r="E17">
        <v>30</v>
      </c>
      <c r="F17">
        <v>30</v>
      </c>
      <c r="G17">
        <v>1</v>
      </c>
      <c r="H17">
        <v>45.06</v>
      </c>
      <c r="I17">
        <v>49.35</v>
      </c>
    </row>
    <row r="18" spans="1:9" x14ac:dyDescent="0.2">
      <c r="A18" t="s">
        <v>107</v>
      </c>
      <c r="B18">
        <v>265</v>
      </c>
      <c r="C18">
        <v>1</v>
      </c>
      <c r="D18">
        <v>1</v>
      </c>
      <c r="E18">
        <v>15</v>
      </c>
      <c r="F18">
        <v>10</v>
      </c>
      <c r="G18">
        <v>1</v>
      </c>
      <c r="H18">
        <v>45.06</v>
      </c>
      <c r="I18">
        <v>49.35</v>
      </c>
    </row>
    <row r="19" spans="1:9" x14ac:dyDescent="0.2">
      <c r="A19" t="s">
        <v>109</v>
      </c>
      <c r="B19">
        <v>265</v>
      </c>
      <c r="C19">
        <v>1</v>
      </c>
      <c r="D19">
        <v>1</v>
      </c>
      <c r="E19">
        <v>30</v>
      </c>
      <c r="F19">
        <v>10</v>
      </c>
      <c r="G19">
        <v>1</v>
      </c>
      <c r="H19">
        <v>45.06</v>
      </c>
      <c r="I19">
        <v>49.35</v>
      </c>
    </row>
    <row r="20" spans="1:9" x14ac:dyDescent="0.2">
      <c r="A20" t="s">
        <v>111</v>
      </c>
      <c r="B20">
        <v>265</v>
      </c>
      <c r="C20">
        <v>1</v>
      </c>
      <c r="D20">
        <v>3</v>
      </c>
      <c r="E20">
        <v>15</v>
      </c>
      <c r="F20">
        <v>10</v>
      </c>
      <c r="G20">
        <v>1</v>
      </c>
      <c r="H20">
        <v>45.06</v>
      </c>
      <c r="I20">
        <v>49.35</v>
      </c>
    </row>
    <row r="21" spans="1:9" x14ac:dyDescent="0.2">
      <c r="A21" t="s">
        <v>113</v>
      </c>
      <c r="B21">
        <v>265</v>
      </c>
      <c r="C21">
        <v>1</v>
      </c>
      <c r="D21">
        <v>3</v>
      </c>
      <c r="E21">
        <v>30</v>
      </c>
      <c r="F21">
        <v>10</v>
      </c>
      <c r="G21">
        <v>1</v>
      </c>
      <c r="H21">
        <v>45.06</v>
      </c>
      <c r="I21">
        <v>49.35</v>
      </c>
    </row>
    <row r="22" spans="1:9" x14ac:dyDescent="0.2">
      <c r="A22" t="s">
        <v>115</v>
      </c>
      <c r="B22">
        <v>265</v>
      </c>
      <c r="C22">
        <v>4</v>
      </c>
      <c r="D22">
        <v>1</v>
      </c>
      <c r="E22">
        <v>15</v>
      </c>
      <c r="F22">
        <v>10</v>
      </c>
      <c r="G22">
        <v>1</v>
      </c>
      <c r="H22">
        <v>45.06</v>
      </c>
      <c r="I22">
        <v>49.35</v>
      </c>
    </row>
    <row r="23" spans="1:9" x14ac:dyDescent="0.2">
      <c r="A23" t="s">
        <v>117</v>
      </c>
      <c r="B23">
        <v>265</v>
      </c>
      <c r="C23">
        <v>4</v>
      </c>
      <c r="D23">
        <v>1</v>
      </c>
      <c r="E23">
        <v>30</v>
      </c>
      <c r="F23">
        <v>10</v>
      </c>
      <c r="G23">
        <v>1</v>
      </c>
      <c r="H23">
        <v>45.06</v>
      </c>
      <c r="I23">
        <v>49.35</v>
      </c>
    </row>
    <row r="24" spans="1:9" x14ac:dyDescent="0.2">
      <c r="A24" t="s">
        <v>77</v>
      </c>
      <c r="B24">
        <v>265</v>
      </c>
      <c r="C24">
        <v>1</v>
      </c>
      <c r="D24">
        <v>1</v>
      </c>
      <c r="E24">
        <v>15</v>
      </c>
      <c r="F24">
        <v>10</v>
      </c>
      <c r="G24">
        <v>2</v>
      </c>
      <c r="H24">
        <v>90.12</v>
      </c>
      <c r="I24">
        <v>98.7</v>
      </c>
    </row>
    <row r="25" spans="1:9" x14ac:dyDescent="0.2">
      <c r="A25" t="s">
        <v>79</v>
      </c>
      <c r="B25">
        <v>265</v>
      </c>
      <c r="C25">
        <v>1</v>
      </c>
      <c r="D25">
        <v>1</v>
      </c>
      <c r="E25">
        <v>30</v>
      </c>
      <c r="F25">
        <v>10</v>
      </c>
      <c r="G25">
        <v>2</v>
      </c>
      <c r="H25">
        <v>90.12</v>
      </c>
      <c r="I25">
        <v>98.7</v>
      </c>
    </row>
    <row r="26" spans="1:9" x14ac:dyDescent="0.2">
      <c r="A26" t="s">
        <v>42</v>
      </c>
      <c r="B26">
        <v>265</v>
      </c>
      <c r="C26">
        <v>1</v>
      </c>
      <c r="D26">
        <v>3</v>
      </c>
      <c r="E26">
        <v>15</v>
      </c>
      <c r="F26">
        <v>10</v>
      </c>
      <c r="G26">
        <v>2</v>
      </c>
      <c r="H26">
        <v>90.12</v>
      </c>
      <c r="I26">
        <v>98.7</v>
      </c>
    </row>
    <row r="27" spans="1:9" x14ac:dyDescent="0.2">
      <c r="A27" t="s">
        <v>82</v>
      </c>
      <c r="B27">
        <v>265</v>
      </c>
      <c r="C27">
        <v>1</v>
      </c>
      <c r="D27">
        <v>3</v>
      </c>
      <c r="E27">
        <v>30</v>
      </c>
      <c r="F27">
        <v>10</v>
      </c>
      <c r="G27">
        <v>2</v>
      </c>
      <c r="H27">
        <v>90.12</v>
      </c>
      <c r="I27">
        <v>98.7</v>
      </c>
    </row>
    <row r="28" spans="1:9" x14ac:dyDescent="0.2">
      <c r="A28" t="s">
        <v>84</v>
      </c>
      <c r="B28">
        <v>265</v>
      </c>
      <c r="C28">
        <v>4</v>
      </c>
      <c r="D28">
        <v>1</v>
      </c>
      <c r="E28">
        <v>15</v>
      </c>
      <c r="F28">
        <v>10</v>
      </c>
      <c r="G28">
        <v>2</v>
      </c>
      <c r="H28">
        <v>90.12</v>
      </c>
      <c r="I28">
        <v>98.7</v>
      </c>
    </row>
    <row r="29" spans="1:9" x14ac:dyDescent="0.2">
      <c r="A29" t="s">
        <v>86</v>
      </c>
      <c r="B29">
        <v>265</v>
      </c>
      <c r="C29">
        <v>4</v>
      </c>
      <c r="D29">
        <v>1</v>
      </c>
      <c r="E29">
        <v>30</v>
      </c>
      <c r="F29">
        <v>10</v>
      </c>
      <c r="G29">
        <v>2</v>
      </c>
      <c r="H29">
        <v>90.12</v>
      </c>
      <c r="I29">
        <v>98.7</v>
      </c>
    </row>
    <row r="30" spans="1:9" x14ac:dyDescent="0.2">
      <c r="A30" t="s">
        <v>88</v>
      </c>
      <c r="B30">
        <v>265</v>
      </c>
      <c r="C30">
        <v>4</v>
      </c>
      <c r="D30">
        <v>3</v>
      </c>
      <c r="E30">
        <v>15</v>
      </c>
      <c r="F30">
        <v>10</v>
      </c>
      <c r="G30">
        <v>2</v>
      </c>
      <c r="H30">
        <v>90.12</v>
      </c>
      <c r="I30">
        <v>98.7</v>
      </c>
    </row>
    <row r="31" spans="1:9" x14ac:dyDescent="0.2">
      <c r="A31" t="s">
        <v>90</v>
      </c>
      <c r="B31">
        <v>265</v>
      </c>
      <c r="C31">
        <v>4</v>
      </c>
      <c r="D31">
        <v>3</v>
      </c>
      <c r="E31">
        <v>30</v>
      </c>
      <c r="F31">
        <v>10</v>
      </c>
      <c r="G31">
        <v>2</v>
      </c>
      <c r="H31">
        <v>90.12</v>
      </c>
      <c r="I31">
        <v>98.7</v>
      </c>
    </row>
    <row r="32" spans="1:9" x14ac:dyDescent="0.2">
      <c r="A32" t="s">
        <v>92</v>
      </c>
      <c r="B32">
        <v>265</v>
      </c>
      <c r="C32">
        <v>1</v>
      </c>
      <c r="D32">
        <v>1</v>
      </c>
      <c r="E32">
        <v>15</v>
      </c>
      <c r="F32">
        <v>30</v>
      </c>
      <c r="G32">
        <v>2</v>
      </c>
      <c r="H32">
        <v>90.12</v>
      </c>
      <c r="I32">
        <v>98.7</v>
      </c>
    </row>
    <row r="33" spans="1:9" x14ac:dyDescent="0.2">
      <c r="A33" t="s">
        <v>94</v>
      </c>
      <c r="B33">
        <v>265</v>
      </c>
      <c r="C33">
        <v>1</v>
      </c>
      <c r="D33">
        <v>1</v>
      </c>
      <c r="E33">
        <v>30</v>
      </c>
      <c r="F33">
        <v>30</v>
      </c>
      <c r="G33">
        <v>2</v>
      </c>
      <c r="H33">
        <v>90.12</v>
      </c>
      <c r="I33">
        <v>98.7</v>
      </c>
    </row>
    <row r="34" spans="1:9" x14ac:dyDescent="0.2">
      <c r="A34" t="s">
        <v>96</v>
      </c>
      <c r="B34">
        <v>265</v>
      </c>
      <c r="C34">
        <v>1</v>
      </c>
      <c r="D34">
        <v>3</v>
      </c>
      <c r="E34">
        <v>15</v>
      </c>
      <c r="F34">
        <v>30</v>
      </c>
      <c r="G34">
        <v>2</v>
      </c>
      <c r="H34">
        <v>90.12</v>
      </c>
      <c r="I34">
        <v>98.7</v>
      </c>
    </row>
    <row r="35" spans="1:9" x14ac:dyDescent="0.2">
      <c r="A35" t="s">
        <v>98</v>
      </c>
      <c r="B35">
        <v>265</v>
      </c>
      <c r="C35">
        <v>1</v>
      </c>
      <c r="D35">
        <v>3</v>
      </c>
      <c r="E35">
        <v>30</v>
      </c>
      <c r="F35">
        <v>30</v>
      </c>
      <c r="G35">
        <v>2</v>
      </c>
      <c r="H35">
        <v>90.12</v>
      </c>
      <c r="I35">
        <v>98.7</v>
      </c>
    </row>
    <row r="36" spans="1:9" x14ac:dyDescent="0.2">
      <c r="A36" t="s">
        <v>100</v>
      </c>
      <c r="B36">
        <v>265</v>
      </c>
      <c r="C36">
        <v>4</v>
      </c>
      <c r="D36">
        <v>1</v>
      </c>
      <c r="E36">
        <v>15</v>
      </c>
      <c r="F36">
        <v>30</v>
      </c>
      <c r="G36">
        <v>2</v>
      </c>
      <c r="H36">
        <v>90.12</v>
      </c>
      <c r="I36">
        <v>98.7</v>
      </c>
    </row>
    <row r="37" spans="1:9" x14ac:dyDescent="0.2">
      <c r="A37" t="s">
        <v>102</v>
      </c>
      <c r="B37">
        <v>265</v>
      </c>
      <c r="C37">
        <v>4</v>
      </c>
      <c r="D37">
        <v>1</v>
      </c>
      <c r="E37">
        <v>30</v>
      </c>
      <c r="F37">
        <v>30</v>
      </c>
      <c r="G37">
        <v>2</v>
      </c>
      <c r="H37">
        <v>90.12</v>
      </c>
      <c r="I37">
        <v>98.7</v>
      </c>
    </row>
    <row r="38" spans="1:9" x14ac:dyDescent="0.2">
      <c r="A38" t="s">
        <v>104</v>
      </c>
      <c r="B38">
        <v>265</v>
      </c>
      <c r="C38">
        <v>4</v>
      </c>
      <c r="D38">
        <v>3</v>
      </c>
      <c r="E38">
        <v>15</v>
      </c>
      <c r="F38">
        <v>30</v>
      </c>
      <c r="G38">
        <v>2</v>
      </c>
      <c r="H38">
        <v>90.12</v>
      </c>
      <c r="I38">
        <v>98.7</v>
      </c>
    </row>
    <row r="39" spans="1:9" x14ac:dyDescent="0.2">
      <c r="A39" t="s">
        <v>106</v>
      </c>
      <c r="B39">
        <v>265</v>
      </c>
      <c r="C39">
        <v>4</v>
      </c>
      <c r="D39">
        <v>3</v>
      </c>
      <c r="E39">
        <v>30</v>
      </c>
      <c r="F39">
        <v>30</v>
      </c>
      <c r="G39">
        <v>2</v>
      </c>
      <c r="H39">
        <v>90.12</v>
      </c>
      <c r="I39">
        <v>98.7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228"/>
  <sheetViews>
    <sheetView topLeftCell="Z1" workbookViewId="0">
      <selection activeCell="K179" sqref="K179"/>
    </sheetView>
  </sheetViews>
  <sheetFormatPr baseColWidth="10" defaultRowHeight="16" x14ac:dyDescent="0.2"/>
  <cols>
    <col min="2" max="2" width="23.5" bestFit="1" customWidth="1"/>
    <col min="3" max="3" width="12.6640625" bestFit="1" customWidth="1"/>
    <col min="4" max="4" width="18" bestFit="1" customWidth="1"/>
    <col min="5" max="5" width="13.6640625" bestFit="1" customWidth="1"/>
    <col min="6" max="6" width="13.1640625" bestFit="1" customWidth="1"/>
    <col min="9" max="9" width="28" bestFit="1" customWidth="1"/>
  </cols>
  <sheetData>
    <row r="1" spans="1:2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27</v>
      </c>
      <c r="K1" t="s">
        <v>28</v>
      </c>
      <c r="L1" t="s">
        <v>29</v>
      </c>
      <c r="M1" t="s">
        <v>17</v>
      </c>
      <c r="N1" t="s">
        <v>18</v>
      </c>
      <c r="O1" t="s">
        <v>19</v>
      </c>
      <c r="P1" t="s">
        <v>20</v>
      </c>
      <c r="Q1" t="s">
        <v>59</v>
      </c>
      <c r="R1" t="s">
        <v>21</v>
      </c>
      <c r="S1" t="s">
        <v>22</v>
      </c>
      <c r="T1" t="s">
        <v>23</v>
      </c>
      <c r="U1" t="s">
        <v>26</v>
      </c>
      <c r="V1" t="s">
        <v>60</v>
      </c>
      <c r="W1" t="s">
        <v>24</v>
      </c>
      <c r="X1" t="s">
        <v>25</v>
      </c>
    </row>
    <row r="2" spans="1:24" x14ac:dyDescent="0.2">
      <c r="A2">
        <v>265</v>
      </c>
      <c r="B2">
        <v>10</v>
      </c>
      <c r="C2">
        <v>1</v>
      </c>
      <c r="D2">
        <v>1</v>
      </c>
      <c r="E2">
        <v>15</v>
      </c>
      <c r="F2">
        <v>10</v>
      </c>
      <c r="G2">
        <v>45.06</v>
      </c>
      <c r="H2">
        <v>49.35</v>
      </c>
      <c r="I2">
        <v>0.3</v>
      </c>
      <c r="J2">
        <v>233027</v>
      </c>
      <c r="K2">
        <v>116922</v>
      </c>
      <c r="L2">
        <f>SUM(J2:K2)</f>
        <v>349949</v>
      </c>
      <c r="M2">
        <v>32013291.439649198</v>
      </c>
      <c r="N2">
        <v>13669087.935521601</v>
      </c>
      <c r="O2">
        <v>-18344203.504127599</v>
      </c>
      <c r="P2">
        <v>1929535.4806673899</v>
      </c>
      <c r="Q2">
        <f>P2/E2</f>
        <v>128635.69871115933</v>
      </c>
      <c r="R2">
        <v>0</v>
      </c>
      <c r="S2">
        <v>2854300.44741912</v>
      </c>
      <c r="T2">
        <v>3303475.8399999901</v>
      </c>
      <c r="U2">
        <f>S2-T2</f>
        <v>-449175.39258087007</v>
      </c>
      <c r="V2">
        <f>U2/F2</f>
        <v>-44917.53925808701</v>
      </c>
      <c r="W2">
        <v>29</v>
      </c>
      <c r="X2">
        <v>242</v>
      </c>
    </row>
    <row r="3" spans="1:24" x14ac:dyDescent="0.2">
      <c r="A3">
        <v>265</v>
      </c>
      <c r="B3">
        <v>10</v>
      </c>
      <c r="C3">
        <v>1</v>
      </c>
      <c r="D3">
        <v>1</v>
      </c>
      <c r="E3">
        <v>15</v>
      </c>
      <c r="F3">
        <v>10</v>
      </c>
      <c r="G3">
        <v>90.12</v>
      </c>
      <c r="H3">
        <v>98.7</v>
      </c>
      <c r="I3">
        <v>0.3</v>
      </c>
      <c r="J3">
        <v>233093</v>
      </c>
      <c r="K3">
        <v>116761</v>
      </c>
      <c r="L3">
        <f t="shared" ref="L3:L33" si="0">SUM(J3:K3)</f>
        <v>349854</v>
      </c>
      <c r="M3">
        <v>32158330.651666999</v>
      </c>
      <c r="N3">
        <v>24334071.243900001</v>
      </c>
      <c r="O3">
        <v>-7824259.4077669401</v>
      </c>
      <c r="P3">
        <v>2059643.6396972199</v>
      </c>
      <c r="Q3">
        <f t="shared" ref="Q3:Q33" si="1">P3/E3</f>
        <v>137309.57597981466</v>
      </c>
      <c r="R3">
        <v>0</v>
      </c>
      <c r="S3">
        <v>5708600.89483824</v>
      </c>
      <c r="T3">
        <v>3417388.79999999</v>
      </c>
      <c r="U3">
        <f t="shared" ref="U3:U33" si="2">S3-T3</f>
        <v>2291212.09483825</v>
      </c>
      <c r="V3">
        <f t="shared" ref="V3:V33" si="3">U3/F3</f>
        <v>229121.20948382499</v>
      </c>
      <c r="W3">
        <v>30</v>
      </c>
      <c r="X3">
        <v>242</v>
      </c>
    </row>
    <row r="4" spans="1:24" x14ac:dyDescent="0.2">
      <c r="A4">
        <v>265</v>
      </c>
      <c r="B4">
        <v>10</v>
      </c>
      <c r="C4">
        <v>1</v>
      </c>
      <c r="D4">
        <v>1</v>
      </c>
      <c r="E4">
        <v>30</v>
      </c>
      <c r="F4">
        <v>10</v>
      </c>
      <c r="G4">
        <v>45.06</v>
      </c>
      <c r="H4">
        <v>49.35</v>
      </c>
      <c r="I4">
        <v>0.3</v>
      </c>
      <c r="J4">
        <v>230505</v>
      </c>
      <c r="K4">
        <v>111447</v>
      </c>
      <c r="L4">
        <f t="shared" si="0"/>
        <v>341952</v>
      </c>
      <c r="M4">
        <v>36017986.831419297</v>
      </c>
      <c r="N4">
        <v>18617268.7772009</v>
      </c>
      <c r="O4">
        <v>-17400718.0542183</v>
      </c>
      <c r="P4">
        <v>1891800.60099817</v>
      </c>
      <c r="Q4">
        <f t="shared" si="1"/>
        <v>63060.020033272333</v>
      </c>
      <c r="R4">
        <v>58709.1250899999</v>
      </c>
      <c r="S4">
        <v>5276152.1540186601</v>
      </c>
      <c r="T4">
        <v>3303475.8399999901</v>
      </c>
      <c r="U4">
        <f t="shared" si="2"/>
        <v>1972676.31401867</v>
      </c>
      <c r="V4">
        <f t="shared" si="3"/>
        <v>197267.63140186699</v>
      </c>
      <c r="W4">
        <v>29</v>
      </c>
      <c r="X4">
        <v>57</v>
      </c>
    </row>
    <row r="5" spans="1:24" x14ac:dyDescent="0.2">
      <c r="A5">
        <v>265</v>
      </c>
      <c r="B5">
        <v>10</v>
      </c>
      <c r="C5">
        <v>1</v>
      </c>
      <c r="D5">
        <v>1</v>
      </c>
      <c r="E5">
        <v>30</v>
      </c>
      <c r="F5">
        <v>10</v>
      </c>
      <c r="G5">
        <v>90.12</v>
      </c>
      <c r="H5">
        <v>98.7</v>
      </c>
      <c r="I5">
        <v>0.3</v>
      </c>
      <c r="J5">
        <v>230671</v>
      </c>
      <c r="K5">
        <v>111431</v>
      </c>
      <c r="L5">
        <f t="shared" si="0"/>
        <v>342102</v>
      </c>
      <c r="M5">
        <v>35968086.221370302</v>
      </c>
      <c r="N5">
        <v>34552204.271637604</v>
      </c>
      <c r="O5">
        <v>-1415881.9497326899</v>
      </c>
      <c r="P5">
        <v>2204576.2840889199</v>
      </c>
      <c r="Q5">
        <f t="shared" si="1"/>
        <v>73485.876136297331</v>
      </c>
      <c r="R5">
        <v>58709.1250899999</v>
      </c>
      <c r="S5">
        <v>10552304.3080373</v>
      </c>
      <c r="T5">
        <v>3417388.79999999</v>
      </c>
      <c r="U5">
        <f t="shared" si="2"/>
        <v>7134915.5080373101</v>
      </c>
      <c r="V5">
        <f t="shared" si="3"/>
        <v>713491.55080373096</v>
      </c>
      <c r="W5">
        <v>30</v>
      </c>
      <c r="X5">
        <v>57</v>
      </c>
    </row>
    <row r="6" spans="1:24" x14ac:dyDescent="0.2">
      <c r="A6">
        <v>265</v>
      </c>
      <c r="B6">
        <v>10</v>
      </c>
      <c r="C6">
        <v>1</v>
      </c>
      <c r="D6">
        <v>3</v>
      </c>
      <c r="E6">
        <v>15</v>
      </c>
      <c r="F6">
        <v>10</v>
      </c>
      <c r="G6">
        <v>45.06</v>
      </c>
      <c r="H6">
        <v>49.35</v>
      </c>
      <c r="I6">
        <v>0.3</v>
      </c>
      <c r="J6">
        <v>232202</v>
      </c>
      <c r="K6">
        <v>117211</v>
      </c>
      <c r="L6">
        <f t="shared" si="0"/>
        <v>349413</v>
      </c>
      <c r="M6">
        <v>32261388.9861346</v>
      </c>
      <c r="N6">
        <v>14280750.159051601</v>
      </c>
      <c r="O6">
        <v>-17980638.827082999</v>
      </c>
      <c r="P6">
        <v>2183313.2873257101</v>
      </c>
      <c r="Q6">
        <f t="shared" si="1"/>
        <v>145554.21915504735</v>
      </c>
      <c r="R6">
        <v>0</v>
      </c>
      <c r="S6">
        <v>3541708.8077705898</v>
      </c>
      <c r="T6">
        <v>3303475.8399999901</v>
      </c>
      <c r="U6">
        <f t="shared" si="2"/>
        <v>238232.96777059976</v>
      </c>
      <c r="V6">
        <f t="shared" si="3"/>
        <v>23823.296777059975</v>
      </c>
      <c r="W6">
        <v>29</v>
      </c>
      <c r="X6">
        <v>224</v>
      </c>
    </row>
    <row r="7" spans="1:24" x14ac:dyDescent="0.2">
      <c r="A7">
        <v>265</v>
      </c>
      <c r="B7">
        <v>10</v>
      </c>
      <c r="C7">
        <v>1</v>
      </c>
      <c r="D7">
        <v>3</v>
      </c>
      <c r="E7">
        <v>15</v>
      </c>
      <c r="F7">
        <v>10</v>
      </c>
      <c r="G7">
        <v>90.12</v>
      </c>
      <c r="H7">
        <v>98.7</v>
      </c>
      <c r="I7">
        <v>0.3</v>
      </c>
      <c r="J7">
        <v>232147</v>
      </c>
      <c r="K7">
        <v>117210</v>
      </c>
      <c r="L7">
        <f t="shared" si="0"/>
        <v>349357</v>
      </c>
      <c r="M7">
        <v>32270993.364936799</v>
      </c>
      <c r="N7">
        <v>25574946.229021698</v>
      </c>
      <c r="O7">
        <v>-6696047.13591504</v>
      </c>
      <c r="P7">
        <v>2179119.7783907098</v>
      </c>
      <c r="Q7">
        <f t="shared" si="1"/>
        <v>145274.651892714</v>
      </c>
      <c r="R7">
        <v>0</v>
      </c>
      <c r="S7">
        <v>7083417.6155411899</v>
      </c>
      <c r="T7">
        <v>3417388.79999999</v>
      </c>
      <c r="U7">
        <f t="shared" si="2"/>
        <v>3666028.8155411999</v>
      </c>
      <c r="V7">
        <f t="shared" si="3"/>
        <v>366602.88155411999</v>
      </c>
      <c r="W7">
        <v>30</v>
      </c>
      <c r="X7">
        <v>224</v>
      </c>
    </row>
    <row r="8" spans="1:24" x14ac:dyDescent="0.2">
      <c r="A8">
        <v>265</v>
      </c>
      <c r="B8">
        <v>10</v>
      </c>
      <c r="C8">
        <v>1</v>
      </c>
      <c r="D8">
        <v>3</v>
      </c>
      <c r="E8">
        <v>30</v>
      </c>
      <c r="F8">
        <v>10</v>
      </c>
      <c r="G8">
        <v>45.06</v>
      </c>
      <c r="H8">
        <v>49.35</v>
      </c>
      <c r="I8">
        <v>0.3</v>
      </c>
      <c r="J8">
        <v>230508</v>
      </c>
      <c r="K8">
        <v>108966</v>
      </c>
      <c r="L8">
        <f t="shared" si="0"/>
        <v>339474</v>
      </c>
      <c r="M8">
        <v>35208089.766689397</v>
      </c>
      <c r="N8">
        <v>17274192.549144398</v>
      </c>
      <c r="O8">
        <v>-17933897.217544898</v>
      </c>
      <c r="P8">
        <v>2749387.3966538599</v>
      </c>
      <c r="Q8">
        <f t="shared" si="1"/>
        <v>91646.246555128659</v>
      </c>
      <c r="R8">
        <v>58709.125090000001</v>
      </c>
      <c r="S8">
        <v>5555419.1405721698</v>
      </c>
      <c r="T8">
        <v>3303475.8399999901</v>
      </c>
      <c r="U8">
        <f t="shared" si="2"/>
        <v>2251943.3005721797</v>
      </c>
      <c r="V8">
        <f t="shared" si="3"/>
        <v>225194.33005721797</v>
      </c>
      <c r="W8">
        <v>29</v>
      </c>
      <c r="X8">
        <v>89</v>
      </c>
    </row>
    <row r="9" spans="1:24" x14ac:dyDescent="0.2">
      <c r="A9">
        <v>265</v>
      </c>
      <c r="B9">
        <v>10</v>
      </c>
      <c r="C9">
        <v>1</v>
      </c>
      <c r="D9">
        <v>3</v>
      </c>
      <c r="E9">
        <v>30</v>
      </c>
      <c r="F9">
        <v>10</v>
      </c>
      <c r="G9">
        <v>90.12</v>
      </c>
      <c r="H9">
        <v>98.7</v>
      </c>
      <c r="I9">
        <v>0.3</v>
      </c>
      <c r="J9">
        <v>230425</v>
      </c>
      <c r="K9">
        <v>108962</v>
      </c>
      <c r="L9">
        <f t="shared" si="0"/>
        <v>339387</v>
      </c>
      <c r="M9">
        <v>35181414.376074404</v>
      </c>
      <c r="N9">
        <v>31751240.718002301</v>
      </c>
      <c r="O9">
        <v>-3430173.6580720502</v>
      </c>
      <c r="P9">
        <v>3008687.7412327202</v>
      </c>
      <c r="Q9">
        <f t="shared" si="1"/>
        <v>100289.59137442401</v>
      </c>
      <c r="R9">
        <v>58709.125090000001</v>
      </c>
      <c r="S9">
        <v>11110838.2811443</v>
      </c>
      <c r="T9">
        <v>3417388.79999999</v>
      </c>
      <c r="U9">
        <f t="shared" si="2"/>
        <v>7693449.4811443109</v>
      </c>
      <c r="V9">
        <f t="shared" si="3"/>
        <v>769344.94811443111</v>
      </c>
      <c r="W9">
        <v>30</v>
      </c>
      <c r="X9">
        <v>91</v>
      </c>
    </row>
    <row r="10" spans="1:24" x14ac:dyDescent="0.2">
      <c r="A10">
        <v>265</v>
      </c>
      <c r="B10">
        <v>10</v>
      </c>
      <c r="C10">
        <v>4</v>
      </c>
      <c r="D10">
        <v>1</v>
      </c>
      <c r="E10">
        <v>15</v>
      </c>
      <c r="F10">
        <v>10</v>
      </c>
      <c r="G10">
        <v>45.06</v>
      </c>
      <c r="H10">
        <v>49.35</v>
      </c>
      <c r="I10">
        <v>0.3</v>
      </c>
      <c r="J10">
        <v>232684</v>
      </c>
      <c r="K10">
        <v>116330</v>
      </c>
      <c r="L10">
        <f t="shared" si="0"/>
        <v>349014</v>
      </c>
      <c r="M10">
        <v>33502289.924249001</v>
      </c>
      <c r="N10">
        <v>15027102.4151637</v>
      </c>
      <c r="O10">
        <v>-18475187.509085301</v>
      </c>
      <c r="P10">
        <v>2393621.50108886</v>
      </c>
      <c r="Q10">
        <f t="shared" si="1"/>
        <v>159574.76673925732</v>
      </c>
      <c r="R10">
        <v>0</v>
      </c>
      <c r="S10">
        <v>3739077.3759767199</v>
      </c>
      <c r="T10">
        <v>3303475.8399999901</v>
      </c>
      <c r="U10">
        <f t="shared" si="2"/>
        <v>435601.53597672982</v>
      </c>
      <c r="V10">
        <f t="shared" si="3"/>
        <v>43560.153597672979</v>
      </c>
      <c r="W10">
        <v>29</v>
      </c>
      <c r="X10">
        <v>250</v>
      </c>
    </row>
    <row r="11" spans="1:24" x14ac:dyDescent="0.2">
      <c r="A11">
        <v>265</v>
      </c>
      <c r="B11">
        <v>10</v>
      </c>
      <c r="C11">
        <v>4</v>
      </c>
      <c r="D11">
        <v>1</v>
      </c>
      <c r="E11">
        <v>15</v>
      </c>
      <c r="F11">
        <v>10</v>
      </c>
      <c r="G11">
        <v>90.12</v>
      </c>
      <c r="H11">
        <v>98.7</v>
      </c>
      <c r="I11">
        <v>0.3</v>
      </c>
      <c r="J11">
        <v>232916</v>
      </c>
      <c r="K11">
        <v>116280</v>
      </c>
      <c r="L11">
        <f t="shared" si="0"/>
        <v>349196</v>
      </c>
      <c r="M11">
        <v>33580032.230374299</v>
      </c>
      <c r="N11">
        <v>27254184.135608699</v>
      </c>
      <c r="O11">
        <v>-6325848.0947655402</v>
      </c>
      <c r="P11">
        <v>2393621.50108886</v>
      </c>
      <c r="Q11">
        <f t="shared" si="1"/>
        <v>159574.76673925732</v>
      </c>
      <c r="R11">
        <v>0</v>
      </c>
      <c r="S11">
        <v>7478154.75195345</v>
      </c>
      <c r="T11">
        <v>3417388.79999999</v>
      </c>
      <c r="U11">
        <f t="shared" si="2"/>
        <v>4060765.95195346</v>
      </c>
      <c r="V11">
        <f t="shared" si="3"/>
        <v>406076.59519534599</v>
      </c>
      <c r="W11">
        <v>30</v>
      </c>
      <c r="X11">
        <v>250</v>
      </c>
    </row>
    <row r="12" spans="1:24" x14ac:dyDescent="0.2">
      <c r="A12">
        <v>265</v>
      </c>
      <c r="B12">
        <v>10</v>
      </c>
      <c r="C12">
        <v>4</v>
      </c>
      <c r="D12">
        <v>1</v>
      </c>
      <c r="E12">
        <v>30</v>
      </c>
      <c r="F12">
        <v>10</v>
      </c>
      <c r="G12">
        <v>45.06</v>
      </c>
      <c r="H12">
        <v>49.35</v>
      </c>
      <c r="I12">
        <v>0.3</v>
      </c>
      <c r="J12">
        <v>235124</v>
      </c>
      <c r="K12">
        <v>116581</v>
      </c>
      <c r="L12">
        <f t="shared" si="0"/>
        <v>351705</v>
      </c>
      <c r="M12">
        <v>38035410.462154403</v>
      </c>
      <c r="N12">
        <v>18188488.7728904</v>
      </c>
      <c r="O12">
        <v>-19846921.689263899</v>
      </c>
      <c r="P12">
        <v>2580610.77446971</v>
      </c>
      <c r="Q12">
        <f t="shared" si="1"/>
        <v>86020.359148990334</v>
      </c>
      <c r="R12">
        <v>0</v>
      </c>
      <c r="S12">
        <v>5523068.9465412097</v>
      </c>
      <c r="T12">
        <v>3189562.8799999901</v>
      </c>
      <c r="U12">
        <f t="shared" si="2"/>
        <v>2333506.0665412196</v>
      </c>
      <c r="V12">
        <f t="shared" si="3"/>
        <v>233350.60665412195</v>
      </c>
      <c r="W12">
        <v>28</v>
      </c>
      <c r="X12">
        <v>64</v>
      </c>
    </row>
    <row r="13" spans="1:24" x14ac:dyDescent="0.2">
      <c r="A13">
        <v>265</v>
      </c>
      <c r="B13">
        <v>10</v>
      </c>
      <c r="C13">
        <v>4</v>
      </c>
      <c r="D13">
        <v>1</v>
      </c>
      <c r="E13">
        <v>30</v>
      </c>
      <c r="F13">
        <v>10</v>
      </c>
      <c r="G13">
        <v>90.12</v>
      </c>
      <c r="H13">
        <v>98.7</v>
      </c>
      <c r="I13">
        <v>0.3</v>
      </c>
      <c r="J13">
        <v>235202</v>
      </c>
      <c r="K13">
        <v>116550</v>
      </c>
      <c r="L13">
        <f t="shared" si="0"/>
        <v>351752</v>
      </c>
      <c r="M13">
        <v>38101942.795548201</v>
      </c>
      <c r="N13">
        <v>33820239.621598698</v>
      </c>
      <c r="O13">
        <v>-4281703.1739495499</v>
      </c>
      <c r="P13">
        <v>2738977.7101974199</v>
      </c>
      <c r="Q13">
        <f t="shared" si="1"/>
        <v>91299.257006580665</v>
      </c>
      <c r="R13">
        <v>0</v>
      </c>
      <c r="S13">
        <v>11046137.893082401</v>
      </c>
      <c r="T13">
        <v>3417388.79999999</v>
      </c>
      <c r="U13">
        <f t="shared" si="2"/>
        <v>7628749.0930824112</v>
      </c>
      <c r="V13">
        <f t="shared" si="3"/>
        <v>762874.9093082411</v>
      </c>
      <c r="W13">
        <v>30</v>
      </c>
      <c r="X13">
        <v>64</v>
      </c>
    </row>
    <row r="14" spans="1:24" x14ac:dyDescent="0.2">
      <c r="A14">
        <v>265</v>
      </c>
      <c r="B14">
        <v>10</v>
      </c>
      <c r="C14">
        <v>4</v>
      </c>
      <c r="D14">
        <v>3</v>
      </c>
      <c r="E14">
        <v>15</v>
      </c>
      <c r="F14">
        <v>10</v>
      </c>
      <c r="G14">
        <v>45.06</v>
      </c>
      <c r="H14">
        <v>49.35</v>
      </c>
      <c r="I14">
        <v>0.3</v>
      </c>
      <c r="J14">
        <v>234120</v>
      </c>
      <c r="K14">
        <v>116241</v>
      </c>
      <c r="L14">
        <f t="shared" si="0"/>
        <v>350361</v>
      </c>
      <c r="M14">
        <v>33621428.798318103</v>
      </c>
      <c r="N14">
        <v>15396715.5530074</v>
      </c>
      <c r="O14">
        <v>-18224713.245310701</v>
      </c>
      <c r="P14">
        <v>2531026.7322946098</v>
      </c>
      <c r="Q14">
        <f t="shared" si="1"/>
        <v>168735.11548630733</v>
      </c>
      <c r="R14">
        <v>0</v>
      </c>
      <c r="S14">
        <v>3324545.1185254999</v>
      </c>
      <c r="T14">
        <v>3189562.8799999901</v>
      </c>
      <c r="U14">
        <f t="shared" si="2"/>
        <v>134982.23852550983</v>
      </c>
      <c r="V14">
        <f t="shared" si="3"/>
        <v>13498.223852550984</v>
      </c>
      <c r="W14">
        <v>28</v>
      </c>
      <c r="X14">
        <v>195</v>
      </c>
    </row>
    <row r="15" spans="1:24" x14ac:dyDescent="0.2">
      <c r="A15">
        <v>265</v>
      </c>
      <c r="B15">
        <v>10</v>
      </c>
      <c r="C15">
        <v>4</v>
      </c>
      <c r="D15">
        <v>3</v>
      </c>
      <c r="E15">
        <v>15</v>
      </c>
      <c r="F15">
        <v>10</v>
      </c>
      <c r="G15">
        <v>90.12</v>
      </c>
      <c r="H15">
        <v>98.7</v>
      </c>
      <c r="I15">
        <v>0.3</v>
      </c>
      <c r="J15">
        <v>234251</v>
      </c>
      <c r="K15">
        <v>116296</v>
      </c>
      <c r="L15">
        <f t="shared" si="0"/>
        <v>350547</v>
      </c>
      <c r="M15">
        <v>33635657.664458998</v>
      </c>
      <c r="N15">
        <v>27922423.7531044</v>
      </c>
      <c r="O15">
        <v>-5713233.9113545902</v>
      </c>
      <c r="P15">
        <v>2594450.7081585899</v>
      </c>
      <c r="Q15">
        <f t="shared" si="1"/>
        <v>172963.38054390598</v>
      </c>
      <c r="R15">
        <v>0</v>
      </c>
      <c r="S15">
        <v>6649090.2370510101</v>
      </c>
      <c r="T15">
        <v>3417388.79999999</v>
      </c>
      <c r="U15">
        <f t="shared" si="2"/>
        <v>3231701.4370510201</v>
      </c>
      <c r="V15">
        <f t="shared" si="3"/>
        <v>323170.14370510203</v>
      </c>
      <c r="W15">
        <v>30</v>
      </c>
      <c r="X15">
        <v>202</v>
      </c>
    </row>
    <row r="16" spans="1:24" x14ac:dyDescent="0.2">
      <c r="A16">
        <v>265</v>
      </c>
      <c r="B16">
        <v>10</v>
      </c>
      <c r="C16">
        <v>4</v>
      </c>
      <c r="D16">
        <v>3</v>
      </c>
      <c r="E16">
        <v>30</v>
      </c>
      <c r="F16">
        <v>10</v>
      </c>
      <c r="G16">
        <v>45.06</v>
      </c>
      <c r="H16">
        <v>49.35</v>
      </c>
      <c r="I16">
        <v>0.3</v>
      </c>
      <c r="J16">
        <v>228801</v>
      </c>
      <c r="K16">
        <v>108583</v>
      </c>
      <c r="L16">
        <f t="shared" si="0"/>
        <v>337384</v>
      </c>
      <c r="M16">
        <v>35753828.272347897</v>
      </c>
      <c r="N16">
        <v>20289222.3914482</v>
      </c>
      <c r="O16">
        <v>-15464605.880899699</v>
      </c>
      <c r="P16">
        <v>2576291.23343314</v>
      </c>
      <c r="Q16">
        <f t="shared" si="1"/>
        <v>85876.374447771334</v>
      </c>
      <c r="R16">
        <v>8387.0178699999997</v>
      </c>
      <c r="S16">
        <v>5562969.6226570401</v>
      </c>
      <c r="T16">
        <v>3417388.79999999</v>
      </c>
      <c r="U16">
        <f t="shared" si="2"/>
        <v>2145580.8226570501</v>
      </c>
      <c r="V16">
        <f t="shared" si="3"/>
        <v>214558.08226570502</v>
      </c>
      <c r="W16">
        <v>30</v>
      </c>
      <c r="X16">
        <v>70</v>
      </c>
    </row>
    <row r="17" spans="1:24" x14ac:dyDescent="0.2">
      <c r="A17">
        <v>265</v>
      </c>
      <c r="B17">
        <v>10</v>
      </c>
      <c r="C17">
        <v>4</v>
      </c>
      <c r="D17">
        <v>3</v>
      </c>
      <c r="E17">
        <v>30</v>
      </c>
      <c r="F17">
        <v>10</v>
      </c>
      <c r="G17">
        <v>90.12</v>
      </c>
      <c r="H17">
        <v>98.7</v>
      </c>
      <c r="I17">
        <v>0.3</v>
      </c>
      <c r="J17">
        <v>228871</v>
      </c>
      <c r="K17">
        <v>108558</v>
      </c>
      <c r="L17">
        <f t="shared" si="0"/>
        <v>337429</v>
      </c>
      <c r="M17">
        <v>35679512.108589202</v>
      </c>
      <c r="N17">
        <v>36677953.627322502</v>
      </c>
      <c r="O17">
        <v>998441.51873332204</v>
      </c>
      <c r="P17">
        <v>2868944.0583430799</v>
      </c>
      <c r="Q17">
        <f t="shared" si="1"/>
        <v>95631.468611435994</v>
      </c>
      <c r="R17">
        <v>8387.0178699999997</v>
      </c>
      <c r="S17">
        <v>11125939.245314</v>
      </c>
      <c r="T17">
        <v>3417388.79999999</v>
      </c>
      <c r="U17">
        <f t="shared" si="2"/>
        <v>7708550.4453140106</v>
      </c>
      <c r="V17">
        <f t="shared" si="3"/>
        <v>770855.04453140101</v>
      </c>
      <c r="W17">
        <v>30</v>
      </c>
      <c r="X17">
        <v>77</v>
      </c>
    </row>
    <row r="18" spans="1:24" x14ac:dyDescent="0.2">
      <c r="A18">
        <v>265</v>
      </c>
      <c r="B18">
        <v>10</v>
      </c>
      <c r="C18">
        <v>1</v>
      </c>
      <c r="D18">
        <v>1</v>
      </c>
      <c r="E18">
        <v>15</v>
      </c>
      <c r="F18">
        <v>30</v>
      </c>
      <c r="G18">
        <v>45.06</v>
      </c>
      <c r="H18">
        <v>49.35</v>
      </c>
      <c r="I18">
        <v>0.3</v>
      </c>
      <c r="J18">
        <v>235900</v>
      </c>
      <c r="K18">
        <v>116393</v>
      </c>
      <c r="L18">
        <f t="shared" si="0"/>
        <v>352293</v>
      </c>
      <c r="M18">
        <v>44440757.1488363</v>
      </c>
      <c r="N18">
        <v>34444808.895708598</v>
      </c>
      <c r="O18">
        <v>-9995948.2531276699</v>
      </c>
      <c r="P18">
        <v>2462721.96832792</v>
      </c>
      <c r="Q18">
        <f t="shared" si="1"/>
        <v>164181.46455519466</v>
      </c>
      <c r="R18">
        <v>0</v>
      </c>
      <c r="S18">
        <v>5860014.4728399199</v>
      </c>
      <c r="T18">
        <v>9796514.5600000005</v>
      </c>
      <c r="U18">
        <f t="shared" si="2"/>
        <v>-3936500.0871600807</v>
      </c>
      <c r="V18">
        <f t="shared" si="3"/>
        <v>-131216.66957200269</v>
      </c>
      <c r="W18">
        <v>86</v>
      </c>
      <c r="X18">
        <v>882</v>
      </c>
    </row>
    <row r="19" spans="1:24" x14ac:dyDescent="0.2">
      <c r="A19">
        <v>265</v>
      </c>
      <c r="B19">
        <v>10</v>
      </c>
      <c r="C19">
        <v>1</v>
      </c>
      <c r="D19">
        <v>1</v>
      </c>
      <c r="E19">
        <v>15</v>
      </c>
      <c r="F19">
        <v>30</v>
      </c>
      <c r="G19">
        <v>90.12</v>
      </c>
      <c r="H19">
        <v>98.7</v>
      </c>
      <c r="I19">
        <v>0.3</v>
      </c>
      <c r="J19">
        <v>236996</v>
      </c>
      <c r="K19">
        <v>116400</v>
      </c>
      <c r="L19">
        <f t="shared" si="0"/>
        <v>353396</v>
      </c>
      <c r="M19">
        <v>44319108.751037501</v>
      </c>
      <c r="N19">
        <v>60406314.299913697</v>
      </c>
      <c r="O19">
        <v>16087205.5488762</v>
      </c>
      <c r="P19">
        <v>2430123.07462984</v>
      </c>
      <c r="Q19">
        <f t="shared" si="1"/>
        <v>162008.20497532267</v>
      </c>
      <c r="R19">
        <v>0</v>
      </c>
      <c r="S19">
        <v>12197497.5760267</v>
      </c>
      <c r="T19">
        <v>10252166.4</v>
      </c>
      <c r="U19">
        <f t="shared" si="2"/>
        <v>1945331.1760267001</v>
      </c>
      <c r="V19">
        <f t="shared" si="3"/>
        <v>64844.372534223337</v>
      </c>
      <c r="W19">
        <v>90</v>
      </c>
      <c r="X19">
        <v>887</v>
      </c>
    </row>
    <row r="20" spans="1:24" x14ac:dyDescent="0.2">
      <c r="A20">
        <v>265</v>
      </c>
      <c r="B20">
        <v>10</v>
      </c>
      <c r="C20">
        <v>1</v>
      </c>
      <c r="D20">
        <v>1</v>
      </c>
      <c r="E20">
        <v>30</v>
      </c>
      <c r="F20">
        <v>30</v>
      </c>
      <c r="G20">
        <v>45.06</v>
      </c>
      <c r="H20">
        <v>49.35</v>
      </c>
      <c r="I20">
        <v>0.3</v>
      </c>
      <c r="J20">
        <v>237872</v>
      </c>
      <c r="K20">
        <v>116866</v>
      </c>
      <c r="L20">
        <f t="shared" si="0"/>
        <v>354738</v>
      </c>
      <c r="M20">
        <v>58553148.090120301</v>
      </c>
      <c r="N20">
        <v>37281556.479362503</v>
      </c>
      <c r="O20">
        <v>-21271591.610757701</v>
      </c>
      <c r="P20">
        <v>2746097.4743952202</v>
      </c>
      <c r="Q20">
        <f t="shared" si="1"/>
        <v>91536.582479840668</v>
      </c>
      <c r="R20">
        <v>0</v>
      </c>
      <c r="S20">
        <v>6890859.1300853696</v>
      </c>
      <c r="T20">
        <v>9682601.5999999996</v>
      </c>
      <c r="U20">
        <f t="shared" si="2"/>
        <v>-2791742.4699146301</v>
      </c>
      <c r="V20">
        <f t="shared" si="3"/>
        <v>-93058.082330487669</v>
      </c>
      <c r="W20">
        <v>86</v>
      </c>
      <c r="X20">
        <v>805</v>
      </c>
    </row>
    <row r="21" spans="1:24" x14ac:dyDescent="0.2">
      <c r="A21">
        <v>265</v>
      </c>
      <c r="B21">
        <v>10</v>
      </c>
      <c r="C21">
        <v>1</v>
      </c>
      <c r="D21">
        <v>1</v>
      </c>
      <c r="E21">
        <v>30</v>
      </c>
      <c r="F21">
        <v>30</v>
      </c>
      <c r="G21">
        <v>90.12</v>
      </c>
      <c r="H21">
        <v>98.7</v>
      </c>
      <c r="I21">
        <v>0.3</v>
      </c>
      <c r="J21">
        <v>238054</v>
      </c>
      <c r="K21">
        <v>116794</v>
      </c>
      <c r="L21">
        <f t="shared" si="0"/>
        <v>354848</v>
      </c>
      <c r="M21">
        <v>58611864.474740699</v>
      </c>
      <c r="N21">
        <v>66441135.748124801</v>
      </c>
      <c r="O21">
        <v>7829271.27338407</v>
      </c>
      <c r="P21">
        <v>2551720.9161584899</v>
      </c>
      <c r="Q21">
        <f t="shared" si="1"/>
        <v>85057.363871949667</v>
      </c>
      <c r="R21">
        <v>0</v>
      </c>
      <c r="S21">
        <v>13380392.997028699</v>
      </c>
      <c r="T21">
        <v>10138253.439999999</v>
      </c>
      <c r="U21">
        <f t="shared" si="2"/>
        <v>3242139.5570286997</v>
      </c>
      <c r="V21">
        <f t="shared" si="3"/>
        <v>108071.31856762333</v>
      </c>
      <c r="W21">
        <v>90</v>
      </c>
      <c r="X21">
        <v>808</v>
      </c>
    </row>
    <row r="22" spans="1:24" x14ac:dyDescent="0.2">
      <c r="A22">
        <v>265</v>
      </c>
      <c r="B22">
        <v>10</v>
      </c>
      <c r="C22">
        <v>1</v>
      </c>
      <c r="D22">
        <v>3</v>
      </c>
      <c r="E22">
        <v>15</v>
      </c>
      <c r="F22">
        <v>30</v>
      </c>
      <c r="G22">
        <v>45.06</v>
      </c>
      <c r="H22">
        <v>49.35</v>
      </c>
      <c r="I22">
        <v>0.3</v>
      </c>
      <c r="J22">
        <v>235802</v>
      </c>
      <c r="K22">
        <v>116378</v>
      </c>
      <c r="L22">
        <f t="shared" si="0"/>
        <v>352180</v>
      </c>
      <c r="M22">
        <v>44997606.2187014</v>
      </c>
      <c r="N22">
        <v>36258226.497209102</v>
      </c>
      <c r="O22">
        <v>-8739379.7214922309</v>
      </c>
      <c r="P22">
        <v>2444089.6358730001</v>
      </c>
      <c r="Q22">
        <f t="shared" si="1"/>
        <v>162939.30905820001</v>
      </c>
      <c r="R22">
        <v>0</v>
      </c>
      <c r="S22">
        <v>5583320.0365047902</v>
      </c>
      <c r="T22">
        <v>9796514.5600000005</v>
      </c>
      <c r="U22">
        <f t="shared" si="2"/>
        <v>-4213194.5234952103</v>
      </c>
      <c r="V22">
        <f t="shared" si="3"/>
        <v>-140439.81744984034</v>
      </c>
      <c r="W22">
        <v>87</v>
      </c>
      <c r="X22">
        <v>831</v>
      </c>
    </row>
    <row r="23" spans="1:24" x14ac:dyDescent="0.2">
      <c r="A23">
        <v>265</v>
      </c>
      <c r="B23">
        <v>10</v>
      </c>
      <c r="C23">
        <v>1</v>
      </c>
      <c r="D23">
        <v>3</v>
      </c>
      <c r="E23">
        <v>15</v>
      </c>
      <c r="F23">
        <v>30</v>
      </c>
      <c r="G23">
        <v>90.12</v>
      </c>
      <c r="H23">
        <v>98.7</v>
      </c>
      <c r="I23">
        <v>0.3</v>
      </c>
      <c r="J23">
        <v>237187</v>
      </c>
      <c r="K23">
        <v>116558</v>
      </c>
      <c r="L23">
        <f t="shared" si="0"/>
        <v>353745</v>
      </c>
      <c r="M23">
        <v>44827668.225665703</v>
      </c>
      <c r="N23">
        <v>63918214.256502599</v>
      </c>
      <c r="O23">
        <v>19090546.030836798</v>
      </c>
      <c r="P23">
        <v>2219072.23063904</v>
      </c>
      <c r="Q23">
        <f t="shared" si="1"/>
        <v>147938.14870926933</v>
      </c>
      <c r="R23">
        <v>0</v>
      </c>
      <c r="S23">
        <v>11345372.3988533</v>
      </c>
      <c r="T23">
        <v>10252166.4</v>
      </c>
      <c r="U23">
        <f t="shared" si="2"/>
        <v>1093205.9988532998</v>
      </c>
      <c r="V23">
        <f t="shared" si="3"/>
        <v>36440.199961776656</v>
      </c>
      <c r="W23">
        <v>90</v>
      </c>
      <c r="X23">
        <v>847</v>
      </c>
    </row>
    <row r="24" spans="1:24" x14ac:dyDescent="0.2">
      <c r="A24">
        <v>265</v>
      </c>
      <c r="B24">
        <v>10</v>
      </c>
      <c r="C24">
        <v>1</v>
      </c>
      <c r="D24">
        <v>3</v>
      </c>
      <c r="E24">
        <v>30</v>
      </c>
      <c r="F24">
        <v>30</v>
      </c>
      <c r="G24">
        <v>45.06</v>
      </c>
      <c r="H24">
        <v>49.35</v>
      </c>
      <c r="I24">
        <v>0.3</v>
      </c>
      <c r="J24">
        <v>237158</v>
      </c>
      <c r="K24">
        <v>116600</v>
      </c>
      <c r="L24">
        <f t="shared" si="0"/>
        <v>353758</v>
      </c>
      <c r="M24">
        <v>58051610.443007402</v>
      </c>
      <c r="N24">
        <v>37963000.064385802</v>
      </c>
      <c r="O24">
        <v>-20088610.378621601</v>
      </c>
      <c r="P24">
        <v>4193682.7510948102</v>
      </c>
      <c r="Q24">
        <f t="shared" si="1"/>
        <v>139789.42503649366</v>
      </c>
      <c r="R24">
        <v>0</v>
      </c>
      <c r="S24">
        <v>6763097.8479180001</v>
      </c>
      <c r="T24">
        <v>9796514.5600000005</v>
      </c>
      <c r="U24">
        <f t="shared" si="2"/>
        <v>-3033416.7120820004</v>
      </c>
      <c r="V24">
        <f t="shared" si="3"/>
        <v>-101113.89040273335</v>
      </c>
      <c r="W24">
        <v>87</v>
      </c>
      <c r="X24">
        <v>754</v>
      </c>
    </row>
    <row r="25" spans="1:24" x14ac:dyDescent="0.2">
      <c r="A25">
        <v>265</v>
      </c>
      <c r="B25">
        <v>10</v>
      </c>
      <c r="C25">
        <v>1</v>
      </c>
      <c r="D25">
        <v>3</v>
      </c>
      <c r="E25">
        <v>30</v>
      </c>
      <c r="F25">
        <v>30</v>
      </c>
      <c r="G25">
        <v>90.12</v>
      </c>
      <c r="H25">
        <v>98.7</v>
      </c>
      <c r="I25">
        <v>0.3</v>
      </c>
      <c r="J25">
        <v>238752</v>
      </c>
      <c r="K25">
        <v>116347</v>
      </c>
      <c r="L25">
        <f t="shared" si="0"/>
        <v>355099</v>
      </c>
      <c r="M25">
        <v>58774761.059560299</v>
      </c>
      <c r="N25">
        <v>66776580.522116199</v>
      </c>
      <c r="O25">
        <v>8001819.4625559598</v>
      </c>
      <c r="P25">
        <v>3513480.2235858501</v>
      </c>
      <c r="Q25">
        <f t="shared" si="1"/>
        <v>117116.00745286167</v>
      </c>
      <c r="R25">
        <v>0</v>
      </c>
      <c r="S25">
        <v>12545363.3466218</v>
      </c>
      <c r="T25">
        <v>10138253.439999999</v>
      </c>
      <c r="U25">
        <f t="shared" si="2"/>
        <v>2407109.9066218007</v>
      </c>
      <c r="V25">
        <f t="shared" si="3"/>
        <v>80236.996887393354</v>
      </c>
      <c r="W25">
        <v>90</v>
      </c>
      <c r="X25">
        <v>761</v>
      </c>
    </row>
    <row r="26" spans="1:24" x14ac:dyDescent="0.2">
      <c r="A26">
        <v>265</v>
      </c>
      <c r="B26">
        <v>10</v>
      </c>
      <c r="C26">
        <v>4</v>
      </c>
      <c r="D26">
        <v>1</v>
      </c>
      <c r="E26">
        <v>15</v>
      </c>
      <c r="F26">
        <v>30</v>
      </c>
      <c r="G26">
        <v>45.06</v>
      </c>
      <c r="H26">
        <v>49.35</v>
      </c>
      <c r="I26">
        <v>0.3</v>
      </c>
      <c r="J26">
        <v>236342</v>
      </c>
      <c r="K26">
        <v>116480</v>
      </c>
      <c r="L26">
        <f t="shared" si="0"/>
        <v>352822</v>
      </c>
      <c r="M26">
        <v>44198633.007532097</v>
      </c>
      <c r="N26">
        <v>33241507.350822099</v>
      </c>
      <c r="O26">
        <v>-10957125.6567099</v>
      </c>
      <c r="P26">
        <v>1606068.2466788201</v>
      </c>
      <c r="Q26">
        <f t="shared" si="1"/>
        <v>107071.21644525467</v>
      </c>
      <c r="R26">
        <v>0</v>
      </c>
      <c r="S26">
        <v>5208207.0322256703</v>
      </c>
      <c r="T26">
        <v>9568688.6399999894</v>
      </c>
      <c r="U26">
        <f t="shared" si="2"/>
        <v>-4360481.6077743191</v>
      </c>
      <c r="V26">
        <f t="shared" si="3"/>
        <v>-145349.38692581063</v>
      </c>
      <c r="W26">
        <v>85</v>
      </c>
      <c r="X26">
        <v>914</v>
      </c>
    </row>
    <row r="27" spans="1:24" x14ac:dyDescent="0.2">
      <c r="A27">
        <v>265</v>
      </c>
      <c r="B27">
        <v>10</v>
      </c>
      <c r="C27">
        <v>4</v>
      </c>
      <c r="D27">
        <v>1</v>
      </c>
      <c r="E27">
        <v>15</v>
      </c>
      <c r="F27">
        <v>30</v>
      </c>
      <c r="G27">
        <v>90.12</v>
      </c>
      <c r="H27">
        <v>98.7</v>
      </c>
      <c r="I27">
        <v>0.3</v>
      </c>
      <c r="J27">
        <v>236800</v>
      </c>
      <c r="K27">
        <v>116898</v>
      </c>
      <c r="L27">
        <f t="shared" si="0"/>
        <v>353698</v>
      </c>
      <c r="M27">
        <v>43133139.885631099</v>
      </c>
      <c r="N27">
        <v>52009259.660008103</v>
      </c>
      <c r="O27">
        <v>8876119.7743770704</v>
      </c>
      <c r="P27">
        <v>1625535.7612687401</v>
      </c>
      <c r="Q27">
        <f t="shared" si="1"/>
        <v>108369.05075124934</v>
      </c>
      <c r="R27">
        <v>0</v>
      </c>
      <c r="S27">
        <v>8448705.5089329593</v>
      </c>
      <c r="T27">
        <v>10138253.439999999</v>
      </c>
      <c r="U27">
        <f t="shared" si="2"/>
        <v>-1689547.9310670402</v>
      </c>
      <c r="V27">
        <f t="shared" si="3"/>
        <v>-56318.264368901342</v>
      </c>
      <c r="W27">
        <v>89</v>
      </c>
      <c r="X27">
        <v>1006</v>
      </c>
    </row>
    <row r="28" spans="1:24" x14ac:dyDescent="0.2">
      <c r="A28">
        <v>265</v>
      </c>
      <c r="B28">
        <v>10</v>
      </c>
      <c r="C28">
        <v>4</v>
      </c>
      <c r="D28">
        <v>1</v>
      </c>
      <c r="E28">
        <v>30</v>
      </c>
      <c r="F28">
        <v>30</v>
      </c>
      <c r="G28">
        <v>45.06</v>
      </c>
      <c r="H28">
        <v>49.35</v>
      </c>
      <c r="I28">
        <v>0.3</v>
      </c>
      <c r="J28">
        <v>237304</v>
      </c>
      <c r="K28">
        <v>116167</v>
      </c>
      <c r="L28">
        <f t="shared" si="0"/>
        <v>353471</v>
      </c>
      <c r="M28">
        <v>59845621.974735603</v>
      </c>
      <c r="N28">
        <v>40547563.2628683</v>
      </c>
      <c r="O28">
        <v>-19298058.711867299</v>
      </c>
      <c r="P28">
        <v>4894857.9470986295</v>
      </c>
      <c r="Q28">
        <f t="shared" si="1"/>
        <v>163161.93156995432</v>
      </c>
      <c r="R28">
        <v>0</v>
      </c>
      <c r="S28">
        <v>9006970.76167983</v>
      </c>
      <c r="T28">
        <v>9682601.5999999996</v>
      </c>
      <c r="U28">
        <f t="shared" si="2"/>
        <v>-675630.8383201696</v>
      </c>
      <c r="V28">
        <f t="shared" si="3"/>
        <v>-22521.027944005655</v>
      </c>
      <c r="W28">
        <v>86</v>
      </c>
      <c r="X28">
        <v>623</v>
      </c>
    </row>
    <row r="29" spans="1:24" x14ac:dyDescent="0.2">
      <c r="A29">
        <v>265</v>
      </c>
      <c r="B29">
        <v>10</v>
      </c>
      <c r="C29">
        <v>4</v>
      </c>
      <c r="D29">
        <v>1</v>
      </c>
      <c r="E29">
        <v>30</v>
      </c>
      <c r="F29">
        <v>30</v>
      </c>
      <c r="G29">
        <v>90.12</v>
      </c>
      <c r="H29">
        <v>98.7</v>
      </c>
      <c r="I29">
        <v>0.3</v>
      </c>
      <c r="J29">
        <v>237992</v>
      </c>
      <c r="K29">
        <v>116533</v>
      </c>
      <c r="L29">
        <f t="shared" si="0"/>
        <v>354525</v>
      </c>
      <c r="M29">
        <v>57800714.602525301</v>
      </c>
      <c r="N29">
        <v>65279205.055693902</v>
      </c>
      <c r="O29">
        <v>7478490.4531686101</v>
      </c>
      <c r="P29">
        <v>1891787.8635667299</v>
      </c>
      <c r="Q29">
        <f t="shared" si="1"/>
        <v>63059.595452224334</v>
      </c>
      <c r="R29">
        <v>0</v>
      </c>
      <c r="S29">
        <v>9910339.2978468593</v>
      </c>
      <c r="T29">
        <v>10024340.48</v>
      </c>
      <c r="U29">
        <f t="shared" si="2"/>
        <v>-114001.18215314113</v>
      </c>
      <c r="V29">
        <f t="shared" si="3"/>
        <v>-3800.0394051047042</v>
      </c>
      <c r="W29">
        <v>90</v>
      </c>
      <c r="X29">
        <v>804</v>
      </c>
    </row>
    <row r="30" spans="1:24" x14ac:dyDescent="0.2">
      <c r="A30">
        <v>265</v>
      </c>
      <c r="B30">
        <v>10</v>
      </c>
      <c r="C30">
        <v>4</v>
      </c>
      <c r="D30">
        <v>3</v>
      </c>
      <c r="E30">
        <v>15</v>
      </c>
      <c r="F30">
        <v>30</v>
      </c>
      <c r="G30">
        <v>45.06</v>
      </c>
      <c r="H30">
        <v>49.35</v>
      </c>
      <c r="I30">
        <v>0.3</v>
      </c>
      <c r="J30">
        <v>235732</v>
      </c>
      <c r="K30">
        <v>116966</v>
      </c>
      <c r="L30">
        <f t="shared" si="0"/>
        <v>352698</v>
      </c>
      <c r="M30">
        <v>43443059.379594199</v>
      </c>
      <c r="N30">
        <v>29819495.686450001</v>
      </c>
      <c r="O30">
        <v>-13623563.6931441</v>
      </c>
      <c r="P30">
        <v>2432693.9040871202</v>
      </c>
      <c r="Q30">
        <f t="shared" si="1"/>
        <v>162179.59360580801</v>
      </c>
      <c r="R30">
        <v>0</v>
      </c>
      <c r="S30">
        <v>5524899.5580428503</v>
      </c>
      <c r="T30">
        <v>9568688.6399999894</v>
      </c>
      <c r="U30">
        <f t="shared" si="2"/>
        <v>-4043789.0819571391</v>
      </c>
      <c r="V30">
        <f t="shared" si="3"/>
        <v>-134792.96939857129</v>
      </c>
      <c r="W30">
        <v>85</v>
      </c>
      <c r="X30">
        <v>1032</v>
      </c>
    </row>
    <row r="31" spans="1:24" x14ac:dyDescent="0.2">
      <c r="A31">
        <v>265</v>
      </c>
      <c r="B31">
        <v>10</v>
      </c>
      <c r="C31">
        <v>4</v>
      </c>
      <c r="D31">
        <v>3</v>
      </c>
      <c r="E31">
        <v>15</v>
      </c>
      <c r="F31">
        <v>30</v>
      </c>
      <c r="G31">
        <v>90.12</v>
      </c>
      <c r="H31">
        <v>98.7</v>
      </c>
      <c r="I31">
        <v>0.3</v>
      </c>
      <c r="J31">
        <v>236638</v>
      </c>
      <c r="K31">
        <v>116218</v>
      </c>
      <c r="L31">
        <f t="shared" si="0"/>
        <v>352856</v>
      </c>
      <c r="M31">
        <v>44093599.091592498</v>
      </c>
      <c r="N31">
        <v>55296714.751731902</v>
      </c>
      <c r="O31">
        <v>11203115.6601393</v>
      </c>
      <c r="P31">
        <v>2062521.2789807301</v>
      </c>
      <c r="Q31">
        <f t="shared" si="1"/>
        <v>137501.41859871533</v>
      </c>
      <c r="R31">
        <v>0</v>
      </c>
      <c r="S31">
        <v>11557598.5557454</v>
      </c>
      <c r="T31">
        <v>10024340.48</v>
      </c>
      <c r="U31">
        <f t="shared" si="2"/>
        <v>1533258.0757454</v>
      </c>
      <c r="V31">
        <f t="shared" si="3"/>
        <v>51108.602524846669</v>
      </c>
      <c r="W31">
        <v>88</v>
      </c>
      <c r="X31">
        <v>930</v>
      </c>
    </row>
    <row r="32" spans="1:24" x14ac:dyDescent="0.2">
      <c r="A32">
        <v>265</v>
      </c>
      <c r="B32">
        <v>10</v>
      </c>
      <c r="C32">
        <v>4</v>
      </c>
      <c r="D32">
        <v>3</v>
      </c>
      <c r="E32">
        <v>30</v>
      </c>
      <c r="F32">
        <v>30</v>
      </c>
      <c r="G32">
        <v>45.06</v>
      </c>
      <c r="H32">
        <v>49.35</v>
      </c>
      <c r="I32">
        <v>0.3</v>
      </c>
      <c r="J32">
        <v>237501</v>
      </c>
      <c r="K32">
        <v>116380</v>
      </c>
      <c r="L32">
        <f t="shared" si="0"/>
        <v>353881</v>
      </c>
      <c r="M32">
        <v>58497245.573351704</v>
      </c>
      <c r="N32">
        <v>37801832.569196701</v>
      </c>
      <c r="O32">
        <v>-20695413.004154898</v>
      </c>
      <c r="P32">
        <v>3432621.2075050799</v>
      </c>
      <c r="Q32">
        <f t="shared" si="1"/>
        <v>114420.706916836</v>
      </c>
      <c r="R32">
        <v>0</v>
      </c>
      <c r="S32">
        <v>5671163.8589687198</v>
      </c>
      <c r="T32">
        <v>9682601.5999999996</v>
      </c>
      <c r="U32">
        <f t="shared" si="2"/>
        <v>-4011437.7410312798</v>
      </c>
      <c r="V32">
        <f t="shared" si="3"/>
        <v>-133714.59136770933</v>
      </c>
      <c r="W32">
        <v>87</v>
      </c>
      <c r="X32">
        <v>795</v>
      </c>
    </row>
    <row r="33" spans="1:24" x14ac:dyDescent="0.2">
      <c r="A33">
        <v>265</v>
      </c>
      <c r="B33">
        <v>10</v>
      </c>
      <c r="C33">
        <v>4</v>
      </c>
      <c r="D33">
        <v>3</v>
      </c>
      <c r="E33">
        <v>30</v>
      </c>
      <c r="F33">
        <v>30</v>
      </c>
      <c r="G33">
        <v>90.12</v>
      </c>
      <c r="H33">
        <v>98.7</v>
      </c>
      <c r="I33">
        <v>0.3</v>
      </c>
      <c r="J33">
        <v>236705</v>
      </c>
      <c r="K33">
        <v>116326</v>
      </c>
      <c r="L33">
        <f t="shared" si="0"/>
        <v>353031</v>
      </c>
      <c r="M33">
        <v>59739184.075714603</v>
      </c>
      <c r="N33">
        <v>71434641.699422106</v>
      </c>
      <c r="O33">
        <v>11695457.623707499</v>
      </c>
      <c r="P33">
        <v>4749664.0995595204</v>
      </c>
      <c r="Q33">
        <f t="shared" si="1"/>
        <v>158322.13665198401</v>
      </c>
      <c r="R33">
        <v>0</v>
      </c>
      <c r="S33">
        <v>16310583.0297658</v>
      </c>
      <c r="T33">
        <v>10138253.439999999</v>
      </c>
      <c r="U33">
        <f t="shared" si="2"/>
        <v>6172329.5897658002</v>
      </c>
      <c r="V33">
        <f t="shared" si="3"/>
        <v>205744.31965886001</v>
      </c>
      <c r="W33">
        <v>89</v>
      </c>
      <c r="X33">
        <v>725</v>
      </c>
    </row>
    <row r="35" spans="1:24" x14ac:dyDescent="0.2">
      <c r="A35" t="s">
        <v>62</v>
      </c>
    </row>
    <row r="36" spans="1:24" x14ac:dyDescent="0.2">
      <c r="A36">
        <v>1</v>
      </c>
      <c r="B36">
        <v>4</v>
      </c>
      <c r="D36" t="s">
        <v>30</v>
      </c>
    </row>
    <row r="37" spans="1:24" x14ac:dyDescent="0.2">
      <c r="A37">
        <v>233027</v>
      </c>
      <c r="B37">
        <v>232684</v>
      </c>
    </row>
    <row r="38" spans="1:24" ht="17" thickBot="1" x14ac:dyDescent="0.25">
      <c r="A38">
        <v>233093</v>
      </c>
      <c r="B38">
        <v>232916</v>
      </c>
      <c r="D38" t="s">
        <v>31</v>
      </c>
    </row>
    <row r="39" spans="1:24" x14ac:dyDescent="0.2">
      <c r="A39">
        <v>230505</v>
      </c>
      <c r="B39">
        <v>235124</v>
      </c>
      <c r="D39" s="2" t="s">
        <v>32</v>
      </c>
      <c r="E39" s="2" t="s">
        <v>33</v>
      </c>
      <c r="F39" s="2" t="s">
        <v>34</v>
      </c>
      <c r="G39" s="2" t="s">
        <v>35</v>
      </c>
      <c r="H39" s="2" t="s">
        <v>36</v>
      </c>
    </row>
    <row r="40" spans="1:24" x14ac:dyDescent="0.2">
      <c r="A40">
        <v>230671</v>
      </c>
      <c r="B40">
        <v>235202</v>
      </c>
      <c r="D40">
        <v>1</v>
      </c>
      <c r="E40">
        <v>16</v>
      </c>
      <c r="F40">
        <v>3750299</v>
      </c>
      <c r="G40">
        <v>234393.6875</v>
      </c>
      <c r="H40">
        <v>9613324.3625000007</v>
      </c>
    </row>
    <row r="41" spans="1:24" ht="17" thickBot="1" x14ac:dyDescent="0.25">
      <c r="A41">
        <v>232202</v>
      </c>
      <c r="B41">
        <v>234120</v>
      </c>
      <c r="D41" s="1">
        <v>4</v>
      </c>
      <c r="E41" s="1">
        <v>16</v>
      </c>
      <c r="F41" s="1">
        <v>3756983</v>
      </c>
      <c r="G41" s="1">
        <v>234811.4375</v>
      </c>
      <c r="H41" s="1">
        <v>7880278.6624999996</v>
      </c>
    </row>
    <row r="42" spans="1:24" x14ac:dyDescent="0.2">
      <c r="A42">
        <v>232147</v>
      </c>
      <c r="B42">
        <v>234251</v>
      </c>
    </row>
    <row r="43" spans="1:24" x14ac:dyDescent="0.2">
      <c r="A43">
        <v>230508</v>
      </c>
      <c r="B43">
        <v>228801</v>
      </c>
    </row>
    <row r="44" spans="1:24" ht="17" thickBot="1" x14ac:dyDescent="0.25">
      <c r="A44">
        <v>230425</v>
      </c>
      <c r="B44">
        <v>228871</v>
      </c>
      <c r="D44" t="s">
        <v>37</v>
      </c>
    </row>
    <row r="45" spans="1:24" x14ac:dyDescent="0.2">
      <c r="A45">
        <v>235900</v>
      </c>
      <c r="B45">
        <v>236342</v>
      </c>
      <c r="D45" s="2" t="s">
        <v>38</v>
      </c>
      <c r="E45" s="2" t="s">
        <v>39</v>
      </c>
      <c r="F45" s="2" t="s">
        <v>40</v>
      </c>
      <c r="G45" s="2" t="s">
        <v>41</v>
      </c>
      <c r="H45" s="2" t="s">
        <v>42</v>
      </c>
      <c r="I45" s="2" t="s">
        <v>43</v>
      </c>
      <c r="J45" s="2" t="s">
        <v>44</v>
      </c>
    </row>
    <row r="46" spans="1:24" x14ac:dyDescent="0.2">
      <c r="A46">
        <v>236996</v>
      </c>
      <c r="B46">
        <v>236800</v>
      </c>
      <c r="D46" t="s">
        <v>45</v>
      </c>
      <c r="E46">
        <v>1396120.5</v>
      </c>
      <c r="F46">
        <v>1</v>
      </c>
      <c r="G46">
        <v>1396120.5</v>
      </c>
      <c r="H46">
        <v>0.15961497445721307</v>
      </c>
      <c r="I46">
        <v>0.69234144560613098</v>
      </c>
      <c r="J46">
        <v>4.1708767857666915</v>
      </c>
    </row>
    <row r="47" spans="1:24" x14ac:dyDescent="0.2">
      <c r="A47">
        <v>237872</v>
      </c>
      <c r="B47">
        <v>237304</v>
      </c>
      <c r="D47" t="s">
        <v>46</v>
      </c>
      <c r="E47">
        <v>262404045.375</v>
      </c>
      <c r="F47">
        <v>30</v>
      </c>
      <c r="G47">
        <v>8746801.5124999993</v>
      </c>
    </row>
    <row r="48" spans="1:24" x14ac:dyDescent="0.2">
      <c r="A48">
        <v>238054</v>
      </c>
      <c r="B48">
        <v>237992</v>
      </c>
    </row>
    <row r="49" spans="1:20" ht="17" thickBot="1" x14ac:dyDescent="0.25">
      <c r="A49">
        <v>235802</v>
      </c>
      <c r="B49">
        <v>235732</v>
      </c>
      <c r="D49" s="1" t="s">
        <v>29</v>
      </c>
      <c r="E49" s="1">
        <v>263800165.875</v>
      </c>
      <c r="F49" s="1">
        <v>31</v>
      </c>
      <c r="G49" s="1"/>
      <c r="H49" s="1"/>
      <c r="I49" s="1"/>
      <c r="J49" s="1"/>
    </row>
    <row r="50" spans="1:20" x14ac:dyDescent="0.2">
      <c r="A50">
        <v>237187</v>
      </c>
      <c r="B50">
        <v>236638</v>
      </c>
    </row>
    <row r="51" spans="1:20" x14ac:dyDescent="0.2">
      <c r="A51">
        <v>237158</v>
      </c>
      <c r="B51">
        <v>237501</v>
      </c>
    </row>
    <row r="52" spans="1:20" x14ac:dyDescent="0.2">
      <c r="A52">
        <v>238752</v>
      </c>
      <c r="B52">
        <v>236705</v>
      </c>
    </row>
    <row r="53" spans="1:20" x14ac:dyDescent="0.2">
      <c r="A53" t="s">
        <v>58</v>
      </c>
    </row>
    <row r="54" spans="1:20" x14ac:dyDescent="0.2">
      <c r="A54" t="s">
        <v>47</v>
      </c>
      <c r="B54">
        <v>15</v>
      </c>
      <c r="C54">
        <v>30</v>
      </c>
      <c r="E54" t="s">
        <v>48</v>
      </c>
    </row>
    <row r="55" spans="1:20" x14ac:dyDescent="0.2">
      <c r="A55">
        <v>1</v>
      </c>
      <c r="B55">
        <v>0</v>
      </c>
      <c r="C55">
        <v>58709.1250899999</v>
      </c>
      <c r="M55" t="s">
        <v>161</v>
      </c>
      <c r="Q55" t="s">
        <v>48</v>
      </c>
    </row>
    <row r="56" spans="1:20" x14ac:dyDescent="0.2">
      <c r="B56">
        <v>0</v>
      </c>
      <c r="C56">
        <v>58709.1250899999</v>
      </c>
      <c r="E56" t="s">
        <v>31</v>
      </c>
      <c r="F56">
        <v>15</v>
      </c>
      <c r="G56">
        <v>30</v>
      </c>
      <c r="H56" t="s">
        <v>29</v>
      </c>
      <c r="M56" t="s">
        <v>68</v>
      </c>
      <c r="N56">
        <v>10</v>
      </c>
      <c r="O56">
        <v>30</v>
      </c>
    </row>
    <row r="57" spans="1:20" ht="17" thickBot="1" x14ac:dyDescent="0.25">
      <c r="B57">
        <v>0</v>
      </c>
      <c r="C57">
        <v>0</v>
      </c>
      <c r="E57" s="3">
        <v>1</v>
      </c>
      <c r="F57" s="3"/>
      <c r="G57" s="3"/>
      <c r="H57" s="3"/>
      <c r="M57">
        <v>15</v>
      </c>
      <c r="N57">
        <v>0</v>
      </c>
      <c r="O57">
        <v>0</v>
      </c>
      <c r="Q57" t="s">
        <v>31</v>
      </c>
      <c r="R57">
        <v>10</v>
      </c>
      <c r="S57">
        <v>30</v>
      </c>
      <c r="T57" t="s">
        <v>29</v>
      </c>
    </row>
    <row r="58" spans="1:20" ht="17" thickBot="1" x14ac:dyDescent="0.25">
      <c r="B58">
        <v>0</v>
      </c>
      <c r="C58">
        <v>0</v>
      </c>
      <c r="E58" t="s">
        <v>33</v>
      </c>
      <c r="F58">
        <v>8</v>
      </c>
      <c r="G58">
        <v>8</v>
      </c>
      <c r="H58">
        <v>16</v>
      </c>
      <c r="N58">
        <v>0</v>
      </c>
      <c r="O58">
        <v>0</v>
      </c>
      <c r="Q58" s="3">
        <v>15</v>
      </c>
      <c r="R58" s="3"/>
      <c r="S58" s="3"/>
      <c r="T58" s="3"/>
    </row>
    <row r="59" spans="1:20" x14ac:dyDescent="0.2">
      <c r="B59">
        <v>0</v>
      </c>
      <c r="C59">
        <v>0</v>
      </c>
      <c r="E59" t="s">
        <v>34</v>
      </c>
      <c r="F59">
        <v>0</v>
      </c>
      <c r="G59">
        <v>117418.2501799998</v>
      </c>
      <c r="H59">
        <v>117418.2501799998</v>
      </c>
      <c r="N59">
        <v>0</v>
      </c>
      <c r="O59">
        <v>0</v>
      </c>
      <c r="Q59" t="s">
        <v>33</v>
      </c>
      <c r="R59">
        <v>8</v>
      </c>
      <c r="S59">
        <v>8</v>
      </c>
      <c r="T59">
        <v>16</v>
      </c>
    </row>
    <row r="60" spans="1:20" x14ac:dyDescent="0.2">
      <c r="B60">
        <v>0</v>
      </c>
      <c r="C60">
        <v>0</v>
      </c>
      <c r="E60" t="s">
        <v>35</v>
      </c>
      <c r="F60">
        <v>0</v>
      </c>
      <c r="G60">
        <v>14677.281272499975</v>
      </c>
      <c r="H60">
        <v>7338.6406362499874</v>
      </c>
      <c r="N60">
        <v>0</v>
      </c>
      <c r="O60">
        <v>0</v>
      </c>
      <c r="Q60" t="s">
        <v>34</v>
      </c>
      <c r="R60">
        <v>0</v>
      </c>
      <c r="S60">
        <v>0</v>
      </c>
      <c r="T60">
        <v>0</v>
      </c>
    </row>
    <row r="61" spans="1:20" x14ac:dyDescent="0.2">
      <c r="B61">
        <v>0</v>
      </c>
      <c r="C61">
        <v>0</v>
      </c>
      <c r="E61" t="s">
        <v>36</v>
      </c>
      <c r="F61">
        <v>0</v>
      </c>
      <c r="G61">
        <v>738591721.8928405</v>
      </c>
      <c r="H61">
        <v>402122159.69721317</v>
      </c>
      <c r="N61">
        <v>0</v>
      </c>
      <c r="O61">
        <v>0</v>
      </c>
      <c r="Q61" t="s">
        <v>35</v>
      </c>
      <c r="R61">
        <v>0</v>
      </c>
      <c r="S61">
        <v>0</v>
      </c>
      <c r="T61">
        <v>0</v>
      </c>
    </row>
    <row r="62" spans="1:20" x14ac:dyDescent="0.2">
      <c r="B62">
        <v>0</v>
      </c>
      <c r="C62">
        <v>0</v>
      </c>
      <c r="N62">
        <v>0</v>
      </c>
      <c r="O62">
        <v>0</v>
      </c>
      <c r="Q62" t="s">
        <v>36</v>
      </c>
      <c r="R62">
        <v>0</v>
      </c>
      <c r="S62">
        <v>0</v>
      </c>
      <c r="T62">
        <v>0</v>
      </c>
    </row>
    <row r="63" spans="1:20" ht="17" thickBot="1" x14ac:dyDescent="0.25">
      <c r="A63">
        <v>3</v>
      </c>
      <c r="B63">
        <v>0</v>
      </c>
      <c r="C63">
        <v>58709.125090000001</v>
      </c>
      <c r="E63" s="3">
        <v>3</v>
      </c>
      <c r="F63" s="3"/>
      <c r="G63" s="3"/>
      <c r="H63" s="3"/>
      <c r="N63">
        <v>0</v>
      </c>
      <c r="O63">
        <v>0</v>
      </c>
    </row>
    <row r="64" spans="1:20" ht="17" thickBot="1" x14ac:dyDescent="0.25">
      <c r="B64">
        <v>0</v>
      </c>
      <c r="C64">
        <v>58709.125090000001</v>
      </c>
      <c r="E64" t="s">
        <v>33</v>
      </c>
      <c r="F64">
        <v>8</v>
      </c>
      <c r="G64">
        <v>8</v>
      </c>
      <c r="H64">
        <v>16</v>
      </c>
      <c r="N64">
        <v>0</v>
      </c>
      <c r="O64">
        <v>0</v>
      </c>
      <c r="Q64" s="3">
        <v>30</v>
      </c>
      <c r="R64" s="3"/>
      <c r="S64" s="3"/>
      <c r="T64" s="3"/>
    </row>
    <row r="65" spans="2:23" x14ac:dyDescent="0.2">
      <c r="B65">
        <v>0</v>
      </c>
      <c r="C65">
        <v>8387.0178699999997</v>
      </c>
      <c r="E65" t="s">
        <v>34</v>
      </c>
      <c r="F65">
        <v>0</v>
      </c>
      <c r="G65">
        <v>134192.28591999999</v>
      </c>
      <c r="H65">
        <v>134192.28591999999</v>
      </c>
      <c r="M65">
        <v>30</v>
      </c>
      <c r="N65">
        <v>58709.1250899999</v>
      </c>
      <c r="O65">
        <v>0</v>
      </c>
      <c r="Q65" t="s">
        <v>33</v>
      </c>
      <c r="R65">
        <v>8</v>
      </c>
      <c r="S65">
        <v>8</v>
      </c>
      <c r="T65">
        <v>16</v>
      </c>
    </row>
    <row r="66" spans="2:23" x14ac:dyDescent="0.2">
      <c r="B66">
        <v>0</v>
      </c>
      <c r="C66">
        <v>8387.0178699999997</v>
      </c>
      <c r="E66" t="s">
        <v>35</v>
      </c>
      <c r="F66">
        <v>0</v>
      </c>
      <c r="G66">
        <v>16774.035739999999</v>
      </c>
      <c r="H66">
        <v>8387.0178699999997</v>
      </c>
      <c r="N66">
        <v>58709.1250899999</v>
      </c>
      <c r="O66">
        <v>0</v>
      </c>
      <c r="Q66" t="s">
        <v>34</v>
      </c>
      <c r="R66">
        <v>251610.53609999979</v>
      </c>
      <c r="S66">
        <v>0</v>
      </c>
      <c r="T66">
        <v>251610.53609999979</v>
      </c>
    </row>
    <row r="67" spans="2:23" x14ac:dyDescent="0.2">
      <c r="B67">
        <v>0</v>
      </c>
      <c r="C67">
        <v>0</v>
      </c>
      <c r="E67" t="s">
        <v>36</v>
      </c>
      <c r="F67">
        <v>0</v>
      </c>
      <c r="G67">
        <v>683322953.58793652</v>
      </c>
      <c r="H67">
        <v>393915585.00951636</v>
      </c>
      <c r="N67">
        <v>58709.125090000001</v>
      </c>
      <c r="O67">
        <v>0</v>
      </c>
      <c r="Q67" t="s">
        <v>35</v>
      </c>
      <c r="R67">
        <v>31451.317012499974</v>
      </c>
      <c r="S67">
        <v>0</v>
      </c>
      <c r="T67">
        <v>15725.658506249987</v>
      </c>
    </row>
    <row r="68" spans="2:23" x14ac:dyDescent="0.2">
      <c r="B68">
        <v>0</v>
      </c>
      <c r="C68">
        <v>0</v>
      </c>
      <c r="N68">
        <v>58709.125090000001</v>
      </c>
      <c r="O68">
        <v>0</v>
      </c>
      <c r="Q68" t="s">
        <v>36</v>
      </c>
      <c r="R68">
        <v>859178125.46718323</v>
      </c>
      <c r="S68">
        <v>0</v>
      </c>
      <c r="T68">
        <v>664732549.70355761</v>
      </c>
    </row>
    <row r="69" spans="2:23" ht="17" thickBot="1" x14ac:dyDescent="0.25">
      <c r="B69">
        <v>0</v>
      </c>
      <c r="C69">
        <v>0</v>
      </c>
      <c r="E69" s="3" t="s">
        <v>29</v>
      </c>
      <c r="F69" s="3"/>
      <c r="G69" s="3"/>
      <c r="H69" s="3"/>
      <c r="N69">
        <v>0</v>
      </c>
      <c r="O69">
        <v>0</v>
      </c>
    </row>
    <row r="70" spans="2:23" ht="17" thickBot="1" x14ac:dyDescent="0.25">
      <c r="B70">
        <v>0</v>
      </c>
      <c r="C70">
        <v>0</v>
      </c>
      <c r="E70" t="s">
        <v>33</v>
      </c>
      <c r="F70">
        <v>16</v>
      </c>
      <c r="G70">
        <v>16</v>
      </c>
      <c r="N70">
        <v>0</v>
      </c>
      <c r="O70">
        <v>0</v>
      </c>
      <c r="Q70" s="3" t="s">
        <v>29</v>
      </c>
      <c r="R70" s="3"/>
      <c r="S70" s="3"/>
      <c r="T70" s="3"/>
    </row>
    <row r="71" spans="2:23" x14ac:dyDescent="0.2">
      <c r="E71" t="s">
        <v>34</v>
      </c>
      <c r="F71">
        <v>0</v>
      </c>
      <c r="G71">
        <v>251610.53609999979</v>
      </c>
      <c r="N71">
        <v>8387.0178699999997</v>
      </c>
      <c r="O71">
        <v>0</v>
      </c>
      <c r="Q71" t="s">
        <v>33</v>
      </c>
      <c r="R71">
        <v>16</v>
      </c>
      <c r="S71">
        <v>16</v>
      </c>
    </row>
    <row r="72" spans="2:23" x14ac:dyDescent="0.2">
      <c r="E72" t="s">
        <v>35</v>
      </c>
      <c r="F72">
        <v>0</v>
      </c>
      <c r="G72">
        <v>15725.658506249987</v>
      </c>
      <c r="N72">
        <v>8387.0178699999997</v>
      </c>
      <c r="O72">
        <v>0</v>
      </c>
      <c r="Q72" t="s">
        <v>34</v>
      </c>
      <c r="R72">
        <v>251610.53609999979</v>
      </c>
      <c r="S72">
        <v>0</v>
      </c>
    </row>
    <row r="73" spans="2:23" x14ac:dyDescent="0.2">
      <c r="E73" t="s">
        <v>36</v>
      </c>
      <c r="F73">
        <v>0</v>
      </c>
      <c r="G73">
        <v>664732549.70355761</v>
      </c>
      <c r="Q73" t="s">
        <v>35</v>
      </c>
      <c r="R73">
        <v>15725.658506249987</v>
      </c>
      <c r="S73">
        <v>0</v>
      </c>
    </row>
    <row r="74" spans="2:23" x14ac:dyDescent="0.2">
      <c r="Q74" t="s">
        <v>36</v>
      </c>
      <c r="R74">
        <v>664732549.70355761</v>
      </c>
      <c r="S74">
        <v>0</v>
      </c>
    </row>
    <row r="76" spans="2:23" ht="17" thickBot="1" x14ac:dyDescent="0.25">
      <c r="E76" t="s">
        <v>37</v>
      </c>
    </row>
    <row r="77" spans="2:23" ht="17" thickBot="1" x14ac:dyDescent="0.25">
      <c r="E77" s="2" t="s">
        <v>38</v>
      </c>
      <c r="F77" s="2" t="s">
        <v>39</v>
      </c>
      <c r="G77" s="2" t="s">
        <v>40</v>
      </c>
      <c r="H77" s="2" t="s">
        <v>41</v>
      </c>
      <c r="I77" s="2" t="s">
        <v>42</v>
      </c>
      <c r="J77" s="2" t="s">
        <v>43</v>
      </c>
      <c r="K77" s="2" t="s">
        <v>44</v>
      </c>
      <c r="Q77" t="s">
        <v>37</v>
      </c>
    </row>
    <row r="78" spans="2:23" x14ac:dyDescent="0.2">
      <c r="E78" t="s">
        <v>53</v>
      </c>
      <c r="F78">
        <v>8792758.5939598083</v>
      </c>
      <c r="G78">
        <v>1</v>
      </c>
      <c r="H78">
        <v>8792758.5939598083</v>
      </c>
      <c r="I78">
        <v>2.473498233214819E-2</v>
      </c>
      <c r="J78">
        <v>0.87615787628272135</v>
      </c>
      <c r="K78">
        <v>4.195971818557763</v>
      </c>
      <c r="Q78" s="2" t="s">
        <v>38</v>
      </c>
      <c r="R78" s="2" t="s">
        <v>39</v>
      </c>
      <c r="S78" s="2" t="s">
        <v>40</v>
      </c>
      <c r="T78" s="2" t="s">
        <v>41</v>
      </c>
      <c r="U78" s="2" t="s">
        <v>42</v>
      </c>
      <c r="V78" s="2" t="s">
        <v>43</v>
      </c>
      <c r="W78" s="2" t="s">
        <v>44</v>
      </c>
    </row>
    <row r="79" spans="2:23" x14ac:dyDescent="0.2">
      <c r="E79" t="s">
        <v>54</v>
      </c>
      <c r="F79">
        <v>1978370683.6415405</v>
      </c>
      <c r="G79">
        <v>1</v>
      </c>
      <c r="H79">
        <v>1978370683.6415405</v>
      </c>
      <c r="I79">
        <v>5.5653710247349846</v>
      </c>
      <c r="J79">
        <v>2.5528454718139519E-2</v>
      </c>
      <c r="K79">
        <v>4.195971818557763</v>
      </c>
      <c r="Q79" t="s">
        <v>162</v>
      </c>
      <c r="R79">
        <v>1978370683.6415405</v>
      </c>
      <c r="S79">
        <v>1</v>
      </c>
      <c r="T79">
        <v>1978370683.6415405</v>
      </c>
      <c r="U79">
        <v>9.2105263157894761</v>
      </c>
      <c r="V79">
        <v>5.1519818422453957E-3</v>
      </c>
      <c r="W79">
        <v>4.195971818557763</v>
      </c>
    </row>
    <row r="80" spans="2:23" x14ac:dyDescent="0.2">
      <c r="E80" t="s">
        <v>51</v>
      </c>
      <c r="F80">
        <v>8792758.5939674377</v>
      </c>
      <c r="G80">
        <v>1</v>
      </c>
      <c r="H80">
        <v>8792758.5939674377</v>
      </c>
      <c r="I80">
        <v>2.4734982332169652E-2</v>
      </c>
      <c r="J80">
        <v>0.87615787628266806</v>
      </c>
      <c r="K80">
        <v>4.195971818557763</v>
      </c>
      <c r="Q80" t="s">
        <v>73</v>
      </c>
      <c r="R80">
        <v>1978370683.6415405</v>
      </c>
      <c r="S80">
        <v>1</v>
      </c>
      <c r="T80">
        <v>1978370683.6415405</v>
      </c>
      <c r="U80">
        <v>9.2105263157894761</v>
      </c>
      <c r="V80">
        <v>5.1519818422453957E-3</v>
      </c>
      <c r="W80">
        <v>4.195971818557763</v>
      </c>
    </row>
    <row r="81" spans="1:26" x14ac:dyDescent="0.2">
      <c r="E81" t="s">
        <v>52</v>
      </c>
      <c r="F81">
        <v>9953402728.3654366</v>
      </c>
      <c r="G81">
        <v>28</v>
      </c>
      <c r="H81">
        <v>355478668.87019414</v>
      </c>
      <c r="Q81" t="s">
        <v>51</v>
      </c>
      <c r="R81">
        <v>1978370683.6415415</v>
      </c>
      <c r="S81">
        <v>1</v>
      </c>
      <c r="T81">
        <v>1978370683.6415415</v>
      </c>
      <c r="U81">
        <v>9.2105263157894797</v>
      </c>
      <c r="V81">
        <v>5.1519818422453975E-3</v>
      </c>
      <c r="W81">
        <v>4.195971818557763</v>
      </c>
    </row>
    <row r="82" spans="1:26" x14ac:dyDescent="0.2">
      <c r="Q82" t="s">
        <v>52</v>
      </c>
      <c r="R82">
        <v>6014246878.2702818</v>
      </c>
      <c r="S82">
        <v>28</v>
      </c>
      <c r="T82">
        <v>214794531.36679578</v>
      </c>
    </row>
    <row r="83" spans="1:26" ht="17" thickBot="1" x14ac:dyDescent="0.25">
      <c r="E83" s="1" t="s">
        <v>29</v>
      </c>
      <c r="F83" s="1">
        <v>11949358929.194904</v>
      </c>
      <c r="G83" s="1">
        <v>31</v>
      </c>
      <c r="H83" s="1"/>
      <c r="I83" s="1"/>
      <c r="J83" s="1"/>
      <c r="K83" s="1"/>
    </row>
    <row r="84" spans="1:26" ht="17" thickBot="1" x14ac:dyDescent="0.25">
      <c r="A84" t="s">
        <v>61</v>
      </c>
      <c r="Q84" s="1" t="s">
        <v>29</v>
      </c>
      <c r="R84" s="1">
        <v>11949358929.194904</v>
      </c>
      <c r="S84" s="1">
        <v>31</v>
      </c>
      <c r="T84" s="1"/>
      <c r="U84" s="1"/>
      <c r="V84" s="1"/>
      <c r="W84" s="1"/>
    </row>
    <row r="85" spans="1:26" x14ac:dyDescent="0.2">
      <c r="A85" t="s">
        <v>55</v>
      </c>
      <c r="B85">
        <v>10</v>
      </c>
      <c r="C85">
        <v>30</v>
      </c>
      <c r="E85" t="s">
        <v>48</v>
      </c>
    </row>
    <row r="86" spans="1:26" x14ac:dyDescent="0.2">
      <c r="A86">
        <v>1</v>
      </c>
      <c r="B86">
        <v>-18344203.504127599</v>
      </c>
      <c r="C86">
        <v>-9995948.2531276699</v>
      </c>
    </row>
    <row r="87" spans="1:26" x14ac:dyDescent="0.2">
      <c r="B87">
        <v>-7824259.4077669401</v>
      </c>
      <c r="C87">
        <v>16087205.5488762</v>
      </c>
      <c r="E87" t="s">
        <v>31</v>
      </c>
      <c r="F87">
        <v>10</v>
      </c>
      <c r="G87">
        <v>30</v>
      </c>
      <c r="H87" t="s">
        <v>29</v>
      </c>
      <c r="M87" t="s">
        <v>5</v>
      </c>
      <c r="N87" t="s">
        <v>6</v>
      </c>
      <c r="O87" t="s">
        <v>7</v>
      </c>
      <c r="P87" t="s">
        <v>19</v>
      </c>
      <c r="S87" t="s">
        <v>227</v>
      </c>
      <c r="T87">
        <v>1</v>
      </c>
      <c r="U87">
        <v>2</v>
      </c>
      <c r="W87" t="s">
        <v>48</v>
      </c>
    </row>
    <row r="88" spans="1:26" ht="17" thickBot="1" x14ac:dyDescent="0.25">
      <c r="B88">
        <v>-17400718.0542183</v>
      </c>
      <c r="C88">
        <v>-21271591.610757701</v>
      </c>
      <c r="E88" s="3">
        <v>1</v>
      </c>
      <c r="F88" s="3"/>
      <c r="G88" s="3"/>
      <c r="H88" s="3"/>
      <c r="M88">
        <v>10</v>
      </c>
      <c r="N88">
        <v>45.06</v>
      </c>
      <c r="O88">
        <v>49.35</v>
      </c>
      <c r="S88">
        <v>10</v>
      </c>
      <c r="T88">
        <v>-18344203.504127599</v>
      </c>
      <c r="U88">
        <v>-7824259.4077669401</v>
      </c>
    </row>
    <row r="89" spans="1:26" x14ac:dyDescent="0.2">
      <c r="B89">
        <v>-1415881.9497326899</v>
      </c>
      <c r="C89">
        <v>7829271.27338407</v>
      </c>
      <c r="E89" t="s">
        <v>33</v>
      </c>
      <c r="F89">
        <v>8</v>
      </c>
      <c r="G89">
        <v>8</v>
      </c>
      <c r="H89">
        <v>16</v>
      </c>
      <c r="M89">
        <v>10</v>
      </c>
      <c r="N89">
        <v>45.06</v>
      </c>
      <c r="O89">
        <v>49.35</v>
      </c>
      <c r="T89">
        <v>-17400718.0542183</v>
      </c>
      <c r="U89">
        <v>-1415881.9497326899</v>
      </c>
      <c r="W89" t="s">
        <v>31</v>
      </c>
      <c r="X89">
        <v>1</v>
      </c>
      <c r="Y89">
        <v>2</v>
      </c>
      <c r="Z89" t="s">
        <v>29</v>
      </c>
    </row>
    <row r="90" spans="1:26" ht="17" thickBot="1" x14ac:dyDescent="0.25">
      <c r="B90">
        <v>-17980638.827082999</v>
      </c>
      <c r="C90">
        <v>-8739379.7214922309</v>
      </c>
      <c r="E90" t="s">
        <v>34</v>
      </c>
      <c r="F90">
        <v>-91025819.754460514</v>
      </c>
      <c r="G90">
        <v>-9086687.6483461745</v>
      </c>
      <c r="H90">
        <v>-100112507.40280668</v>
      </c>
      <c r="M90">
        <v>10</v>
      </c>
      <c r="N90">
        <v>45.06</v>
      </c>
      <c r="O90">
        <v>49.35</v>
      </c>
      <c r="T90">
        <v>-17980638.827082999</v>
      </c>
      <c r="U90">
        <v>-6696047.13591504</v>
      </c>
      <c r="W90" s="3">
        <v>10</v>
      </c>
      <c r="X90" s="3"/>
      <c r="Y90" s="3"/>
      <c r="Z90" s="3"/>
    </row>
    <row r="91" spans="1:26" x14ac:dyDescent="0.2">
      <c r="B91">
        <v>-6696047.13591504</v>
      </c>
      <c r="C91">
        <v>19090546.030836798</v>
      </c>
      <c r="E91" t="s">
        <v>35</v>
      </c>
      <c r="F91">
        <v>-11378227.469307564</v>
      </c>
      <c r="G91">
        <v>-1135835.9560432718</v>
      </c>
      <c r="H91">
        <v>-6257031.7126754178</v>
      </c>
      <c r="M91">
        <v>10</v>
      </c>
      <c r="N91">
        <v>45.06</v>
      </c>
      <c r="O91">
        <v>49.35</v>
      </c>
      <c r="T91">
        <v>-17933897.217544898</v>
      </c>
      <c r="U91">
        <v>-3430173.6580720502</v>
      </c>
      <c r="W91" t="s">
        <v>33</v>
      </c>
      <c r="X91">
        <v>8</v>
      </c>
      <c r="Y91">
        <v>8</v>
      </c>
      <c r="Z91">
        <v>16</v>
      </c>
    </row>
    <row r="92" spans="1:26" x14ac:dyDescent="0.2">
      <c r="B92">
        <v>-17933897.217544898</v>
      </c>
      <c r="C92">
        <v>-20088610.378621601</v>
      </c>
      <c r="E92" t="s">
        <v>36</v>
      </c>
      <c r="F92">
        <v>52619606548972.75</v>
      </c>
      <c r="G92">
        <v>252940194707585.56</v>
      </c>
      <c r="H92">
        <v>170569662962657.47</v>
      </c>
      <c r="M92">
        <v>10</v>
      </c>
      <c r="N92">
        <v>45.06</v>
      </c>
      <c r="O92">
        <v>49.35</v>
      </c>
      <c r="T92">
        <v>-18475187.509085301</v>
      </c>
      <c r="U92">
        <v>-6325848.0947655402</v>
      </c>
      <c r="W92" t="s">
        <v>34</v>
      </c>
      <c r="X92">
        <v>-143670885.92753339</v>
      </c>
      <c r="Y92">
        <v>-34688705.81282308</v>
      </c>
      <c r="Z92">
        <v>-178359591.74035648</v>
      </c>
    </row>
    <row r="93" spans="1:26" x14ac:dyDescent="0.2">
      <c r="B93">
        <v>-3430173.6580720502</v>
      </c>
      <c r="C93">
        <v>8001819.4625559598</v>
      </c>
      <c r="M93">
        <v>10</v>
      </c>
      <c r="N93">
        <v>45.06</v>
      </c>
      <c r="O93">
        <v>49.35</v>
      </c>
      <c r="T93">
        <v>-19846921.689263899</v>
      </c>
      <c r="U93">
        <v>-4281703.1739495499</v>
      </c>
      <c r="W93" t="s">
        <v>35</v>
      </c>
      <c r="X93">
        <v>-17958860.740941674</v>
      </c>
      <c r="Y93">
        <v>-4336088.2266028849</v>
      </c>
      <c r="Z93">
        <v>-11147474.48377228</v>
      </c>
    </row>
    <row r="94" spans="1:26" ht="17" thickBot="1" x14ac:dyDescent="0.25">
      <c r="A94">
        <v>4</v>
      </c>
      <c r="B94">
        <v>-18475187.509085301</v>
      </c>
      <c r="C94">
        <v>-10957125.6567099</v>
      </c>
      <c r="E94" s="3">
        <v>4</v>
      </c>
      <c r="F94" s="3"/>
      <c r="G94" s="3"/>
      <c r="H94" s="3"/>
      <c r="M94">
        <v>10</v>
      </c>
      <c r="N94">
        <v>45.06</v>
      </c>
      <c r="O94">
        <v>49.35</v>
      </c>
      <c r="T94">
        <v>-18224713.245310701</v>
      </c>
      <c r="U94">
        <v>-5713233.9113545902</v>
      </c>
      <c r="W94" t="s">
        <v>36</v>
      </c>
      <c r="X94">
        <v>1512066014774.6096</v>
      </c>
      <c r="Y94">
        <v>8771552865071.9287</v>
      </c>
      <c r="Z94">
        <v>54287003737908.219</v>
      </c>
    </row>
    <row r="95" spans="1:26" x14ac:dyDescent="0.2">
      <c r="B95">
        <v>-6325848.0947655402</v>
      </c>
      <c r="C95">
        <v>8876119.7743770704</v>
      </c>
      <c r="E95" t="s">
        <v>33</v>
      </c>
      <c r="F95">
        <v>8</v>
      </c>
      <c r="G95">
        <v>8</v>
      </c>
      <c r="H95">
        <v>16</v>
      </c>
      <c r="M95">
        <v>10</v>
      </c>
      <c r="N95">
        <v>45.06</v>
      </c>
      <c r="O95">
        <v>49.35</v>
      </c>
      <c r="T95">
        <v>-15464605.880899699</v>
      </c>
      <c r="U95">
        <v>998441.51873332204</v>
      </c>
    </row>
    <row r="96" spans="1:26" ht="17" thickBot="1" x14ac:dyDescent="0.25">
      <c r="B96">
        <v>-19846921.689263899</v>
      </c>
      <c r="C96">
        <v>-19298058.711867299</v>
      </c>
      <c r="E96" t="s">
        <v>34</v>
      </c>
      <c r="F96">
        <v>-87333771.985895947</v>
      </c>
      <c r="G96">
        <v>-25320977.554483715</v>
      </c>
      <c r="H96">
        <v>-112654749.54037967</v>
      </c>
      <c r="M96">
        <v>30</v>
      </c>
      <c r="N96">
        <v>45.06</v>
      </c>
      <c r="O96">
        <v>49.35</v>
      </c>
      <c r="S96">
        <v>30</v>
      </c>
      <c r="T96">
        <v>-9995948.2531276699</v>
      </c>
      <c r="U96">
        <v>16087205.5488762</v>
      </c>
      <c r="W96" s="3">
        <v>30</v>
      </c>
      <c r="X96" s="3"/>
      <c r="Y96" s="3"/>
      <c r="Z96" s="3"/>
    </row>
    <row r="97" spans="2:29" x14ac:dyDescent="0.2">
      <c r="B97">
        <v>-4281703.1739495499</v>
      </c>
      <c r="C97">
        <v>7478490.4531686101</v>
      </c>
      <c r="E97" t="s">
        <v>35</v>
      </c>
      <c r="F97">
        <v>-10916721.498236993</v>
      </c>
      <c r="G97">
        <v>-3165122.1943104644</v>
      </c>
      <c r="H97">
        <v>-7040921.8462737296</v>
      </c>
      <c r="M97">
        <v>30</v>
      </c>
      <c r="N97">
        <v>45.06</v>
      </c>
      <c r="O97">
        <v>49.35</v>
      </c>
      <c r="T97">
        <v>-21271591.610757701</v>
      </c>
      <c r="U97">
        <v>7829271.27338407</v>
      </c>
      <c r="W97" t="s">
        <v>33</v>
      </c>
      <c r="X97">
        <v>8</v>
      </c>
      <c r="Y97">
        <v>8</v>
      </c>
      <c r="Z97">
        <v>16</v>
      </c>
    </row>
    <row r="98" spans="2:29" x14ac:dyDescent="0.2">
      <c r="B98">
        <v>-18224713.245310701</v>
      </c>
      <c r="C98">
        <v>-13623563.6931441</v>
      </c>
      <c r="E98" t="s">
        <v>36</v>
      </c>
      <c r="F98">
        <v>63587979882925.57</v>
      </c>
      <c r="G98">
        <v>203319734715370</v>
      </c>
      <c r="H98">
        <v>140580211284173.73</v>
      </c>
      <c r="M98">
        <v>30</v>
      </c>
      <c r="N98">
        <v>45.06</v>
      </c>
      <c r="O98">
        <v>49.35</v>
      </c>
      <c r="T98">
        <v>-8739379.7214922309</v>
      </c>
      <c r="U98">
        <v>19090546.030836798</v>
      </c>
      <c r="W98" t="s">
        <v>34</v>
      </c>
      <c r="X98">
        <v>-124669691.0298754</v>
      </c>
      <c r="Y98">
        <v>90262025.8270455</v>
      </c>
      <c r="Z98">
        <v>-34407665.202829883</v>
      </c>
    </row>
    <row r="99" spans="2:29" x14ac:dyDescent="0.2">
      <c r="B99">
        <v>-5713233.9113545902</v>
      </c>
      <c r="C99">
        <v>11203115.6601393</v>
      </c>
      <c r="M99">
        <v>30</v>
      </c>
      <c r="N99">
        <v>45.06</v>
      </c>
      <c r="O99">
        <v>49.35</v>
      </c>
      <c r="T99">
        <v>-20088610.378621601</v>
      </c>
      <c r="U99">
        <v>8001819.4625559598</v>
      </c>
      <c r="W99" t="s">
        <v>35</v>
      </c>
      <c r="X99">
        <v>-15583711.378734425</v>
      </c>
      <c r="Y99">
        <v>11282753.228380688</v>
      </c>
      <c r="Z99">
        <v>-2150479.0751768677</v>
      </c>
    </row>
    <row r="100" spans="2:29" ht="17" thickBot="1" x14ac:dyDescent="0.25">
      <c r="B100">
        <v>-15464605.880899699</v>
      </c>
      <c r="C100">
        <v>-20695413.004154898</v>
      </c>
      <c r="E100" s="3" t="s">
        <v>29</v>
      </c>
      <c r="F100" s="3"/>
      <c r="G100" s="3"/>
      <c r="H100" s="3"/>
      <c r="M100">
        <v>30</v>
      </c>
      <c r="N100">
        <v>45.06</v>
      </c>
      <c r="O100">
        <v>49.35</v>
      </c>
      <c r="T100">
        <v>-10957125.6567099</v>
      </c>
      <c r="U100">
        <v>8876119.7743770704</v>
      </c>
      <c r="W100" t="s">
        <v>36</v>
      </c>
      <c r="X100">
        <v>27983916160898.285</v>
      </c>
      <c r="Y100">
        <v>18168060205743.91</v>
      </c>
      <c r="Z100">
        <v>214019434433864.72</v>
      </c>
    </row>
    <row r="101" spans="2:29" x14ac:dyDescent="0.2">
      <c r="B101">
        <v>998441.51873332204</v>
      </c>
      <c r="C101">
        <v>11695457.623707499</v>
      </c>
      <c r="E101" t="s">
        <v>33</v>
      </c>
      <c r="F101">
        <v>16</v>
      </c>
      <c r="G101">
        <v>16</v>
      </c>
      <c r="M101">
        <v>30</v>
      </c>
      <c r="N101">
        <v>45.06</v>
      </c>
      <c r="O101">
        <v>49.35</v>
      </c>
      <c r="T101">
        <v>-19298058.711867299</v>
      </c>
      <c r="U101">
        <v>7478490.4531686101</v>
      </c>
    </row>
    <row r="102" spans="2:29" ht="17" thickBot="1" x14ac:dyDescent="0.25">
      <c r="E102" t="s">
        <v>34</v>
      </c>
      <c r="F102">
        <v>-178359591.74035645</v>
      </c>
      <c r="G102">
        <v>-34407665.20282989</v>
      </c>
      <c r="M102">
        <v>30</v>
      </c>
      <c r="N102">
        <v>45.06</v>
      </c>
      <c r="O102">
        <v>49.35</v>
      </c>
      <c r="T102">
        <v>-13623563.6931441</v>
      </c>
      <c r="U102">
        <v>11203115.6601393</v>
      </c>
      <c r="W102" s="3" t="s">
        <v>29</v>
      </c>
      <c r="X102" s="3"/>
      <c r="Y102" s="3"/>
      <c r="Z102" s="3"/>
    </row>
    <row r="103" spans="2:29" x14ac:dyDescent="0.2">
      <c r="E103" t="s">
        <v>35</v>
      </c>
      <c r="F103">
        <v>-11147474.48377228</v>
      </c>
      <c r="G103">
        <v>-2150479.0751768677</v>
      </c>
      <c r="M103">
        <v>30</v>
      </c>
      <c r="N103">
        <v>45.06</v>
      </c>
      <c r="O103">
        <v>49.35</v>
      </c>
      <c r="T103">
        <v>-20695413.004154898</v>
      </c>
      <c r="U103" s="4">
        <v>11695457.623707499</v>
      </c>
      <c r="W103" t="s">
        <v>33</v>
      </c>
      <c r="X103">
        <v>16</v>
      </c>
      <c r="Y103">
        <v>16</v>
      </c>
    </row>
    <row r="104" spans="2:29" x14ac:dyDescent="0.2">
      <c r="E104" t="s">
        <v>36</v>
      </c>
      <c r="F104">
        <v>54287003737908.219</v>
      </c>
      <c r="G104">
        <v>214019434433864.72</v>
      </c>
      <c r="M104">
        <v>10</v>
      </c>
      <c r="N104">
        <v>90.12</v>
      </c>
      <c r="O104">
        <v>98.7</v>
      </c>
      <c r="W104" t="s">
        <v>34</v>
      </c>
      <c r="X104">
        <v>-268340576.95740879</v>
      </c>
      <c r="Y104">
        <v>55573320.014222421</v>
      </c>
    </row>
    <row r="105" spans="2:29" x14ac:dyDescent="0.2">
      <c r="M105">
        <v>10</v>
      </c>
      <c r="N105">
        <v>90.12</v>
      </c>
      <c r="O105">
        <v>98.7</v>
      </c>
      <c r="W105" t="s">
        <v>35</v>
      </c>
      <c r="X105">
        <v>-16771286.059838051</v>
      </c>
      <c r="Y105">
        <v>3473332.5008889018</v>
      </c>
    </row>
    <row r="106" spans="2:29" x14ac:dyDescent="0.2">
      <c r="M106">
        <v>10</v>
      </c>
      <c r="N106">
        <v>90.12</v>
      </c>
      <c r="O106">
        <v>98.7</v>
      </c>
      <c r="W106" t="s">
        <v>36</v>
      </c>
      <c r="X106">
        <v>15269147546725.6</v>
      </c>
      <c r="Y106">
        <v>77624675005290.969</v>
      </c>
    </row>
    <row r="107" spans="2:29" ht="17" thickBot="1" x14ac:dyDescent="0.25">
      <c r="E107" t="s">
        <v>37</v>
      </c>
      <c r="M107">
        <v>10</v>
      </c>
      <c r="N107">
        <v>90.12</v>
      </c>
      <c r="O107">
        <v>98.7</v>
      </c>
    </row>
    <row r="108" spans="2:29" x14ac:dyDescent="0.2">
      <c r="E108" s="2" t="s">
        <v>38</v>
      </c>
      <c r="F108" s="2" t="s">
        <v>39</v>
      </c>
      <c r="G108" s="2" t="s">
        <v>40</v>
      </c>
      <c r="H108" s="2" t="s">
        <v>41</v>
      </c>
      <c r="I108" s="2" t="s">
        <v>42</v>
      </c>
      <c r="J108" s="2" t="s">
        <v>43</v>
      </c>
      <c r="K108" s="2" t="s">
        <v>44</v>
      </c>
      <c r="M108">
        <v>10</v>
      </c>
      <c r="N108">
        <v>90.12</v>
      </c>
      <c r="O108">
        <v>98.7</v>
      </c>
    </row>
    <row r="109" spans="2:29" ht="17" thickBot="1" x14ac:dyDescent="0.25">
      <c r="E109" t="s">
        <v>56</v>
      </c>
      <c r="F109">
        <v>4915869932423</v>
      </c>
      <c r="G109">
        <v>1</v>
      </c>
      <c r="H109">
        <v>4915869932423</v>
      </c>
      <c r="I109">
        <v>3.4348638455631728E-2</v>
      </c>
      <c r="J109">
        <v>0.85430319504110652</v>
      </c>
      <c r="K109">
        <v>4.195971818557763</v>
      </c>
      <c r="M109">
        <v>10</v>
      </c>
      <c r="N109">
        <v>90.12</v>
      </c>
      <c r="O109">
        <v>98.7</v>
      </c>
      <c r="W109" t="s">
        <v>37</v>
      </c>
    </row>
    <row r="110" spans="2:29" x14ac:dyDescent="0.2">
      <c r="E110" t="s">
        <v>57</v>
      </c>
      <c r="F110">
        <v>647567411058296.5</v>
      </c>
      <c r="G110">
        <v>1</v>
      </c>
      <c r="H110">
        <v>647567411058296.5</v>
      </c>
      <c r="I110">
        <v>4.5247451994986827</v>
      </c>
      <c r="J110">
        <v>4.2353458784392992E-2</v>
      </c>
      <c r="K110">
        <v>4.195971818557763</v>
      </c>
      <c r="M110">
        <v>10</v>
      </c>
      <c r="N110">
        <v>90.12</v>
      </c>
      <c r="O110">
        <v>98.7</v>
      </c>
      <c r="W110" s="2" t="s">
        <v>38</v>
      </c>
      <c r="X110" s="2" t="s">
        <v>39</v>
      </c>
      <c r="Y110" s="2" t="s">
        <v>40</v>
      </c>
      <c r="Z110" s="2" t="s">
        <v>41</v>
      </c>
      <c r="AA110" s="2" t="s">
        <v>42</v>
      </c>
      <c r="AB110" s="2" t="s">
        <v>43</v>
      </c>
      <c r="AC110" s="2" t="s">
        <v>44</v>
      </c>
    </row>
    <row r="111" spans="2:29" x14ac:dyDescent="0.2">
      <c r="E111" t="s">
        <v>51</v>
      </c>
      <c r="F111">
        <v>12408091660194.5</v>
      </c>
      <c r="G111">
        <v>1</v>
      </c>
      <c r="H111">
        <v>12408091660194.5</v>
      </c>
      <c r="I111">
        <v>8.6699009579020422E-2</v>
      </c>
      <c r="J111">
        <v>0.7705883654239587</v>
      </c>
      <c r="K111">
        <v>4.195971818557763</v>
      </c>
      <c r="M111">
        <v>10</v>
      </c>
      <c r="N111">
        <v>90.12</v>
      </c>
      <c r="O111">
        <v>98.7</v>
      </c>
      <c r="W111" t="s">
        <v>49</v>
      </c>
      <c r="X111">
        <v>647567411058295.5</v>
      </c>
      <c r="Y111">
        <v>1</v>
      </c>
      <c r="Z111">
        <v>647567411058295.5</v>
      </c>
      <c r="AA111">
        <v>45.897799658529209</v>
      </c>
      <c r="AB111">
        <v>2.3379048938767881E-7</v>
      </c>
      <c r="AC111">
        <v>4.195971818557763</v>
      </c>
    </row>
    <row r="112" spans="2:29" x14ac:dyDescent="0.2">
      <c r="E112" t="s">
        <v>52</v>
      </c>
      <c r="F112">
        <v>4007272610983977</v>
      </c>
      <c r="G112">
        <v>28</v>
      </c>
      <c r="H112">
        <v>143116878963713.47</v>
      </c>
      <c r="M112">
        <v>30</v>
      </c>
      <c r="N112">
        <v>90.12</v>
      </c>
      <c r="O112">
        <v>98.7</v>
      </c>
      <c r="W112" t="s">
        <v>50</v>
      </c>
      <c r="X112">
        <v>3278756645354641.5</v>
      </c>
      <c r="Y112">
        <v>1</v>
      </c>
      <c r="Z112">
        <v>3278756645354641.5</v>
      </c>
      <c r="AA112">
        <v>232.38926645740577</v>
      </c>
      <c r="AB112">
        <v>4.354605156282609E-15</v>
      </c>
      <c r="AC112">
        <v>4.195971818557763</v>
      </c>
    </row>
    <row r="113" spans="1:29" x14ac:dyDescent="0.2">
      <c r="M113">
        <v>30</v>
      </c>
      <c r="N113">
        <v>90.12</v>
      </c>
      <c r="O113">
        <v>98.7</v>
      </c>
      <c r="W113" t="s">
        <v>51</v>
      </c>
      <c r="X113">
        <v>350790760496532.06</v>
      </c>
      <c r="Y113">
        <v>1</v>
      </c>
      <c r="Z113">
        <v>350790760496532.06</v>
      </c>
      <c r="AA113">
        <v>24.863085714922622</v>
      </c>
      <c r="AB113">
        <v>2.8792837582710212E-5</v>
      </c>
      <c r="AC113">
        <v>4.195971818557763</v>
      </c>
    </row>
    <row r="114" spans="1:29" ht="17" thickBot="1" x14ac:dyDescent="0.25">
      <c r="E114" s="1" t="s">
        <v>29</v>
      </c>
      <c r="F114" s="1">
        <v>4672163983634891</v>
      </c>
      <c r="G114" s="1">
        <v>31</v>
      </c>
      <c r="H114" s="1"/>
      <c r="I114" s="1"/>
      <c r="J114" s="1"/>
      <c r="K114" s="1"/>
      <c r="M114">
        <v>30</v>
      </c>
      <c r="N114">
        <v>90.12</v>
      </c>
      <c r="O114">
        <v>98.7</v>
      </c>
      <c r="W114" t="s">
        <v>52</v>
      </c>
      <c r="X114">
        <v>395049166725420.94</v>
      </c>
      <c r="Y114">
        <v>28</v>
      </c>
      <c r="Z114">
        <v>14108898811622.176</v>
      </c>
    </row>
    <row r="115" spans="1:29" x14ac:dyDescent="0.2">
      <c r="M115">
        <v>30</v>
      </c>
      <c r="N115">
        <v>90.12</v>
      </c>
      <c r="O115">
        <v>98.7</v>
      </c>
    </row>
    <row r="116" spans="1:29" ht="17" thickBot="1" x14ac:dyDescent="0.25">
      <c r="M116">
        <v>30</v>
      </c>
      <c r="N116">
        <v>90.12</v>
      </c>
      <c r="O116">
        <v>98.7</v>
      </c>
      <c r="W116" s="1" t="s">
        <v>29</v>
      </c>
      <c r="X116" s="1">
        <v>4672163983634890</v>
      </c>
      <c r="Y116" s="1">
        <v>31</v>
      </c>
      <c r="Z116" s="1"/>
      <c r="AA116" s="1"/>
      <c r="AB116" s="1"/>
      <c r="AC116" s="1"/>
    </row>
    <row r="117" spans="1:29" x14ac:dyDescent="0.2">
      <c r="M117">
        <v>30</v>
      </c>
      <c r="N117">
        <v>90.12</v>
      </c>
      <c r="O117">
        <v>98.7</v>
      </c>
    </row>
    <row r="118" spans="1:29" x14ac:dyDescent="0.2">
      <c r="A118" t="s">
        <v>63</v>
      </c>
      <c r="E118" t="s">
        <v>30</v>
      </c>
      <c r="M118">
        <v>30</v>
      </c>
      <c r="N118">
        <v>90.12</v>
      </c>
      <c r="O118">
        <v>98.7</v>
      </c>
    </row>
    <row r="119" spans="1:29" x14ac:dyDescent="0.2">
      <c r="A119" t="s">
        <v>64</v>
      </c>
      <c r="B119" t="s">
        <v>65</v>
      </c>
      <c r="C119" t="s">
        <v>66</v>
      </c>
      <c r="M119" s="4">
        <v>30</v>
      </c>
      <c r="N119" s="4">
        <v>90.12</v>
      </c>
      <c r="O119" s="4">
        <v>98.7</v>
      </c>
    </row>
    <row r="120" spans="1:29" ht="17" thickBot="1" x14ac:dyDescent="0.25">
      <c r="B120">
        <v>-18344203.504127599</v>
      </c>
      <c r="C120">
        <v>-7824259.4077669401</v>
      </c>
      <c r="E120" t="s">
        <v>31</v>
      </c>
    </row>
    <row r="121" spans="1:29" x14ac:dyDescent="0.2">
      <c r="B121">
        <v>-17400718.0542183</v>
      </c>
      <c r="C121">
        <v>-1415881.9497326899</v>
      </c>
      <c r="E121" s="2" t="s">
        <v>32</v>
      </c>
      <c r="F121" s="2" t="s">
        <v>33</v>
      </c>
      <c r="G121" s="2" t="s">
        <v>34</v>
      </c>
      <c r="H121" s="2" t="s">
        <v>35</v>
      </c>
      <c r="I121" s="2" t="s">
        <v>36</v>
      </c>
    </row>
    <row r="122" spans="1:29" x14ac:dyDescent="0.2">
      <c r="B122">
        <v>-17980638.827082999</v>
      </c>
      <c r="C122">
        <v>-6696047.13591504</v>
      </c>
      <c r="E122" t="s">
        <v>65</v>
      </c>
      <c r="F122">
        <v>16</v>
      </c>
      <c r="G122">
        <v>-268340576.95740882</v>
      </c>
      <c r="H122">
        <v>-16771286.059838051</v>
      </c>
      <c r="I122">
        <v>15269147546725.6</v>
      </c>
    </row>
    <row r="123" spans="1:29" ht="17" thickBot="1" x14ac:dyDescent="0.25">
      <c r="B123">
        <v>-17933897.217544898</v>
      </c>
      <c r="C123">
        <v>-3430173.6580720502</v>
      </c>
      <c r="E123" s="1" t="s">
        <v>66</v>
      </c>
      <c r="F123" s="1">
        <v>16</v>
      </c>
      <c r="G123" s="1">
        <v>55573320.014222428</v>
      </c>
      <c r="H123" s="1">
        <v>3473332.5008889018</v>
      </c>
      <c r="I123" s="1">
        <v>77624675005290.969</v>
      </c>
    </row>
    <row r="124" spans="1:29" x14ac:dyDescent="0.2">
      <c r="B124">
        <v>-18475187.509085301</v>
      </c>
      <c r="C124">
        <v>-6325848.0947655402</v>
      </c>
    </row>
    <row r="125" spans="1:29" x14ac:dyDescent="0.2">
      <c r="B125">
        <v>-19846921.689263899</v>
      </c>
      <c r="C125">
        <v>-4281703.1739495499</v>
      </c>
      <c r="M125" s="4"/>
      <c r="N125" s="4"/>
      <c r="O125" s="4"/>
    </row>
    <row r="126" spans="1:29" ht="17" thickBot="1" x14ac:dyDescent="0.25">
      <c r="B126">
        <v>-18224713.245310701</v>
      </c>
      <c r="C126">
        <v>-5713233.9113545902</v>
      </c>
      <c r="E126" t="s">
        <v>37</v>
      </c>
    </row>
    <row r="127" spans="1:29" x14ac:dyDescent="0.2">
      <c r="B127">
        <v>-15464605.880899699</v>
      </c>
      <c r="C127">
        <v>998441.51873332204</v>
      </c>
      <c r="E127" s="2" t="s">
        <v>38</v>
      </c>
      <c r="F127" s="2" t="s">
        <v>39</v>
      </c>
      <c r="G127" s="2" t="s">
        <v>40</v>
      </c>
      <c r="H127" s="2" t="s">
        <v>41</v>
      </c>
      <c r="I127" s="2" t="s">
        <v>42</v>
      </c>
      <c r="J127" s="2" t="s">
        <v>43</v>
      </c>
      <c r="K127" s="2" t="s">
        <v>44</v>
      </c>
    </row>
    <row r="128" spans="1:29" x14ac:dyDescent="0.2">
      <c r="B128">
        <v>-9995948.2531276699</v>
      </c>
      <c r="C128">
        <v>16087205.5488762</v>
      </c>
      <c r="E128" t="s">
        <v>45</v>
      </c>
      <c r="F128">
        <v>3278756645354641.5</v>
      </c>
      <c r="G128">
        <v>1</v>
      </c>
      <c r="H128">
        <v>3278756645354641.5</v>
      </c>
      <c r="I128">
        <v>70.591489407569128</v>
      </c>
      <c r="J128">
        <v>2.2359724620267322E-9</v>
      </c>
      <c r="K128">
        <v>4.1708767857666915</v>
      </c>
    </row>
    <row r="129" spans="1:11" x14ac:dyDescent="0.2">
      <c r="B129">
        <v>-21271591.610757701</v>
      </c>
      <c r="C129">
        <v>7829271.27338407</v>
      </c>
      <c r="E129" t="s">
        <v>46</v>
      </c>
      <c r="F129">
        <v>1393407338280248.5</v>
      </c>
      <c r="G129">
        <v>30</v>
      </c>
      <c r="H129">
        <v>46446911276008.281</v>
      </c>
    </row>
    <row r="130" spans="1:11" x14ac:dyDescent="0.2">
      <c r="B130">
        <v>-8739379.7214922309</v>
      </c>
      <c r="C130">
        <v>19090546.030836798</v>
      </c>
    </row>
    <row r="131" spans="1:11" ht="17" thickBot="1" x14ac:dyDescent="0.25">
      <c r="B131">
        <v>-20088610.378621601</v>
      </c>
      <c r="C131">
        <v>8001819.4625559598</v>
      </c>
      <c r="E131" s="1" t="s">
        <v>29</v>
      </c>
      <c r="F131" s="1">
        <v>4672163983634890</v>
      </c>
      <c r="G131" s="1">
        <v>31</v>
      </c>
      <c r="H131" s="1"/>
      <c r="I131" s="1"/>
      <c r="J131" s="1"/>
      <c r="K131" s="1"/>
    </row>
    <row r="132" spans="1:11" x14ac:dyDescent="0.2">
      <c r="B132">
        <v>-10957125.6567099</v>
      </c>
      <c r="C132">
        <v>8876119.7743770704</v>
      </c>
    </row>
    <row r="133" spans="1:11" x14ac:dyDescent="0.2">
      <c r="B133">
        <v>-19298058.711867299</v>
      </c>
      <c r="C133">
        <v>7478490.4531686101</v>
      </c>
    </row>
    <row r="134" spans="1:11" x14ac:dyDescent="0.2">
      <c r="B134">
        <v>-13623563.6931441</v>
      </c>
      <c r="C134">
        <v>11203115.6601393</v>
      </c>
    </row>
    <row r="135" spans="1:11" x14ac:dyDescent="0.2">
      <c r="B135">
        <v>-20695413.004154898</v>
      </c>
      <c r="C135">
        <v>11695457.623707499</v>
      </c>
    </row>
    <row r="136" spans="1:11" x14ac:dyDescent="0.2">
      <c r="A136" t="s">
        <v>260</v>
      </c>
      <c r="E136" t="s">
        <v>48</v>
      </c>
    </row>
    <row r="137" spans="1:11" x14ac:dyDescent="0.2">
      <c r="A137" t="s">
        <v>68</v>
      </c>
      <c r="B137">
        <v>10</v>
      </c>
      <c r="C137">
        <v>30</v>
      </c>
    </row>
    <row r="138" spans="1:11" x14ac:dyDescent="0.2">
      <c r="A138">
        <v>15</v>
      </c>
      <c r="B138">
        <v>128635.698711159</v>
      </c>
      <c r="C138">
        <v>164181.46455519466</v>
      </c>
      <c r="E138" t="s">
        <v>31</v>
      </c>
      <c r="F138">
        <v>10</v>
      </c>
      <c r="G138">
        <v>30</v>
      </c>
      <c r="H138" t="s">
        <v>29</v>
      </c>
    </row>
    <row r="139" spans="1:11" ht="17" thickBot="1" x14ac:dyDescent="0.25">
      <c r="B139">
        <v>137309.57597981466</v>
      </c>
      <c r="C139">
        <v>162008.20497532267</v>
      </c>
      <c r="E139" s="3">
        <v>15</v>
      </c>
      <c r="F139" s="3"/>
      <c r="G139" s="3"/>
      <c r="H139" s="3"/>
    </row>
    <row r="140" spans="1:11" x14ac:dyDescent="0.2">
      <c r="B140">
        <v>145554.21915504735</v>
      </c>
      <c r="C140">
        <v>162939.30905820001</v>
      </c>
      <c r="E140" t="s">
        <v>33</v>
      </c>
      <c r="F140">
        <v>8</v>
      </c>
      <c r="G140">
        <v>8</v>
      </c>
      <c r="H140">
        <v>16</v>
      </c>
    </row>
    <row r="141" spans="1:11" x14ac:dyDescent="0.2">
      <c r="B141">
        <v>145274.651892714</v>
      </c>
      <c r="C141">
        <v>147938.14870926933</v>
      </c>
      <c r="E141" t="s">
        <v>34</v>
      </c>
      <c r="F141">
        <v>1217622.1752474634</v>
      </c>
      <c r="G141">
        <v>1152188.4066990139</v>
      </c>
      <c r="H141">
        <v>2369810.5819464768</v>
      </c>
    </row>
    <row r="142" spans="1:11" x14ac:dyDescent="0.2">
      <c r="B142">
        <v>159574.76673925732</v>
      </c>
      <c r="C142">
        <v>107071.21644525467</v>
      </c>
      <c r="E142" t="s">
        <v>35</v>
      </c>
      <c r="F142">
        <v>152202.77190593292</v>
      </c>
      <c r="G142">
        <v>144023.55083737674</v>
      </c>
      <c r="H142">
        <v>148113.1613716548</v>
      </c>
    </row>
    <row r="143" spans="1:11" x14ac:dyDescent="0.2">
      <c r="B143">
        <v>159574.76673925732</v>
      </c>
      <c r="C143">
        <v>108369.05075124934</v>
      </c>
      <c r="E143" t="s">
        <v>36</v>
      </c>
      <c r="F143">
        <v>240347170.76916939</v>
      </c>
      <c r="G143">
        <v>587402535.26434326</v>
      </c>
      <c r="H143">
        <v>404123104.75919598</v>
      </c>
    </row>
    <row r="144" spans="1:11" x14ac:dyDescent="0.2">
      <c r="B144">
        <v>168735.11548630733</v>
      </c>
      <c r="C144">
        <v>162179.59360580801</v>
      </c>
    </row>
    <row r="145" spans="1:11" ht="17" thickBot="1" x14ac:dyDescent="0.25">
      <c r="B145">
        <v>172963.38054390598</v>
      </c>
      <c r="C145">
        <v>137501.41859871533</v>
      </c>
      <c r="E145" s="3">
        <v>30</v>
      </c>
      <c r="F145" s="3"/>
      <c r="G145" s="3"/>
      <c r="H145" s="3"/>
    </row>
    <row r="146" spans="1:11" x14ac:dyDescent="0.2">
      <c r="A146">
        <v>30</v>
      </c>
      <c r="B146">
        <v>63060.020033272333</v>
      </c>
      <c r="C146">
        <v>91536.582479840668</v>
      </c>
      <c r="E146" t="s">
        <v>33</v>
      </c>
      <c r="F146">
        <v>8</v>
      </c>
      <c r="G146">
        <v>8</v>
      </c>
      <c r="H146">
        <v>16</v>
      </c>
    </row>
    <row r="147" spans="1:11" x14ac:dyDescent="0.2">
      <c r="B147">
        <v>73485.876136297331</v>
      </c>
      <c r="C147">
        <v>85057.363871949667</v>
      </c>
      <c r="E147" t="s">
        <v>34</v>
      </c>
      <c r="F147">
        <v>687309.19331390061</v>
      </c>
      <c r="G147">
        <v>932463.74943214445</v>
      </c>
      <c r="H147">
        <v>1619772.9427460451</v>
      </c>
    </row>
    <row r="148" spans="1:11" x14ac:dyDescent="0.2">
      <c r="B148">
        <v>91646.246555128659</v>
      </c>
      <c r="C148">
        <v>139789.42503649366</v>
      </c>
      <c r="E148" t="s">
        <v>35</v>
      </c>
      <c r="F148">
        <v>85913.649164237577</v>
      </c>
      <c r="G148">
        <v>116557.96867901806</v>
      </c>
      <c r="H148">
        <v>101235.80892162782</v>
      </c>
    </row>
    <row r="149" spans="1:11" x14ac:dyDescent="0.2">
      <c r="B149">
        <v>100289.59137442401</v>
      </c>
      <c r="C149">
        <v>117116.00745286167</v>
      </c>
      <c r="E149" t="s">
        <v>36</v>
      </c>
      <c r="F149">
        <v>148531693.89022392</v>
      </c>
      <c r="G149">
        <v>1277312678.8098776</v>
      </c>
      <c r="H149">
        <v>915813858.86643672</v>
      </c>
    </row>
    <row r="150" spans="1:11" x14ac:dyDescent="0.2">
      <c r="B150">
        <v>86020.359148990334</v>
      </c>
      <c r="C150">
        <v>163161.93156995432</v>
      </c>
    </row>
    <row r="151" spans="1:11" ht="17" thickBot="1" x14ac:dyDescent="0.25">
      <c r="B151">
        <v>91299.257006580665</v>
      </c>
      <c r="C151">
        <v>63059.595452224334</v>
      </c>
      <c r="E151" s="3" t="s">
        <v>29</v>
      </c>
      <c r="F151" s="3"/>
      <c r="G151" s="3"/>
      <c r="H151" s="3"/>
    </row>
    <row r="152" spans="1:11" x14ac:dyDescent="0.2">
      <c r="B152">
        <v>85876.374447771334</v>
      </c>
      <c r="C152">
        <v>114420.706916836</v>
      </c>
      <c r="E152" t="s">
        <v>33</v>
      </c>
      <c r="F152">
        <v>16</v>
      </c>
      <c r="G152">
        <v>16</v>
      </c>
    </row>
    <row r="153" spans="1:11" x14ac:dyDescent="0.2">
      <c r="B153">
        <v>95631.468611435994</v>
      </c>
      <c r="C153">
        <v>158322.13665198401</v>
      </c>
      <c r="E153" t="s">
        <v>34</v>
      </c>
      <c r="F153">
        <v>1904931.368561364</v>
      </c>
      <c r="G153">
        <v>2084652.1561311584</v>
      </c>
    </row>
    <row r="154" spans="1:11" x14ac:dyDescent="0.2">
      <c r="E154" t="s">
        <v>35</v>
      </c>
      <c r="F154">
        <v>119058.21053508527</v>
      </c>
      <c r="G154">
        <v>130290.7597581974</v>
      </c>
    </row>
    <row r="155" spans="1:11" x14ac:dyDescent="0.2">
      <c r="E155" t="s">
        <v>36</v>
      </c>
      <c r="F155">
        <v>1353276215.2046549</v>
      </c>
      <c r="G155">
        <v>1071362620.7806538</v>
      </c>
    </row>
    <row r="158" spans="1:11" ht="17" thickBot="1" x14ac:dyDescent="0.25">
      <c r="E158" t="s">
        <v>37</v>
      </c>
    </row>
    <row r="159" spans="1:11" x14ac:dyDescent="0.2">
      <c r="E159" s="2" t="s">
        <v>38</v>
      </c>
      <c r="F159" s="2" t="s">
        <v>39</v>
      </c>
      <c r="G159" s="2" t="s">
        <v>40</v>
      </c>
      <c r="H159" s="2" t="s">
        <v>41</v>
      </c>
      <c r="I159" s="2" t="s">
        <v>42</v>
      </c>
      <c r="J159" s="2" t="s">
        <v>43</v>
      </c>
      <c r="K159" s="2" t="s">
        <v>44</v>
      </c>
    </row>
    <row r="160" spans="1:11" x14ac:dyDescent="0.2">
      <c r="E160" t="s">
        <v>69</v>
      </c>
      <c r="F160">
        <v>17579889381.792431</v>
      </c>
      <c r="G160">
        <v>1</v>
      </c>
      <c r="H160">
        <v>17579889381.792431</v>
      </c>
      <c r="I160">
        <v>31.203293525995253</v>
      </c>
      <c r="J160">
        <v>5.6070815087987626E-6</v>
      </c>
      <c r="K160">
        <v>4.195971818557763</v>
      </c>
    </row>
    <row r="161" spans="1:11" x14ac:dyDescent="0.2">
      <c r="E161" t="s">
        <v>57</v>
      </c>
      <c r="F161">
        <v>1009361296.3970947</v>
      </c>
      <c r="G161">
        <v>1</v>
      </c>
      <c r="H161">
        <v>1009361296.3970947</v>
      </c>
      <c r="I161">
        <v>1.7915583039946521</v>
      </c>
      <c r="J161">
        <v>0.19150421182700592</v>
      </c>
      <c r="K161">
        <v>4.195971818557763</v>
      </c>
    </row>
    <row r="162" spans="1:11" x14ac:dyDescent="0.2">
      <c r="E162" t="s">
        <v>51</v>
      </c>
      <c r="F162">
        <v>3014534606.8519764</v>
      </c>
      <c r="G162">
        <v>1</v>
      </c>
      <c r="H162">
        <v>3014534606.8519764</v>
      </c>
      <c r="I162">
        <v>5.3506257143628453</v>
      </c>
      <c r="J162">
        <v>2.8277849794886456E-2</v>
      </c>
      <c r="K162">
        <v>4.195971818557763</v>
      </c>
    </row>
    <row r="163" spans="1:11" x14ac:dyDescent="0.2">
      <c r="E163" t="s">
        <v>52</v>
      </c>
      <c r="F163">
        <v>15775158551.135279</v>
      </c>
      <c r="G163">
        <v>28</v>
      </c>
      <c r="H163">
        <v>563398519.68340278</v>
      </c>
    </row>
    <row r="165" spans="1:11" ht="17" thickBot="1" x14ac:dyDescent="0.25">
      <c r="E165" s="1" t="s">
        <v>29</v>
      </c>
      <c r="F165" s="1">
        <v>37378943836.176781</v>
      </c>
      <c r="G165" s="1">
        <v>31</v>
      </c>
      <c r="H165" s="1"/>
      <c r="I165" s="1"/>
      <c r="J165" s="1"/>
      <c r="K165" s="1"/>
    </row>
    <row r="166" spans="1:11" x14ac:dyDescent="0.2">
      <c r="A166" t="s">
        <v>67</v>
      </c>
    </row>
    <row r="167" spans="1:11" x14ac:dyDescent="0.2">
      <c r="A167" t="s">
        <v>68</v>
      </c>
      <c r="B167">
        <v>10</v>
      </c>
      <c r="C167">
        <v>30</v>
      </c>
      <c r="E167" t="s">
        <v>48</v>
      </c>
    </row>
    <row r="168" spans="1:11" x14ac:dyDescent="0.2">
      <c r="A168">
        <v>15</v>
      </c>
      <c r="B168">
        <v>-44917.53925808701</v>
      </c>
      <c r="C168">
        <v>-131216.66957200269</v>
      </c>
    </row>
    <row r="169" spans="1:11" x14ac:dyDescent="0.2">
      <c r="B169">
        <v>229121.20948382499</v>
      </c>
      <c r="C169">
        <v>64844.372534223337</v>
      </c>
      <c r="E169" t="s">
        <v>31</v>
      </c>
      <c r="F169">
        <v>10</v>
      </c>
      <c r="G169">
        <v>30</v>
      </c>
      <c r="H169" t="s">
        <v>29</v>
      </c>
    </row>
    <row r="170" spans="1:11" ht="17" thickBot="1" x14ac:dyDescent="0.25">
      <c r="B170">
        <v>23823.296777059975</v>
      </c>
      <c r="C170">
        <v>-140439.81744984034</v>
      </c>
      <c r="E170" s="3">
        <v>15</v>
      </c>
      <c r="F170" s="3"/>
      <c r="G170" s="3"/>
      <c r="H170" s="3"/>
    </row>
    <row r="171" spans="1:11" x14ac:dyDescent="0.2">
      <c r="B171">
        <v>366602.88155411999</v>
      </c>
      <c r="C171">
        <v>36440.199961776656</v>
      </c>
      <c r="E171" t="s">
        <v>33</v>
      </c>
      <c r="F171">
        <v>8</v>
      </c>
      <c r="G171">
        <v>8</v>
      </c>
      <c r="H171">
        <v>16</v>
      </c>
    </row>
    <row r="172" spans="1:11" x14ac:dyDescent="0.2">
      <c r="B172">
        <v>43560.153597672979</v>
      </c>
      <c r="C172">
        <v>-145349.38692581063</v>
      </c>
      <c r="E172" t="s">
        <v>34</v>
      </c>
      <c r="F172">
        <v>1360934.9649075898</v>
      </c>
      <c r="G172">
        <v>-455723.93269427965</v>
      </c>
      <c r="H172">
        <v>905211.03221331036</v>
      </c>
    </row>
    <row r="173" spans="1:11" x14ac:dyDescent="0.2">
      <c r="B173">
        <v>406076.59519534599</v>
      </c>
      <c r="C173">
        <v>-56318.264368901342</v>
      </c>
      <c r="E173" t="s">
        <v>35</v>
      </c>
      <c r="F173">
        <v>170116.87061344873</v>
      </c>
      <c r="G173">
        <v>-56965.491586784956</v>
      </c>
      <c r="H173">
        <v>56575.689513331898</v>
      </c>
    </row>
    <row r="174" spans="1:11" x14ac:dyDescent="0.2">
      <c r="B174">
        <v>13498.223852550984</v>
      </c>
      <c r="C174">
        <v>-134792.96939857129</v>
      </c>
      <c r="E174" t="s">
        <v>36</v>
      </c>
      <c r="F174">
        <v>32768310119.912769</v>
      </c>
      <c r="G174">
        <v>8798960671.4704132</v>
      </c>
      <c r="H174">
        <v>33149099495.29565</v>
      </c>
    </row>
    <row r="175" spans="1:11" x14ac:dyDescent="0.2">
      <c r="B175">
        <v>323170.14370510203</v>
      </c>
      <c r="C175">
        <v>51108.602524846669</v>
      </c>
    </row>
    <row r="176" spans="1:11" ht="17" thickBot="1" x14ac:dyDescent="0.25">
      <c r="A176">
        <v>30</v>
      </c>
      <c r="B176">
        <v>197267.63140186699</v>
      </c>
      <c r="C176">
        <v>-93058.082330487669</v>
      </c>
      <c r="E176" s="3">
        <v>30</v>
      </c>
      <c r="F176" s="3"/>
      <c r="G176" s="3"/>
      <c r="H176" s="3"/>
    </row>
    <row r="177" spans="2:11" x14ac:dyDescent="0.2">
      <c r="B177">
        <v>713491.55080373096</v>
      </c>
      <c r="C177">
        <v>108071.31856762333</v>
      </c>
      <c r="E177" t="s">
        <v>33</v>
      </c>
      <c r="F177">
        <v>8</v>
      </c>
      <c r="G177">
        <v>8</v>
      </c>
      <c r="H177">
        <v>16</v>
      </c>
    </row>
    <row r="178" spans="2:11" x14ac:dyDescent="0.2">
      <c r="B178">
        <v>225194.33005721797</v>
      </c>
      <c r="C178">
        <v>-101113.89040273335</v>
      </c>
      <c r="E178" t="s">
        <v>34</v>
      </c>
      <c r="F178">
        <v>3886937.1031367164</v>
      </c>
      <c r="G178">
        <v>39845.003663835989</v>
      </c>
      <c r="H178">
        <v>3926782.106800552</v>
      </c>
    </row>
    <row r="179" spans="2:11" x14ac:dyDescent="0.2">
      <c r="B179">
        <v>769344.94811443111</v>
      </c>
      <c r="C179">
        <v>80236.996887393354</v>
      </c>
      <c r="E179" t="s">
        <v>35</v>
      </c>
      <c r="F179">
        <v>485867.13789208955</v>
      </c>
      <c r="G179">
        <v>4980.6254579794986</v>
      </c>
      <c r="H179">
        <v>245423.8816750345</v>
      </c>
    </row>
    <row r="180" spans="2:11" x14ac:dyDescent="0.2">
      <c r="B180">
        <v>233350.60665412195</v>
      </c>
      <c r="C180">
        <v>-22521.027944005655</v>
      </c>
      <c r="E180" t="s">
        <v>36</v>
      </c>
      <c r="F180">
        <v>82676734957.38208</v>
      </c>
      <c r="G180">
        <v>13933530294.555771</v>
      </c>
      <c r="H180">
        <v>106751947208.51543</v>
      </c>
    </row>
    <row r="181" spans="2:11" x14ac:dyDescent="0.2">
      <c r="B181">
        <v>762874.9093082411</v>
      </c>
      <c r="C181">
        <v>-3800.0394051047042</v>
      </c>
    </row>
    <row r="182" spans="2:11" ht="17" thickBot="1" x14ac:dyDescent="0.25">
      <c r="B182">
        <v>214558.08226570502</v>
      </c>
      <c r="C182">
        <v>-133714.59136770933</v>
      </c>
      <c r="E182" s="3" t="s">
        <v>29</v>
      </c>
      <c r="F182" s="3"/>
      <c r="G182" s="3"/>
      <c r="H182" s="3"/>
    </row>
    <row r="183" spans="2:11" x14ac:dyDescent="0.2">
      <c r="B183">
        <v>770855.04453140101</v>
      </c>
      <c r="C183">
        <v>205744.31965886001</v>
      </c>
      <c r="E183" t="s">
        <v>33</v>
      </c>
      <c r="F183">
        <v>16</v>
      </c>
      <c r="G183">
        <v>16</v>
      </c>
    </row>
    <row r="184" spans="2:11" x14ac:dyDescent="0.2">
      <c r="E184" t="s">
        <v>34</v>
      </c>
      <c r="F184">
        <v>5247872.0680443067</v>
      </c>
      <c r="G184">
        <v>-415878.92903044366</v>
      </c>
    </row>
    <row r="185" spans="2:11" x14ac:dyDescent="0.2">
      <c r="E185" t="s">
        <v>35</v>
      </c>
      <c r="F185">
        <v>327992.00425276911</v>
      </c>
      <c r="G185">
        <v>-25992.433064402729</v>
      </c>
    </row>
    <row r="186" spans="2:11" x14ac:dyDescent="0.2">
      <c r="E186" t="s">
        <v>36</v>
      </c>
      <c r="F186">
        <v>80460549379.146484</v>
      </c>
      <c r="G186">
        <v>11631781495.325195</v>
      </c>
    </row>
    <row r="189" spans="2:11" ht="17" thickBot="1" x14ac:dyDescent="0.25">
      <c r="E189" t="s">
        <v>37</v>
      </c>
    </row>
    <row r="190" spans="2:11" x14ac:dyDescent="0.2">
      <c r="E190" s="2" t="s">
        <v>38</v>
      </c>
      <c r="F190" s="2" t="s">
        <v>39</v>
      </c>
      <c r="G190" s="2" t="s">
        <v>40</v>
      </c>
      <c r="H190" s="2" t="s">
        <v>41</v>
      </c>
      <c r="I190" s="2" t="s">
        <v>42</v>
      </c>
      <c r="J190" s="2" t="s">
        <v>43</v>
      </c>
      <c r="K190" s="2" t="s">
        <v>44</v>
      </c>
    </row>
    <row r="191" spans="2:11" x14ac:dyDescent="0.2">
      <c r="E191" t="s">
        <v>70</v>
      </c>
      <c r="F191">
        <v>285309117461.94629</v>
      </c>
      <c r="G191">
        <v>1</v>
      </c>
      <c r="H191">
        <v>285309117461.94629</v>
      </c>
      <c r="I191">
        <v>8.2592040828545912</v>
      </c>
      <c r="J191">
        <v>7.6552811269727334E-3</v>
      </c>
      <c r="K191">
        <v>4.195971818557763</v>
      </c>
    </row>
    <row r="192" spans="2:11" x14ac:dyDescent="0.2">
      <c r="E192" t="s">
        <v>57</v>
      </c>
      <c r="F192">
        <v>1002439854902.0376</v>
      </c>
      <c r="G192">
        <v>1</v>
      </c>
      <c r="H192">
        <v>1002439854902.0376</v>
      </c>
      <c r="I192">
        <v>29.018895070983316</v>
      </c>
      <c r="J192">
        <v>9.6394428155525437E-6</v>
      </c>
      <c r="K192">
        <v>4.195971818557763</v>
      </c>
    </row>
    <row r="193" spans="1:11" x14ac:dyDescent="0.2">
      <c r="E193" t="s">
        <v>51</v>
      </c>
      <c r="F193">
        <v>128833093351.88074</v>
      </c>
      <c r="G193">
        <v>1</v>
      </c>
      <c r="H193">
        <v>128833093351.88074</v>
      </c>
      <c r="I193">
        <v>3.7294945919860454</v>
      </c>
      <c r="J193">
        <v>6.3640376852231839E-2</v>
      </c>
      <c r="K193">
        <v>4.195971818557763</v>
      </c>
    </row>
    <row r="194" spans="1:11" x14ac:dyDescent="0.2">
      <c r="E194" t="s">
        <v>52</v>
      </c>
      <c r="F194">
        <v>967242752303.24768</v>
      </c>
      <c r="G194">
        <v>28</v>
      </c>
      <c r="H194">
        <v>34544384010.830276</v>
      </c>
    </row>
    <row r="196" spans="1:11" ht="17" thickBot="1" x14ac:dyDescent="0.25">
      <c r="E196" s="1" t="s">
        <v>29</v>
      </c>
      <c r="F196" s="1">
        <v>2383824818019.1123</v>
      </c>
      <c r="G196" s="1">
        <v>31</v>
      </c>
      <c r="H196" s="1"/>
      <c r="I196" s="1"/>
      <c r="J196" s="1"/>
      <c r="K196" s="1"/>
    </row>
    <row r="197" spans="1:11" x14ac:dyDescent="0.2">
      <c r="A197" t="s">
        <v>72</v>
      </c>
    </row>
    <row r="198" spans="1:11" x14ac:dyDescent="0.2">
      <c r="A198" t="s">
        <v>71</v>
      </c>
      <c r="B198" t="s">
        <v>65</v>
      </c>
      <c r="C198" t="s">
        <v>66</v>
      </c>
    </row>
    <row r="199" spans="1:11" x14ac:dyDescent="0.2">
      <c r="A199">
        <v>10</v>
      </c>
      <c r="B199">
        <v>-44917.53925808701</v>
      </c>
      <c r="C199">
        <v>229121.20948382499</v>
      </c>
      <c r="E199" t="s">
        <v>48</v>
      </c>
    </row>
    <row r="200" spans="1:11" x14ac:dyDescent="0.2">
      <c r="B200">
        <v>197267.63140186699</v>
      </c>
      <c r="C200">
        <v>713491.55080373096</v>
      </c>
    </row>
    <row r="201" spans="1:11" x14ac:dyDescent="0.2">
      <c r="B201">
        <v>23823.296777059975</v>
      </c>
      <c r="C201">
        <v>366602.88155411999</v>
      </c>
      <c r="E201" t="s">
        <v>31</v>
      </c>
      <c r="F201" t="s">
        <v>65</v>
      </c>
      <c r="G201" t="s">
        <v>66</v>
      </c>
      <c r="H201" t="s">
        <v>29</v>
      </c>
    </row>
    <row r="202" spans="1:11" ht="17" thickBot="1" x14ac:dyDescent="0.25">
      <c r="B202">
        <v>225194.33005721797</v>
      </c>
      <c r="C202">
        <v>769344.94811443111</v>
      </c>
      <c r="E202" s="3">
        <v>10</v>
      </c>
      <c r="F202" s="3"/>
      <c r="G202" s="3"/>
      <c r="H202" s="3"/>
    </row>
    <row r="203" spans="1:11" x14ac:dyDescent="0.2">
      <c r="B203">
        <v>43560.153597672979</v>
      </c>
      <c r="C203">
        <v>406076.59519534599</v>
      </c>
      <c r="E203" t="s">
        <v>33</v>
      </c>
      <c r="F203">
        <v>8</v>
      </c>
      <c r="G203">
        <v>8</v>
      </c>
      <c r="H203">
        <v>16</v>
      </c>
    </row>
    <row r="204" spans="1:11" x14ac:dyDescent="0.2">
      <c r="B204">
        <v>233350.60665412195</v>
      </c>
      <c r="C204">
        <v>762874.9093082411</v>
      </c>
      <c r="E204" t="s">
        <v>34</v>
      </c>
      <c r="F204">
        <v>906334.78534810874</v>
      </c>
      <c r="G204">
        <v>4341537.2826961977</v>
      </c>
      <c r="H204">
        <v>5247872.0680443067</v>
      </c>
    </row>
    <row r="205" spans="1:11" x14ac:dyDescent="0.2">
      <c r="B205">
        <v>13498.223852550984</v>
      </c>
      <c r="C205">
        <v>323170.14370510203</v>
      </c>
      <c r="E205" t="s">
        <v>35</v>
      </c>
      <c r="F205">
        <v>113291.84816851359</v>
      </c>
      <c r="G205">
        <v>542692.16033702472</v>
      </c>
      <c r="H205">
        <v>327992.00425276917</v>
      </c>
    </row>
    <row r="206" spans="1:11" x14ac:dyDescent="0.2">
      <c r="B206">
        <v>214558.08226570502</v>
      </c>
      <c r="C206">
        <v>770855.04453140101</v>
      </c>
      <c r="E206" t="s">
        <v>36</v>
      </c>
      <c r="F206">
        <v>13157023131.380243</v>
      </c>
      <c r="G206">
        <v>53895795200.839287</v>
      </c>
      <c r="H206">
        <v>80460549379.146439</v>
      </c>
    </row>
    <row r="207" spans="1:11" x14ac:dyDescent="0.2">
      <c r="A207">
        <v>30</v>
      </c>
      <c r="B207">
        <v>-131216.66957200269</v>
      </c>
      <c r="C207">
        <v>64844.372534223337</v>
      </c>
    </row>
    <row r="208" spans="1:11" ht="17" thickBot="1" x14ac:dyDescent="0.25">
      <c r="B208">
        <v>-93058.082330487669</v>
      </c>
      <c r="C208">
        <v>108071.31856762333</v>
      </c>
      <c r="E208" s="3">
        <v>30</v>
      </c>
      <c r="F208" s="3"/>
      <c r="G208" s="3"/>
      <c r="H208" s="3"/>
    </row>
    <row r="209" spans="2:11" x14ac:dyDescent="0.2">
      <c r="B209">
        <v>-140439.81744984034</v>
      </c>
      <c r="C209">
        <v>36440.199961776656</v>
      </c>
      <c r="E209" t="s">
        <v>33</v>
      </c>
      <c r="F209">
        <v>8</v>
      </c>
      <c r="G209">
        <v>8</v>
      </c>
      <c r="H209">
        <v>16</v>
      </c>
    </row>
    <row r="210" spans="2:11" x14ac:dyDescent="0.2">
      <c r="B210">
        <v>-101113.89040273335</v>
      </c>
      <c r="C210">
        <v>80236.996887393354</v>
      </c>
      <c r="E210" t="s">
        <v>34</v>
      </c>
      <c r="F210">
        <v>-902206.43539116101</v>
      </c>
      <c r="G210">
        <v>486327.50636071723</v>
      </c>
      <c r="H210">
        <v>-415878.92903044366</v>
      </c>
    </row>
    <row r="211" spans="2:11" x14ac:dyDescent="0.2">
      <c r="B211">
        <v>-145349.38692581063</v>
      </c>
      <c r="C211">
        <v>-56318.264368901342</v>
      </c>
      <c r="E211" t="s">
        <v>35</v>
      </c>
      <c r="F211">
        <v>-112775.80442389513</v>
      </c>
      <c r="G211">
        <v>60790.938295089654</v>
      </c>
      <c r="H211">
        <v>-25992.433064402729</v>
      </c>
    </row>
    <row r="212" spans="2:11" x14ac:dyDescent="0.2">
      <c r="B212">
        <v>-22521.027944005655</v>
      </c>
      <c r="C212">
        <v>-3800.0394051047042</v>
      </c>
      <c r="E212" t="s">
        <v>36</v>
      </c>
      <c r="F212">
        <v>1680043319.1349444</v>
      </c>
      <c r="G212">
        <v>6030680354.8028955</v>
      </c>
      <c r="H212">
        <v>11631781495.325195</v>
      </c>
    </row>
    <row r="213" spans="2:11" x14ac:dyDescent="0.2">
      <c r="B213">
        <v>-134792.96939857129</v>
      </c>
      <c r="C213">
        <v>51108.602524846669</v>
      </c>
    </row>
    <row r="214" spans="2:11" ht="17" thickBot="1" x14ac:dyDescent="0.25">
      <c r="B214">
        <v>-133714.59136770933</v>
      </c>
      <c r="C214">
        <v>205744.31965886001</v>
      </c>
      <c r="E214" s="3" t="s">
        <v>29</v>
      </c>
      <c r="F214" s="3"/>
      <c r="G214" s="3"/>
      <c r="H214" s="3"/>
    </row>
    <row r="215" spans="2:11" x14ac:dyDescent="0.2">
      <c r="E215" t="s">
        <v>33</v>
      </c>
      <c r="F215">
        <v>16</v>
      </c>
      <c r="G215">
        <v>16</v>
      </c>
    </row>
    <row r="216" spans="2:11" x14ac:dyDescent="0.2">
      <c r="E216" t="s">
        <v>34</v>
      </c>
      <c r="F216">
        <v>4128.3499569477281</v>
      </c>
      <c r="G216">
        <v>4827864.7890569149</v>
      </c>
    </row>
    <row r="217" spans="2:11" x14ac:dyDescent="0.2">
      <c r="E217" t="s">
        <v>35</v>
      </c>
      <c r="F217">
        <v>258.021872309233</v>
      </c>
      <c r="G217">
        <v>301741.54931605718</v>
      </c>
    </row>
    <row r="218" spans="2:11" x14ac:dyDescent="0.2">
      <c r="E218" t="s">
        <v>36</v>
      </c>
      <c r="F218">
        <v>20552386623.21162</v>
      </c>
      <c r="G218">
        <v>89893365340.76918</v>
      </c>
    </row>
    <row r="221" spans="2:11" ht="17" thickBot="1" x14ac:dyDescent="0.25">
      <c r="E221" t="s">
        <v>37</v>
      </c>
    </row>
    <row r="222" spans="2:11" x14ac:dyDescent="0.2">
      <c r="E222" s="2" t="s">
        <v>38</v>
      </c>
      <c r="F222" s="2" t="s">
        <v>39</v>
      </c>
      <c r="G222" s="2" t="s">
        <v>40</v>
      </c>
      <c r="H222" s="2" t="s">
        <v>41</v>
      </c>
      <c r="I222" s="2" t="s">
        <v>42</v>
      </c>
      <c r="J222" s="2" t="s">
        <v>43</v>
      </c>
      <c r="K222" s="2" t="s">
        <v>44</v>
      </c>
    </row>
    <row r="223" spans="2:11" x14ac:dyDescent="0.2">
      <c r="E223" t="s">
        <v>73</v>
      </c>
      <c r="F223">
        <v>1002439854902.0388</v>
      </c>
      <c r="G223">
        <v>1</v>
      </c>
      <c r="H223">
        <v>1002439854902.0388</v>
      </c>
      <c r="I223">
        <v>53.632550197767678</v>
      </c>
      <c r="J223">
        <v>5.6565650345736395E-8</v>
      </c>
      <c r="K223">
        <v>4.195971818557763</v>
      </c>
    </row>
    <row r="224" spans="2:11" x14ac:dyDescent="0.2">
      <c r="E224" t="s">
        <v>74</v>
      </c>
      <c r="F224">
        <v>727138538559.40063</v>
      </c>
      <c r="G224">
        <v>1</v>
      </c>
      <c r="H224">
        <v>727138538559.40063</v>
      </c>
      <c r="I224">
        <v>38.903375578407648</v>
      </c>
      <c r="J224">
        <v>9.6886027270944498E-7</v>
      </c>
      <c r="K224">
        <v>4.195971818557763</v>
      </c>
    </row>
    <row r="225" spans="5:11" x14ac:dyDescent="0.2">
      <c r="E225" t="s">
        <v>51</v>
      </c>
      <c r="F225">
        <v>130901630514.57117</v>
      </c>
      <c r="G225">
        <v>1</v>
      </c>
      <c r="H225">
        <v>130901630514.57117</v>
      </c>
      <c r="I225">
        <v>7.0035007439208874</v>
      </c>
      <c r="J225">
        <v>1.3198660298072434E-2</v>
      </c>
      <c r="K225">
        <v>4.195971818557763</v>
      </c>
    </row>
    <row r="226" spans="5:11" x14ac:dyDescent="0.2">
      <c r="E226" t="s">
        <v>52</v>
      </c>
      <c r="F226">
        <v>523344794043.10266</v>
      </c>
      <c r="G226">
        <v>28</v>
      </c>
      <c r="H226">
        <v>18690885501.539379</v>
      </c>
    </row>
    <row r="228" spans="5:11" ht="17" thickBot="1" x14ac:dyDescent="0.25">
      <c r="E228" s="1" t="s">
        <v>29</v>
      </c>
      <c r="F228" s="1">
        <v>2383824818019.1133</v>
      </c>
      <c r="G228" s="1">
        <v>31</v>
      </c>
      <c r="H228" s="1"/>
      <c r="I228" s="1"/>
      <c r="J228" s="1"/>
      <c r="K228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D39"/>
  <sheetViews>
    <sheetView topLeftCell="A22" workbookViewId="0">
      <selection activeCell="AL10" sqref="AL10"/>
    </sheetView>
  </sheetViews>
  <sheetFormatPr baseColWidth="10" defaultRowHeight="16" x14ac:dyDescent="0.2"/>
  <cols>
    <col min="16" max="16" width="13.1640625" bestFit="1" customWidth="1"/>
  </cols>
  <sheetData>
    <row r="1" spans="1:30" x14ac:dyDescent="0.2">
      <c r="A1" t="s">
        <v>75</v>
      </c>
      <c r="B1" t="s">
        <v>21</v>
      </c>
      <c r="C1" t="s">
        <v>4</v>
      </c>
      <c r="E1" t="s">
        <v>75</v>
      </c>
      <c r="F1" t="s">
        <v>4</v>
      </c>
      <c r="G1" t="s">
        <v>5</v>
      </c>
      <c r="H1" t="s">
        <v>21</v>
      </c>
      <c r="O1" t="s">
        <v>75</v>
      </c>
      <c r="P1" t="s">
        <v>5</v>
      </c>
      <c r="Q1" t="s">
        <v>19</v>
      </c>
      <c r="Z1" t="s">
        <v>75</v>
      </c>
      <c r="AA1" t="s">
        <v>5</v>
      </c>
      <c r="AB1" t="s">
        <v>6</v>
      </c>
      <c r="AC1" t="s">
        <v>7</v>
      </c>
      <c r="AD1" t="s">
        <v>19</v>
      </c>
    </row>
    <row r="2" spans="1:30" x14ac:dyDescent="0.2">
      <c r="A2" t="s">
        <v>123</v>
      </c>
      <c r="B2">
        <v>0</v>
      </c>
      <c r="C2">
        <v>15</v>
      </c>
      <c r="E2" t="s">
        <v>171</v>
      </c>
      <c r="F2">
        <v>30</v>
      </c>
      <c r="G2">
        <v>30</v>
      </c>
      <c r="H2">
        <v>0</v>
      </c>
      <c r="O2" t="s">
        <v>195</v>
      </c>
      <c r="P2">
        <v>10</v>
      </c>
      <c r="Q2">
        <v>-18344203.504127599</v>
      </c>
      <c r="Z2" t="s">
        <v>252</v>
      </c>
      <c r="AA2">
        <v>30</v>
      </c>
      <c r="AB2">
        <v>90.12</v>
      </c>
      <c r="AC2">
        <v>98.7</v>
      </c>
      <c r="AD2">
        <v>16087205.5488762</v>
      </c>
    </row>
    <row r="3" spans="1:30" x14ac:dyDescent="0.2">
      <c r="A3" t="s">
        <v>124</v>
      </c>
      <c r="B3">
        <v>0</v>
      </c>
      <c r="C3">
        <v>15</v>
      </c>
      <c r="E3" t="s">
        <v>172</v>
      </c>
      <c r="F3">
        <v>30</v>
      </c>
      <c r="G3">
        <v>30</v>
      </c>
      <c r="H3">
        <v>0</v>
      </c>
      <c r="O3" t="s">
        <v>196</v>
      </c>
      <c r="P3">
        <v>10</v>
      </c>
      <c r="Q3">
        <v>-17400718.0542183</v>
      </c>
      <c r="Z3" t="s">
        <v>253</v>
      </c>
      <c r="AA3">
        <v>30</v>
      </c>
      <c r="AB3">
        <v>90.12</v>
      </c>
      <c r="AC3">
        <v>98.7</v>
      </c>
      <c r="AD3">
        <v>7829271.27338407</v>
      </c>
    </row>
    <row r="4" spans="1:30" x14ac:dyDescent="0.2">
      <c r="A4" t="s">
        <v>125</v>
      </c>
      <c r="B4">
        <v>0</v>
      </c>
      <c r="C4">
        <v>15</v>
      </c>
      <c r="E4" t="s">
        <v>173</v>
      </c>
      <c r="F4">
        <v>30</v>
      </c>
      <c r="G4">
        <v>30</v>
      </c>
      <c r="H4">
        <v>0</v>
      </c>
      <c r="O4" t="s">
        <v>197</v>
      </c>
      <c r="P4">
        <v>10</v>
      </c>
      <c r="Q4">
        <v>-17980638.827082999</v>
      </c>
      <c r="Z4" t="s">
        <v>254</v>
      </c>
      <c r="AA4">
        <v>30</v>
      </c>
      <c r="AB4">
        <v>90.12</v>
      </c>
      <c r="AC4">
        <v>98.7</v>
      </c>
      <c r="AD4">
        <v>19090546.030836798</v>
      </c>
    </row>
    <row r="5" spans="1:30" x14ac:dyDescent="0.2">
      <c r="A5" t="s">
        <v>126</v>
      </c>
      <c r="B5">
        <v>0</v>
      </c>
      <c r="C5">
        <v>15</v>
      </c>
      <c r="E5" t="s">
        <v>174</v>
      </c>
      <c r="F5">
        <v>30</v>
      </c>
      <c r="G5">
        <v>30</v>
      </c>
      <c r="H5">
        <v>0</v>
      </c>
      <c r="O5" t="s">
        <v>198</v>
      </c>
      <c r="P5">
        <v>10</v>
      </c>
      <c r="Q5">
        <v>-17933897.217544898</v>
      </c>
      <c r="Z5" t="s">
        <v>255</v>
      </c>
      <c r="AA5">
        <v>30</v>
      </c>
      <c r="AB5">
        <v>90.12</v>
      </c>
      <c r="AC5">
        <v>98.7</v>
      </c>
      <c r="AD5">
        <v>8001819.4625559598</v>
      </c>
    </row>
    <row r="6" spans="1:30" ht="17" x14ac:dyDescent="0.2">
      <c r="A6" t="s">
        <v>128</v>
      </c>
      <c r="B6">
        <v>0</v>
      </c>
      <c r="C6">
        <v>15</v>
      </c>
      <c r="E6" t="s">
        <v>175</v>
      </c>
      <c r="F6">
        <v>30</v>
      </c>
      <c r="G6">
        <v>30</v>
      </c>
      <c r="H6">
        <v>0</v>
      </c>
      <c r="O6" s="5" t="s">
        <v>199</v>
      </c>
      <c r="P6">
        <v>10</v>
      </c>
      <c r="Q6">
        <v>-18475187.509085301</v>
      </c>
      <c r="Z6" t="s">
        <v>256</v>
      </c>
      <c r="AA6">
        <v>30</v>
      </c>
      <c r="AB6">
        <v>90.12</v>
      </c>
      <c r="AC6">
        <v>98.7</v>
      </c>
      <c r="AD6">
        <v>8876119.7743770704</v>
      </c>
    </row>
    <row r="7" spans="1:30" x14ac:dyDescent="0.2">
      <c r="A7" t="s">
        <v>127</v>
      </c>
      <c r="B7">
        <v>0</v>
      </c>
      <c r="C7">
        <v>15</v>
      </c>
      <c r="E7" t="s">
        <v>176</v>
      </c>
      <c r="F7">
        <v>30</v>
      </c>
      <c r="G7">
        <v>30</v>
      </c>
      <c r="H7">
        <v>0</v>
      </c>
      <c r="O7" t="s">
        <v>200</v>
      </c>
      <c r="P7">
        <v>10</v>
      </c>
      <c r="Q7">
        <v>-19846921.689263899</v>
      </c>
      <c r="Z7" t="s">
        <v>257</v>
      </c>
      <c r="AA7">
        <v>30</v>
      </c>
      <c r="AB7">
        <v>90.12</v>
      </c>
      <c r="AC7">
        <v>98.7</v>
      </c>
      <c r="AD7">
        <v>7478490.4531686101</v>
      </c>
    </row>
    <row r="8" spans="1:30" x14ac:dyDescent="0.2">
      <c r="A8" t="s">
        <v>129</v>
      </c>
      <c r="B8">
        <v>0</v>
      </c>
      <c r="C8">
        <v>15</v>
      </c>
      <c r="E8" t="s">
        <v>194</v>
      </c>
      <c r="F8">
        <v>30</v>
      </c>
      <c r="G8">
        <v>30</v>
      </c>
      <c r="H8">
        <v>0</v>
      </c>
      <c r="O8" t="s">
        <v>201</v>
      </c>
      <c r="P8">
        <v>10</v>
      </c>
      <c r="Q8">
        <v>-18224713.245310701</v>
      </c>
      <c r="Z8" t="s">
        <v>258</v>
      </c>
      <c r="AA8">
        <v>30</v>
      </c>
      <c r="AB8">
        <v>90.12</v>
      </c>
      <c r="AC8">
        <v>98.7</v>
      </c>
      <c r="AD8">
        <v>11203115.6601393</v>
      </c>
    </row>
    <row r="9" spans="1:30" x14ac:dyDescent="0.2">
      <c r="A9" t="s">
        <v>131</v>
      </c>
      <c r="B9">
        <v>0</v>
      </c>
      <c r="C9">
        <v>15</v>
      </c>
      <c r="E9" s="4" t="s">
        <v>177</v>
      </c>
      <c r="F9" s="4">
        <v>30</v>
      </c>
      <c r="G9" s="4">
        <v>30</v>
      </c>
      <c r="H9" s="4">
        <v>0</v>
      </c>
      <c r="O9" t="s">
        <v>202</v>
      </c>
      <c r="P9">
        <v>10</v>
      </c>
      <c r="Q9">
        <v>-15464605.880899699</v>
      </c>
      <c r="Z9" s="4" t="s">
        <v>259</v>
      </c>
      <c r="AA9" s="4">
        <v>30</v>
      </c>
      <c r="AB9" s="4">
        <v>90.12</v>
      </c>
      <c r="AC9" s="4">
        <v>98.7</v>
      </c>
      <c r="AD9" s="4">
        <v>11695457.623707499</v>
      </c>
    </row>
    <row r="10" spans="1:30" x14ac:dyDescent="0.2">
      <c r="A10" t="s">
        <v>130</v>
      </c>
      <c r="B10">
        <v>0</v>
      </c>
      <c r="C10">
        <v>15</v>
      </c>
      <c r="E10" t="s">
        <v>163</v>
      </c>
      <c r="F10">
        <v>30</v>
      </c>
      <c r="G10">
        <v>10</v>
      </c>
      <c r="H10">
        <v>58709.1250899999</v>
      </c>
      <c r="O10" t="s">
        <v>203</v>
      </c>
      <c r="P10">
        <v>10</v>
      </c>
      <c r="Q10">
        <v>-7824259.4077669401</v>
      </c>
      <c r="Z10" t="s">
        <v>236</v>
      </c>
      <c r="AA10">
        <v>30</v>
      </c>
      <c r="AB10">
        <v>45.06</v>
      </c>
      <c r="AC10">
        <v>49.35</v>
      </c>
      <c r="AD10">
        <v>-9995948.2531276699</v>
      </c>
    </row>
    <row r="11" spans="1:30" x14ac:dyDescent="0.2">
      <c r="A11" t="s">
        <v>132</v>
      </c>
      <c r="B11">
        <v>0</v>
      </c>
      <c r="C11">
        <v>15</v>
      </c>
      <c r="E11" t="s">
        <v>164</v>
      </c>
      <c r="F11">
        <v>30</v>
      </c>
      <c r="G11">
        <v>10</v>
      </c>
      <c r="H11">
        <v>58709.125090000001</v>
      </c>
      <c r="O11" t="s">
        <v>204</v>
      </c>
      <c r="P11">
        <v>10</v>
      </c>
      <c r="Q11">
        <v>-1415881.9497326899</v>
      </c>
      <c r="Z11" t="s">
        <v>237</v>
      </c>
      <c r="AA11">
        <v>30</v>
      </c>
      <c r="AB11">
        <v>45.06</v>
      </c>
      <c r="AC11">
        <v>49.35</v>
      </c>
      <c r="AD11">
        <v>-21271591.610757701</v>
      </c>
    </row>
    <row r="12" spans="1:30" x14ac:dyDescent="0.2">
      <c r="A12" t="s">
        <v>134</v>
      </c>
      <c r="B12">
        <v>0</v>
      </c>
      <c r="C12">
        <v>15</v>
      </c>
      <c r="E12" t="s">
        <v>165</v>
      </c>
      <c r="F12">
        <v>30</v>
      </c>
      <c r="G12">
        <v>10</v>
      </c>
      <c r="H12">
        <v>0</v>
      </c>
      <c r="O12" t="s">
        <v>205</v>
      </c>
      <c r="P12">
        <v>10</v>
      </c>
      <c r="Q12">
        <v>-6696047.13591504</v>
      </c>
      <c r="Z12" t="s">
        <v>238</v>
      </c>
      <c r="AA12">
        <v>30</v>
      </c>
      <c r="AB12">
        <v>45.06</v>
      </c>
      <c r="AC12">
        <v>49.35</v>
      </c>
      <c r="AD12">
        <v>-8739379.7214922309</v>
      </c>
    </row>
    <row r="13" spans="1:30" x14ac:dyDescent="0.2">
      <c r="A13" t="s">
        <v>133</v>
      </c>
      <c r="B13">
        <v>0</v>
      </c>
      <c r="C13">
        <v>15</v>
      </c>
      <c r="E13" t="s">
        <v>166</v>
      </c>
      <c r="F13">
        <v>30</v>
      </c>
      <c r="G13">
        <v>10</v>
      </c>
      <c r="H13">
        <v>8387.0178699999997</v>
      </c>
      <c r="O13" t="s">
        <v>206</v>
      </c>
      <c r="P13">
        <v>10</v>
      </c>
      <c r="Q13">
        <v>-3430173.6580720502</v>
      </c>
      <c r="Z13" t="s">
        <v>239</v>
      </c>
      <c r="AA13">
        <v>30</v>
      </c>
      <c r="AB13">
        <v>45.06</v>
      </c>
      <c r="AC13">
        <v>49.35</v>
      </c>
      <c r="AD13">
        <v>-20088610.378621601</v>
      </c>
    </row>
    <row r="14" spans="1:30" x14ac:dyDescent="0.2">
      <c r="A14" t="s">
        <v>135</v>
      </c>
      <c r="B14">
        <v>0</v>
      </c>
      <c r="C14">
        <v>15</v>
      </c>
      <c r="E14" t="s">
        <v>167</v>
      </c>
      <c r="F14">
        <v>30</v>
      </c>
      <c r="G14">
        <v>10</v>
      </c>
      <c r="H14">
        <v>58709.1250899999</v>
      </c>
      <c r="O14" t="s">
        <v>207</v>
      </c>
      <c r="P14">
        <v>10</v>
      </c>
      <c r="Q14">
        <v>-6325848.0947655402</v>
      </c>
      <c r="Z14" t="s">
        <v>240</v>
      </c>
      <c r="AA14">
        <v>30</v>
      </c>
      <c r="AB14">
        <v>45.06</v>
      </c>
      <c r="AC14">
        <v>49.35</v>
      </c>
      <c r="AD14">
        <v>-10957125.6567099</v>
      </c>
    </row>
    <row r="15" spans="1:30" x14ac:dyDescent="0.2">
      <c r="A15" t="s">
        <v>136</v>
      </c>
      <c r="B15">
        <v>0</v>
      </c>
      <c r="C15">
        <v>15</v>
      </c>
      <c r="E15" t="s">
        <v>168</v>
      </c>
      <c r="F15">
        <v>30</v>
      </c>
      <c r="G15">
        <v>10</v>
      </c>
      <c r="H15">
        <v>58709.125090000001</v>
      </c>
      <c r="O15" t="s">
        <v>208</v>
      </c>
      <c r="P15">
        <v>10</v>
      </c>
      <c r="Q15">
        <v>-4281703.1739495499</v>
      </c>
      <c r="Z15" t="s">
        <v>241</v>
      </c>
      <c r="AA15">
        <v>30</v>
      </c>
      <c r="AB15">
        <v>45.06</v>
      </c>
      <c r="AC15">
        <v>49.35</v>
      </c>
      <c r="AD15">
        <v>-19298058.711867299</v>
      </c>
    </row>
    <row r="16" spans="1:30" x14ac:dyDescent="0.2">
      <c r="A16" t="s">
        <v>137</v>
      </c>
      <c r="B16">
        <v>0</v>
      </c>
      <c r="C16">
        <v>15</v>
      </c>
      <c r="E16" t="s">
        <v>169</v>
      </c>
      <c r="F16">
        <v>30</v>
      </c>
      <c r="G16">
        <v>10</v>
      </c>
      <c r="H16">
        <v>0</v>
      </c>
      <c r="O16" t="s">
        <v>209</v>
      </c>
      <c r="P16">
        <v>10</v>
      </c>
      <c r="Q16">
        <v>-5713233.9113545902</v>
      </c>
      <c r="Z16" t="s">
        <v>242</v>
      </c>
      <c r="AA16">
        <v>30</v>
      </c>
      <c r="AB16">
        <v>45.06</v>
      </c>
      <c r="AC16">
        <v>49.35</v>
      </c>
      <c r="AD16">
        <v>-13623563.6931441</v>
      </c>
    </row>
    <row r="17" spans="1:30" x14ac:dyDescent="0.2">
      <c r="A17" t="s">
        <v>138</v>
      </c>
      <c r="B17">
        <v>0</v>
      </c>
      <c r="C17">
        <v>15</v>
      </c>
      <c r="E17" t="s">
        <v>170</v>
      </c>
      <c r="F17">
        <v>30</v>
      </c>
      <c r="G17">
        <v>10</v>
      </c>
      <c r="H17">
        <v>8387.0178699999997</v>
      </c>
      <c r="O17" t="s">
        <v>210</v>
      </c>
      <c r="P17">
        <v>10</v>
      </c>
      <c r="Q17">
        <v>998441.51873332204</v>
      </c>
      <c r="Z17" t="s">
        <v>243</v>
      </c>
      <c r="AA17">
        <v>30</v>
      </c>
      <c r="AB17">
        <v>45.06</v>
      </c>
      <c r="AC17">
        <v>49.35</v>
      </c>
      <c r="AD17">
        <v>-20695413.004154898</v>
      </c>
    </row>
    <row r="18" spans="1:30" x14ac:dyDescent="0.2">
      <c r="A18" t="s">
        <v>139</v>
      </c>
      <c r="B18">
        <v>0</v>
      </c>
      <c r="C18">
        <v>15</v>
      </c>
      <c r="E18" t="s">
        <v>186</v>
      </c>
      <c r="F18">
        <v>15</v>
      </c>
      <c r="G18">
        <v>30</v>
      </c>
      <c r="H18">
        <v>0</v>
      </c>
      <c r="O18" t="s">
        <v>211</v>
      </c>
      <c r="P18">
        <v>30</v>
      </c>
      <c r="Q18">
        <v>-9995948.2531276699</v>
      </c>
      <c r="Z18" t="s">
        <v>244</v>
      </c>
      <c r="AA18">
        <v>10</v>
      </c>
      <c r="AB18">
        <v>90.12</v>
      </c>
      <c r="AC18">
        <v>98.7</v>
      </c>
      <c r="AD18">
        <v>-7824259.4077669401</v>
      </c>
    </row>
    <row r="19" spans="1:30" x14ac:dyDescent="0.2">
      <c r="A19" t="s">
        <v>140</v>
      </c>
      <c r="B19">
        <v>0</v>
      </c>
      <c r="C19">
        <v>15</v>
      </c>
      <c r="E19" t="s">
        <v>187</v>
      </c>
      <c r="F19">
        <v>15</v>
      </c>
      <c r="G19">
        <v>30</v>
      </c>
      <c r="H19">
        <v>0</v>
      </c>
      <c r="O19" t="s">
        <v>212</v>
      </c>
      <c r="P19">
        <v>30</v>
      </c>
      <c r="Q19">
        <v>-21271591.610757701</v>
      </c>
      <c r="Z19" t="s">
        <v>245</v>
      </c>
      <c r="AA19">
        <v>10</v>
      </c>
      <c r="AB19">
        <v>90.12</v>
      </c>
      <c r="AC19">
        <v>98.7</v>
      </c>
      <c r="AD19">
        <v>-1415881.9497326899</v>
      </c>
    </row>
    <row r="20" spans="1:30" x14ac:dyDescent="0.2">
      <c r="A20" t="s">
        <v>141</v>
      </c>
      <c r="B20">
        <v>0</v>
      </c>
      <c r="C20">
        <v>15</v>
      </c>
      <c r="E20" t="s">
        <v>188</v>
      </c>
      <c r="F20">
        <v>15</v>
      </c>
      <c r="G20">
        <v>30</v>
      </c>
      <c r="H20">
        <v>0</v>
      </c>
      <c r="O20" t="s">
        <v>213</v>
      </c>
      <c r="P20">
        <v>30</v>
      </c>
      <c r="Q20">
        <v>-8739379.7214922309</v>
      </c>
      <c r="Z20" t="s">
        <v>246</v>
      </c>
      <c r="AA20">
        <v>10</v>
      </c>
      <c r="AB20">
        <v>90.12</v>
      </c>
      <c r="AC20">
        <v>98.7</v>
      </c>
      <c r="AD20">
        <v>-6696047.13591504</v>
      </c>
    </row>
    <row r="21" spans="1:30" x14ac:dyDescent="0.2">
      <c r="A21" t="s">
        <v>142</v>
      </c>
      <c r="B21">
        <v>58709.1250899999</v>
      </c>
      <c r="C21">
        <v>30</v>
      </c>
      <c r="E21" t="s">
        <v>189</v>
      </c>
      <c r="F21">
        <v>15</v>
      </c>
      <c r="G21">
        <v>30</v>
      </c>
      <c r="H21">
        <v>0</v>
      </c>
      <c r="O21" t="s">
        <v>214</v>
      </c>
      <c r="P21">
        <v>30</v>
      </c>
      <c r="Q21">
        <v>-20088610.378621601</v>
      </c>
      <c r="Z21" t="s">
        <v>247</v>
      </c>
      <c r="AA21">
        <v>10</v>
      </c>
      <c r="AB21">
        <v>90.12</v>
      </c>
      <c r="AC21">
        <v>98.7</v>
      </c>
      <c r="AD21">
        <v>-3430173.6580720502</v>
      </c>
    </row>
    <row r="22" spans="1:30" x14ac:dyDescent="0.2">
      <c r="A22" t="s">
        <v>143</v>
      </c>
      <c r="B22">
        <v>58709.125090000001</v>
      </c>
      <c r="C22">
        <v>30</v>
      </c>
      <c r="E22" t="s">
        <v>190</v>
      </c>
      <c r="F22">
        <v>15</v>
      </c>
      <c r="G22">
        <v>30</v>
      </c>
      <c r="H22">
        <v>0</v>
      </c>
      <c r="O22" t="s">
        <v>215</v>
      </c>
      <c r="P22">
        <v>30</v>
      </c>
      <c r="Q22">
        <v>-10957125.6567099</v>
      </c>
      <c r="Z22" t="s">
        <v>248</v>
      </c>
      <c r="AA22">
        <v>10</v>
      </c>
      <c r="AB22">
        <v>90.12</v>
      </c>
      <c r="AC22">
        <v>98.7</v>
      </c>
      <c r="AD22">
        <v>-6325848.0947655402</v>
      </c>
    </row>
    <row r="23" spans="1:30" x14ac:dyDescent="0.2">
      <c r="A23" t="s">
        <v>144</v>
      </c>
      <c r="B23">
        <v>0</v>
      </c>
      <c r="C23">
        <v>30</v>
      </c>
      <c r="E23" t="s">
        <v>191</v>
      </c>
      <c r="F23">
        <v>15</v>
      </c>
      <c r="G23">
        <v>30</v>
      </c>
      <c r="H23">
        <v>0</v>
      </c>
      <c r="O23" t="s">
        <v>216</v>
      </c>
      <c r="P23">
        <v>30</v>
      </c>
      <c r="Q23">
        <v>-19298058.711867299</v>
      </c>
      <c r="Z23" t="s">
        <v>249</v>
      </c>
      <c r="AA23">
        <v>10</v>
      </c>
      <c r="AB23">
        <v>90.12</v>
      </c>
      <c r="AC23">
        <v>98.7</v>
      </c>
      <c r="AD23">
        <v>-4281703.1739495499</v>
      </c>
    </row>
    <row r="24" spans="1:30" x14ac:dyDescent="0.2">
      <c r="A24" t="s">
        <v>145</v>
      </c>
      <c r="B24">
        <v>8387.0178699999997</v>
      </c>
      <c r="C24">
        <v>30</v>
      </c>
      <c r="E24" t="s">
        <v>192</v>
      </c>
      <c r="F24">
        <v>15</v>
      </c>
      <c r="G24">
        <v>30</v>
      </c>
      <c r="H24">
        <v>0</v>
      </c>
      <c r="O24" t="s">
        <v>217</v>
      </c>
      <c r="P24">
        <v>30</v>
      </c>
      <c r="Q24">
        <v>-13623563.6931441</v>
      </c>
      <c r="Z24" t="s">
        <v>250</v>
      </c>
      <c r="AA24">
        <v>10</v>
      </c>
      <c r="AB24">
        <v>90.12</v>
      </c>
      <c r="AC24">
        <v>98.7</v>
      </c>
      <c r="AD24">
        <v>-5713233.9113545902</v>
      </c>
    </row>
    <row r="25" spans="1:30" x14ac:dyDescent="0.2">
      <c r="A25" t="s">
        <v>146</v>
      </c>
      <c r="B25">
        <v>0</v>
      </c>
      <c r="C25">
        <v>30</v>
      </c>
      <c r="E25" t="s">
        <v>193</v>
      </c>
      <c r="F25">
        <v>15</v>
      </c>
      <c r="G25">
        <v>30</v>
      </c>
      <c r="H25">
        <v>0</v>
      </c>
      <c r="O25" t="s">
        <v>218</v>
      </c>
      <c r="P25">
        <v>30</v>
      </c>
      <c r="Q25">
        <v>-20695413.004154898</v>
      </c>
      <c r="Z25" t="s">
        <v>251</v>
      </c>
      <c r="AA25">
        <v>10</v>
      </c>
      <c r="AB25">
        <v>90.12</v>
      </c>
      <c r="AC25">
        <v>98.7</v>
      </c>
      <c r="AD25">
        <v>998441.51873332204</v>
      </c>
    </row>
    <row r="26" spans="1:30" x14ac:dyDescent="0.2">
      <c r="A26" t="s">
        <v>147</v>
      </c>
      <c r="B26">
        <v>0</v>
      </c>
      <c r="C26">
        <v>30</v>
      </c>
      <c r="E26" t="s">
        <v>178</v>
      </c>
      <c r="F26">
        <v>15</v>
      </c>
      <c r="G26">
        <v>10</v>
      </c>
      <c r="H26">
        <v>0</v>
      </c>
      <c r="O26" t="s">
        <v>219</v>
      </c>
      <c r="P26">
        <v>30</v>
      </c>
      <c r="Q26">
        <v>16087205.5488762</v>
      </c>
      <c r="Z26" t="s">
        <v>228</v>
      </c>
      <c r="AA26">
        <v>10</v>
      </c>
      <c r="AB26">
        <v>45.06</v>
      </c>
      <c r="AC26">
        <v>49.35</v>
      </c>
      <c r="AD26">
        <v>-18344203.504127599</v>
      </c>
    </row>
    <row r="27" spans="1:30" x14ac:dyDescent="0.2">
      <c r="A27" t="s">
        <v>148</v>
      </c>
      <c r="B27">
        <v>0</v>
      </c>
      <c r="C27">
        <v>30</v>
      </c>
      <c r="E27" t="s">
        <v>179</v>
      </c>
      <c r="F27">
        <v>15</v>
      </c>
      <c r="G27">
        <v>10</v>
      </c>
      <c r="H27">
        <v>0</v>
      </c>
      <c r="O27" t="s">
        <v>220</v>
      </c>
      <c r="P27">
        <v>30</v>
      </c>
      <c r="Q27">
        <v>7829271.27338407</v>
      </c>
      <c r="Z27" t="s">
        <v>229</v>
      </c>
      <c r="AA27">
        <v>10</v>
      </c>
      <c r="AB27">
        <v>45.06</v>
      </c>
      <c r="AC27">
        <v>49.35</v>
      </c>
      <c r="AD27">
        <v>-17400718.0542183</v>
      </c>
    </row>
    <row r="28" spans="1:30" x14ac:dyDescent="0.2">
      <c r="A28" t="s">
        <v>149</v>
      </c>
      <c r="B28">
        <v>0</v>
      </c>
      <c r="C28">
        <v>30</v>
      </c>
      <c r="E28" t="s">
        <v>180</v>
      </c>
      <c r="F28">
        <v>15</v>
      </c>
      <c r="G28">
        <v>10</v>
      </c>
      <c r="H28">
        <v>0</v>
      </c>
      <c r="O28" t="s">
        <v>221</v>
      </c>
      <c r="P28">
        <v>30</v>
      </c>
      <c r="Q28">
        <v>19090546.030836798</v>
      </c>
      <c r="Z28" t="s">
        <v>230</v>
      </c>
      <c r="AA28">
        <v>10</v>
      </c>
      <c r="AB28">
        <v>45.06</v>
      </c>
      <c r="AC28">
        <v>49.35</v>
      </c>
      <c r="AD28">
        <v>-17980638.827082999</v>
      </c>
    </row>
    <row r="29" spans="1:30" x14ac:dyDescent="0.2">
      <c r="A29" t="s">
        <v>150</v>
      </c>
      <c r="B29">
        <v>4193.5089349999998</v>
      </c>
      <c r="C29">
        <v>30</v>
      </c>
      <c r="E29" t="s">
        <v>181</v>
      </c>
      <c r="F29">
        <v>15</v>
      </c>
      <c r="G29">
        <v>10</v>
      </c>
      <c r="H29">
        <v>0</v>
      </c>
      <c r="O29" t="s">
        <v>222</v>
      </c>
      <c r="P29">
        <v>30</v>
      </c>
      <c r="Q29">
        <v>8001819.4625559598</v>
      </c>
      <c r="Z29" t="s">
        <v>231</v>
      </c>
      <c r="AA29">
        <v>10</v>
      </c>
      <c r="AB29">
        <v>45.06</v>
      </c>
      <c r="AC29">
        <v>49.35</v>
      </c>
      <c r="AD29">
        <v>-17933897.217544898</v>
      </c>
    </row>
    <row r="30" spans="1:30" x14ac:dyDescent="0.2">
      <c r="A30" t="s">
        <v>151</v>
      </c>
      <c r="B30">
        <v>8387.0178699999997</v>
      </c>
      <c r="C30">
        <v>30</v>
      </c>
      <c r="E30" t="s">
        <v>182</v>
      </c>
      <c r="F30">
        <v>15</v>
      </c>
      <c r="G30">
        <v>10</v>
      </c>
      <c r="H30">
        <v>0</v>
      </c>
      <c r="O30" t="s">
        <v>223</v>
      </c>
      <c r="P30">
        <v>30</v>
      </c>
      <c r="Q30">
        <v>8876119.7743770704</v>
      </c>
      <c r="Z30" t="s">
        <v>232</v>
      </c>
      <c r="AA30">
        <v>10</v>
      </c>
      <c r="AB30">
        <v>45.06</v>
      </c>
      <c r="AC30">
        <v>49.35</v>
      </c>
      <c r="AD30">
        <v>-18475187.509085301</v>
      </c>
    </row>
    <row r="31" spans="1:30" x14ac:dyDescent="0.2">
      <c r="A31" t="s">
        <v>152</v>
      </c>
      <c r="B31">
        <v>12580.526805</v>
      </c>
      <c r="C31">
        <v>30</v>
      </c>
      <c r="E31" t="s">
        <v>183</v>
      </c>
      <c r="F31">
        <v>15</v>
      </c>
      <c r="G31">
        <v>10</v>
      </c>
      <c r="H31">
        <v>0</v>
      </c>
      <c r="O31" t="s">
        <v>224</v>
      </c>
      <c r="P31">
        <v>30</v>
      </c>
      <c r="Q31">
        <v>7478490.4531686101</v>
      </c>
      <c r="Z31" t="s">
        <v>233</v>
      </c>
      <c r="AA31">
        <v>10</v>
      </c>
      <c r="AB31">
        <v>45.06</v>
      </c>
      <c r="AC31">
        <v>49.35</v>
      </c>
      <c r="AD31">
        <v>-19846921.689263899</v>
      </c>
    </row>
    <row r="32" spans="1:30" x14ac:dyDescent="0.2">
      <c r="A32" t="s">
        <v>153</v>
      </c>
      <c r="B32">
        <v>58709.1250899999</v>
      </c>
      <c r="C32">
        <v>30</v>
      </c>
      <c r="E32" t="s">
        <v>184</v>
      </c>
      <c r="F32">
        <v>15</v>
      </c>
      <c r="G32">
        <v>10</v>
      </c>
      <c r="H32">
        <v>0</v>
      </c>
      <c r="O32" t="s">
        <v>225</v>
      </c>
      <c r="P32">
        <v>30</v>
      </c>
      <c r="Q32">
        <v>11203115.6601393</v>
      </c>
      <c r="Z32" t="s">
        <v>234</v>
      </c>
      <c r="AA32">
        <v>10</v>
      </c>
      <c r="AB32">
        <v>45.06</v>
      </c>
      <c r="AC32">
        <v>49.35</v>
      </c>
      <c r="AD32">
        <v>-18224713.245310701</v>
      </c>
    </row>
    <row r="33" spans="1:30" x14ac:dyDescent="0.2">
      <c r="A33" t="s">
        <v>154</v>
      </c>
      <c r="B33">
        <v>58709.125090000001</v>
      </c>
      <c r="C33">
        <v>30</v>
      </c>
      <c r="E33" t="s">
        <v>185</v>
      </c>
      <c r="F33">
        <v>15</v>
      </c>
      <c r="G33">
        <v>10</v>
      </c>
      <c r="H33">
        <v>0</v>
      </c>
      <c r="O33" s="4" t="s">
        <v>226</v>
      </c>
      <c r="P33" s="4">
        <v>30</v>
      </c>
      <c r="Q33" s="4">
        <v>11695457.623707499</v>
      </c>
      <c r="Z33" t="s">
        <v>235</v>
      </c>
      <c r="AA33">
        <v>10</v>
      </c>
      <c r="AB33">
        <v>45.06</v>
      </c>
      <c r="AC33">
        <v>49.35</v>
      </c>
      <c r="AD33">
        <v>-15464605.880899699</v>
      </c>
    </row>
    <row r="34" spans="1:30" x14ac:dyDescent="0.2">
      <c r="A34" t="s">
        <v>155</v>
      </c>
      <c r="B34">
        <v>0</v>
      </c>
      <c r="C34">
        <v>30</v>
      </c>
    </row>
    <row r="35" spans="1:30" x14ac:dyDescent="0.2">
      <c r="A35" t="s">
        <v>156</v>
      </c>
      <c r="B35">
        <v>8387.0178699999997</v>
      </c>
      <c r="C35">
        <v>30</v>
      </c>
    </row>
    <row r="36" spans="1:30" x14ac:dyDescent="0.2">
      <c r="A36" t="s">
        <v>157</v>
      </c>
      <c r="B36">
        <v>0</v>
      </c>
      <c r="C36">
        <v>30</v>
      </c>
    </row>
    <row r="37" spans="1:30" x14ac:dyDescent="0.2">
      <c r="A37" t="s">
        <v>158</v>
      </c>
      <c r="B37">
        <v>0</v>
      </c>
      <c r="C37">
        <v>30</v>
      </c>
    </row>
    <row r="38" spans="1:30" x14ac:dyDescent="0.2">
      <c r="A38" t="s">
        <v>159</v>
      </c>
      <c r="B38">
        <v>0</v>
      </c>
      <c r="C38">
        <v>30</v>
      </c>
    </row>
    <row r="39" spans="1:30" x14ac:dyDescent="0.2">
      <c r="A39" s="4" t="s">
        <v>160</v>
      </c>
      <c r="B39" s="4">
        <v>0</v>
      </c>
      <c r="C39" s="4">
        <v>30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batch_experiment</vt:lpstr>
      <vt:lpstr>Sheet7</vt:lpstr>
      <vt:lpstr>Sheet4</vt:lpstr>
      <vt:lpstr>Sheet2</vt:lpstr>
      <vt:lpstr>Sheet3</vt:lpstr>
      <vt:lpstr>Sheet1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Zenith Arnejo</dc:creator>
  <cp:lastModifiedBy>Zenith Arnejo</cp:lastModifiedBy>
  <dcterms:created xsi:type="dcterms:W3CDTF">2024-06-16T18:26:53Z</dcterms:created>
  <dcterms:modified xsi:type="dcterms:W3CDTF">2024-06-20T14:15:28Z</dcterms:modified>
</cp:coreProperties>
</file>