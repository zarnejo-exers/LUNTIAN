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min/Documents/GitHub/ITP_project/results/"/>
    </mc:Choice>
  </mc:AlternateContent>
  <xr:revisionPtr revIDLastSave="0" documentId="13_ncr:1_{1D9B0303-D92A-0A4E-BE01-D75875E88BCB}" xr6:coauthVersionLast="47" xr6:coauthVersionMax="47" xr10:uidLastSave="{00000000-0000-0000-0000-000000000000}"/>
  <bookViews>
    <workbookView xWindow="13220" yWindow="0" windowWidth="15180" windowHeight="18000" xr2:uid="{00000000-000D-0000-FFFF-FFFF00000000}"/>
  </bookViews>
  <sheets>
    <sheet name="Complete Batch Experiment" sheetId="9" r:id="rId1"/>
    <sheet name="batch_experiment" sheetId="1" r:id="rId2"/>
    <sheet name="Sheet7" sheetId="8" r:id="rId3"/>
    <sheet name="Sheet4" sheetId="5" r:id="rId4"/>
    <sheet name="Sheet2" sheetId="3" r:id="rId5"/>
    <sheet name="Sheet3" sheetId="4" r:id="rId6"/>
    <sheet name="Sheet1" sheetId="2" r:id="rId7"/>
    <sheet name="Sheet5" sheetId="6" r:id="rId8"/>
  </sheets>
  <definedNames>
    <definedName name="_xlchart.v1.0" hidden="1">'Complete Batch Experiment'!$AC$1</definedName>
    <definedName name="_xlchart.v1.1" hidden="1">'Complete Batch Experiment'!$AC$2:$AC$193</definedName>
    <definedName name="_xlchart.v1.2" hidden="1">'Complete Batch Experiment'!$U$1</definedName>
    <definedName name="_xlchart.v1.3" hidden="1">'Complete Batch Experiment'!$U$2:$U$193</definedName>
    <definedName name="_xlchart.v1.4" hidden="1">'Complete Batch Experiment'!$AC$1</definedName>
    <definedName name="_xlchart.v1.5" hidden="1">'Complete Batch Experiment'!$AC$2:$AC$193</definedName>
    <definedName name="_xlchart.v1.6" hidden="1">'Complete Batch Experiment'!$U$1</definedName>
    <definedName name="_xlchart.v1.7" hidden="1">'Complete Batch Experiment'!$U$2:$U$193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91" i="9" l="1"/>
  <c r="AC193" i="9"/>
  <c r="AC192" i="9"/>
  <c r="AC3" i="9"/>
  <c r="AC4" i="9"/>
  <c r="AC5" i="9"/>
  <c r="AC6" i="9"/>
  <c r="AC7" i="9"/>
  <c r="AC8" i="9"/>
  <c r="AC9" i="9"/>
  <c r="AC10" i="9"/>
  <c r="AC11" i="9"/>
  <c r="AC12" i="9"/>
  <c r="AC13" i="9"/>
  <c r="AC14" i="9"/>
  <c r="AC15" i="9"/>
  <c r="AC16" i="9"/>
  <c r="AC17" i="9"/>
  <c r="AC18" i="9"/>
  <c r="AC19" i="9"/>
  <c r="AC20" i="9"/>
  <c r="AC21" i="9"/>
  <c r="AC22" i="9"/>
  <c r="AC23" i="9"/>
  <c r="AC24" i="9"/>
  <c r="AC25" i="9"/>
  <c r="AC26" i="9"/>
  <c r="AC27" i="9"/>
  <c r="AC28" i="9"/>
  <c r="AC29" i="9"/>
  <c r="AC30" i="9"/>
  <c r="AC31" i="9"/>
  <c r="AC32" i="9"/>
  <c r="AC33" i="9"/>
  <c r="AC34" i="9"/>
  <c r="AC35" i="9"/>
  <c r="AC36" i="9"/>
  <c r="AC37" i="9"/>
  <c r="AC38" i="9"/>
  <c r="AC39" i="9"/>
  <c r="AC40" i="9"/>
  <c r="AC41" i="9"/>
  <c r="AC42" i="9"/>
  <c r="AC43" i="9"/>
  <c r="AC44" i="9"/>
  <c r="AC45" i="9"/>
  <c r="AC46" i="9"/>
  <c r="AC47" i="9"/>
  <c r="AC48" i="9"/>
  <c r="AC49" i="9"/>
  <c r="AC50" i="9"/>
  <c r="AC51" i="9"/>
  <c r="AC52" i="9"/>
  <c r="AC53" i="9"/>
  <c r="AC54" i="9"/>
  <c r="AC55" i="9"/>
  <c r="AC56" i="9"/>
  <c r="AC57" i="9"/>
  <c r="AC58" i="9"/>
  <c r="AC59" i="9"/>
  <c r="AC60" i="9"/>
  <c r="AC61" i="9"/>
  <c r="AC62" i="9"/>
  <c r="AC63" i="9"/>
  <c r="AC64" i="9"/>
  <c r="AC65" i="9"/>
  <c r="AC66" i="9"/>
  <c r="AC67" i="9"/>
  <c r="AC68" i="9"/>
  <c r="AC69" i="9"/>
  <c r="AC70" i="9"/>
  <c r="AC71" i="9"/>
  <c r="AC72" i="9"/>
  <c r="AC73" i="9"/>
  <c r="AC74" i="9"/>
  <c r="AC75" i="9"/>
  <c r="AC76" i="9"/>
  <c r="AC77" i="9"/>
  <c r="AC78" i="9"/>
  <c r="AC79" i="9"/>
  <c r="AC80" i="9"/>
  <c r="AC81" i="9"/>
  <c r="AC82" i="9"/>
  <c r="AC83" i="9"/>
  <c r="AC84" i="9"/>
  <c r="AC85" i="9"/>
  <c r="AC86" i="9"/>
  <c r="AC87" i="9"/>
  <c r="AC88" i="9"/>
  <c r="AC89" i="9"/>
  <c r="AC90" i="9"/>
  <c r="AC91" i="9"/>
  <c r="AC92" i="9"/>
  <c r="AC93" i="9"/>
  <c r="AC94" i="9"/>
  <c r="AC95" i="9"/>
  <c r="AC96" i="9"/>
  <c r="AC97" i="9"/>
  <c r="AC98" i="9"/>
  <c r="AC99" i="9"/>
  <c r="AC100" i="9"/>
  <c r="AC101" i="9"/>
  <c r="AC102" i="9"/>
  <c r="AC103" i="9"/>
  <c r="AC104" i="9"/>
  <c r="AC105" i="9"/>
  <c r="AC106" i="9"/>
  <c r="AC107" i="9"/>
  <c r="AC108" i="9"/>
  <c r="AC109" i="9"/>
  <c r="AC110" i="9"/>
  <c r="AC111" i="9"/>
  <c r="AC112" i="9"/>
  <c r="AC113" i="9"/>
  <c r="AC114" i="9"/>
  <c r="AC115" i="9"/>
  <c r="AC116" i="9"/>
  <c r="AC117" i="9"/>
  <c r="AC118" i="9"/>
  <c r="AC119" i="9"/>
  <c r="AC120" i="9"/>
  <c r="AC121" i="9"/>
  <c r="AC122" i="9"/>
  <c r="AC123" i="9"/>
  <c r="AC124" i="9"/>
  <c r="AC125" i="9"/>
  <c r="AC126" i="9"/>
  <c r="AC127" i="9"/>
  <c r="AC128" i="9"/>
  <c r="AC129" i="9"/>
  <c r="AC130" i="9"/>
  <c r="AC131" i="9"/>
  <c r="AC132" i="9"/>
  <c r="AC133" i="9"/>
  <c r="AC134" i="9"/>
  <c r="AC135" i="9"/>
  <c r="AC136" i="9"/>
  <c r="AC137" i="9"/>
  <c r="AC138" i="9"/>
  <c r="AC139" i="9"/>
  <c r="AC140" i="9"/>
  <c r="AC141" i="9"/>
  <c r="AC142" i="9"/>
  <c r="AC143" i="9"/>
  <c r="AC144" i="9"/>
  <c r="AC145" i="9"/>
  <c r="AC146" i="9"/>
  <c r="AC147" i="9"/>
  <c r="AC148" i="9"/>
  <c r="AC149" i="9"/>
  <c r="AC150" i="9"/>
  <c r="AC151" i="9"/>
  <c r="AC152" i="9"/>
  <c r="AC153" i="9"/>
  <c r="AC154" i="9"/>
  <c r="AC155" i="9"/>
  <c r="AC156" i="9"/>
  <c r="AC157" i="9"/>
  <c r="AC158" i="9"/>
  <c r="AC159" i="9"/>
  <c r="AC160" i="9"/>
  <c r="AC161" i="9"/>
  <c r="AC162" i="9"/>
  <c r="AC163" i="9"/>
  <c r="AC164" i="9"/>
  <c r="AC165" i="9"/>
  <c r="AC166" i="9"/>
  <c r="AC167" i="9"/>
  <c r="AC168" i="9"/>
  <c r="AC169" i="9"/>
  <c r="AC170" i="9"/>
  <c r="AC171" i="9"/>
  <c r="AC172" i="9"/>
  <c r="AC173" i="9"/>
  <c r="AC174" i="9"/>
  <c r="AC175" i="9"/>
  <c r="AC176" i="9"/>
  <c r="AC177" i="9"/>
  <c r="AC178" i="9"/>
  <c r="AC179" i="9"/>
  <c r="AC180" i="9"/>
  <c r="AC181" i="9"/>
  <c r="AC182" i="9"/>
  <c r="AC183" i="9"/>
  <c r="AC184" i="9"/>
  <c r="AC185" i="9"/>
  <c r="AC186" i="9"/>
  <c r="AC187" i="9"/>
  <c r="AC188" i="9"/>
  <c r="AC189" i="9"/>
  <c r="AC190" i="9"/>
  <c r="AC2" i="9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2" i="1"/>
  <c r="P3" i="1"/>
  <c r="V3" i="1" s="1"/>
  <c r="P4" i="1"/>
  <c r="V4" i="1" s="1"/>
  <c r="P5" i="1"/>
  <c r="V5" i="1" s="1"/>
  <c r="P6" i="1"/>
  <c r="V6" i="1" s="1"/>
  <c r="P7" i="1"/>
  <c r="V7" i="1" s="1"/>
  <c r="P8" i="1"/>
  <c r="V8" i="1" s="1"/>
  <c r="P9" i="1"/>
  <c r="V9" i="1" s="1"/>
  <c r="P10" i="1"/>
  <c r="V10" i="1" s="1"/>
  <c r="P11" i="1"/>
  <c r="V11" i="1" s="1"/>
  <c r="P12" i="1"/>
  <c r="V12" i="1" s="1"/>
  <c r="P13" i="1"/>
  <c r="V13" i="1" s="1"/>
  <c r="P14" i="1"/>
  <c r="V14" i="1" s="1"/>
  <c r="P15" i="1"/>
  <c r="V15" i="1" s="1"/>
  <c r="P16" i="1"/>
  <c r="V16" i="1" s="1"/>
  <c r="P17" i="1"/>
  <c r="V17" i="1" s="1"/>
  <c r="P18" i="1"/>
  <c r="V18" i="1" s="1"/>
  <c r="P19" i="1"/>
  <c r="V19" i="1" s="1"/>
  <c r="P20" i="1"/>
  <c r="V20" i="1" s="1"/>
  <c r="P21" i="1"/>
  <c r="V21" i="1" s="1"/>
  <c r="P22" i="1"/>
  <c r="V22" i="1" s="1"/>
  <c r="P23" i="1"/>
  <c r="V23" i="1" s="1"/>
  <c r="P24" i="1"/>
  <c r="V24" i="1" s="1"/>
  <c r="P25" i="1"/>
  <c r="V25" i="1" s="1"/>
  <c r="P26" i="1"/>
  <c r="V26" i="1" s="1"/>
  <c r="P27" i="1"/>
  <c r="V27" i="1" s="1"/>
  <c r="P28" i="1"/>
  <c r="V28" i="1" s="1"/>
  <c r="P29" i="1"/>
  <c r="V29" i="1" s="1"/>
  <c r="P30" i="1"/>
  <c r="V30" i="1" s="1"/>
  <c r="P31" i="1"/>
  <c r="V31" i="1" s="1"/>
  <c r="P32" i="1"/>
  <c r="V32" i="1" s="1"/>
  <c r="P33" i="1"/>
  <c r="V33" i="1" s="1"/>
  <c r="P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2" i="1"/>
  <c r="Z18" i="8"/>
  <c r="Z19" i="8"/>
  <c r="Z20" i="8"/>
  <c r="Z21" i="8"/>
  <c r="Z22" i="8"/>
  <c r="Z23" i="8"/>
  <c r="Z24" i="8"/>
  <c r="Z25" i="8"/>
  <c r="Z26" i="8"/>
  <c r="Z27" i="8"/>
  <c r="Z28" i="8"/>
  <c r="Z17" i="8"/>
  <c r="AK4" i="8"/>
  <c r="AK12" i="8"/>
  <c r="AK11" i="8"/>
  <c r="AK9" i="8"/>
  <c r="AK10" i="8"/>
  <c r="AK5" i="8"/>
  <c r="AK6" i="8"/>
  <c r="AK7" i="8"/>
  <c r="AK2" i="8"/>
  <c r="AK8" i="8"/>
  <c r="AK3" i="8"/>
  <c r="AK13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54" i="8"/>
  <c r="M17" i="8"/>
  <c r="M55" i="8"/>
  <c r="M18" i="8"/>
  <c r="M56" i="8"/>
  <c r="M19" i="8"/>
  <c r="M57" i="8"/>
  <c r="M20" i="8"/>
  <c r="M58" i="8"/>
  <c r="M21" i="8"/>
  <c r="M22" i="8"/>
  <c r="M23" i="8"/>
  <c r="M24" i="8"/>
  <c r="M25" i="8"/>
  <c r="M59" i="8"/>
  <c r="M26" i="8"/>
  <c r="M60" i="8"/>
  <c r="M27" i="8"/>
  <c r="M28" i="8"/>
  <c r="M29" i="8"/>
  <c r="M61" i="8"/>
  <c r="M30" i="8"/>
  <c r="M31" i="8"/>
  <c r="M32" i="8"/>
  <c r="M62" i="8"/>
  <c r="M33" i="8"/>
  <c r="M34" i="8"/>
  <c r="M35" i="8"/>
  <c r="M63" i="8"/>
  <c r="M36" i="8"/>
  <c r="M37" i="8"/>
  <c r="M38" i="8"/>
  <c r="M64" i="8"/>
  <c r="M39" i="8"/>
  <c r="M40" i="8"/>
  <c r="M41" i="8"/>
  <c r="M65" i="8"/>
  <c r="M42" i="8"/>
  <c r="M43" i="8"/>
  <c r="M44" i="8"/>
  <c r="M45" i="8"/>
  <c r="M46" i="8"/>
  <c r="M47" i="8"/>
  <c r="M48" i="8"/>
  <c r="M49" i="8"/>
  <c r="M50" i="8"/>
  <c r="M51" i="8"/>
  <c r="M52" i="8"/>
  <c r="M53" i="8"/>
  <c r="M2" i="8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2" i="2"/>
  <c r="U3" i="2"/>
  <c r="V3" i="2"/>
  <c r="U4" i="2"/>
  <c r="V4" i="2"/>
  <c r="U5" i="2"/>
  <c r="V5" i="2"/>
  <c r="U6" i="2"/>
  <c r="V6" i="2"/>
  <c r="U7" i="2"/>
  <c r="V7" i="2"/>
  <c r="U8" i="2"/>
  <c r="V8" i="2"/>
  <c r="U9" i="2"/>
  <c r="V9" i="2"/>
  <c r="U10" i="2"/>
  <c r="V10" i="2"/>
  <c r="U11" i="2"/>
  <c r="V11" i="2"/>
  <c r="U12" i="2"/>
  <c r="V12" i="2"/>
  <c r="U13" i="2"/>
  <c r="V13" i="2"/>
  <c r="U14" i="2"/>
  <c r="V14" i="2"/>
  <c r="U15" i="2"/>
  <c r="V15" i="2"/>
  <c r="U16" i="2"/>
  <c r="V16" i="2"/>
  <c r="U17" i="2"/>
  <c r="V17" i="2"/>
  <c r="U18" i="2"/>
  <c r="V18" i="2"/>
  <c r="U19" i="2"/>
  <c r="V19" i="2"/>
  <c r="U20" i="2"/>
  <c r="V20" i="2"/>
  <c r="U21" i="2"/>
  <c r="V21" i="2"/>
  <c r="U22" i="2"/>
  <c r="V22" i="2"/>
  <c r="U23" i="2"/>
  <c r="V23" i="2"/>
  <c r="U24" i="2"/>
  <c r="V24" i="2"/>
  <c r="U25" i="2"/>
  <c r="V25" i="2"/>
  <c r="U26" i="2"/>
  <c r="V26" i="2"/>
  <c r="U27" i="2"/>
  <c r="V27" i="2"/>
  <c r="U28" i="2"/>
  <c r="V28" i="2"/>
  <c r="U29" i="2"/>
  <c r="V29" i="2"/>
  <c r="U30" i="2"/>
  <c r="V30" i="2"/>
  <c r="U31" i="2"/>
  <c r="V31" i="2"/>
  <c r="U32" i="2"/>
  <c r="V32" i="2"/>
  <c r="U33" i="2"/>
  <c r="V33" i="2"/>
  <c r="U2" i="2"/>
  <c r="V2" i="2"/>
  <c r="V2" i="1" l="1"/>
</calcChain>
</file>

<file path=xl/sharedStrings.xml><?xml version="1.0" encoding="utf-8"?>
<sst xmlns="http://schemas.openxmlformats.org/spreadsheetml/2006/main" count="879" uniqueCount="298">
  <si>
    <t>cycle</t>
  </si>
  <si>
    <t>investment_rotation_years</t>
  </si>
  <si>
    <t>nursery_count</t>
  </si>
  <si>
    <t>police_count</t>
  </si>
  <si>
    <t>member_count</t>
  </si>
  <si>
    <t>investor_count</t>
  </si>
  <si>
    <t>exotic_price_per_bdft</t>
  </si>
  <si>
    <t>native_price_per_bdft</t>
  </si>
  <si>
    <t>investor_percent_earning_share</t>
  </si>
  <si>
    <t>length(trees where ((each.type = NATIVE) and (each.state = SEEDLING)))</t>
  </si>
  <si>
    <t>length(trees where ((each.type = NATIVE) and (each.state = SAPLING)))</t>
  </si>
  <si>
    <t>length(trees where ((each.type = NATIVE) and (each.state = POLE)))</t>
  </si>
  <si>
    <t>length(trees where ((each.type = NATIVE) and (each.state = ADULT)))</t>
  </si>
  <si>
    <t>length(trees where ((each.type = EXOTIC) and (each.state = SEEDLING)))</t>
  </si>
  <si>
    <t>length(trees where ((each.type = EXOTIC) and (each.state = SAPLING)))</t>
  </si>
  <si>
    <t>length(trees where ((each.type = EXOTIC) and (each.state = POLE)))</t>
  </si>
  <si>
    <t>length(trees where ((each.type = EXOTIC) and (each.state = ADULT)))</t>
  </si>
  <si>
    <t>management_running_cost</t>
  </si>
  <si>
    <t>ITP_running_earning</t>
  </si>
  <si>
    <t>net_running_earning</t>
  </si>
  <si>
    <t>m_partners_earning</t>
  </si>
  <si>
    <t>m_independent_earning</t>
  </si>
  <si>
    <t>investor_total_profit</t>
  </si>
  <si>
    <t>total_investment_cost</t>
  </si>
  <si>
    <t>total_investments</t>
  </si>
  <si>
    <t>inv_harvested_trees</t>
  </si>
  <si>
    <t>net_earning</t>
  </si>
  <si>
    <t>Native</t>
  </si>
  <si>
    <t>Exotic</t>
  </si>
  <si>
    <t>Total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</si>
  <si>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</si>
  <si>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</si>
  <si>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</si>
  <si>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</si>
  <si>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</si>
  <si>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</si>
  <si>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</si>
  <si>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</si>
  <si>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</si>
  <si>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</si>
  <si>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</si>
  <si>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</si>
  <si>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</si>
  <si>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</si>
  <si>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</si>
  <si>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</si>
  <si>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</si>
  <si>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Police/Member</t>
  </si>
  <si>
    <t>Anova: Two-Factor With Replication</t>
  </si>
  <si>
    <t>Sample</t>
  </si>
  <si>
    <t>Columns</t>
  </si>
  <si>
    <t>Interaction</t>
  </si>
  <si>
    <t>Within</t>
  </si>
  <si>
    <t>Police Count</t>
  </si>
  <si>
    <t>Member Count</t>
  </si>
  <si>
    <t>nursery\investor</t>
  </si>
  <si>
    <t>Nursery</t>
  </si>
  <si>
    <t>Investor</t>
  </si>
  <si>
    <t xml:space="preserve">Effect of police count or member count on independent earning. </t>
  </si>
  <si>
    <t>average partners earning</t>
  </si>
  <si>
    <t>average net earning</t>
  </si>
  <si>
    <t>Effect of nursery/investor count on university net earning</t>
  </si>
  <si>
    <t>Does nursery count have effect on population of trees?</t>
  </si>
  <si>
    <t>exotic / native price on university net earning</t>
  </si>
  <si>
    <t>exotic\native</t>
  </si>
  <si>
    <t>45.06 - 49.35</t>
  </si>
  <si>
    <t>90.12 - 98.7</t>
  </si>
  <si>
    <t>Effect of member/investor count on average parntners earning</t>
  </si>
  <si>
    <t>member\investor</t>
  </si>
  <si>
    <t>Member</t>
  </si>
  <si>
    <t xml:space="preserve">Member </t>
  </si>
  <si>
    <t>investor\price</t>
  </si>
  <si>
    <t>investor over exotic effect on investor average net earning</t>
  </si>
  <si>
    <t>Investor count</t>
  </si>
  <si>
    <t>Price per bdft</t>
  </si>
  <si>
    <t xml:space="preserve">Setup </t>
  </si>
  <si>
    <t>A</t>
  </si>
  <si>
    <t xml:space="preserve">B </t>
  </si>
  <si>
    <t>C</t>
  </si>
  <si>
    <t>D</t>
  </si>
  <si>
    <t>E</t>
  </si>
  <si>
    <t>G</t>
  </si>
  <si>
    <t>H</t>
  </si>
  <si>
    <t xml:space="preserve">I 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</si>
  <si>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</si>
  <si>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</si>
  <si>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</si>
  <si>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</si>
  <si>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</si>
  <si>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</si>
  <si>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</si>
  <si>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</si>
  <si>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</si>
  <si>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</si>
  <si>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</si>
  <si>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</si>
  <si>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</si>
  <si>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</si>
  <si>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</si>
  <si>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</si>
  <si>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 xml:space="preserve">Z 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</si>
  <si>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</si>
  <si>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</si>
  <si>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</si>
  <si>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</si>
  <si>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</si>
  <si>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</si>
  <si>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</si>
  <si>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</si>
  <si>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</si>
  <si>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</si>
  <si>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</si>
  <si>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</si>
  <si>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 xml:space="preserve">AM </t>
  </si>
  <si>
    <t xml:space="preserve">AN </t>
  </si>
  <si>
    <t>AO</t>
  </si>
  <si>
    <t>AP</t>
  </si>
  <si>
    <t>AQ</t>
  </si>
  <si>
    <t>Price multiplier</t>
  </si>
  <si>
    <t>Investor net earning</t>
  </si>
  <si>
    <t>University net earning</t>
  </si>
  <si>
    <t>&lt;max&gt;</t>
  </si>
  <si>
    <t>-</t>
  </si>
  <si>
    <t>15- A</t>
  </si>
  <si>
    <t>15- E</t>
  </si>
  <si>
    <t xml:space="preserve">15- I </t>
  </si>
  <si>
    <t>15- M</t>
  </si>
  <si>
    <t>15- U</t>
  </si>
  <si>
    <t>15- Q</t>
  </si>
  <si>
    <t>15- Y</t>
  </si>
  <si>
    <t>15- AG</t>
  </si>
  <si>
    <t>15- AC</t>
  </si>
  <si>
    <t>15- AK</t>
  </si>
  <si>
    <t xml:space="preserve">15- B </t>
  </si>
  <si>
    <t>15- AO</t>
  </si>
  <si>
    <t>15- F</t>
  </si>
  <si>
    <t>15- J</t>
  </si>
  <si>
    <t>15- N</t>
  </si>
  <si>
    <t>15- R</t>
  </si>
  <si>
    <t>15- V</t>
  </si>
  <si>
    <t xml:space="preserve">15- Z </t>
  </si>
  <si>
    <t>15- AD</t>
  </si>
  <si>
    <t>30-C</t>
  </si>
  <si>
    <t>30- G</t>
  </si>
  <si>
    <t>30- K</t>
  </si>
  <si>
    <t>30- O</t>
  </si>
  <si>
    <t>30- S</t>
  </si>
  <si>
    <t>30- W</t>
  </si>
  <si>
    <t>30- AA</t>
  </si>
  <si>
    <t>30- AE</t>
  </si>
  <si>
    <t>30- AI</t>
  </si>
  <si>
    <t xml:space="preserve">30- AM </t>
  </si>
  <si>
    <t>30- AQ</t>
  </si>
  <si>
    <t>30- D</t>
  </si>
  <si>
    <t>30- H</t>
  </si>
  <si>
    <t>30- L</t>
  </si>
  <si>
    <t>30- P</t>
  </si>
  <si>
    <t>30- T</t>
  </si>
  <si>
    <t>30- X</t>
  </si>
  <si>
    <t>30- AB</t>
  </si>
  <si>
    <t>30- AF</t>
  </si>
  <si>
    <t>member\investor in independent earning</t>
  </si>
  <si>
    <t>Member count</t>
  </si>
  <si>
    <t>30-10 C</t>
  </si>
  <si>
    <t>30-10 G</t>
  </si>
  <si>
    <t>30-10 K</t>
  </si>
  <si>
    <t>30-10 O</t>
  </si>
  <si>
    <t>30-10 D</t>
  </si>
  <si>
    <t>30-10 H</t>
  </si>
  <si>
    <t>30-10 L</t>
  </si>
  <si>
    <t>30-10 P</t>
  </si>
  <si>
    <t>30-30 S</t>
  </si>
  <si>
    <t>30-30 W</t>
  </si>
  <si>
    <t>30-30 AA</t>
  </si>
  <si>
    <t>30-30 AE</t>
  </si>
  <si>
    <t>30-30 T</t>
  </si>
  <si>
    <t>30-30 X</t>
  </si>
  <si>
    <t>30-30 AF</t>
  </si>
  <si>
    <t>15-10 A</t>
  </si>
  <si>
    <t>15-10 E</t>
  </si>
  <si>
    <t xml:space="preserve">15-10 I </t>
  </si>
  <si>
    <t>15-10 M</t>
  </si>
  <si>
    <t xml:space="preserve">15-10 B </t>
  </si>
  <si>
    <t>15-10 F</t>
  </si>
  <si>
    <t>15-10 J</t>
  </si>
  <si>
    <t>15-10 N</t>
  </si>
  <si>
    <t>15-30 Q</t>
  </si>
  <si>
    <t>15-30 U</t>
  </si>
  <si>
    <t>15-30 Y</t>
  </si>
  <si>
    <t>15-30 AC</t>
  </si>
  <si>
    <t>15-30 R</t>
  </si>
  <si>
    <t>15-30 V</t>
  </si>
  <si>
    <t xml:space="preserve">15-30 Z </t>
  </si>
  <si>
    <t>15-30 AD</t>
  </si>
  <si>
    <t>30-30 AB</t>
  </si>
  <si>
    <t>10-A</t>
  </si>
  <si>
    <t>10-C</t>
  </si>
  <si>
    <t>10-E</t>
  </si>
  <si>
    <t>10-G</t>
  </si>
  <si>
    <t>10-I</t>
  </si>
  <si>
    <t>10-K</t>
  </si>
  <si>
    <t>10-M</t>
  </si>
  <si>
    <t>10-O</t>
  </si>
  <si>
    <t xml:space="preserve">10-B </t>
  </si>
  <si>
    <t>10-D</t>
  </si>
  <si>
    <t>10-F</t>
  </si>
  <si>
    <t>10-H</t>
  </si>
  <si>
    <t>10-J</t>
  </si>
  <si>
    <t>10-L</t>
  </si>
  <si>
    <t>10-N</t>
  </si>
  <si>
    <t>10-P</t>
  </si>
  <si>
    <t>30-Q</t>
  </si>
  <si>
    <t>30-S</t>
  </si>
  <si>
    <t>30-U</t>
  </si>
  <si>
    <t>30-W</t>
  </si>
  <si>
    <t>30-Y</t>
  </si>
  <si>
    <t>30-AA</t>
  </si>
  <si>
    <t>30-AC</t>
  </si>
  <si>
    <t>30-AE</t>
  </si>
  <si>
    <t>30-R</t>
  </si>
  <si>
    <t>30-T</t>
  </si>
  <si>
    <t>30-V</t>
  </si>
  <si>
    <t>30-X</t>
  </si>
  <si>
    <t xml:space="preserve">30-Z </t>
  </si>
  <si>
    <t>30-AB</t>
  </si>
  <si>
    <t>30-AD</t>
  </si>
  <si>
    <t>30-AF</t>
  </si>
  <si>
    <t>investor\price multiplier</t>
  </si>
  <si>
    <t>10-1 A</t>
  </si>
  <si>
    <t>10-1 C</t>
  </si>
  <si>
    <t>10-1 E</t>
  </si>
  <si>
    <t>10-1 G</t>
  </si>
  <si>
    <t xml:space="preserve">10-1 I </t>
  </si>
  <si>
    <t>10-1 K</t>
  </si>
  <si>
    <t>10-1 M</t>
  </si>
  <si>
    <t>10-1 O</t>
  </si>
  <si>
    <t>30-1 Q</t>
  </si>
  <si>
    <t>30-1 S</t>
  </si>
  <si>
    <t>30-1 U</t>
  </si>
  <si>
    <t>30-1 W</t>
  </si>
  <si>
    <t>30-1 Y</t>
  </si>
  <si>
    <t>30-1 AA</t>
  </si>
  <si>
    <t>30-1 AC</t>
  </si>
  <si>
    <t>30-1 AE</t>
  </si>
  <si>
    <t xml:space="preserve">10-2 B </t>
  </si>
  <si>
    <t>10-2 D</t>
  </si>
  <si>
    <t>10-2 F</t>
  </si>
  <si>
    <t>10-2 H</t>
  </si>
  <si>
    <t>10-2 J</t>
  </si>
  <si>
    <t>10-2 L</t>
  </si>
  <si>
    <t>10-2 N</t>
  </si>
  <si>
    <t>10-2 P</t>
  </si>
  <si>
    <t>30-2 R</t>
  </si>
  <si>
    <t>30-2 T</t>
  </si>
  <si>
    <t>30-2 V</t>
  </si>
  <si>
    <t>30-2 X</t>
  </si>
  <si>
    <t xml:space="preserve">30-2 Z </t>
  </si>
  <si>
    <t>30-2 AB</t>
  </si>
  <si>
    <t>30-2 AD</t>
  </si>
  <si>
    <t>30-2 AF</t>
  </si>
  <si>
    <t>Effect of member/investor count on total parntners earning</t>
  </si>
  <si>
    <t>AR</t>
  </si>
  <si>
    <t>AS</t>
  </si>
  <si>
    <t>AT</t>
  </si>
  <si>
    <t>AU</t>
  </si>
  <si>
    <t>AV</t>
  </si>
  <si>
    <t>AW</t>
  </si>
  <si>
    <t>AX</t>
  </si>
  <si>
    <t>AY</t>
  </si>
  <si>
    <t>AZ</t>
  </si>
  <si>
    <t>BA</t>
  </si>
  <si>
    <t>BB</t>
  </si>
  <si>
    <t>BC</t>
  </si>
  <si>
    <t>BD</t>
  </si>
  <si>
    <t>BE</t>
  </si>
  <si>
    <t>BF</t>
  </si>
  <si>
    <t>BG</t>
  </si>
  <si>
    <t>BH</t>
  </si>
  <si>
    <t>BI</t>
  </si>
  <si>
    <t>BJ</t>
  </si>
  <si>
    <t>BK</t>
  </si>
  <si>
    <t>BL</t>
  </si>
  <si>
    <t>average partners' earning</t>
  </si>
  <si>
    <t xml:space="preserve">Max values: </t>
  </si>
  <si>
    <t>University ranking</t>
  </si>
  <si>
    <t>Partners' ranking</t>
  </si>
  <si>
    <t>investor ranking</t>
  </si>
  <si>
    <t>seed</t>
  </si>
  <si>
    <t>with_investment</t>
  </si>
  <si>
    <t>3331233084773310500</t>
  </si>
  <si>
    <t>net_investor_earning</t>
  </si>
  <si>
    <t>Average partners earning</t>
  </si>
  <si>
    <t>Average investor net earning</t>
  </si>
  <si>
    <t>Best setup</t>
  </si>
  <si>
    <t>own_laborer</t>
  </si>
  <si>
    <t>member_laborer</t>
  </si>
  <si>
    <t>independent_laborer</t>
  </si>
  <si>
    <t>net investor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</si>
</sst>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FA7D00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1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4" applyNumberFormat="0" applyAlignment="0" applyProtection="0"/>
    <xf numFmtId="0" fontId="5" fillId="28" borderId="5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4" applyNumberFormat="0" applyAlignment="0" applyProtection="0"/>
    <xf numFmtId="0" fontId="12" fillId="0" borderId="9" applyNumberFormat="0" applyFill="0" applyAlignment="0" applyProtection="0"/>
    <xf numFmtId="0" fontId="13" fillId="31" borderId="0" applyNumberFormat="0" applyBorder="0" applyAlignment="0" applyProtection="0"/>
    <xf numFmtId="0" fontId="1" fillId="32" borderId="10" applyNumberFormat="0" applyFont="0" applyAlignment="0" applyProtection="0"/>
    <xf numFmtId="0" fontId="14" fillId="27" borderId="11" applyNumberFormat="0" applyAlignment="0" applyProtection="0"/>
    <xf numFmtId="0" fontId="15" fillId="0" borderId="0" applyNumberFormat="0" applyFill="0" applyBorder="0" applyAlignment="0" applyProtection="0"/>
    <xf numFmtId="0" fontId="16" fillId="0" borderId="12" applyNumberFormat="0" applyFill="0" applyAlignment="0" applyProtection="0"/>
    <xf numFmtId="0" fontId="17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1" xfId="0" applyBorder="1"/>
    <xf numFmtId="0" fontId="18" fillId="0" borderId="2" xfId="0" applyFont="1" applyBorder="1" applyAlignment="1">
      <alignment horizontal="center"/>
    </xf>
    <xf numFmtId="0" fontId="19" fillId="0" borderId="3" xfId="0" applyFont="1" applyBorder="1" applyAlignment="1">
      <alignment horizontal="right"/>
    </xf>
    <xf numFmtId="0" fontId="0" fillId="33" borderId="0" xfId="0" applyFill="1"/>
    <xf numFmtId="0" fontId="0" fillId="0" borderId="0" xfId="0" applyAlignment="1">
      <alignment wrapText="1"/>
    </xf>
    <xf numFmtId="0" fontId="16" fillId="0" borderId="0" xfId="0" applyFont="1"/>
    <xf numFmtId="0" fontId="16" fillId="33" borderId="0" xfId="0" applyFont="1" applyFill="1"/>
    <xf numFmtId="0" fontId="16" fillId="34" borderId="0" xfId="0" applyFont="1" applyFill="1"/>
    <xf numFmtId="0" fontId="0" fillId="34" borderId="0" xfId="0" applyFill="1"/>
    <xf numFmtId="4" fontId="0" fillId="0" borderId="0" xfId="0" applyNumberFormat="1"/>
    <xf numFmtId="4" fontId="0" fillId="0" borderId="0" xfId="0" quotePrefix="1" applyNumberFormat="1"/>
    <xf numFmtId="0" fontId="20" fillId="0" borderId="0" xfId="0" applyFont="1"/>
    <xf numFmtId="0" fontId="20" fillId="33" borderId="0" xfId="0" applyFont="1" applyFill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'Complete Batch Experiment'!$U$1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'Complete Batch Experiment'!$U$2:$U$193</c:f>
              <c:numCache>
                <c:formatCode>General</c:formatCode>
                <c:ptCount val="192"/>
                <c:pt idx="0">
                  <c:v>-13216984</c:v>
                </c:pt>
                <c:pt idx="1">
                  <c:v>-6150338.4000000004</c:v>
                </c:pt>
                <c:pt idx="2">
                  <c:v>-16935240</c:v>
                </c:pt>
                <c:pt idx="3">
                  <c:v>-15066289</c:v>
                </c:pt>
                <c:pt idx="4">
                  <c:v>-13055231</c:v>
                </c:pt>
                <c:pt idx="5">
                  <c:v>-8717629.6999999993</c:v>
                </c:pt>
                <c:pt idx="6">
                  <c:v>-16204107</c:v>
                </c:pt>
                <c:pt idx="7">
                  <c:v>-15435278</c:v>
                </c:pt>
                <c:pt idx="8">
                  <c:v>-11508335</c:v>
                </c:pt>
                <c:pt idx="9">
                  <c:v>-4588815.3</c:v>
                </c:pt>
                <c:pt idx="10">
                  <c:v>-15062493</c:v>
                </c:pt>
                <c:pt idx="11">
                  <c:v>-13407364</c:v>
                </c:pt>
                <c:pt idx="12">
                  <c:v>-11447272</c:v>
                </c:pt>
                <c:pt idx="13">
                  <c:v>-6591877.5999999996</c:v>
                </c:pt>
                <c:pt idx="14">
                  <c:v>-14888301</c:v>
                </c:pt>
                <c:pt idx="15">
                  <c:v>-14496516</c:v>
                </c:pt>
                <c:pt idx="16">
                  <c:v>-7144234.38824262</c:v>
                </c:pt>
                <c:pt idx="17">
                  <c:v>-11138345.4588152</c:v>
                </c:pt>
                <c:pt idx="18">
                  <c:v>-265088.28346464701</c:v>
                </c:pt>
                <c:pt idx="19">
                  <c:v>-8183318.9161758004</c:v>
                </c:pt>
                <c:pt idx="20">
                  <c:v>-7115877.1866967296</c:v>
                </c:pt>
                <c:pt idx="21">
                  <c:v>-11111836.290402699</c:v>
                </c:pt>
                <c:pt idx="22">
                  <c:v>-1718045.5105639801</c:v>
                </c:pt>
                <c:pt idx="23">
                  <c:v>-8684654.5274953209</c:v>
                </c:pt>
                <c:pt idx="24">
                  <c:v>-5979328.6333810799</c:v>
                </c:pt>
                <c:pt idx="25">
                  <c:v>-10020621.514024699</c:v>
                </c:pt>
                <c:pt idx="26">
                  <c:v>-2347405.6649506199</c:v>
                </c:pt>
                <c:pt idx="27">
                  <c:v>-8278749.3716141498</c:v>
                </c:pt>
                <c:pt idx="28">
                  <c:v>-6128526.8647445301</c:v>
                </c:pt>
                <c:pt idx="29">
                  <c:v>-10121072.7608683</c:v>
                </c:pt>
                <c:pt idx="30">
                  <c:v>-1571648.01349358</c:v>
                </c:pt>
                <c:pt idx="31">
                  <c:v>-8028381.5843993798</c:v>
                </c:pt>
                <c:pt idx="32">
                  <c:v>-5701973.7889199601</c:v>
                </c:pt>
                <c:pt idx="33">
                  <c:v>-14409038.315890901</c:v>
                </c:pt>
                <c:pt idx="34">
                  <c:v>-23111679.3806432</c:v>
                </c:pt>
                <c:pt idx="35">
                  <c:v>-24522697.161589701</c:v>
                </c:pt>
                <c:pt idx="36">
                  <c:v>-9591073.8837270793</c:v>
                </c:pt>
                <c:pt idx="37">
                  <c:v>-16185813.691105301</c:v>
                </c:pt>
                <c:pt idx="38">
                  <c:v>-14738337.957829</c:v>
                </c:pt>
                <c:pt idx="39">
                  <c:v>-23616961.7569708</c:v>
                </c:pt>
                <c:pt idx="40">
                  <c:v>-6145353.8788149701</c:v>
                </c:pt>
                <c:pt idx="41">
                  <c:v>-15389529.574526301</c:v>
                </c:pt>
                <c:pt idx="42">
                  <c:v>-19390903.014087901</c:v>
                </c:pt>
                <c:pt idx="43">
                  <c:v>-23436106.6515688</c:v>
                </c:pt>
                <c:pt idx="44">
                  <c:v>-12064141.982137199</c:v>
                </c:pt>
                <c:pt idx="45">
                  <c:v>-14850741.0589558</c:v>
                </c:pt>
                <c:pt idx="46">
                  <c:v>-19020914.156463601</c:v>
                </c:pt>
                <c:pt idx="47">
                  <c:v>-23465887.264296498</c:v>
                </c:pt>
                <c:pt idx="48">
                  <c:v>-800888.352726012</c:v>
                </c:pt>
                <c:pt idx="49">
                  <c:v>-9271899.3296105396</c:v>
                </c:pt>
                <c:pt idx="50">
                  <c:v>-12213039.7346834</c:v>
                </c:pt>
                <c:pt idx="51">
                  <c:v>-17204280.8398146</c:v>
                </c:pt>
                <c:pt idx="52">
                  <c:v>-4592503.0875552399</c:v>
                </c:pt>
                <c:pt idx="53">
                  <c:v>-11342833.0499044</c:v>
                </c:pt>
                <c:pt idx="54">
                  <c:v>-10491377.7480458</c:v>
                </c:pt>
                <c:pt idx="55">
                  <c:v>-17248156.857731</c:v>
                </c:pt>
                <c:pt idx="56">
                  <c:v>-5450628.6861798996</c:v>
                </c:pt>
                <c:pt idx="57">
                  <c:v>-11605074.0758244</c:v>
                </c:pt>
                <c:pt idx="58">
                  <c:v>-11985627.9824761</c:v>
                </c:pt>
                <c:pt idx="59">
                  <c:v>-18298511.5323929</c:v>
                </c:pt>
                <c:pt idx="60">
                  <c:v>-6404940.1159643298</c:v>
                </c:pt>
                <c:pt idx="61">
                  <c:v>-11692529.647662601</c:v>
                </c:pt>
                <c:pt idx="62">
                  <c:v>-11053779.614103399</c:v>
                </c:pt>
                <c:pt idx="63">
                  <c:v>-17460630.958448</c:v>
                </c:pt>
                <c:pt idx="64">
                  <c:v>7522804.8313032398</c:v>
                </c:pt>
                <c:pt idx="65">
                  <c:v>-9016562.1111332309</c:v>
                </c:pt>
                <c:pt idx="66">
                  <c:v>1862194.2969678601</c:v>
                </c:pt>
                <c:pt idx="67">
                  <c:v>-17265413.607921802</c:v>
                </c:pt>
                <c:pt idx="68">
                  <c:v>7307197.7347641299</c:v>
                </c:pt>
                <c:pt idx="69">
                  <c:v>-11582334.912451699</c:v>
                </c:pt>
                <c:pt idx="70">
                  <c:v>-955560.83602998406</c:v>
                </c:pt>
                <c:pt idx="71">
                  <c:v>-19595989.240176</c:v>
                </c:pt>
                <c:pt idx="72">
                  <c:v>3586615.5197462798</c:v>
                </c:pt>
                <c:pt idx="73">
                  <c:v>-9746664.7355291806</c:v>
                </c:pt>
                <c:pt idx="74">
                  <c:v>2546061.7661335599</c:v>
                </c:pt>
                <c:pt idx="75">
                  <c:v>-17663244.453501798</c:v>
                </c:pt>
                <c:pt idx="76">
                  <c:v>10725375.157743201</c:v>
                </c:pt>
                <c:pt idx="77">
                  <c:v>-10152300.9506237</c:v>
                </c:pt>
                <c:pt idx="78">
                  <c:v>-5147157.8306112802</c:v>
                </c:pt>
                <c:pt idx="79">
                  <c:v>-19112182.802078899</c:v>
                </c:pt>
                <c:pt idx="80">
                  <c:v>-4173663.1735776002</c:v>
                </c:pt>
                <c:pt idx="81">
                  <c:v>10247666.430360399</c:v>
                </c:pt>
                <c:pt idx="82">
                  <c:v>-9626744.3713502791</c:v>
                </c:pt>
                <c:pt idx="83">
                  <c:v>7203482.55524287</c:v>
                </c:pt>
                <c:pt idx="84">
                  <c:v>-4394634.0540949199</c:v>
                </c:pt>
                <c:pt idx="85">
                  <c:v>8607008.4551449604</c:v>
                </c:pt>
                <c:pt idx="86">
                  <c:v>-12682096.6035682</c:v>
                </c:pt>
                <c:pt idx="87">
                  <c:v>5027981.9994443199</c:v>
                </c:pt>
                <c:pt idx="88">
                  <c:v>-5312229.9800461996</c:v>
                </c:pt>
                <c:pt idx="89">
                  <c:v>9289267.0736725107</c:v>
                </c:pt>
                <c:pt idx="90">
                  <c:v>-12273013.4507873</c:v>
                </c:pt>
                <c:pt idx="91">
                  <c:v>8443952.3618720006</c:v>
                </c:pt>
                <c:pt idx="92">
                  <c:v>-7118988.9567914903</c:v>
                </c:pt>
                <c:pt idx="93">
                  <c:v>6683050.9779901197</c:v>
                </c:pt>
                <c:pt idx="94">
                  <c:v>-12541037.4335576</c:v>
                </c:pt>
                <c:pt idx="95">
                  <c:v>566683.02125297405</c:v>
                </c:pt>
                <c:pt idx="96">
                  <c:v>-14896319.7100868</c:v>
                </c:pt>
                <c:pt idx="97">
                  <c:v>-8243638.1653752504</c:v>
                </c:pt>
                <c:pt idx="98">
                  <c:v>-18110033.260053702</c:v>
                </c:pt>
                <c:pt idx="99">
                  <c:v>-15533584.606552901</c:v>
                </c:pt>
                <c:pt idx="100">
                  <c:v>-15092228.6635617</c:v>
                </c:pt>
                <c:pt idx="101">
                  <c:v>-8569542.0307724606</c:v>
                </c:pt>
                <c:pt idx="102">
                  <c:v>-18051621.496782601</c:v>
                </c:pt>
                <c:pt idx="103">
                  <c:v>-15475172.843281699</c:v>
                </c:pt>
                <c:pt idx="104">
                  <c:v>-13782439.873474499</c:v>
                </c:pt>
                <c:pt idx="105">
                  <c:v>-7099598.3379031699</c:v>
                </c:pt>
                <c:pt idx="106">
                  <c:v>-16801656.1534121</c:v>
                </c:pt>
                <c:pt idx="107">
                  <c:v>-14177428.4807305</c:v>
                </c:pt>
                <c:pt idx="108">
                  <c:v>-14028093.219891399</c:v>
                </c:pt>
                <c:pt idx="109">
                  <c:v>-7946024.7318893801</c:v>
                </c:pt>
                <c:pt idx="110">
                  <c:v>-16541080.532484701</c:v>
                </c:pt>
                <c:pt idx="111">
                  <c:v>-13623443.801531401</c:v>
                </c:pt>
                <c:pt idx="112">
                  <c:v>-9145380.5265689604</c:v>
                </c:pt>
                <c:pt idx="113">
                  <c:v>-2390464.5160375698</c:v>
                </c:pt>
                <c:pt idx="114">
                  <c:v>-11346586.125804299</c:v>
                </c:pt>
                <c:pt idx="115">
                  <c:v>-7592778.3513908796</c:v>
                </c:pt>
                <c:pt idx="116">
                  <c:v>-9205840.3062275909</c:v>
                </c:pt>
                <c:pt idx="117">
                  <c:v>-2781038.9769609398</c:v>
                </c:pt>
                <c:pt idx="118">
                  <c:v>-11367886.8734903</c:v>
                </c:pt>
                <c:pt idx="119">
                  <c:v>-7655057.08076654</c:v>
                </c:pt>
                <c:pt idx="120">
                  <c:v>-8274087.32027693</c:v>
                </c:pt>
                <c:pt idx="121">
                  <c:v>-1600924.6852855601</c:v>
                </c:pt>
                <c:pt idx="122">
                  <c:v>-10364421.6237916</c:v>
                </c:pt>
                <c:pt idx="123">
                  <c:v>-6645828.9114968004</c:v>
                </c:pt>
                <c:pt idx="124">
                  <c:v>-9031970.6108628996</c:v>
                </c:pt>
                <c:pt idx="125">
                  <c:v>-4010022.5019771601</c:v>
                </c:pt>
                <c:pt idx="126">
                  <c:v>-10371687.770942099</c:v>
                </c:pt>
                <c:pt idx="127">
                  <c:v>-6653095.0586473597</c:v>
                </c:pt>
                <c:pt idx="128">
                  <c:v>-25113500.0683752</c:v>
                </c:pt>
                <c:pt idx="129">
                  <c:v>-15392843.687766301</c:v>
                </c:pt>
                <c:pt idx="130">
                  <c:v>-16388512.1243612</c:v>
                </c:pt>
                <c:pt idx="131">
                  <c:v>-7383922.5531748896</c:v>
                </c:pt>
                <c:pt idx="132">
                  <c:v>-27300393.069280598</c:v>
                </c:pt>
                <c:pt idx="133">
                  <c:v>-20490101.3847243</c:v>
                </c:pt>
                <c:pt idx="134">
                  <c:v>-16702853.112005901</c:v>
                </c:pt>
                <c:pt idx="135">
                  <c:v>-8598733.5081687197</c:v>
                </c:pt>
                <c:pt idx="136">
                  <c:v>-28400424.0590038</c:v>
                </c:pt>
                <c:pt idx="137">
                  <c:v>-22979641.5021444</c:v>
                </c:pt>
                <c:pt idx="138">
                  <c:v>-17405760.9807746</c:v>
                </c:pt>
                <c:pt idx="139">
                  <c:v>-11929689.630590299</c:v>
                </c:pt>
                <c:pt idx="140">
                  <c:v>-25475272.993709799</c:v>
                </c:pt>
                <c:pt idx="141">
                  <c:v>-16784897.5674196</c:v>
                </c:pt>
                <c:pt idx="142">
                  <c:v>-16763877.8760057</c:v>
                </c:pt>
                <c:pt idx="143">
                  <c:v>-8314940.8299227199</c:v>
                </c:pt>
                <c:pt idx="144">
                  <c:v>-16628773.795462299</c:v>
                </c:pt>
                <c:pt idx="145">
                  <c:v>-8280527.8364047902</c:v>
                </c:pt>
                <c:pt idx="146">
                  <c:v>-12077468.748538701</c:v>
                </c:pt>
                <c:pt idx="147">
                  <c:v>-6459371.31168711</c:v>
                </c:pt>
                <c:pt idx="148">
                  <c:v>-17248819.412798401</c:v>
                </c:pt>
                <c:pt idx="149">
                  <c:v>-10580659.858106701</c:v>
                </c:pt>
                <c:pt idx="150">
                  <c:v>-11663238.894511599</c:v>
                </c:pt>
                <c:pt idx="151">
                  <c:v>-5573881.1315389704</c:v>
                </c:pt>
                <c:pt idx="152">
                  <c:v>-17099028.415247999</c:v>
                </c:pt>
                <c:pt idx="153">
                  <c:v>-10424802.2263931</c:v>
                </c:pt>
                <c:pt idx="154">
                  <c:v>-11158004.903894501</c:v>
                </c:pt>
                <c:pt idx="155">
                  <c:v>-5434883.3823614102</c:v>
                </c:pt>
                <c:pt idx="156">
                  <c:v>-17190861.233777501</c:v>
                </c:pt>
                <c:pt idx="157">
                  <c:v>-9838270.8431167491</c:v>
                </c:pt>
                <c:pt idx="158">
                  <c:v>-11982502.791957</c:v>
                </c:pt>
                <c:pt idx="159">
                  <c:v>-7131889.1528320303</c:v>
                </c:pt>
                <c:pt idx="160">
                  <c:v>-13347249.137737401</c:v>
                </c:pt>
                <c:pt idx="161">
                  <c:v>3402999.5806408599</c:v>
                </c:pt>
                <c:pt idx="162">
                  <c:v>-7510568.5664857598</c:v>
                </c:pt>
                <c:pt idx="163">
                  <c:v>6894782.3562030504</c:v>
                </c:pt>
                <c:pt idx="164">
                  <c:v>-14276375.4441486</c:v>
                </c:pt>
                <c:pt idx="165">
                  <c:v>-503175.34114941902</c:v>
                </c:pt>
                <c:pt idx="166">
                  <c:v>-8060479.4419509098</c:v>
                </c:pt>
                <c:pt idx="167">
                  <c:v>4963176.5530960597</c:v>
                </c:pt>
                <c:pt idx="168">
                  <c:v>-13562225.8457934</c:v>
                </c:pt>
                <c:pt idx="169">
                  <c:v>1417898.7359905499</c:v>
                </c:pt>
                <c:pt idx="170">
                  <c:v>-6974263.57304784</c:v>
                </c:pt>
                <c:pt idx="171">
                  <c:v>6533435.0059205201</c:v>
                </c:pt>
                <c:pt idx="172">
                  <c:v>-13976982.812697699</c:v>
                </c:pt>
                <c:pt idx="173">
                  <c:v>1787074.11357131</c:v>
                </c:pt>
                <c:pt idx="174">
                  <c:v>-9025009.5163706299</c:v>
                </c:pt>
                <c:pt idx="175">
                  <c:v>2295437.5056450302</c:v>
                </c:pt>
                <c:pt idx="176">
                  <c:v>-20201179.4009142</c:v>
                </c:pt>
                <c:pt idx="177">
                  <c:v>395607.45520912798</c:v>
                </c:pt>
                <c:pt idx="178">
                  <c:v>-12744911.3568167</c:v>
                </c:pt>
                <c:pt idx="179">
                  <c:v>2606726.93029114</c:v>
                </c:pt>
                <c:pt idx="180">
                  <c:v>-22147497.758752801</c:v>
                </c:pt>
                <c:pt idx="181">
                  <c:v>-6201819.6112927701</c:v>
                </c:pt>
                <c:pt idx="182">
                  <c:v>-12728483.245796699</c:v>
                </c:pt>
                <c:pt idx="183">
                  <c:v>1678259.11953279</c:v>
                </c:pt>
                <c:pt idx="184">
                  <c:v>-20735001.854872901</c:v>
                </c:pt>
                <c:pt idx="185">
                  <c:v>-971070.11319386901</c:v>
                </c:pt>
                <c:pt idx="186">
                  <c:v>-12684631.7971233</c:v>
                </c:pt>
                <c:pt idx="187">
                  <c:v>2515433.0139842401</c:v>
                </c:pt>
                <c:pt idx="188">
                  <c:v>-19771917.9529512</c:v>
                </c:pt>
                <c:pt idx="189">
                  <c:v>-1047183.73360159</c:v>
                </c:pt>
                <c:pt idx="190">
                  <c:v>-11441068</c:v>
                </c:pt>
                <c:pt idx="191">
                  <c:v>4644820.62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7E-094C-9427-EE20F9569F69}"/>
            </c:ext>
          </c:extLst>
        </c:ser>
        <c:ser>
          <c:idx val="1"/>
          <c:order val="1"/>
          <c:tx>
            <c:strRef>
              <c:f>'Complete Batch Experiment'!$AC$1</c:f>
              <c:strCache>
                <c:ptCount val="1"/>
                <c:pt idx="0">
                  <c:v>net investor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'Complete Batch Experiment'!$AC$2:$AC$193</c:f>
              <c:numCache>
                <c:formatCode>General</c:formatCode>
                <c:ptCount val="192"/>
                <c:pt idx="0">
                  <c:v>2165920.7399999998</c:v>
                </c:pt>
                <c:pt idx="1">
                  <c:v>6084807.2799999993</c:v>
                </c:pt>
                <c:pt idx="2">
                  <c:v>-901941.94</c:v>
                </c:pt>
                <c:pt idx="3">
                  <c:v>-1525624.7799999998</c:v>
                </c:pt>
                <c:pt idx="4">
                  <c:v>2189187.6599999997</c:v>
                </c:pt>
                <c:pt idx="5">
                  <c:v>4181608.23</c:v>
                </c:pt>
                <c:pt idx="6">
                  <c:v>-379766.48999999976</c:v>
                </c:pt>
                <c:pt idx="7">
                  <c:v>-2113452.3640000001</c:v>
                </c:pt>
                <c:pt idx="8">
                  <c:v>2726781.3400000003</c:v>
                </c:pt>
                <c:pt idx="9">
                  <c:v>7302831.3899999987</c:v>
                </c:pt>
                <c:pt idx="10">
                  <c:v>-80871.040000000037</c:v>
                </c:pt>
                <c:pt idx="11">
                  <c:v>-404320.08999999985</c:v>
                </c:pt>
                <c:pt idx="12">
                  <c:v>2354748.94</c:v>
                </c:pt>
                <c:pt idx="13">
                  <c:v>5062370.24</c:v>
                </c:pt>
                <c:pt idx="14">
                  <c:v>252827.72999999998</c:v>
                </c:pt>
                <c:pt idx="15">
                  <c:v>-1487614.65</c:v>
                </c:pt>
                <c:pt idx="16">
                  <c:v>1193841.1311014199</c:v>
                </c:pt>
                <c:pt idx="17">
                  <c:v>-257426.63444928988</c:v>
                </c:pt>
                <c:pt idx="18">
                  <c:v>7238775.6011640197</c:v>
                </c:pt>
                <c:pt idx="19">
                  <c:v>2765040.6005820101</c:v>
                </c:pt>
                <c:pt idx="20">
                  <c:v>1192741.91061825</c:v>
                </c:pt>
                <c:pt idx="21">
                  <c:v>-257976.24469086993</c:v>
                </c:pt>
                <c:pt idx="22">
                  <c:v>5607424.2598271798</c:v>
                </c:pt>
                <c:pt idx="23">
                  <c:v>1949364.92991359</c:v>
                </c:pt>
                <c:pt idx="24">
                  <c:v>2152732.6563950898</c:v>
                </c:pt>
                <c:pt idx="25">
                  <c:v>222019.12819755008</c:v>
                </c:pt>
                <c:pt idx="26">
                  <c:v>4767114.9119374696</c:v>
                </c:pt>
                <c:pt idx="27">
                  <c:v>1529210.25596874</c:v>
                </c:pt>
                <c:pt idx="28">
                  <c:v>2069166.3972181503</c:v>
                </c:pt>
                <c:pt idx="29">
                  <c:v>180235.99860908021</c:v>
                </c:pt>
                <c:pt idx="30">
                  <c:v>5615627.7662385199</c:v>
                </c:pt>
                <c:pt idx="31">
                  <c:v>1953466.68311926</c:v>
                </c:pt>
                <c:pt idx="32">
                  <c:v>1372901.1405454502</c:v>
                </c:pt>
                <c:pt idx="33">
                  <c:v>-446106.53509801999</c:v>
                </c:pt>
                <c:pt idx="34">
                  <c:v>-2891540.9700854397</c:v>
                </c:pt>
                <c:pt idx="35">
                  <c:v>-2384078.33253473</c:v>
                </c:pt>
                <c:pt idx="36">
                  <c:v>-428044.44900781009</c:v>
                </c:pt>
                <c:pt idx="37">
                  <c:v>-2303830.4572056299</c:v>
                </c:pt>
                <c:pt idx="38">
                  <c:v>3401009.0468886709</c:v>
                </c:pt>
                <c:pt idx="39">
                  <c:v>-377571.54975118022</c:v>
                </c:pt>
                <c:pt idx="40">
                  <c:v>2748731.8240662403</c:v>
                </c:pt>
                <c:pt idx="41">
                  <c:v>-262783.33906336967</c:v>
                </c:pt>
                <c:pt idx="42">
                  <c:v>-1644255.2275936599</c:v>
                </c:pt>
                <c:pt idx="43">
                  <c:v>-856217.01374004968</c:v>
                </c:pt>
                <c:pt idx="44">
                  <c:v>-1591725.1566957496</c:v>
                </c:pt>
                <c:pt idx="45">
                  <c:v>344241.52482432034</c:v>
                </c:pt>
                <c:pt idx="46">
                  <c:v>-1686427.9130748697</c:v>
                </c:pt>
                <c:pt idx="47">
                  <c:v>1055835.27864818</c:v>
                </c:pt>
                <c:pt idx="48">
                  <c:v>76037.135830769781</c:v>
                </c:pt>
                <c:pt idx="49">
                  <c:v>-1670675.8320846101</c:v>
                </c:pt>
                <c:pt idx="50">
                  <c:v>-2607917.9755091402</c:v>
                </c:pt>
                <c:pt idx="51">
                  <c:v>-3012653.3877545651</c:v>
                </c:pt>
                <c:pt idx="52">
                  <c:v>-1114730.7577540101</c:v>
                </c:pt>
                <c:pt idx="53">
                  <c:v>-2266059.7788770003</c:v>
                </c:pt>
                <c:pt idx="54">
                  <c:v>-2122701.92326971</c:v>
                </c:pt>
                <c:pt idx="55">
                  <c:v>-2784200.792783435</c:v>
                </c:pt>
                <c:pt idx="56">
                  <c:v>-241921.53876534989</c:v>
                </c:pt>
                <c:pt idx="57">
                  <c:v>-1829655.16938267</c:v>
                </c:pt>
                <c:pt idx="58">
                  <c:v>-640964.13503777981</c:v>
                </c:pt>
                <c:pt idx="59">
                  <c:v>-2029176.46751889</c:v>
                </c:pt>
                <c:pt idx="60">
                  <c:v>525380.14450976998</c:v>
                </c:pt>
                <c:pt idx="61">
                  <c:v>-1455953.6402044802</c:v>
                </c:pt>
                <c:pt idx="62">
                  <c:v>-2189069.5555395102</c:v>
                </c:pt>
                <c:pt idx="63">
                  <c:v>-2803229.1777697471</c:v>
                </c:pt>
                <c:pt idx="64">
                  <c:v>5388306.2382727992</c:v>
                </c:pt>
                <c:pt idx="65">
                  <c:v>1070660.5791799594</c:v>
                </c:pt>
                <c:pt idx="66">
                  <c:v>5204121.5123507008</c:v>
                </c:pt>
                <c:pt idx="67">
                  <c:v>157370.62181469053</c:v>
                </c:pt>
                <c:pt idx="68">
                  <c:v>10357803.574388001</c:v>
                </c:pt>
                <c:pt idx="69">
                  <c:v>-869462.7180409804</c:v>
                </c:pt>
                <c:pt idx="70">
                  <c:v>4753733.4711025003</c:v>
                </c:pt>
                <c:pt idx="71">
                  <c:v>710110.09006071091</c:v>
                </c:pt>
                <c:pt idx="72">
                  <c:v>3745260.1128029004</c:v>
                </c:pt>
                <c:pt idx="73">
                  <c:v>2446648.4746118002</c:v>
                </c:pt>
                <c:pt idx="74">
                  <c:v>8678776.1926127002</c:v>
                </c:pt>
                <c:pt idx="75">
                  <c:v>137257.05154350959</c:v>
                </c:pt>
                <c:pt idx="76">
                  <c:v>12297393.289602999</c:v>
                </c:pt>
                <c:pt idx="77">
                  <c:v>-78510.733770850115</c:v>
                </c:pt>
                <c:pt idx="78">
                  <c:v>3066842.2481404003</c:v>
                </c:pt>
                <c:pt idx="79">
                  <c:v>-388493.5490547698</c:v>
                </c:pt>
                <c:pt idx="80">
                  <c:v>1888629.7872077599</c:v>
                </c:pt>
                <c:pt idx="81">
                  <c:v>4033769.1285724295</c:v>
                </c:pt>
                <c:pt idx="82">
                  <c:v>3667650.0882001808</c:v>
                </c:pt>
                <c:pt idx="83">
                  <c:v>5886499.9118545102</c:v>
                </c:pt>
                <c:pt idx="84">
                  <c:v>3476349.0604542596</c:v>
                </c:pt>
                <c:pt idx="85">
                  <c:v>5548976.2866277108</c:v>
                </c:pt>
                <c:pt idx="86">
                  <c:v>-610571.25992564019</c:v>
                </c:pt>
                <c:pt idx="87">
                  <c:v>4752007.5910040094</c:v>
                </c:pt>
                <c:pt idx="88">
                  <c:v>3167231.43833311</c:v>
                </c:pt>
                <c:pt idx="89">
                  <c:v>5432525.8925176105</c:v>
                </c:pt>
                <c:pt idx="90">
                  <c:v>3072234.9305619104</c:v>
                </c:pt>
                <c:pt idx="91">
                  <c:v>13606648.267535612</c:v>
                </c:pt>
                <c:pt idx="92">
                  <c:v>-652019.35459349956</c:v>
                </c:pt>
                <c:pt idx="93">
                  <c:v>1869643.5493179699</c:v>
                </c:pt>
                <c:pt idx="94">
                  <c:v>3708708.907193481</c:v>
                </c:pt>
                <c:pt idx="95">
                  <c:v>3840824.5573194912</c:v>
                </c:pt>
                <c:pt idx="96">
                  <c:v>2592410.0723567898</c:v>
                </c:pt>
                <c:pt idx="97">
                  <c:v>7693658.794713499</c:v>
                </c:pt>
                <c:pt idx="98">
                  <c:v>-2245247.7927348749</c:v>
                </c:pt>
                <c:pt idx="99">
                  <c:v>-1981656.9354697489</c:v>
                </c:pt>
                <c:pt idx="100">
                  <c:v>2409931.7423097105</c:v>
                </c:pt>
                <c:pt idx="101">
                  <c:v>7328702.1346194297</c:v>
                </c:pt>
                <c:pt idx="102">
                  <c:v>-2245247.7927348749</c:v>
                </c:pt>
                <c:pt idx="103">
                  <c:v>-1981656.9354697489</c:v>
                </c:pt>
                <c:pt idx="104">
                  <c:v>3309686.0457065296</c:v>
                </c:pt>
                <c:pt idx="105">
                  <c:v>9128210.7414129991</c:v>
                </c:pt>
                <c:pt idx="106">
                  <c:v>-1495328.0008065901</c:v>
                </c:pt>
                <c:pt idx="107">
                  <c:v>-481817.35161317</c:v>
                </c:pt>
                <c:pt idx="108">
                  <c:v>2508655.3156140498</c:v>
                </c:pt>
                <c:pt idx="109">
                  <c:v>7526149.281228099</c:v>
                </c:pt>
                <c:pt idx="110">
                  <c:v>-1104115.9231108599</c:v>
                </c:pt>
                <c:pt idx="111">
                  <c:v>300606.80377828004</c:v>
                </c:pt>
                <c:pt idx="112">
                  <c:v>3708512.2717728196</c:v>
                </c:pt>
                <c:pt idx="113">
                  <c:v>9125718.9435456116</c:v>
                </c:pt>
                <c:pt idx="114">
                  <c:v>225109.84697973006</c:v>
                </c:pt>
                <c:pt idx="115">
                  <c:v>2158914.0939594498</c:v>
                </c:pt>
                <c:pt idx="116">
                  <c:v>3259207.5826025298</c:v>
                </c:pt>
                <c:pt idx="117">
                  <c:v>8227109.565205059</c:v>
                </c:pt>
                <c:pt idx="118">
                  <c:v>170472.53806016012</c:v>
                </c:pt>
                <c:pt idx="119">
                  <c:v>2049639.4761203101</c:v>
                </c:pt>
                <c:pt idx="120">
                  <c:v>4276570.42325613</c:v>
                </c:pt>
                <c:pt idx="121">
                  <c:v>10261835.24651221</c:v>
                </c:pt>
                <c:pt idx="122">
                  <c:v>864370.86384218023</c:v>
                </c:pt>
                <c:pt idx="123">
                  <c:v>3437436.1276843501</c:v>
                </c:pt>
                <c:pt idx="124">
                  <c:v>2074951.0551152902</c:v>
                </c:pt>
                <c:pt idx="125">
                  <c:v>5858596.5102305701</c:v>
                </c:pt>
                <c:pt idx="126">
                  <c:v>864370.86384218023</c:v>
                </c:pt>
                <c:pt idx="127">
                  <c:v>3437436.1276843501</c:v>
                </c:pt>
                <c:pt idx="128">
                  <c:v>45598.877288170159</c:v>
                </c:pt>
                <c:pt idx="129">
                  <c:v>5108875.054576301</c:v>
                </c:pt>
                <c:pt idx="130">
                  <c:v>265845.44359546062</c:v>
                </c:pt>
                <c:pt idx="131">
                  <c:v>5549368.1871909006</c:v>
                </c:pt>
                <c:pt idx="132">
                  <c:v>-1727585.9106108299</c:v>
                </c:pt>
                <c:pt idx="133">
                  <c:v>1562505.4787783399</c:v>
                </c:pt>
                <c:pt idx="134">
                  <c:v>80837.628068850376</c:v>
                </c:pt>
                <c:pt idx="135">
                  <c:v>5179352.5561377006</c:v>
                </c:pt>
                <c:pt idx="136">
                  <c:v>-3514632.0741298702</c:v>
                </c:pt>
                <c:pt idx="137">
                  <c:v>-2011586.84825974</c:v>
                </c:pt>
                <c:pt idx="138">
                  <c:v>-2797807.16053994</c:v>
                </c:pt>
                <c:pt idx="139">
                  <c:v>-577937.02107986994</c:v>
                </c:pt>
                <c:pt idx="140">
                  <c:v>215310.81850360055</c:v>
                </c:pt>
                <c:pt idx="141">
                  <c:v>5448298.9370072009</c:v>
                </c:pt>
                <c:pt idx="142">
                  <c:v>196961.22501615994</c:v>
                </c:pt>
                <c:pt idx="143">
                  <c:v>5411599.7500323011</c:v>
                </c:pt>
                <c:pt idx="144">
                  <c:v>200839.78595797997</c:v>
                </c:pt>
                <c:pt idx="145">
                  <c:v>3819068.37191595</c:v>
                </c:pt>
                <c:pt idx="146">
                  <c:v>-1328440.29580003</c:v>
                </c:pt>
                <c:pt idx="147">
                  <c:v>760508.20839993982</c:v>
                </c:pt>
                <c:pt idx="148">
                  <c:v>-1559937.98004614</c:v>
                </c:pt>
                <c:pt idx="149">
                  <c:v>297512.83990771975</c:v>
                </c:pt>
                <c:pt idx="150">
                  <c:v>-413371.19333409984</c:v>
                </c:pt>
                <c:pt idx="151">
                  <c:v>2590646.4133317904</c:v>
                </c:pt>
                <c:pt idx="152">
                  <c:v>-1527170.0042813499</c:v>
                </c:pt>
                <c:pt idx="153">
                  <c:v>363048.79143729014</c:v>
                </c:pt>
                <c:pt idx="154">
                  <c:v>-836437.71808699006</c:v>
                </c:pt>
                <c:pt idx="155">
                  <c:v>1744513.3638260099</c:v>
                </c:pt>
                <c:pt idx="156">
                  <c:v>118762.39204978989</c:v>
                </c:pt>
                <c:pt idx="157">
                  <c:v>3654913.5840995801</c:v>
                </c:pt>
                <c:pt idx="158">
                  <c:v>-1807906.92712866</c:v>
                </c:pt>
                <c:pt idx="159">
                  <c:v>-198425.05425732024</c:v>
                </c:pt>
                <c:pt idx="160">
                  <c:v>2905083.1006705808</c:v>
                </c:pt>
                <c:pt idx="161">
                  <c:v>11505814.201341111</c:v>
                </c:pt>
                <c:pt idx="162">
                  <c:v>1034493.8497600099</c:v>
                </c:pt>
                <c:pt idx="163">
                  <c:v>7764635.6995200096</c:v>
                </c:pt>
                <c:pt idx="164">
                  <c:v>1755858.6757243602</c:v>
                </c:pt>
                <c:pt idx="165">
                  <c:v>9207365.351448711</c:v>
                </c:pt>
                <c:pt idx="166">
                  <c:v>527612.17846629024</c:v>
                </c:pt>
                <c:pt idx="167">
                  <c:v>6750872.3569325106</c:v>
                </c:pt>
                <c:pt idx="168">
                  <c:v>183326.39699420985</c:v>
                </c:pt>
                <c:pt idx="169">
                  <c:v>6062300.7939884095</c:v>
                </c:pt>
                <c:pt idx="170">
                  <c:v>755189.71484986041</c:v>
                </c:pt>
                <c:pt idx="171">
                  <c:v>7206027.4296997106</c:v>
                </c:pt>
                <c:pt idx="172">
                  <c:v>396598.69742485043</c:v>
                </c:pt>
                <c:pt idx="173">
                  <c:v>6488845.3948496105</c:v>
                </c:pt>
                <c:pt idx="174">
                  <c:v>417348.02350276057</c:v>
                </c:pt>
                <c:pt idx="175">
                  <c:v>6530344.0470055109</c:v>
                </c:pt>
                <c:pt idx="176">
                  <c:v>4511327.6995886993</c:v>
                </c:pt>
                <c:pt idx="177">
                  <c:v>17385450.899177499</c:v>
                </c:pt>
                <c:pt idx="178">
                  <c:v>1100583.2070490606</c:v>
                </c:pt>
                <c:pt idx="179">
                  <c:v>10563961.914098099</c:v>
                </c:pt>
                <c:pt idx="180">
                  <c:v>166598.6942931395</c:v>
                </c:pt>
                <c:pt idx="181">
                  <c:v>8695992.8885862008</c:v>
                </c:pt>
                <c:pt idx="182">
                  <c:v>-256861.97005049977</c:v>
                </c:pt>
                <c:pt idx="183">
                  <c:v>7849071.5598990005</c:v>
                </c:pt>
                <c:pt idx="184">
                  <c:v>4578402.8878399003</c:v>
                </c:pt>
                <c:pt idx="185">
                  <c:v>17519601.275679901</c:v>
                </c:pt>
                <c:pt idx="186">
                  <c:v>647364.19014888071</c:v>
                </c:pt>
                <c:pt idx="187">
                  <c:v>9657523.8802977018</c:v>
                </c:pt>
                <c:pt idx="188">
                  <c:v>1839754.7727179006</c:v>
                </c:pt>
                <c:pt idx="189">
                  <c:v>12042305.045435902</c:v>
                </c:pt>
                <c:pt idx="190">
                  <c:v>162974.55000000075</c:v>
                </c:pt>
                <c:pt idx="191">
                  <c:v>8688744.6000000015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7E-094C-9427-EE20F9569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4554608"/>
        <c:axId val="841860639"/>
      </c:lineChart>
      <c:catAx>
        <c:axId val="294554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841860639"/>
        <c:crosses val="autoZero"/>
        <c:auto val="1"/>
        <c:lblAlgn val="ctr"/>
        <c:lblOffset val="100"/>
        <c:tickLblSkip val="1"/>
        <c:noMultiLvlLbl val="0"/>
      </c:catAx>
      <c:valAx>
        <c:axId val="841860639"/>
        <c:scaling>
          <c:orientation val="minMax"/>
          <c:max val="18000000"/>
          <c:min val="-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9455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batch_experiment!$P$1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batch_experiment!$A$2:$A$33</c:f>
              <c:strCache>
                <c:ptCount val="32"/>
                <c:pt idx="0">
                  <c:v>A</c:v>
                </c:pt>
                <c:pt idx="1">
                  <c:v>B 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 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 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batch_experiment!$P$2:$P$33</c:f>
              <c:numCache>
                <c:formatCode>General</c:formatCode>
                <c:ptCount val="32"/>
                <c:pt idx="0">
                  <c:v>171792</c:v>
                </c:pt>
                <c:pt idx="1">
                  <c:v>171792</c:v>
                </c:pt>
                <c:pt idx="2">
                  <c:v>174287</c:v>
                </c:pt>
                <c:pt idx="3">
                  <c:v>174287</c:v>
                </c:pt>
                <c:pt idx="4">
                  <c:v>173295</c:v>
                </c:pt>
                <c:pt idx="5">
                  <c:v>173295</c:v>
                </c:pt>
                <c:pt idx="6">
                  <c:v>174484</c:v>
                </c:pt>
                <c:pt idx="7">
                  <c:v>174484</c:v>
                </c:pt>
                <c:pt idx="8">
                  <c:v>175208</c:v>
                </c:pt>
                <c:pt idx="9">
                  <c:v>175208</c:v>
                </c:pt>
                <c:pt idx="10">
                  <c:v>174853</c:v>
                </c:pt>
                <c:pt idx="11">
                  <c:v>174853</c:v>
                </c:pt>
                <c:pt idx="12">
                  <c:v>175197</c:v>
                </c:pt>
                <c:pt idx="13">
                  <c:v>175197</c:v>
                </c:pt>
                <c:pt idx="14">
                  <c:v>175217</c:v>
                </c:pt>
                <c:pt idx="15">
                  <c:v>175217</c:v>
                </c:pt>
                <c:pt idx="16">
                  <c:v>179690</c:v>
                </c:pt>
                <c:pt idx="17">
                  <c:v>182842</c:v>
                </c:pt>
                <c:pt idx="18">
                  <c:v>184741</c:v>
                </c:pt>
                <c:pt idx="19">
                  <c:v>179238</c:v>
                </c:pt>
                <c:pt idx="20">
                  <c:v>166036</c:v>
                </c:pt>
                <c:pt idx="21">
                  <c:v>166036</c:v>
                </c:pt>
                <c:pt idx="22">
                  <c:v>178964</c:v>
                </c:pt>
                <c:pt idx="23">
                  <c:v>178964</c:v>
                </c:pt>
                <c:pt idx="24">
                  <c:v>184642</c:v>
                </c:pt>
                <c:pt idx="25">
                  <c:v>184642</c:v>
                </c:pt>
                <c:pt idx="26">
                  <c:v>183055</c:v>
                </c:pt>
                <c:pt idx="27">
                  <c:v>183055</c:v>
                </c:pt>
                <c:pt idx="28">
                  <c:v>186096</c:v>
                </c:pt>
                <c:pt idx="29">
                  <c:v>173454</c:v>
                </c:pt>
                <c:pt idx="30">
                  <c:v>179731</c:v>
                </c:pt>
                <c:pt idx="31">
                  <c:v>179087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5-944C-9BF5-266AAC3A56D8}"/>
            </c:ext>
          </c:extLst>
        </c:ser>
        <c:ser>
          <c:idx val="1"/>
          <c:order val="1"/>
          <c:tx>
            <c:strRef>
              <c:f>batch_experiment!$U$1</c:f>
              <c:strCache>
                <c:ptCount val="1"/>
                <c:pt idx="0">
                  <c:v>Exotic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batch_experiment!$A$2:$A$33</c:f>
              <c:strCache>
                <c:ptCount val="32"/>
                <c:pt idx="0">
                  <c:v>A</c:v>
                </c:pt>
                <c:pt idx="1">
                  <c:v>B 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 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 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batch_experiment!$U$2:$U$33</c:f>
              <c:numCache>
                <c:formatCode>General</c:formatCode>
                <c:ptCount val="32"/>
                <c:pt idx="0">
                  <c:v>91584</c:v>
                </c:pt>
                <c:pt idx="1">
                  <c:v>91584</c:v>
                </c:pt>
                <c:pt idx="2">
                  <c:v>97429</c:v>
                </c:pt>
                <c:pt idx="3">
                  <c:v>97429</c:v>
                </c:pt>
                <c:pt idx="4">
                  <c:v>88248</c:v>
                </c:pt>
                <c:pt idx="5">
                  <c:v>88248</c:v>
                </c:pt>
                <c:pt idx="6">
                  <c:v>97387</c:v>
                </c:pt>
                <c:pt idx="7">
                  <c:v>97387</c:v>
                </c:pt>
                <c:pt idx="8">
                  <c:v>97391</c:v>
                </c:pt>
                <c:pt idx="9">
                  <c:v>97391</c:v>
                </c:pt>
                <c:pt idx="10">
                  <c:v>97354</c:v>
                </c:pt>
                <c:pt idx="11">
                  <c:v>97354</c:v>
                </c:pt>
                <c:pt idx="12">
                  <c:v>94185</c:v>
                </c:pt>
                <c:pt idx="13">
                  <c:v>94185</c:v>
                </c:pt>
                <c:pt idx="14">
                  <c:v>97372</c:v>
                </c:pt>
                <c:pt idx="15">
                  <c:v>97372</c:v>
                </c:pt>
                <c:pt idx="16">
                  <c:v>85660</c:v>
                </c:pt>
                <c:pt idx="17">
                  <c:v>87817</c:v>
                </c:pt>
                <c:pt idx="18">
                  <c:v>89358</c:v>
                </c:pt>
                <c:pt idx="19">
                  <c:v>90719</c:v>
                </c:pt>
                <c:pt idx="20">
                  <c:v>94690</c:v>
                </c:pt>
                <c:pt idx="21">
                  <c:v>94690</c:v>
                </c:pt>
                <c:pt idx="22">
                  <c:v>91156</c:v>
                </c:pt>
                <c:pt idx="23">
                  <c:v>91156</c:v>
                </c:pt>
                <c:pt idx="24">
                  <c:v>88935</c:v>
                </c:pt>
                <c:pt idx="25">
                  <c:v>88935</c:v>
                </c:pt>
                <c:pt idx="26">
                  <c:v>88516</c:v>
                </c:pt>
                <c:pt idx="27">
                  <c:v>88516</c:v>
                </c:pt>
                <c:pt idx="28">
                  <c:v>90203</c:v>
                </c:pt>
                <c:pt idx="29">
                  <c:v>92923</c:v>
                </c:pt>
                <c:pt idx="30">
                  <c:v>86265</c:v>
                </c:pt>
                <c:pt idx="31">
                  <c:v>86743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D5-944C-9BF5-266AAC3A56D8}"/>
            </c:ext>
          </c:extLst>
        </c:ser>
        <c:ser>
          <c:idx val="2"/>
          <c:order val="2"/>
          <c:tx>
            <c:strRef>
              <c:f>batch_experiment!$V$1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batch_experiment!$A$2:$A$33</c:f>
              <c:strCache>
                <c:ptCount val="32"/>
                <c:pt idx="0">
                  <c:v>A</c:v>
                </c:pt>
                <c:pt idx="1">
                  <c:v>B 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 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 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batch_experiment!$V$2:$V$33</c:f>
              <c:numCache>
                <c:formatCode>General</c:formatCode>
                <c:ptCount val="32"/>
                <c:pt idx="0">
                  <c:v>263376</c:v>
                </c:pt>
                <c:pt idx="1">
                  <c:v>263376</c:v>
                </c:pt>
                <c:pt idx="2">
                  <c:v>271716</c:v>
                </c:pt>
                <c:pt idx="3">
                  <c:v>271716</c:v>
                </c:pt>
                <c:pt idx="4">
                  <c:v>261543</c:v>
                </c:pt>
                <c:pt idx="5">
                  <c:v>261543</c:v>
                </c:pt>
                <c:pt idx="6">
                  <c:v>271871</c:v>
                </c:pt>
                <c:pt idx="7">
                  <c:v>271871</c:v>
                </c:pt>
                <c:pt idx="8">
                  <c:v>272599</c:v>
                </c:pt>
                <c:pt idx="9">
                  <c:v>272599</c:v>
                </c:pt>
                <c:pt idx="10">
                  <c:v>272207</c:v>
                </c:pt>
                <c:pt idx="11">
                  <c:v>272207</c:v>
                </c:pt>
                <c:pt idx="12">
                  <c:v>269382</c:v>
                </c:pt>
                <c:pt idx="13">
                  <c:v>269382</c:v>
                </c:pt>
                <c:pt idx="14">
                  <c:v>272589</c:v>
                </c:pt>
                <c:pt idx="15">
                  <c:v>272589</c:v>
                </c:pt>
                <c:pt idx="16">
                  <c:v>265350</c:v>
                </c:pt>
                <c:pt idx="17">
                  <c:v>270659</c:v>
                </c:pt>
                <c:pt idx="18">
                  <c:v>274099</c:v>
                </c:pt>
                <c:pt idx="19">
                  <c:v>269957</c:v>
                </c:pt>
                <c:pt idx="20">
                  <c:v>260726</c:v>
                </c:pt>
                <c:pt idx="21">
                  <c:v>260726</c:v>
                </c:pt>
                <c:pt idx="22">
                  <c:v>270120</c:v>
                </c:pt>
                <c:pt idx="23">
                  <c:v>270120</c:v>
                </c:pt>
                <c:pt idx="24">
                  <c:v>273577</c:v>
                </c:pt>
                <c:pt idx="25">
                  <c:v>273577</c:v>
                </c:pt>
                <c:pt idx="26">
                  <c:v>271571</c:v>
                </c:pt>
                <c:pt idx="27">
                  <c:v>271571</c:v>
                </c:pt>
                <c:pt idx="28">
                  <c:v>276299</c:v>
                </c:pt>
                <c:pt idx="29">
                  <c:v>266377</c:v>
                </c:pt>
                <c:pt idx="30">
                  <c:v>265996</c:v>
                </c:pt>
                <c:pt idx="31">
                  <c:v>265830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D5-944C-9BF5-266AAC3A5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9191472"/>
        <c:axId val="298016512"/>
      </c:barChart>
      <c:catAx>
        <c:axId val="549191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98016512"/>
        <c:crosses val="autoZero"/>
        <c:auto val="1"/>
        <c:lblAlgn val="ctr"/>
        <c:lblOffset val="100"/>
        <c:noMultiLvlLbl val="0"/>
      </c:catAx>
      <c:valAx>
        <c:axId val="29801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4919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batch_experiment!$Y$1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batch_experiment!$A$2:$A$33</c:f>
              <c:strCache>
                <c:ptCount val="32"/>
                <c:pt idx="0">
                  <c:v>A</c:v>
                </c:pt>
                <c:pt idx="1">
                  <c:v>B 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 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 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batch_experiment!$Y$2:$Y$33</c:f>
              <c:numCache>
                <c:formatCode>General</c:formatCode>
                <c:ptCount val="32"/>
                <c:pt idx="0">
                  <c:v>-5110696.5549652204</c:v>
                </c:pt>
                <c:pt idx="1">
                  <c:v>376534.83871673601</c:v>
                </c:pt>
                <c:pt idx="2">
                  <c:v>-5483757.6468358496</c:v>
                </c:pt>
                <c:pt idx="3">
                  <c:v>-511354.86345331097</c:v>
                </c:pt>
                <c:pt idx="4">
                  <c:v>-3895847.54459078</c:v>
                </c:pt>
                <c:pt idx="5">
                  <c:v>1606587.74507741</c:v>
                </c:pt>
                <c:pt idx="6">
                  <c:v>-5512493.8075291999</c:v>
                </c:pt>
                <c:pt idx="7">
                  <c:v>-606032.27669434994</c:v>
                </c:pt>
                <c:pt idx="8">
                  <c:v>-6265989.51732805</c:v>
                </c:pt>
                <c:pt idx="9">
                  <c:v>-100464.283328561</c:v>
                </c:pt>
                <c:pt idx="10">
                  <c:v>-7057991.67289773</c:v>
                </c:pt>
                <c:pt idx="11">
                  <c:v>-1915359.4171470699</c:v>
                </c:pt>
                <c:pt idx="12">
                  <c:v>-6067088.3667623997</c:v>
                </c:pt>
                <c:pt idx="13">
                  <c:v>-178276.599932849</c:v>
                </c:pt>
                <c:pt idx="14">
                  <c:v>-6943503.4151456403</c:v>
                </c:pt>
                <c:pt idx="15">
                  <c:v>-1748019.8115733301</c:v>
                </c:pt>
                <c:pt idx="16">
                  <c:v>-15269130.329689</c:v>
                </c:pt>
                <c:pt idx="17">
                  <c:v>-3263792.0778216901</c:v>
                </c:pt>
                <c:pt idx="18">
                  <c:v>-7792441.6816649605</c:v>
                </c:pt>
                <c:pt idx="19">
                  <c:v>1761533.41888296</c:v>
                </c:pt>
                <c:pt idx="20">
                  <c:v>-14882932.0594467</c:v>
                </c:pt>
                <c:pt idx="21">
                  <c:v>-4327959.56624607</c:v>
                </c:pt>
                <c:pt idx="22">
                  <c:v>-9722913.0374852195</c:v>
                </c:pt>
                <c:pt idx="23">
                  <c:v>-809030.129542373</c:v>
                </c:pt>
                <c:pt idx="24">
                  <c:v>-16437005.400413301</c:v>
                </c:pt>
                <c:pt idx="25">
                  <c:v>-7634628.40162668</c:v>
                </c:pt>
                <c:pt idx="26">
                  <c:v>-8951066.4719297197</c:v>
                </c:pt>
                <c:pt idx="27">
                  <c:v>296225.64565976302</c:v>
                </c:pt>
                <c:pt idx="28">
                  <c:v>-16545365.4393514</c:v>
                </c:pt>
                <c:pt idx="29">
                  <c:v>-5595906.3897781903</c:v>
                </c:pt>
                <c:pt idx="30">
                  <c:v>-11886864.216076899</c:v>
                </c:pt>
                <c:pt idx="31">
                  <c:v>-4178601.4332850901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7B-FB41-A103-F7AD6A85DE45}"/>
            </c:ext>
          </c:extLst>
        </c:ser>
        <c:ser>
          <c:idx val="1"/>
          <c:order val="1"/>
          <c:tx>
            <c:strRef>
              <c:f>batch_experiment!$AA$1</c:f>
              <c:strCache>
                <c:ptCount val="1"/>
                <c:pt idx="0">
                  <c:v>Average partners earning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batch_experiment!$A$2:$A$33</c:f>
              <c:strCache>
                <c:ptCount val="32"/>
                <c:pt idx="0">
                  <c:v>A</c:v>
                </c:pt>
                <c:pt idx="1">
                  <c:v>B 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 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 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batch_experiment!$AA$2:$AA$33</c:f>
              <c:numCache>
                <c:formatCode>General</c:formatCode>
                <c:ptCount val="32"/>
                <c:pt idx="0">
                  <c:v>314038.83030987164</c:v>
                </c:pt>
                <c:pt idx="1">
                  <c:v>334129.77411842335</c:v>
                </c:pt>
                <c:pt idx="2">
                  <c:v>405011.74125387997</c:v>
                </c:pt>
                <c:pt idx="3">
                  <c:v>405011.74125387997</c:v>
                </c:pt>
                <c:pt idx="4">
                  <c:v>219435.01404197799</c:v>
                </c:pt>
                <c:pt idx="5">
                  <c:v>220218.09962605967</c:v>
                </c:pt>
                <c:pt idx="6">
                  <c:v>403621.85056026129</c:v>
                </c:pt>
                <c:pt idx="7">
                  <c:v>403621.85056026129</c:v>
                </c:pt>
                <c:pt idx="8">
                  <c:v>314154.60495151638</c:v>
                </c:pt>
                <c:pt idx="9">
                  <c:v>314154.60495151638</c:v>
                </c:pt>
                <c:pt idx="10">
                  <c:v>372839.23107482062</c:v>
                </c:pt>
                <c:pt idx="11">
                  <c:v>372839.23107482062</c:v>
                </c:pt>
                <c:pt idx="12">
                  <c:v>292180.337131896</c:v>
                </c:pt>
                <c:pt idx="13">
                  <c:v>292180.337131896</c:v>
                </c:pt>
                <c:pt idx="14">
                  <c:v>383493.54071005195</c:v>
                </c:pt>
                <c:pt idx="15">
                  <c:v>383493.54071005195</c:v>
                </c:pt>
                <c:pt idx="16">
                  <c:v>556352.13772145996</c:v>
                </c:pt>
                <c:pt idx="17">
                  <c:v>552728.42999116005</c:v>
                </c:pt>
                <c:pt idx="18">
                  <c:v>442475.81273180997</c:v>
                </c:pt>
                <c:pt idx="19">
                  <c:v>478490.20429604728</c:v>
                </c:pt>
                <c:pt idx="20">
                  <c:v>516882.69374553004</c:v>
                </c:pt>
                <c:pt idx="21">
                  <c:v>516882.69374553004</c:v>
                </c:pt>
                <c:pt idx="22">
                  <c:v>498161.22237868869</c:v>
                </c:pt>
                <c:pt idx="23">
                  <c:v>498161.22237868869</c:v>
                </c:pt>
                <c:pt idx="24">
                  <c:v>455276.75351923</c:v>
                </c:pt>
                <c:pt idx="25">
                  <c:v>455276.75351923</c:v>
                </c:pt>
                <c:pt idx="26">
                  <c:v>494931.55879901734</c:v>
                </c:pt>
                <c:pt idx="27">
                  <c:v>494931.55879901734</c:v>
                </c:pt>
                <c:pt idx="28">
                  <c:v>495834.07964916661</c:v>
                </c:pt>
                <c:pt idx="29">
                  <c:v>486641.70683519664</c:v>
                </c:pt>
                <c:pt idx="30">
                  <c:v>479273.45037275128</c:v>
                </c:pt>
                <c:pt idx="31">
                  <c:v>463047.63534129201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7B-FB41-A103-F7AD6A85DE45}"/>
            </c:ext>
          </c:extLst>
        </c:ser>
        <c:ser>
          <c:idx val="2"/>
          <c:order val="2"/>
          <c:tx>
            <c:strRef>
              <c:f>batch_experiment!$AF$1</c:f>
              <c:strCache>
                <c:ptCount val="1"/>
                <c:pt idx="0">
                  <c:v>Average investor net earning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batch_experiment!$A$2:$A$33</c:f>
              <c:strCache>
                <c:ptCount val="32"/>
                <c:pt idx="0">
                  <c:v>A</c:v>
                </c:pt>
                <c:pt idx="1">
                  <c:v>B 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 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 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batch_experiment!$AF$2:$AF$33</c:f>
              <c:numCache>
                <c:formatCode>General</c:formatCode>
                <c:ptCount val="32"/>
                <c:pt idx="0">
                  <c:v>170506.00618162297</c:v>
                </c:pt>
                <c:pt idx="1">
                  <c:v>454924.97236324596</c:v>
                </c:pt>
                <c:pt idx="2">
                  <c:v>158967.81305451802</c:v>
                </c:pt>
                <c:pt idx="3">
                  <c:v>431848.58610903501</c:v>
                </c:pt>
                <c:pt idx="4">
                  <c:v>170506.00618162297</c:v>
                </c:pt>
                <c:pt idx="5">
                  <c:v>454924.97236324596</c:v>
                </c:pt>
                <c:pt idx="6">
                  <c:v>153568.67284811501</c:v>
                </c:pt>
                <c:pt idx="7">
                  <c:v>421050.30569622898</c:v>
                </c:pt>
                <c:pt idx="8">
                  <c:v>170506.00618162297</c:v>
                </c:pt>
                <c:pt idx="9">
                  <c:v>454924.97236324596</c:v>
                </c:pt>
                <c:pt idx="10">
                  <c:v>150417.64561247698</c:v>
                </c:pt>
                <c:pt idx="11">
                  <c:v>414748.25122495292</c:v>
                </c:pt>
                <c:pt idx="12">
                  <c:v>145054.67558516099</c:v>
                </c:pt>
                <c:pt idx="13">
                  <c:v>404022.31117032096</c:v>
                </c:pt>
                <c:pt idx="14">
                  <c:v>119772.67901531898</c:v>
                </c:pt>
                <c:pt idx="15">
                  <c:v>353458.31803063693</c:v>
                </c:pt>
                <c:pt idx="16">
                  <c:v>64325.00706920166</c:v>
                </c:pt>
                <c:pt idx="17">
                  <c:v>244289.09630337698</c:v>
                </c:pt>
                <c:pt idx="18">
                  <c:v>6250.880900642338</c:v>
                </c:pt>
                <c:pt idx="19">
                  <c:v>140910.50298999398</c:v>
                </c:pt>
                <c:pt idx="20">
                  <c:v>53015.413193028995</c:v>
                </c:pt>
                <c:pt idx="21">
                  <c:v>219943.78638605698</c:v>
                </c:pt>
                <c:pt idx="22">
                  <c:v>40305.630112363659</c:v>
                </c:pt>
                <c:pt idx="23">
                  <c:v>194524.220224727</c:v>
                </c:pt>
                <c:pt idx="24">
                  <c:v>-37732.355094624996</c:v>
                </c:pt>
                <c:pt idx="25">
                  <c:v>38448.249810749992</c:v>
                </c:pt>
                <c:pt idx="26">
                  <c:v>-7425.1758325950086</c:v>
                </c:pt>
                <c:pt idx="27">
                  <c:v>99062.608334809993</c:v>
                </c:pt>
                <c:pt idx="28">
                  <c:v>65564.401169095669</c:v>
                </c:pt>
                <c:pt idx="29">
                  <c:v>214551.84786527001</c:v>
                </c:pt>
                <c:pt idx="30">
                  <c:v>-10431.904740521002</c:v>
                </c:pt>
                <c:pt idx="31">
                  <c:v>66163.033528278655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7B-FB41-A103-F7AD6A85D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06286127"/>
        <c:axId val="549889312"/>
      </c:barChart>
      <c:catAx>
        <c:axId val="90628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49889312"/>
        <c:crosses val="autoZero"/>
        <c:auto val="1"/>
        <c:lblAlgn val="ctr"/>
        <c:lblOffset val="100"/>
        <c:noMultiLvlLbl val="0"/>
      </c:catAx>
      <c:valAx>
        <c:axId val="549889312"/>
        <c:scaling>
          <c:orientation val="minMax"/>
          <c:max val="2000000"/>
          <c:min val="-17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90628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Final tree population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Sheet4!$B$2:$B$33</c:f>
              <c:numCache>
                <c:formatCode>General</c:formatCode>
                <c:ptCount val="32"/>
                <c:pt idx="0">
                  <c:v>233027</c:v>
                </c:pt>
                <c:pt idx="1">
                  <c:v>230505</c:v>
                </c:pt>
                <c:pt idx="2">
                  <c:v>232202</c:v>
                </c:pt>
                <c:pt idx="3">
                  <c:v>230508</c:v>
                </c:pt>
                <c:pt idx="4">
                  <c:v>232684</c:v>
                </c:pt>
                <c:pt idx="5">
                  <c:v>235124</c:v>
                </c:pt>
                <c:pt idx="6">
                  <c:v>234120</c:v>
                </c:pt>
                <c:pt idx="7">
                  <c:v>228801</c:v>
                </c:pt>
                <c:pt idx="8">
                  <c:v>235900</c:v>
                </c:pt>
                <c:pt idx="9">
                  <c:v>237872</c:v>
                </c:pt>
                <c:pt idx="10">
                  <c:v>235802</c:v>
                </c:pt>
                <c:pt idx="11">
                  <c:v>237158</c:v>
                </c:pt>
                <c:pt idx="12">
                  <c:v>236342</c:v>
                </c:pt>
                <c:pt idx="13">
                  <c:v>237304</c:v>
                </c:pt>
                <c:pt idx="14">
                  <c:v>235732</c:v>
                </c:pt>
                <c:pt idx="15">
                  <c:v>237501</c:v>
                </c:pt>
                <c:pt idx="16">
                  <c:v>233093</c:v>
                </c:pt>
                <c:pt idx="17">
                  <c:v>230671</c:v>
                </c:pt>
                <c:pt idx="18">
                  <c:v>232147</c:v>
                </c:pt>
                <c:pt idx="19">
                  <c:v>230425</c:v>
                </c:pt>
                <c:pt idx="20">
                  <c:v>232916</c:v>
                </c:pt>
                <c:pt idx="21">
                  <c:v>235202</c:v>
                </c:pt>
                <c:pt idx="22">
                  <c:v>234251</c:v>
                </c:pt>
                <c:pt idx="23">
                  <c:v>228871</c:v>
                </c:pt>
                <c:pt idx="24">
                  <c:v>236996</c:v>
                </c:pt>
                <c:pt idx="25">
                  <c:v>238054</c:v>
                </c:pt>
                <c:pt idx="26">
                  <c:v>237187</c:v>
                </c:pt>
                <c:pt idx="27">
                  <c:v>238752</c:v>
                </c:pt>
                <c:pt idx="28">
                  <c:v>236800</c:v>
                </c:pt>
                <c:pt idx="29">
                  <c:v>237992</c:v>
                </c:pt>
                <c:pt idx="30">
                  <c:v>236638</c:v>
                </c:pt>
                <c:pt idx="31">
                  <c:v>236705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AA-7847-8F82-1E5C83DC2D3B}"/>
            </c:ext>
          </c:extLst>
        </c:ser>
        <c:ser>
          <c:idx val="1"/>
          <c:order val="1"/>
          <c:tx>
            <c:strRef>
              <c:f>Sheet4!$C$1</c:f>
              <c:strCache>
                <c:ptCount val="1"/>
                <c:pt idx="0">
                  <c:v>Exotic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Sheet4!$C$2:$C$33</c:f>
              <c:numCache>
                <c:formatCode>General</c:formatCode>
                <c:ptCount val="32"/>
                <c:pt idx="0">
                  <c:v>116922</c:v>
                </c:pt>
                <c:pt idx="1">
                  <c:v>111447</c:v>
                </c:pt>
                <c:pt idx="2">
                  <c:v>117211</c:v>
                </c:pt>
                <c:pt idx="3">
                  <c:v>108966</c:v>
                </c:pt>
                <c:pt idx="4">
                  <c:v>116330</c:v>
                </c:pt>
                <c:pt idx="5">
                  <c:v>116581</c:v>
                </c:pt>
                <c:pt idx="6">
                  <c:v>116241</c:v>
                </c:pt>
                <c:pt idx="7">
                  <c:v>108583</c:v>
                </c:pt>
                <c:pt idx="8">
                  <c:v>116393</c:v>
                </c:pt>
                <c:pt idx="9">
                  <c:v>116866</c:v>
                </c:pt>
                <c:pt idx="10">
                  <c:v>116378</c:v>
                </c:pt>
                <c:pt idx="11">
                  <c:v>116600</c:v>
                </c:pt>
                <c:pt idx="12">
                  <c:v>116480</c:v>
                </c:pt>
                <c:pt idx="13">
                  <c:v>116167</c:v>
                </c:pt>
                <c:pt idx="14">
                  <c:v>116966</c:v>
                </c:pt>
                <c:pt idx="15">
                  <c:v>116380</c:v>
                </c:pt>
                <c:pt idx="16">
                  <c:v>116761</c:v>
                </c:pt>
                <c:pt idx="17">
                  <c:v>111431</c:v>
                </c:pt>
                <c:pt idx="18">
                  <c:v>117210</c:v>
                </c:pt>
                <c:pt idx="19">
                  <c:v>108962</c:v>
                </c:pt>
                <c:pt idx="20">
                  <c:v>116280</c:v>
                </c:pt>
                <c:pt idx="21">
                  <c:v>116550</c:v>
                </c:pt>
                <c:pt idx="22">
                  <c:v>116296</c:v>
                </c:pt>
                <c:pt idx="23">
                  <c:v>108558</c:v>
                </c:pt>
                <c:pt idx="24">
                  <c:v>116400</c:v>
                </c:pt>
                <c:pt idx="25">
                  <c:v>116794</c:v>
                </c:pt>
                <c:pt idx="26">
                  <c:v>116558</c:v>
                </c:pt>
                <c:pt idx="27">
                  <c:v>116347</c:v>
                </c:pt>
                <c:pt idx="28">
                  <c:v>116898</c:v>
                </c:pt>
                <c:pt idx="29">
                  <c:v>116533</c:v>
                </c:pt>
                <c:pt idx="30">
                  <c:v>116218</c:v>
                </c:pt>
                <c:pt idx="31">
                  <c:v>116326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AA-7847-8F82-1E5C83DC2D3B}"/>
            </c:ext>
          </c:extLst>
        </c:ser>
        <c:ser>
          <c:idx val="2"/>
          <c:order val="2"/>
          <c:tx>
            <c:strRef>
              <c:f>Sheet4!$D$1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A5A5A5"/>
            </a:solidFill>
            <a:ln w="25400">
              <a:noFill/>
            </a:ln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Sheet4!$D$2:$D$33</c:f>
              <c:numCache>
                <c:formatCode>General</c:formatCode>
                <c:ptCount val="32"/>
                <c:pt idx="0">
                  <c:v>349949</c:v>
                </c:pt>
                <c:pt idx="1">
                  <c:v>341952</c:v>
                </c:pt>
                <c:pt idx="2">
                  <c:v>349413</c:v>
                </c:pt>
                <c:pt idx="3">
                  <c:v>339474</c:v>
                </c:pt>
                <c:pt idx="4">
                  <c:v>349014</c:v>
                </c:pt>
                <c:pt idx="5">
                  <c:v>351705</c:v>
                </c:pt>
                <c:pt idx="6">
                  <c:v>350361</c:v>
                </c:pt>
                <c:pt idx="7">
                  <c:v>337384</c:v>
                </c:pt>
                <c:pt idx="8">
                  <c:v>352293</c:v>
                </c:pt>
                <c:pt idx="9">
                  <c:v>354738</c:v>
                </c:pt>
                <c:pt idx="10">
                  <c:v>352180</c:v>
                </c:pt>
                <c:pt idx="11">
                  <c:v>353758</c:v>
                </c:pt>
                <c:pt idx="12">
                  <c:v>352822</c:v>
                </c:pt>
                <c:pt idx="13">
                  <c:v>353471</c:v>
                </c:pt>
                <c:pt idx="14">
                  <c:v>352698</c:v>
                </c:pt>
                <c:pt idx="15">
                  <c:v>353881</c:v>
                </c:pt>
                <c:pt idx="16">
                  <c:v>349854</c:v>
                </c:pt>
                <c:pt idx="17">
                  <c:v>342102</c:v>
                </c:pt>
                <c:pt idx="18">
                  <c:v>349357</c:v>
                </c:pt>
                <c:pt idx="19">
                  <c:v>339387</c:v>
                </c:pt>
                <c:pt idx="20">
                  <c:v>349196</c:v>
                </c:pt>
                <c:pt idx="21">
                  <c:v>351752</c:v>
                </c:pt>
                <c:pt idx="22">
                  <c:v>350547</c:v>
                </c:pt>
                <c:pt idx="23">
                  <c:v>337429</c:v>
                </c:pt>
                <c:pt idx="24">
                  <c:v>353396</c:v>
                </c:pt>
                <c:pt idx="25">
                  <c:v>354848</c:v>
                </c:pt>
                <c:pt idx="26">
                  <c:v>353745</c:v>
                </c:pt>
                <c:pt idx="27">
                  <c:v>355099</c:v>
                </c:pt>
                <c:pt idx="28">
                  <c:v>353698</c:v>
                </c:pt>
                <c:pt idx="29">
                  <c:v>354525</c:v>
                </c:pt>
                <c:pt idx="30">
                  <c:v>352856</c:v>
                </c:pt>
                <c:pt idx="31">
                  <c:v>353031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AA-7847-8F82-1E5C83DC2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644656"/>
        <c:axId val="1"/>
      </c:barChart>
      <c:catAx>
        <c:axId val="51664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64465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Harvested trees from invested plots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Sheet4!$E$1</c:f>
              <c:strCache>
                <c:ptCount val="1"/>
                <c:pt idx="0">
                  <c:v>inv_harvested_trees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Sheet4!$E$2:$E$33</c:f>
              <c:numCache>
                <c:formatCode>General</c:formatCode>
                <c:ptCount val="32"/>
                <c:pt idx="0">
                  <c:v>242</c:v>
                </c:pt>
                <c:pt idx="1">
                  <c:v>57</c:v>
                </c:pt>
                <c:pt idx="2">
                  <c:v>224</c:v>
                </c:pt>
                <c:pt idx="3">
                  <c:v>89</c:v>
                </c:pt>
                <c:pt idx="4">
                  <c:v>250</c:v>
                </c:pt>
                <c:pt idx="5">
                  <c:v>64</c:v>
                </c:pt>
                <c:pt idx="6">
                  <c:v>195</c:v>
                </c:pt>
                <c:pt idx="7">
                  <c:v>70</c:v>
                </c:pt>
                <c:pt idx="8">
                  <c:v>882</c:v>
                </c:pt>
                <c:pt idx="9">
                  <c:v>805</c:v>
                </c:pt>
                <c:pt idx="10">
                  <c:v>831</c:v>
                </c:pt>
                <c:pt idx="11">
                  <c:v>754</c:v>
                </c:pt>
                <c:pt idx="12">
                  <c:v>914</c:v>
                </c:pt>
                <c:pt idx="13">
                  <c:v>623</c:v>
                </c:pt>
                <c:pt idx="14">
                  <c:v>1032</c:v>
                </c:pt>
                <c:pt idx="15">
                  <c:v>795</c:v>
                </c:pt>
                <c:pt idx="16">
                  <c:v>242</c:v>
                </c:pt>
                <c:pt idx="17">
                  <c:v>57</c:v>
                </c:pt>
                <c:pt idx="18">
                  <c:v>224</c:v>
                </c:pt>
                <c:pt idx="19">
                  <c:v>91</c:v>
                </c:pt>
                <c:pt idx="20">
                  <c:v>250</c:v>
                </c:pt>
                <c:pt idx="21">
                  <c:v>64</c:v>
                </c:pt>
                <c:pt idx="22">
                  <c:v>202</c:v>
                </c:pt>
                <c:pt idx="23">
                  <c:v>77</c:v>
                </c:pt>
                <c:pt idx="24">
                  <c:v>887</c:v>
                </c:pt>
                <c:pt idx="25">
                  <c:v>808</c:v>
                </c:pt>
                <c:pt idx="26">
                  <c:v>847</c:v>
                </c:pt>
                <c:pt idx="27">
                  <c:v>761</c:v>
                </c:pt>
                <c:pt idx="28">
                  <c:v>1006</c:v>
                </c:pt>
                <c:pt idx="29">
                  <c:v>804</c:v>
                </c:pt>
                <c:pt idx="30">
                  <c:v>930</c:v>
                </c:pt>
                <c:pt idx="31">
                  <c:v>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5-354B-ADDA-E49CC70AB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676928"/>
        <c:axId val="1"/>
      </c:barChart>
      <c:catAx>
        <c:axId val="51667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676928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management_running_cost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Sheet2!$B$2:$B$33</c:f>
              <c:numCache>
                <c:formatCode>General</c:formatCode>
                <c:ptCount val="32"/>
                <c:pt idx="0">
                  <c:v>32013291.439649198</c:v>
                </c:pt>
                <c:pt idx="1">
                  <c:v>36017986.831419297</c:v>
                </c:pt>
                <c:pt idx="2">
                  <c:v>32261388.9861346</c:v>
                </c:pt>
                <c:pt idx="3">
                  <c:v>35208089.766689397</c:v>
                </c:pt>
                <c:pt idx="4">
                  <c:v>33502289.924249001</c:v>
                </c:pt>
                <c:pt idx="5">
                  <c:v>38035410.462154403</c:v>
                </c:pt>
                <c:pt idx="6">
                  <c:v>33621428.798318103</c:v>
                </c:pt>
                <c:pt idx="7">
                  <c:v>35753828.272347897</c:v>
                </c:pt>
                <c:pt idx="8">
                  <c:v>44440757.1488363</c:v>
                </c:pt>
                <c:pt idx="9">
                  <c:v>58553148.090120301</c:v>
                </c:pt>
                <c:pt idx="10">
                  <c:v>44997606.2187014</c:v>
                </c:pt>
                <c:pt idx="11">
                  <c:v>58051610.443007402</c:v>
                </c:pt>
                <c:pt idx="12">
                  <c:v>44198633.007532097</c:v>
                </c:pt>
                <c:pt idx="13">
                  <c:v>59845621.974735603</c:v>
                </c:pt>
                <c:pt idx="14">
                  <c:v>43443059.379594199</c:v>
                </c:pt>
                <c:pt idx="15">
                  <c:v>58497245.573351704</c:v>
                </c:pt>
                <c:pt idx="16">
                  <c:v>32158330.651666999</c:v>
                </c:pt>
                <c:pt idx="17">
                  <c:v>35968086.221370302</c:v>
                </c:pt>
                <c:pt idx="18">
                  <c:v>32270993.364936799</c:v>
                </c:pt>
                <c:pt idx="19">
                  <c:v>35181414.376074404</c:v>
                </c:pt>
                <c:pt idx="20">
                  <c:v>33580032.230374299</c:v>
                </c:pt>
                <c:pt idx="21">
                  <c:v>38101942.795548201</c:v>
                </c:pt>
                <c:pt idx="22">
                  <c:v>33635657.664458998</c:v>
                </c:pt>
                <c:pt idx="23">
                  <c:v>35679512.108589202</c:v>
                </c:pt>
                <c:pt idx="24">
                  <c:v>44319108.751037501</c:v>
                </c:pt>
                <c:pt idx="25">
                  <c:v>58611864.474740699</c:v>
                </c:pt>
                <c:pt idx="26">
                  <c:v>44827668.225665703</c:v>
                </c:pt>
                <c:pt idx="27">
                  <c:v>58774761.059560299</c:v>
                </c:pt>
                <c:pt idx="28">
                  <c:v>43133139.885631099</c:v>
                </c:pt>
                <c:pt idx="29">
                  <c:v>57800714.602525301</c:v>
                </c:pt>
                <c:pt idx="30">
                  <c:v>44093599.091592498</c:v>
                </c:pt>
                <c:pt idx="31">
                  <c:v>59739184.075714603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B-0C46-B94A-D694F40D978D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ITP_running_earning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Sheet2!$C$2:$C$33</c:f>
              <c:numCache>
                <c:formatCode>General</c:formatCode>
                <c:ptCount val="32"/>
                <c:pt idx="0">
                  <c:v>13669087.935521601</c:v>
                </c:pt>
                <c:pt idx="1">
                  <c:v>18617268.7772009</c:v>
                </c:pt>
                <c:pt idx="2">
                  <c:v>14280750.159051601</c:v>
                </c:pt>
                <c:pt idx="3">
                  <c:v>17274192.549144398</c:v>
                </c:pt>
                <c:pt idx="4">
                  <c:v>15027102.4151637</c:v>
                </c:pt>
                <c:pt idx="5">
                  <c:v>18188488.7728904</c:v>
                </c:pt>
                <c:pt idx="6">
                  <c:v>15396715.5530074</c:v>
                </c:pt>
                <c:pt idx="7">
                  <c:v>20289222.3914482</c:v>
                </c:pt>
                <c:pt idx="8">
                  <c:v>34444808.895708598</c:v>
                </c:pt>
                <c:pt idx="9">
                  <c:v>37281556.479362503</c:v>
                </c:pt>
                <c:pt idx="10">
                  <c:v>36258226.497209102</c:v>
                </c:pt>
                <c:pt idx="11">
                  <c:v>37963000.064385802</c:v>
                </c:pt>
                <c:pt idx="12">
                  <c:v>33241507.350822099</c:v>
                </c:pt>
                <c:pt idx="13">
                  <c:v>40547563.2628683</c:v>
                </c:pt>
                <c:pt idx="14">
                  <c:v>29819495.686450001</c:v>
                </c:pt>
                <c:pt idx="15">
                  <c:v>37801832.569196701</c:v>
                </c:pt>
                <c:pt idx="16">
                  <c:v>24334071.243900001</c:v>
                </c:pt>
                <c:pt idx="17">
                  <c:v>34552204.271637604</c:v>
                </c:pt>
                <c:pt idx="18">
                  <c:v>25574946.229021698</c:v>
                </c:pt>
                <c:pt idx="19">
                  <c:v>31751240.718002301</c:v>
                </c:pt>
                <c:pt idx="20">
                  <c:v>27254184.135608699</c:v>
                </c:pt>
                <c:pt idx="21">
                  <c:v>33820239.621598698</c:v>
                </c:pt>
                <c:pt idx="22">
                  <c:v>27922423.7531044</c:v>
                </c:pt>
                <c:pt idx="23">
                  <c:v>36677953.627322502</c:v>
                </c:pt>
                <c:pt idx="24">
                  <c:v>60406314.299913697</c:v>
                </c:pt>
                <c:pt idx="25">
                  <c:v>66441135.748124801</c:v>
                </c:pt>
                <c:pt idx="26">
                  <c:v>63918214.256502599</c:v>
                </c:pt>
                <c:pt idx="27">
                  <c:v>66776580.522116199</c:v>
                </c:pt>
                <c:pt idx="28">
                  <c:v>52009259.660008103</c:v>
                </c:pt>
                <c:pt idx="29">
                  <c:v>65279205.055693902</c:v>
                </c:pt>
                <c:pt idx="30">
                  <c:v>55296714.751731902</c:v>
                </c:pt>
                <c:pt idx="31">
                  <c:v>71434641.699422106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FB-0C46-B94A-D694F40D978D}"/>
            </c:ext>
          </c:extLst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University net earning</c:v>
                </c:pt>
              </c:strCache>
            </c:strRef>
          </c:tx>
          <c:spPr>
            <a:solidFill>
              <a:srgbClr val="A5A5A5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Sheet2!$D$2:$D$33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FB-0C46-B94A-D694F40D9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455136"/>
        <c:axId val="1"/>
      </c:barChart>
      <c:catAx>
        <c:axId val="51645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45513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Sheet2!$E$1</c:f>
              <c:strCache>
                <c:ptCount val="1"/>
                <c:pt idx="0">
                  <c:v>investor_total_profit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Sheet2!$E$2:$E$33</c:f>
              <c:numCache>
                <c:formatCode>General</c:formatCode>
                <c:ptCount val="32"/>
                <c:pt idx="0">
                  <c:v>2854300.44741912</c:v>
                </c:pt>
                <c:pt idx="1">
                  <c:v>5276152.1540186601</c:v>
                </c:pt>
                <c:pt idx="2">
                  <c:v>3541708.8077705898</c:v>
                </c:pt>
                <c:pt idx="3">
                  <c:v>5555419.1405721698</c:v>
                </c:pt>
                <c:pt idx="4">
                  <c:v>3739077.3759767199</c:v>
                </c:pt>
                <c:pt idx="5">
                  <c:v>5523068.9465412097</c:v>
                </c:pt>
                <c:pt idx="6">
                  <c:v>3324545.1185254999</c:v>
                </c:pt>
                <c:pt idx="7">
                  <c:v>5562969.6226570401</c:v>
                </c:pt>
                <c:pt idx="8">
                  <c:v>5860014.4728399199</c:v>
                </c:pt>
                <c:pt idx="9">
                  <c:v>6890859.1300853696</c:v>
                </c:pt>
                <c:pt idx="10">
                  <c:v>5583320.0365047902</c:v>
                </c:pt>
                <c:pt idx="11">
                  <c:v>6763097.8479180001</c:v>
                </c:pt>
                <c:pt idx="12">
                  <c:v>5208207.0322256703</c:v>
                </c:pt>
                <c:pt idx="13">
                  <c:v>9006970.76167983</c:v>
                </c:pt>
                <c:pt idx="14">
                  <c:v>5524899.5580428503</c:v>
                </c:pt>
                <c:pt idx="15">
                  <c:v>5671163.8589687198</c:v>
                </c:pt>
                <c:pt idx="16">
                  <c:v>5708600.89483824</c:v>
                </c:pt>
                <c:pt idx="17">
                  <c:v>10552304.3080373</c:v>
                </c:pt>
                <c:pt idx="18">
                  <c:v>7083417.6155411899</c:v>
                </c:pt>
                <c:pt idx="19">
                  <c:v>11110838.2811443</c:v>
                </c:pt>
                <c:pt idx="20">
                  <c:v>7478154.75195345</c:v>
                </c:pt>
                <c:pt idx="21">
                  <c:v>11046137.893082401</c:v>
                </c:pt>
                <c:pt idx="22">
                  <c:v>6649090.2370510101</c:v>
                </c:pt>
                <c:pt idx="23">
                  <c:v>11125939.245314</c:v>
                </c:pt>
                <c:pt idx="24">
                  <c:v>12197497.5760267</c:v>
                </c:pt>
                <c:pt idx="25">
                  <c:v>13380392.997028699</c:v>
                </c:pt>
                <c:pt idx="26">
                  <c:v>11345372.3988533</c:v>
                </c:pt>
                <c:pt idx="27">
                  <c:v>12545363.3466218</c:v>
                </c:pt>
                <c:pt idx="28">
                  <c:v>8448705.5089329593</c:v>
                </c:pt>
                <c:pt idx="29">
                  <c:v>9910339.2978468593</c:v>
                </c:pt>
                <c:pt idx="30">
                  <c:v>11557598.5557454</c:v>
                </c:pt>
                <c:pt idx="31">
                  <c:v>16310583.0297658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58-BC47-BE8B-164C218C9409}"/>
            </c:ext>
          </c:extLst>
        </c:ser>
        <c:ser>
          <c:idx val="1"/>
          <c:order val="1"/>
          <c:tx>
            <c:strRef>
              <c:f>Sheet2!$F$1</c:f>
              <c:strCache>
                <c:ptCount val="1"/>
                <c:pt idx="0">
                  <c:v>total_investment_cost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Sheet2!$F$2:$F$33</c:f>
              <c:numCache>
                <c:formatCode>General</c:formatCode>
                <c:ptCount val="32"/>
                <c:pt idx="0">
                  <c:v>3303475.8399999901</c:v>
                </c:pt>
                <c:pt idx="1">
                  <c:v>3303475.8399999901</c:v>
                </c:pt>
                <c:pt idx="2">
                  <c:v>3303475.8399999901</c:v>
                </c:pt>
                <c:pt idx="3">
                  <c:v>3303475.8399999901</c:v>
                </c:pt>
                <c:pt idx="4">
                  <c:v>3303475.8399999901</c:v>
                </c:pt>
                <c:pt idx="5">
                  <c:v>3189562.8799999901</c:v>
                </c:pt>
                <c:pt idx="6">
                  <c:v>3189562.8799999901</c:v>
                </c:pt>
                <c:pt idx="7">
                  <c:v>3417388.79999999</c:v>
                </c:pt>
                <c:pt idx="8">
                  <c:v>9796514.5600000005</c:v>
                </c:pt>
                <c:pt idx="9">
                  <c:v>9682601.5999999996</c:v>
                </c:pt>
                <c:pt idx="10">
                  <c:v>9796514.5600000005</c:v>
                </c:pt>
                <c:pt idx="11">
                  <c:v>9796514.5600000005</c:v>
                </c:pt>
                <c:pt idx="12">
                  <c:v>9568688.6399999894</c:v>
                </c:pt>
                <c:pt idx="13">
                  <c:v>9682601.5999999996</c:v>
                </c:pt>
                <c:pt idx="14">
                  <c:v>9568688.6399999894</c:v>
                </c:pt>
                <c:pt idx="15">
                  <c:v>9682601.5999999996</c:v>
                </c:pt>
                <c:pt idx="16">
                  <c:v>3417388.79999999</c:v>
                </c:pt>
                <c:pt idx="17">
                  <c:v>3417388.79999999</c:v>
                </c:pt>
                <c:pt idx="18">
                  <c:v>3417388.79999999</c:v>
                </c:pt>
                <c:pt idx="19">
                  <c:v>3417388.79999999</c:v>
                </c:pt>
                <c:pt idx="20">
                  <c:v>3417388.79999999</c:v>
                </c:pt>
                <c:pt idx="21">
                  <c:v>3417388.79999999</c:v>
                </c:pt>
                <c:pt idx="22">
                  <c:v>3417388.79999999</c:v>
                </c:pt>
                <c:pt idx="23">
                  <c:v>3417388.79999999</c:v>
                </c:pt>
                <c:pt idx="24">
                  <c:v>10252166.4</c:v>
                </c:pt>
                <c:pt idx="25">
                  <c:v>10138253.439999999</c:v>
                </c:pt>
                <c:pt idx="26">
                  <c:v>10252166.4</c:v>
                </c:pt>
                <c:pt idx="27">
                  <c:v>10138253.439999999</c:v>
                </c:pt>
                <c:pt idx="28">
                  <c:v>10138253.439999999</c:v>
                </c:pt>
                <c:pt idx="29">
                  <c:v>10024340.48</c:v>
                </c:pt>
                <c:pt idx="30">
                  <c:v>10024340.48</c:v>
                </c:pt>
                <c:pt idx="31">
                  <c:v>10138253.439999999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58-BC47-BE8B-164C218C9409}"/>
            </c:ext>
          </c:extLst>
        </c:ser>
        <c:ser>
          <c:idx val="2"/>
          <c:order val="2"/>
          <c:tx>
            <c:strRef>
              <c:f>Sheet2!$G$1</c:f>
              <c:strCache>
                <c:ptCount val="1"/>
                <c:pt idx="0">
                  <c:v>Investor net earning</c:v>
                </c:pt>
              </c:strCache>
            </c:strRef>
          </c:tx>
          <c:spPr>
            <a:solidFill>
              <a:srgbClr val="A5A5A5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Sheet2!$G$2:$G$33</c:f>
              <c:numCache>
                <c:formatCode>General</c:formatCode>
                <c:ptCount val="32"/>
                <c:pt idx="0">
                  <c:v>-449175.39258087007</c:v>
                </c:pt>
                <c:pt idx="1">
                  <c:v>1972676.31401867</c:v>
                </c:pt>
                <c:pt idx="2">
                  <c:v>238232.96777059976</c:v>
                </c:pt>
                <c:pt idx="3">
                  <c:v>2251943.3005721797</c:v>
                </c:pt>
                <c:pt idx="4">
                  <c:v>435601.53597672982</c:v>
                </c:pt>
                <c:pt idx="5">
                  <c:v>2333506.0665412196</c:v>
                </c:pt>
                <c:pt idx="6">
                  <c:v>134982.23852550983</c:v>
                </c:pt>
                <c:pt idx="7">
                  <c:v>2145580.8226570501</c:v>
                </c:pt>
                <c:pt idx="8">
                  <c:v>-3936500.0871600807</c:v>
                </c:pt>
                <c:pt idx="9">
                  <c:v>-2791742.4699146301</c:v>
                </c:pt>
                <c:pt idx="10">
                  <c:v>-4213194.5234952103</c:v>
                </c:pt>
                <c:pt idx="11">
                  <c:v>-3033416.7120820004</c:v>
                </c:pt>
                <c:pt idx="12">
                  <c:v>-4360481.6077743191</c:v>
                </c:pt>
                <c:pt idx="13">
                  <c:v>-675630.8383201696</c:v>
                </c:pt>
                <c:pt idx="14">
                  <c:v>-4043789.0819571391</c:v>
                </c:pt>
                <c:pt idx="15">
                  <c:v>-4011437.7410312798</c:v>
                </c:pt>
                <c:pt idx="16">
                  <c:v>2291212.09483825</c:v>
                </c:pt>
                <c:pt idx="17">
                  <c:v>7134915.5080373101</c:v>
                </c:pt>
                <c:pt idx="18">
                  <c:v>3666028.8155411999</c:v>
                </c:pt>
                <c:pt idx="19">
                  <c:v>7693449.4811443109</c:v>
                </c:pt>
                <c:pt idx="20">
                  <c:v>4060765.95195346</c:v>
                </c:pt>
                <c:pt idx="21">
                  <c:v>7628749.0930824112</c:v>
                </c:pt>
                <c:pt idx="22">
                  <c:v>3231701.4370510201</c:v>
                </c:pt>
                <c:pt idx="23">
                  <c:v>7708550.4453140106</c:v>
                </c:pt>
                <c:pt idx="24">
                  <c:v>1945331.1760267001</c:v>
                </c:pt>
                <c:pt idx="25">
                  <c:v>3242139.5570286997</c:v>
                </c:pt>
                <c:pt idx="26">
                  <c:v>1093205.9988532998</c:v>
                </c:pt>
                <c:pt idx="27">
                  <c:v>2407109.9066218007</c:v>
                </c:pt>
                <c:pt idx="28">
                  <c:v>-1689547.9310670402</c:v>
                </c:pt>
                <c:pt idx="29">
                  <c:v>-114001.18215314113</c:v>
                </c:pt>
                <c:pt idx="30">
                  <c:v>1533258.0757454</c:v>
                </c:pt>
                <c:pt idx="31">
                  <c:v>6172329.5897658002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58-BC47-BE8B-164C218C9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505120"/>
        <c:axId val="1"/>
      </c:barChart>
      <c:catAx>
        <c:axId val="51650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50512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Sheet2!$H$1</c:f>
              <c:strCache>
                <c:ptCount val="1"/>
                <c:pt idx="0">
                  <c:v>average net 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Sheet2!$H$2:$H$33</c:f>
              <c:numCache>
                <c:formatCode>General</c:formatCode>
                <c:ptCount val="32"/>
                <c:pt idx="0">
                  <c:v>-44917.53925808701</c:v>
                </c:pt>
                <c:pt idx="1">
                  <c:v>197267.63140186699</c:v>
                </c:pt>
                <c:pt idx="2">
                  <c:v>23823.296777059975</c:v>
                </c:pt>
                <c:pt idx="3">
                  <c:v>225194.33005721797</c:v>
                </c:pt>
                <c:pt idx="4">
                  <c:v>43560.153597672979</c:v>
                </c:pt>
                <c:pt idx="5">
                  <c:v>233350.60665412195</c:v>
                </c:pt>
                <c:pt idx="6">
                  <c:v>13498.223852550984</c:v>
                </c:pt>
                <c:pt idx="7">
                  <c:v>214558.08226570502</c:v>
                </c:pt>
                <c:pt idx="8">
                  <c:v>-131216.66957200269</c:v>
                </c:pt>
                <c:pt idx="9">
                  <c:v>-93058.082330487669</c:v>
                </c:pt>
                <c:pt idx="10">
                  <c:v>-140439.81744984034</c:v>
                </c:pt>
                <c:pt idx="11">
                  <c:v>-101113.89040273335</c:v>
                </c:pt>
                <c:pt idx="12">
                  <c:v>-145349.38692581063</c:v>
                </c:pt>
                <c:pt idx="13">
                  <c:v>-22521.027944005655</c:v>
                </c:pt>
                <c:pt idx="14">
                  <c:v>-134792.96939857129</c:v>
                </c:pt>
                <c:pt idx="15">
                  <c:v>-133714.59136770933</c:v>
                </c:pt>
                <c:pt idx="16">
                  <c:v>229121.20948382499</c:v>
                </c:pt>
                <c:pt idx="17">
                  <c:v>713491.55080373096</c:v>
                </c:pt>
                <c:pt idx="18">
                  <c:v>366602.88155411999</c:v>
                </c:pt>
                <c:pt idx="19">
                  <c:v>769344.94811443111</c:v>
                </c:pt>
                <c:pt idx="20">
                  <c:v>406076.59519534599</c:v>
                </c:pt>
                <c:pt idx="21">
                  <c:v>762874.9093082411</c:v>
                </c:pt>
                <c:pt idx="22">
                  <c:v>323170.14370510203</c:v>
                </c:pt>
                <c:pt idx="23">
                  <c:v>770855.04453140101</c:v>
                </c:pt>
                <c:pt idx="24">
                  <c:v>64844.372534223337</c:v>
                </c:pt>
                <c:pt idx="25">
                  <c:v>108071.31856762333</c:v>
                </c:pt>
                <c:pt idx="26">
                  <c:v>36440.199961776656</c:v>
                </c:pt>
                <c:pt idx="27">
                  <c:v>80236.996887393354</c:v>
                </c:pt>
                <c:pt idx="28">
                  <c:v>-56318.264368901342</c:v>
                </c:pt>
                <c:pt idx="29">
                  <c:v>-3800.0394051047042</c:v>
                </c:pt>
                <c:pt idx="30">
                  <c:v>51108.602524846669</c:v>
                </c:pt>
                <c:pt idx="31">
                  <c:v>205744.31965886001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AE-FB44-8CB5-9534EFEEA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536192"/>
        <c:axId val="1"/>
      </c:barChart>
      <c:catAx>
        <c:axId val="516536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536192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University net 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Sheet2!$D$2:$D$33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26-7444-9CB1-FD8D269D5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566496"/>
        <c:axId val="1"/>
      </c:barChart>
      <c:catAx>
        <c:axId val="516566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56649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of university and investor final net earnings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University net 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Sheet2!$D$2:$D$33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5E-604A-ADF9-BAF0089099F4}"/>
            </c:ext>
          </c:extLst>
        </c:ser>
        <c:ser>
          <c:idx val="1"/>
          <c:order val="1"/>
          <c:tx>
            <c:strRef>
              <c:f>Sheet2!$G$1</c:f>
              <c:strCache>
                <c:ptCount val="1"/>
                <c:pt idx="0">
                  <c:v>Investor net earning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Sheet2!$G$2:$G$33</c:f>
              <c:numCache>
                <c:formatCode>General</c:formatCode>
                <c:ptCount val="32"/>
                <c:pt idx="0">
                  <c:v>-449175.39258087007</c:v>
                </c:pt>
                <c:pt idx="1">
                  <c:v>1972676.31401867</c:v>
                </c:pt>
                <c:pt idx="2">
                  <c:v>238232.96777059976</c:v>
                </c:pt>
                <c:pt idx="3">
                  <c:v>2251943.3005721797</c:v>
                </c:pt>
                <c:pt idx="4">
                  <c:v>435601.53597672982</c:v>
                </c:pt>
                <c:pt idx="5">
                  <c:v>2333506.0665412196</c:v>
                </c:pt>
                <c:pt idx="6">
                  <c:v>134982.23852550983</c:v>
                </c:pt>
                <c:pt idx="7">
                  <c:v>2145580.8226570501</c:v>
                </c:pt>
                <c:pt idx="8">
                  <c:v>-3936500.0871600807</c:v>
                </c:pt>
                <c:pt idx="9">
                  <c:v>-2791742.4699146301</c:v>
                </c:pt>
                <c:pt idx="10">
                  <c:v>-4213194.5234952103</c:v>
                </c:pt>
                <c:pt idx="11">
                  <c:v>-3033416.7120820004</c:v>
                </c:pt>
                <c:pt idx="12">
                  <c:v>-4360481.6077743191</c:v>
                </c:pt>
                <c:pt idx="13">
                  <c:v>-675630.8383201696</c:v>
                </c:pt>
                <c:pt idx="14">
                  <c:v>-4043789.0819571391</c:v>
                </c:pt>
                <c:pt idx="15">
                  <c:v>-4011437.7410312798</c:v>
                </c:pt>
                <c:pt idx="16">
                  <c:v>2291212.09483825</c:v>
                </c:pt>
                <c:pt idx="17">
                  <c:v>7134915.5080373101</c:v>
                </c:pt>
                <c:pt idx="18">
                  <c:v>3666028.8155411999</c:v>
                </c:pt>
                <c:pt idx="19">
                  <c:v>7693449.4811443109</c:v>
                </c:pt>
                <c:pt idx="20">
                  <c:v>4060765.95195346</c:v>
                </c:pt>
                <c:pt idx="21">
                  <c:v>7628749.0930824112</c:v>
                </c:pt>
                <c:pt idx="22">
                  <c:v>3231701.4370510201</c:v>
                </c:pt>
                <c:pt idx="23">
                  <c:v>7708550.4453140106</c:v>
                </c:pt>
                <c:pt idx="24">
                  <c:v>1945331.1760267001</c:v>
                </c:pt>
                <c:pt idx="25">
                  <c:v>3242139.5570286997</c:v>
                </c:pt>
                <c:pt idx="26">
                  <c:v>1093205.9988532998</c:v>
                </c:pt>
                <c:pt idx="27">
                  <c:v>2407109.9066218007</c:v>
                </c:pt>
                <c:pt idx="28">
                  <c:v>-1689547.9310670402</c:v>
                </c:pt>
                <c:pt idx="29">
                  <c:v>-114001.18215314113</c:v>
                </c:pt>
                <c:pt idx="30">
                  <c:v>1533258.0757454</c:v>
                </c:pt>
                <c:pt idx="31">
                  <c:v>6172329.5897658002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5E-604A-ADF9-BAF008909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601888"/>
        <c:axId val="1"/>
      </c:barChart>
      <c:catAx>
        <c:axId val="516601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20000000"/>
          <c:min val="-22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60188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Parameter</a:t>
            </a:r>
            <a:r>
              <a:rPr lang="en-GB" baseline="0"/>
              <a:t> setups</a:t>
            </a:r>
            <a:endParaRPr lang="en-GB"/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Sheet3!$C$1</c:f>
              <c:strCache>
                <c:ptCount val="1"/>
                <c:pt idx="0">
                  <c:v>nursery_count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Sheet3!$C$2:$C$39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4</c:v>
                </c:pt>
                <c:pt idx="21">
                  <c:v>4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C8-C148-B52B-30A1F5087FD3}"/>
            </c:ext>
          </c:extLst>
        </c:ser>
        <c:ser>
          <c:idx val="1"/>
          <c:order val="1"/>
          <c:tx>
            <c:strRef>
              <c:f>Sheet3!$D$1</c:f>
              <c:strCache>
                <c:ptCount val="1"/>
                <c:pt idx="0">
                  <c:v>police_count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Sheet3!$D$2:$D$39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3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3</c:v>
                </c:pt>
                <c:pt idx="25">
                  <c:v>3</c:v>
                </c:pt>
                <c:pt idx="26">
                  <c:v>1</c:v>
                </c:pt>
                <c:pt idx="27">
                  <c:v>1</c:v>
                </c:pt>
                <c:pt idx="28">
                  <c:v>3</c:v>
                </c:pt>
                <c:pt idx="29">
                  <c:v>3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3</c:v>
                </c:pt>
                <c:pt idx="34">
                  <c:v>1</c:v>
                </c:pt>
                <c:pt idx="35">
                  <c:v>1</c:v>
                </c:pt>
                <c:pt idx="36">
                  <c:v>3</c:v>
                </c:pt>
                <c:pt idx="3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C8-C148-B52B-30A1F5087FD3}"/>
            </c:ext>
          </c:extLst>
        </c:ser>
        <c:ser>
          <c:idx val="2"/>
          <c:order val="2"/>
          <c:tx>
            <c:strRef>
              <c:f>Sheet3!$E$1</c:f>
              <c:strCache>
                <c:ptCount val="1"/>
                <c:pt idx="0">
                  <c:v>member_count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Sheet3!$E$2:$E$39</c:f>
              <c:numCache>
                <c:formatCode>General</c:formatCode>
                <c:ptCount val="38"/>
                <c:pt idx="0">
                  <c:v>15</c:v>
                </c:pt>
                <c:pt idx="1">
                  <c:v>30</c:v>
                </c:pt>
                <c:pt idx="2">
                  <c:v>15</c:v>
                </c:pt>
                <c:pt idx="3">
                  <c:v>30</c:v>
                </c:pt>
                <c:pt idx="4">
                  <c:v>15</c:v>
                </c:pt>
                <c:pt idx="5">
                  <c:v>30</c:v>
                </c:pt>
                <c:pt idx="6">
                  <c:v>15</c:v>
                </c:pt>
                <c:pt idx="7">
                  <c:v>30</c:v>
                </c:pt>
                <c:pt idx="8">
                  <c:v>15</c:v>
                </c:pt>
                <c:pt idx="9">
                  <c:v>30</c:v>
                </c:pt>
                <c:pt idx="10">
                  <c:v>15</c:v>
                </c:pt>
                <c:pt idx="11">
                  <c:v>30</c:v>
                </c:pt>
                <c:pt idx="12">
                  <c:v>15</c:v>
                </c:pt>
                <c:pt idx="13">
                  <c:v>30</c:v>
                </c:pt>
                <c:pt idx="14">
                  <c:v>15</c:v>
                </c:pt>
                <c:pt idx="15">
                  <c:v>30</c:v>
                </c:pt>
                <c:pt idx="16">
                  <c:v>15</c:v>
                </c:pt>
                <c:pt idx="17">
                  <c:v>30</c:v>
                </c:pt>
                <c:pt idx="18">
                  <c:v>15</c:v>
                </c:pt>
                <c:pt idx="19">
                  <c:v>30</c:v>
                </c:pt>
                <c:pt idx="20">
                  <c:v>15</c:v>
                </c:pt>
                <c:pt idx="21">
                  <c:v>30</c:v>
                </c:pt>
                <c:pt idx="22">
                  <c:v>15</c:v>
                </c:pt>
                <c:pt idx="23">
                  <c:v>30</c:v>
                </c:pt>
                <c:pt idx="24">
                  <c:v>15</c:v>
                </c:pt>
                <c:pt idx="25">
                  <c:v>30</c:v>
                </c:pt>
                <c:pt idx="26">
                  <c:v>15</c:v>
                </c:pt>
                <c:pt idx="27">
                  <c:v>30</c:v>
                </c:pt>
                <c:pt idx="28">
                  <c:v>15</c:v>
                </c:pt>
                <c:pt idx="29">
                  <c:v>30</c:v>
                </c:pt>
                <c:pt idx="30">
                  <c:v>15</c:v>
                </c:pt>
                <c:pt idx="31">
                  <c:v>30</c:v>
                </c:pt>
                <c:pt idx="32">
                  <c:v>15</c:v>
                </c:pt>
                <c:pt idx="33">
                  <c:v>30</c:v>
                </c:pt>
                <c:pt idx="34">
                  <c:v>15</c:v>
                </c:pt>
                <c:pt idx="35">
                  <c:v>30</c:v>
                </c:pt>
                <c:pt idx="36">
                  <c:v>15</c:v>
                </c:pt>
                <c:pt idx="3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C8-C148-B52B-30A1F5087FD3}"/>
            </c:ext>
          </c:extLst>
        </c:ser>
        <c:ser>
          <c:idx val="3"/>
          <c:order val="3"/>
          <c:tx>
            <c:strRef>
              <c:f>Sheet3!$F$1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Sheet3!$F$2:$F$39</c:f>
              <c:numCache>
                <c:formatCode>General</c:formatCode>
                <c:ptCount val="38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C8-C148-B52B-30A1F5087FD3}"/>
            </c:ext>
          </c:extLst>
        </c:ser>
        <c:ser>
          <c:idx val="4"/>
          <c:order val="4"/>
          <c:tx>
            <c:strRef>
              <c:f>Sheet3!$G$1</c:f>
              <c:strCache>
                <c:ptCount val="1"/>
                <c:pt idx="0">
                  <c:v>Price multiplier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Sheet3!$G$2:$G$39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6C8-C148-B52B-30A1F5087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116463"/>
        <c:axId val="1"/>
      </c:lineChart>
      <c:catAx>
        <c:axId val="539116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39116463"/>
        <c:crosses val="autoZero"/>
        <c:crossBetween val="between"/>
        <c:majorUnit val="1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Independent earning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Sheet5!$H$1</c:f>
              <c:strCache>
                <c:ptCount val="1"/>
                <c:pt idx="0">
                  <c:v>m_independent_earning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Sheet5!$E$2:$E$33</c:f>
              <c:strCache>
                <c:ptCount val="32"/>
                <c:pt idx="0">
                  <c:v>30-30 S</c:v>
                </c:pt>
                <c:pt idx="1">
                  <c:v>30-30 W</c:v>
                </c:pt>
                <c:pt idx="2">
                  <c:v>30-30 AA</c:v>
                </c:pt>
                <c:pt idx="3">
                  <c:v>30-30 AE</c:v>
                </c:pt>
                <c:pt idx="4">
                  <c:v>30-30 T</c:v>
                </c:pt>
                <c:pt idx="5">
                  <c:v>30-30 X</c:v>
                </c:pt>
                <c:pt idx="6">
                  <c:v>30-30 AB</c:v>
                </c:pt>
                <c:pt idx="7">
                  <c:v>30-30 AF</c:v>
                </c:pt>
                <c:pt idx="8">
                  <c:v>30-10 C</c:v>
                </c:pt>
                <c:pt idx="9">
                  <c:v>30-10 G</c:v>
                </c:pt>
                <c:pt idx="10">
                  <c:v>30-10 K</c:v>
                </c:pt>
                <c:pt idx="11">
                  <c:v>30-10 O</c:v>
                </c:pt>
                <c:pt idx="12">
                  <c:v>30-10 D</c:v>
                </c:pt>
                <c:pt idx="13">
                  <c:v>30-10 H</c:v>
                </c:pt>
                <c:pt idx="14">
                  <c:v>30-10 L</c:v>
                </c:pt>
                <c:pt idx="15">
                  <c:v>30-10 P</c:v>
                </c:pt>
                <c:pt idx="16">
                  <c:v>15-30 Q</c:v>
                </c:pt>
                <c:pt idx="17">
                  <c:v>15-30 U</c:v>
                </c:pt>
                <c:pt idx="18">
                  <c:v>15-30 Y</c:v>
                </c:pt>
                <c:pt idx="19">
                  <c:v>15-30 AC</c:v>
                </c:pt>
                <c:pt idx="20">
                  <c:v>15-30 R</c:v>
                </c:pt>
                <c:pt idx="21">
                  <c:v>15-30 V</c:v>
                </c:pt>
                <c:pt idx="22">
                  <c:v>15-30 Z </c:v>
                </c:pt>
                <c:pt idx="23">
                  <c:v>15-30 AD</c:v>
                </c:pt>
                <c:pt idx="24">
                  <c:v>15-10 A</c:v>
                </c:pt>
                <c:pt idx="25">
                  <c:v>15-10 E</c:v>
                </c:pt>
                <c:pt idx="26">
                  <c:v>15-10 I </c:v>
                </c:pt>
                <c:pt idx="27">
                  <c:v>15-10 M</c:v>
                </c:pt>
                <c:pt idx="28">
                  <c:v>15-10 B </c:v>
                </c:pt>
                <c:pt idx="29">
                  <c:v>15-10 F</c:v>
                </c:pt>
                <c:pt idx="30">
                  <c:v>15-10 J</c:v>
                </c:pt>
                <c:pt idx="31">
                  <c:v>15-10 N</c:v>
                </c:pt>
              </c:strCache>
            </c:strRef>
          </c:cat>
          <c:val>
            <c:numRef>
              <c:f>Sheet5!$H$2:$H$33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58709.1250899999</c:v>
                </c:pt>
                <c:pt idx="9">
                  <c:v>58709.125090000001</c:v>
                </c:pt>
                <c:pt idx="10">
                  <c:v>0</c:v>
                </c:pt>
                <c:pt idx="11">
                  <c:v>8387.0178699999997</c:v>
                </c:pt>
                <c:pt idx="12">
                  <c:v>58709.1250899999</c:v>
                </c:pt>
                <c:pt idx="13">
                  <c:v>58709.125090000001</c:v>
                </c:pt>
                <c:pt idx="14">
                  <c:v>0</c:v>
                </c:pt>
                <c:pt idx="15">
                  <c:v>8387.0178699999997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E3-304D-B790-F612D40EB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482560"/>
        <c:axId val="1"/>
      </c:barChart>
      <c:catAx>
        <c:axId val="51648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48256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Sheet5!$Q$1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Sheet5!$O$2:$O$33</c:f>
              <c:strCache>
                <c:ptCount val="32"/>
                <c:pt idx="0">
                  <c:v>10-A</c:v>
                </c:pt>
                <c:pt idx="1">
                  <c:v>10-C</c:v>
                </c:pt>
                <c:pt idx="2">
                  <c:v>10-E</c:v>
                </c:pt>
                <c:pt idx="3">
                  <c:v>10-G</c:v>
                </c:pt>
                <c:pt idx="4">
                  <c:v>10-I</c:v>
                </c:pt>
                <c:pt idx="5">
                  <c:v>10-K</c:v>
                </c:pt>
                <c:pt idx="6">
                  <c:v>10-M</c:v>
                </c:pt>
                <c:pt idx="7">
                  <c:v>10-O</c:v>
                </c:pt>
                <c:pt idx="8">
                  <c:v>10-B </c:v>
                </c:pt>
                <c:pt idx="9">
                  <c:v>10-D</c:v>
                </c:pt>
                <c:pt idx="10">
                  <c:v>10-F</c:v>
                </c:pt>
                <c:pt idx="11">
                  <c:v>10-H</c:v>
                </c:pt>
                <c:pt idx="12">
                  <c:v>10-J</c:v>
                </c:pt>
                <c:pt idx="13">
                  <c:v>10-L</c:v>
                </c:pt>
                <c:pt idx="14">
                  <c:v>10-N</c:v>
                </c:pt>
                <c:pt idx="15">
                  <c:v>10-P</c:v>
                </c:pt>
                <c:pt idx="16">
                  <c:v>30-Q</c:v>
                </c:pt>
                <c:pt idx="17">
                  <c:v>30-S</c:v>
                </c:pt>
                <c:pt idx="18">
                  <c:v>30-U</c:v>
                </c:pt>
                <c:pt idx="19">
                  <c:v>30-W</c:v>
                </c:pt>
                <c:pt idx="20">
                  <c:v>30-Y</c:v>
                </c:pt>
                <c:pt idx="21">
                  <c:v>30-AA</c:v>
                </c:pt>
                <c:pt idx="22">
                  <c:v>30-AC</c:v>
                </c:pt>
                <c:pt idx="23">
                  <c:v>30-AE</c:v>
                </c:pt>
                <c:pt idx="24">
                  <c:v>30-R</c:v>
                </c:pt>
                <c:pt idx="25">
                  <c:v>30-T</c:v>
                </c:pt>
                <c:pt idx="26">
                  <c:v>30-V</c:v>
                </c:pt>
                <c:pt idx="27">
                  <c:v>30-X</c:v>
                </c:pt>
                <c:pt idx="28">
                  <c:v>30-Z </c:v>
                </c:pt>
                <c:pt idx="29">
                  <c:v>30-AB</c:v>
                </c:pt>
                <c:pt idx="30">
                  <c:v>30-AD</c:v>
                </c:pt>
                <c:pt idx="31">
                  <c:v>30-AF</c:v>
                </c:pt>
              </c:strCache>
            </c:strRef>
          </c:cat>
          <c:val>
            <c:numRef>
              <c:f>Sheet5!$Q$2:$Q$33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-7824259.4077669401</c:v>
                </c:pt>
                <c:pt idx="9">
                  <c:v>-1415881.9497326899</c:v>
                </c:pt>
                <c:pt idx="10">
                  <c:v>-6696047.13591504</c:v>
                </c:pt>
                <c:pt idx="11">
                  <c:v>-3430173.6580720502</c:v>
                </c:pt>
                <c:pt idx="12">
                  <c:v>-6325848.0947655402</c:v>
                </c:pt>
                <c:pt idx="13">
                  <c:v>-4281703.1739495499</c:v>
                </c:pt>
                <c:pt idx="14">
                  <c:v>-5713233.9113545902</c:v>
                </c:pt>
                <c:pt idx="15">
                  <c:v>998441.51873332204</c:v>
                </c:pt>
                <c:pt idx="16">
                  <c:v>-9995948.2531276699</c:v>
                </c:pt>
                <c:pt idx="17">
                  <c:v>-21271591.610757701</c:v>
                </c:pt>
                <c:pt idx="18">
                  <c:v>-8739379.7214922309</c:v>
                </c:pt>
                <c:pt idx="19">
                  <c:v>-20088610.378621601</c:v>
                </c:pt>
                <c:pt idx="20">
                  <c:v>-10957125.6567099</c:v>
                </c:pt>
                <c:pt idx="21">
                  <c:v>-19298058.711867299</c:v>
                </c:pt>
                <c:pt idx="22">
                  <c:v>-13623563.6931441</c:v>
                </c:pt>
                <c:pt idx="23">
                  <c:v>-20695413.004154898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8B-224D-9734-CF2F980B4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209216"/>
        <c:axId val="1"/>
      </c:barChart>
      <c:catAx>
        <c:axId val="516209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20921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University net earning given investor count and tree price per bdft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Sheet5!$AD$1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Sheet5!$Z$2:$Z$33</c:f>
              <c:strCache>
                <c:ptCount val="32"/>
                <c:pt idx="0">
                  <c:v>30-2 R</c:v>
                </c:pt>
                <c:pt idx="1">
                  <c:v>30-2 T</c:v>
                </c:pt>
                <c:pt idx="2">
                  <c:v>30-2 V</c:v>
                </c:pt>
                <c:pt idx="3">
                  <c:v>30-2 X</c:v>
                </c:pt>
                <c:pt idx="4">
                  <c:v>30-2 Z </c:v>
                </c:pt>
                <c:pt idx="5">
                  <c:v>30-2 AB</c:v>
                </c:pt>
                <c:pt idx="6">
                  <c:v>30-2 AD</c:v>
                </c:pt>
                <c:pt idx="7">
                  <c:v>30-2 AF</c:v>
                </c:pt>
                <c:pt idx="8">
                  <c:v>30-1 Q</c:v>
                </c:pt>
                <c:pt idx="9">
                  <c:v>30-1 S</c:v>
                </c:pt>
                <c:pt idx="10">
                  <c:v>30-1 U</c:v>
                </c:pt>
                <c:pt idx="11">
                  <c:v>30-1 W</c:v>
                </c:pt>
                <c:pt idx="12">
                  <c:v>30-1 Y</c:v>
                </c:pt>
                <c:pt idx="13">
                  <c:v>30-1 AA</c:v>
                </c:pt>
                <c:pt idx="14">
                  <c:v>30-1 AC</c:v>
                </c:pt>
                <c:pt idx="15">
                  <c:v>30-1 AE</c:v>
                </c:pt>
                <c:pt idx="16">
                  <c:v>10-2 B </c:v>
                </c:pt>
                <c:pt idx="17">
                  <c:v>10-2 D</c:v>
                </c:pt>
                <c:pt idx="18">
                  <c:v>10-2 F</c:v>
                </c:pt>
                <c:pt idx="19">
                  <c:v>10-2 H</c:v>
                </c:pt>
                <c:pt idx="20">
                  <c:v>10-2 J</c:v>
                </c:pt>
                <c:pt idx="21">
                  <c:v>10-2 L</c:v>
                </c:pt>
                <c:pt idx="22">
                  <c:v>10-2 N</c:v>
                </c:pt>
                <c:pt idx="23">
                  <c:v>10-2 P</c:v>
                </c:pt>
                <c:pt idx="24">
                  <c:v>10-1 A</c:v>
                </c:pt>
                <c:pt idx="25">
                  <c:v>10-1 C</c:v>
                </c:pt>
                <c:pt idx="26">
                  <c:v>10-1 E</c:v>
                </c:pt>
                <c:pt idx="27">
                  <c:v>10-1 G</c:v>
                </c:pt>
                <c:pt idx="28">
                  <c:v>10-1 I </c:v>
                </c:pt>
                <c:pt idx="29">
                  <c:v>10-1 K</c:v>
                </c:pt>
                <c:pt idx="30">
                  <c:v>10-1 M</c:v>
                </c:pt>
                <c:pt idx="31">
                  <c:v>10-1 O</c:v>
                </c:pt>
              </c:strCache>
            </c:strRef>
          </c:cat>
          <c:val>
            <c:numRef>
              <c:f>Sheet5!$AD$2:$AD$33</c:f>
              <c:numCache>
                <c:formatCode>General</c:formatCode>
                <c:ptCount val="32"/>
                <c:pt idx="0">
                  <c:v>16087205.5488762</c:v>
                </c:pt>
                <c:pt idx="1">
                  <c:v>7829271.27338407</c:v>
                </c:pt>
                <c:pt idx="2">
                  <c:v>19090546.030836798</c:v>
                </c:pt>
                <c:pt idx="3">
                  <c:v>8001819.4625559598</c:v>
                </c:pt>
                <c:pt idx="4">
                  <c:v>8876119.7743770704</c:v>
                </c:pt>
                <c:pt idx="5">
                  <c:v>7478490.4531686101</c:v>
                </c:pt>
                <c:pt idx="6">
                  <c:v>11203115.6601393</c:v>
                </c:pt>
                <c:pt idx="7">
                  <c:v>11695457.623707499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-18344203.504127599</c:v>
                </c:pt>
                <c:pt idx="25">
                  <c:v>-17400718.0542183</c:v>
                </c:pt>
                <c:pt idx="26">
                  <c:v>-17980638.827082999</c:v>
                </c:pt>
                <c:pt idx="27">
                  <c:v>-17933897.217544898</c:v>
                </c:pt>
                <c:pt idx="28">
                  <c:v>-18475187.509085301</c:v>
                </c:pt>
                <c:pt idx="29">
                  <c:v>-19846921.689263899</c:v>
                </c:pt>
                <c:pt idx="30">
                  <c:v>-18224713.245310701</c:v>
                </c:pt>
                <c:pt idx="31">
                  <c:v>-15464605.880899699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80-D646-BA0E-014C6F5E5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721488"/>
        <c:axId val="1"/>
      </c:barChart>
      <c:catAx>
        <c:axId val="516721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20000000"/>
          <c:min val="-20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721488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57148</xdr:colOff>
      <xdr:row>0</xdr:row>
      <xdr:rowOff>171450</xdr:rowOff>
    </xdr:from>
    <xdr:to>
      <xdr:col>66</xdr:col>
      <xdr:colOff>514568</xdr:colOff>
      <xdr:row>30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1DE8A6-2EE4-F06D-F870-3C347FB89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692150</xdr:colOff>
      <xdr:row>0</xdr:row>
      <xdr:rowOff>57150</xdr:rowOff>
    </xdr:from>
    <xdr:to>
      <xdr:col>42</xdr:col>
      <xdr:colOff>0</xdr:colOff>
      <xdr:row>20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228246-6B22-5571-AEA3-0EDF803427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539750</xdr:colOff>
      <xdr:row>0</xdr:row>
      <xdr:rowOff>0</xdr:rowOff>
    </xdr:from>
    <xdr:to>
      <xdr:col>50</xdr:col>
      <xdr:colOff>393700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D69A86-AB9E-D4A3-6997-D3F33CBC27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88900</xdr:colOff>
      <xdr:row>0</xdr:row>
      <xdr:rowOff>38100</xdr:rowOff>
    </xdr:from>
    <xdr:to>
      <xdr:col>18</xdr:col>
      <xdr:colOff>88900</xdr:colOff>
      <xdr:row>22</xdr:row>
      <xdr:rowOff>190500</xdr:rowOff>
    </xdr:to>
    <xdr:graphicFrame macro="">
      <xdr:nvGraphicFramePr>
        <xdr:cNvPr id="172290" name="Chart 1">
          <a:extLst>
            <a:ext uri="{FF2B5EF4-FFF2-40B4-BE49-F238E27FC236}">
              <a16:creationId xmlns:a16="http://schemas.microsoft.com/office/drawing/2014/main" id="{77C4EEE5-501A-20E5-AC41-69AEE9D3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88900</xdr:colOff>
      <xdr:row>23</xdr:row>
      <xdr:rowOff>127000</xdr:rowOff>
    </xdr:from>
    <xdr:to>
      <xdr:col>18</xdr:col>
      <xdr:colOff>63500</xdr:colOff>
      <xdr:row>41</xdr:row>
      <xdr:rowOff>38100</xdr:rowOff>
    </xdr:to>
    <xdr:graphicFrame macro="">
      <xdr:nvGraphicFramePr>
        <xdr:cNvPr id="172291" name="Chart 2">
          <a:extLst>
            <a:ext uri="{FF2B5EF4-FFF2-40B4-BE49-F238E27FC236}">
              <a16:creationId xmlns:a16="http://schemas.microsoft.com/office/drawing/2014/main" id="{087B62B3-8BD6-265B-FC20-A73FF893D3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101600</xdr:colOff>
      <xdr:row>5</xdr:row>
      <xdr:rowOff>88900</xdr:rowOff>
    </xdr:from>
    <xdr:to>
      <xdr:col>53</xdr:col>
      <xdr:colOff>254000</xdr:colOff>
      <xdr:row>30</xdr:row>
      <xdr:rowOff>139700</xdr:rowOff>
    </xdr:to>
    <xdr:graphicFrame macro="">
      <xdr:nvGraphicFramePr>
        <xdr:cNvPr id="3879" name="Chart 1">
          <a:extLst>
            <a:ext uri="{FF2B5EF4-FFF2-40B4-BE49-F238E27FC236}">
              <a16:creationId xmlns:a16="http://schemas.microsoft.com/office/drawing/2014/main" id="{5544D674-3DA6-434A-DB5C-DD76CE0DAD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774700</xdr:colOff>
      <xdr:row>40</xdr:row>
      <xdr:rowOff>165100</xdr:rowOff>
    </xdr:from>
    <xdr:to>
      <xdr:col>22</xdr:col>
      <xdr:colOff>101600</xdr:colOff>
      <xdr:row>59</xdr:row>
      <xdr:rowOff>139700</xdr:rowOff>
    </xdr:to>
    <xdr:graphicFrame macro="">
      <xdr:nvGraphicFramePr>
        <xdr:cNvPr id="3880" name="Chart 2">
          <a:extLst>
            <a:ext uri="{FF2B5EF4-FFF2-40B4-BE49-F238E27FC236}">
              <a16:creationId xmlns:a16="http://schemas.microsoft.com/office/drawing/2014/main" id="{542266FA-4171-A5F9-191C-577896146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469900</xdr:colOff>
      <xdr:row>25</xdr:row>
      <xdr:rowOff>139700</xdr:rowOff>
    </xdr:from>
    <xdr:to>
      <xdr:col>25</xdr:col>
      <xdr:colOff>292100</xdr:colOff>
      <xdr:row>44</xdr:row>
      <xdr:rowOff>127000</xdr:rowOff>
    </xdr:to>
    <xdr:graphicFrame macro="">
      <xdr:nvGraphicFramePr>
        <xdr:cNvPr id="3881" name="Chart 3">
          <a:extLst>
            <a:ext uri="{FF2B5EF4-FFF2-40B4-BE49-F238E27FC236}">
              <a16:creationId xmlns:a16="http://schemas.microsoft.com/office/drawing/2014/main" id="{F966E353-741D-2002-E8CA-41ACE15840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558800</xdr:colOff>
      <xdr:row>0</xdr:row>
      <xdr:rowOff>12700</xdr:rowOff>
    </xdr:from>
    <xdr:to>
      <xdr:col>25</xdr:col>
      <xdr:colOff>254000</xdr:colOff>
      <xdr:row>24</xdr:row>
      <xdr:rowOff>152400</xdr:rowOff>
    </xdr:to>
    <xdr:graphicFrame macro="">
      <xdr:nvGraphicFramePr>
        <xdr:cNvPr id="3882" name="Chart 4">
          <a:extLst>
            <a:ext uri="{FF2B5EF4-FFF2-40B4-BE49-F238E27FC236}">
              <a16:creationId xmlns:a16="http://schemas.microsoft.com/office/drawing/2014/main" id="{32BF1810-5AF1-FA64-409D-BC71B26C32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101600</xdr:colOff>
      <xdr:row>0</xdr:row>
      <xdr:rowOff>0</xdr:rowOff>
    </xdr:from>
    <xdr:to>
      <xdr:col>16</xdr:col>
      <xdr:colOff>673100</xdr:colOff>
      <xdr:row>32</xdr:row>
      <xdr:rowOff>177800</xdr:rowOff>
    </xdr:to>
    <xdr:graphicFrame macro="">
      <xdr:nvGraphicFramePr>
        <xdr:cNvPr id="3883" name="Chart 8">
          <a:extLst>
            <a:ext uri="{FF2B5EF4-FFF2-40B4-BE49-F238E27FC236}">
              <a16:creationId xmlns:a16="http://schemas.microsoft.com/office/drawing/2014/main" id="{C3E4B58F-4AAB-3930-F79F-0D2336D0BB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647700</xdr:colOff>
      <xdr:row>0</xdr:row>
      <xdr:rowOff>0</xdr:rowOff>
    </xdr:from>
    <xdr:to>
      <xdr:col>20</xdr:col>
      <xdr:colOff>228600</xdr:colOff>
      <xdr:row>24</xdr:row>
      <xdr:rowOff>114300</xdr:rowOff>
    </xdr:to>
    <xdr:graphicFrame macro="">
      <xdr:nvGraphicFramePr>
        <xdr:cNvPr id="8347" name="Chart 4">
          <a:extLst>
            <a:ext uri="{FF2B5EF4-FFF2-40B4-BE49-F238E27FC236}">
              <a16:creationId xmlns:a16="http://schemas.microsoft.com/office/drawing/2014/main" id="{94FE2C35-3DB2-229B-41B8-F59F0801C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647700</xdr:colOff>
      <xdr:row>3</xdr:row>
      <xdr:rowOff>38100</xdr:rowOff>
    </xdr:from>
    <xdr:to>
      <xdr:col>12</xdr:col>
      <xdr:colOff>749300</xdr:colOff>
      <xdr:row>37</xdr:row>
      <xdr:rowOff>12700</xdr:rowOff>
    </xdr:to>
    <xdr:graphicFrame macro="">
      <xdr:nvGraphicFramePr>
        <xdr:cNvPr id="523406" name="Chart 2">
          <a:extLst>
            <a:ext uri="{FF2B5EF4-FFF2-40B4-BE49-F238E27FC236}">
              <a16:creationId xmlns:a16="http://schemas.microsoft.com/office/drawing/2014/main" id="{83094552-4C55-A8C8-0284-E4593FAA72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127000</xdr:colOff>
      <xdr:row>0</xdr:row>
      <xdr:rowOff>0</xdr:rowOff>
    </xdr:from>
    <xdr:to>
      <xdr:col>22</xdr:col>
      <xdr:colOff>622300</xdr:colOff>
      <xdr:row>30</xdr:row>
      <xdr:rowOff>165100</xdr:rowOff>
    </xdr:to>
    <xdr:graphicFrame macro="">
      <xdr:nvGraphicFramePr>
        <xdr:cNvPr id="523407" name="Chart 4">
          <a:extLst>
            <a:ext uri="{FF2B5EF4-FFF2-40B4-BE49-F238E27FC236}">
              <a16:creationId xmlns:a16="http://schemas.microsoft.com/office/drawing/2014/main" id="{85C0C2B8-D932-AA21-E25A-0E0657A377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228600</xdr:colOff>
      <xdr:row>0</xdr:row>
      <xdr:rowOff>0</xdr:rowOff>
    </xdr:from>
    <xdr:to>
      <xdr:col>36</xdr:col>
      <xdr:colOff>520700</xdr:colOff>
      <xdr:row>33</xdr:row>
      <xdr:rowOff>0</xdr:rowOff>
    </xdr:to>
    <xdr:graphicFrame macro="">
      <xdr:nvGraphicFramePr>
        <xdr:cNvPr id="523408" name="Chart 5">
          <a:extLst>
            <a:ext uri="{FF2B5EF4-FFF2-40B4-BE49-F238E27FC236}">
              <a16:creationId xmlns:a16="http://schemas.microsoft.com/office/drawing/2014/main" id="{8F68F667-2C3D-D7CA-ADE4-20D3BE5F5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8CE65-C44F-CC47-8B2D-DE3AF22D9DC7}">
  <dimension ref="A1:AF193"/>
  <sheetViews>
    <sheetView tabSelected="1" topLeftCell="Z179" zoomScale="116" workbookViewId="0">
      <selection activeCell="AC190" sqref="AC190:AC191"/>
    </sheetView>
  </sheetViews>
  <sheetFormatPr baseColWidth="10" defaultRowHeight="16" x14ac:dyDescent="0.2"/>
  <sheetData>
    <row r="1" spans="1:32" x14ac:dyDescent="0.2">
      <c r="A1" s="12" t="s">
        <v>287</v>
      </c>
      <c r="B1" s="12" t="s">
        <v>0</v>
      </c>
      <c r="C1" s="12" t="s">
        <v>1</v>
      </c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2" t="s">
        <v>10</v>
      </c>
      <c r="M1" s="12" t="s">
        <v>11</v>
      </c>
      <c r="N1" s="12" t="s">
        <v>12</v>
      </c>
      <c r="O1" s="12" t="s">
        <v>13</v>
      </c>
      <c r="P1" s="12" t="s">
        <v>14</v>
      </c>
      <c r="Q1" s="12" t="s">
        <v>15</v>
      </c>
      <c r="R1" s="12" t="s">
        <v>16</v>
      </c>
      <c r="S1" s="12" t="s">
        <v>17</v>
      </c>
      <c r="T1" s="12" t="s">
        <v>18</v>
      </c>
      <c r="U1" s="12" t="s">
        <v>19</v>
      </c>
      <c r="V1" s="12" t="s">
        <v>20</v>
      </c>
      <c r="W1" s="12" t="s">
        <v>21</v>
      </c>
      <c r="X1" s="12" t="s">
        <v>294</v>
      </c>
      <c r="Y1" s="12" t="s">
        <v>295</v>
      </c>
      <c r="Z1" s="12" t="s">
        <v>296</v>
      </c>
      <c r="AA1" s="12" t="s">
        <v>22</v>
      </c>
      <c r="AB1" s="12" t="s">
        <v>23</v>
      </c>
      <c r="AC1" s="12" t="s">
        <v>297</v>
      </c>
      <c r="AD1" s="12" t="s">
        <v>24</v>
      </c>
      <c r="AE1" s="12" t="s">
        <v>25</v>
      </c>
      <c r="AF1" s="12" t="s">
        <v>288</v>
      </c>
    </row>
    <row r="2" spans="1:32" x14ac:dyDescent="0.2">
      <c r="A2" s="12">
        <v>10</v>
      </c>
      <c r="B2" s="12">
        <v>193</v>
      </c>
      <c r="C2" s="12">
        <v>15</v>
      </c>
      <c r="D2" s="12">
        <v>3</v>
      </c>
      <c r="E2" s="12">
        <v>3</v>
      </c>
      <c r="F2" s="12">
        <v>30</v>
      </c>
      <c r="G2" s="12">
        <v>15</v>
      </c>
      <c r="H2" s="12">
        <v>45.06</v>
      </c>
      <c r="I2" s="12">
        <v>49.35</v>
      </c>
      <c r="J2" s="12">
        <v>0.3</v>
      </c>
      <c r="K2" s="12">
        <v>63935</v>
      </c>
      <c r="L2" s="12">
        <v>99389</v>
      </c>
      <c r="M2" s="12">
        <v>28057</v>
      </c>
      <c r="N2" s="12">
        <v>11683</v>
      </c>
      <c r="O2" s="12">
        <v>35259</v>
      </c>
      <c r="P2" s="12">
        <v>40052</v>
      </c>
      <c r="Q2" s="12">
        <v>3731</v>
      </c>
      <c r="R2" s="12">
        <v>37459</v>
      </c>
      <c r="S2" s="12">
        <v>25829764.100000001</v>
      </c>
      <c r="T2" s="12">
        <v>12612779.699999999</v>
      </c>
      <c r="U2" s="12">
        <v>-13216984</v>
      </c>
      <c r="V2" s="12">
        <v>18093694.399999999</v>
      </c>
      <c r="W2" s="12">
        <v>0</v>
      </c>
      <c r="X2" s="12">
        <v>587</v>
      </c>
      <c r="Y2" s="12">
        <v>4042</v>
      </c>
      <c r="Z2" s="12">
        <v>0</v>
      </c>
      <c r="AA2" s="12">
        <v>4674759.3899999997</v>
      </c>
      <c r="AB2" s="12">
        <v>2508838.65</v>
      </c>
      <c r="AC2" s="12">
        <f>AA2-AB2</f>
        <v>2165920.7399999998</v>
      </c>
      <c r="AD2" s="12">
        <v>15</v>
      </c>
      <c r="AE2" s="12">
        <v>101</v>
      </c>
      <c r="AF2" s="12" t="b">
        <v>1</v>
      </c>
    </row>
    <row r="3" spans="1:32" x14ac:dyDescent="0.2">
      <c r="A3" s="12">
        <v>10</v>
      </c>
      <c r="B3" s="12">
        <v>188</v>
      </c>
      <c r="C3" s="12">
        <v>15</v>
      </c>
      <c r="D3" s="12">
        <v>3</v>
      </c>
      <c r="E3" s="12">
        <v>3</v>
      </c>
      <c r="F3" s="12">
        <v>30</v>
      </c>
      <c r="G3" s="12">
        <v>15</v>
      </c>
      <c r="H3" s="12">
        <v>90.12</v>
      </c>
      <c r="I3" s="12">
        <v>98.7</v>
      </c>
      <c r="J3" s="12">
        <v>0.3</v>
      </c>
      <c r="K3" s="12">
        <v>85254</v>
      </c>
      <c r="L3" s="12">
        <v>87156</v>
      </c>
      <c r="M3" s="12">
        <v>28013</v>
      </c>
      <c r="N3" s="12">
        <v>11640</v>
      </c>
      <c r="O3" s="12">
        <v>5466</v>
      </c>
      <c r="P3" s="12">
        <v>45814</v>
      </c>
      <c r="Q3" s="12">
        <v>4046</v>
      </c>
      <c r="R3" s="12">
        <v>37268</v>
      </c>
      <c r="S3" s="12">
        <v>24352315</v>
      </c>
      <c r="T3" s="12">
        <v>18201976.600000001</v>
      </c>
      <c r="U3" s="12">
        <v>-6150338.4000000004</v>
      </c>
      <c r="V3" s="12">
        <v>17574739.600000001</v>
      </c>
      <c r="W3" s="12">
        <v>0</v>
      </c>
      <c r="X3" s="12">
        <v>545</v>
      </c>
      <c r="Y3" s="12">
        <v>3941</v>
      </c>
      <c r="Z3" s="12">
        <v>0</v>
      </c>
      <c r="AA3" s="12">
        <v>8593645.9299999997</v>
      </c>
      <c r="AB3" s="12">
        <v>2508838.65</v>
      </c>
      <c r="AC3" s="12">
        <f t="shared" ref="AC3:AC66" si="0">AA3-AB3</f>
        <v>6084807.2799999993</v>
      </c>
      <c r="AD3" s="12">
        <v>15</v>
      </c>
      <c r="AE3" s="12">
        <v>196</v>
      </c>
      <c r="AF3" s="12" t="b">
        <v>1</v>
      </c>
    </row>
    <row r="4" spans="1:32" x14ac:dyDescent="0.2">
      <c r="A4" s="12">
        <v>10</v>
      </c>
      <c r="B4" s="12">
        <v>193</v>
      </c>
      <c r="C4" s="12">
        <v>15</v>
      </c>
      <c r="D4" s="12">
        <v>3</v>
      </c>
      <c r="E4" s="12">
        <v>3</v>
      </c>
      <c r="F4" s="12">
        <v>15</v>
      </c>
      <c r="G4" s="12">
        <v>15</v>
      </c>
      <c r="H4" s="12">
        <v>45.06</v>
      </c>
      <c r="I4" s="12">
        <v>49.35</v>
      </c>
      <c r="J4" s="12">
        <v>0.3</v>
      </c>
      <c r="K4" s="12">
        <v>64080</v>
      </c>
      <c r="L4" s="12">
        <v>99460</v>
      </c>
      <c r="M4" s="12">
        <v>27563</v>
      </c>
      <c r="N4" s="12">
        <v>11758</v>
      </c>
      <c r="O4" s="12">
        <v>35536</v>
      </c>
      <c r="P4" s="12">
        <v>40158</v>
      </c>
      <c r="Q4" s="12">
        <v>3711</v>
      </c>
      <c r="R4" s="12">
        <v>37762</v>
      </c>
      <c r="S4" s="12">
        <v>24953226.100000001</v>
      </c>
      <c r="T4" s="12">
        <v>8017986.2599999998</v>
      </c>
      <c r="U4" s="12">
        <v>-16935240</v>
      </c>
      <c r="V4" s="12">
        <v>8751474.9800000004</v>
      </c>
      <c r="W4" s="12">
        <v>0</v>
      </c>
      <c r="X4" s="12">
        <v>2816</v>
      </c>
      <c r="Y4" s="12">
        <v>2072</v>
      </c>
      <c r="Z4" s="12">
        <v>0</v>
      </c>
      <c r="AA4" s="12">
        <v>1606896.71</v>
      </c>
      <c r="AB4" s="12">
        <v>2508838.65</v>
      </c>
      <c r="AC4" s="12">
        <f t="shared" si="0"/>
        <v>-901941.94</v>
      </c>
      <c r="AD4" s="12">
        <v>15</v>
      </c>
      <c r="AE4" s="12">
        <v>255</v>
      </c>
      <c r="AF4" s="12" t="b">
        <v>1</v>
      </c>
    </row>
    <row r="5" spans="1:32" x14ac:dyDescent="0.2">
      <c r="A5" s="12">
        <v>10</v>
      </c>
      <c r="B5" s="12">
        <v>188</v>
      </c>
      <c r="C5" s="12">
        <v>15</v>
      </c>
      <c r="D5" s="12">
        <v>3</v>
      </c>
      <c r="E5" s="12">
        <v>3</v>
      </c>
      <c r="F5" s="12">
        <v>15</v>
      </c>
      <c r="G5" s="12">
        <v>15</v>
      </c>
      <c r="H5" s="12">
        <v>90.12</v>
      </c>
      <c r="I5" s="12">
        <v>98.7</v>
      </c>
      <c r="J5" s="12">
        <v>0.3</v>
      </c>
      <c r="K5" s="12">
        <v>84746</v>
      </c>
      <c r="L5" s="12">
        <v>86324</v>
      </c>
      <c r="M5" s="12">
        <v>27917</v>
      </c>
      <c r="N5" s="12">
        <v>11595</v>
      </c>
      <c r="O5" s="12">
        <v>5508</v>
      </c>
      <c r="P5" s="12">
        <v>45618</v>
      </c>
      <c r="Q5" s="12">
        <v>4182</v>
      </c>
      <c r="R5" s="12">
        <v>37392</v>
      </c>
      <c r="S5" s="12">
        <v>23462580.300000001</v>
      </c>
      <c r="T5" s="12">
        <v>8396291.0600000005</v>
      </c>
      <c r="U5" s="12">
        <v>-15066289</v>
      </c>
      <c r="V5" s="12">
        <v>8655608.0500000007</v>
      </c>
      <c r="W5" s="12">
        <v>0</v>
      </c>
      <c r="X5" s="12">
        <v>2744</v>
      </c>
      <c r="Y5" s="12">
        <v>2027</v>
      </c>
      <c r="Z5" s="12">
        <v>0</v>
      </c>
      <c r="AA5" s="12">
        <v>983213.87</v>
      </c>
      <c r="AB5" s="12">
        <v>2508838.65</v>
      </c>
      <c r="AC5" s="12">
        <f t="shared" si="0"/>
        <v>-1525624.7799999998</v>
      </c>
      <c r="AD5" s="12">
        <v>15</v>
      </c>
      <c r="AE5" s="12">
        <v>354</v>
      </c>
      <c r="AF5" s="12" t="b">
        <v>1</v>
      </c>
    </row>
    <row r="6" spans="1:32" x14ac:dyDescent="0.2">
      <c r="A6" s="12">
        <v>10</v>
      </c>
      <c r="B6" s="12">
        <v>193</v>
      </c>
      <c r="C6" s="12">
        <v>15</v>
      </c>
      <c r="D6" s="12">
        <v>3</v>
      </c>
      <c r="E6" s="12">
        <v>1</v>
      </c>
      <c r="F6" s="12">
        <v>30</v>
      </c>
      <c r="G6" s="12">
        <v>15</v>
      </c>
      <c r="H6" s="12">
        <v>45.06</v>
      </c>
      <c r="I6" s="12">
        <v>49.35</v>
      </c>
      <c r="J6" s="12">
        <v>0.3</v>
      </c>
      <c r="K6" s="12">
        <v>64242</v>
      </c>
      <c r="L6" s="12">
        <v>100129</v>
      </c>
      <c r="M6" s="12">
        <v>28023</v>
      </c>
      <c r="N6" s="12">
        <v>11735</v>
      </c>
      <c r="O6" s="12">
        <v>35303</v>
      </c>
      <c r="P6" s="12">
        <v>39852</v>
      </c>
      <c r="Q6" s="12">
        <v>3748</v>
      </c>
      <c r="R6" s="12">
        <v>37601</v>
      </c>
      <c r="S6" s="12">
        <v>25626200.300000001</v>
      </c>
      <c r="T6" s="12">
        <v>12570969.800000001</v>
      </c>
      <c r="U6" s="12">
        <v>-13055231</v>
      </c>
      <c r="V6" s="12">
        <v>17864823</v>
      </c>
      <c r="W6" s="12">
        <v>0</v>
      </c>
      <c r="X6" s="12">
        <v>581</v>
      </c>
      <c r="Y6" s="12">
        <v>4031</v>
      </c>
      <c r="Z6" s="12">
        <v>0</v>
      </c>
      <c r="AA6" s="12">
        <v>4698026.3099999996</v>
      </c>
      <c r="AB6" s="12">
        <v>2508838.65</v>
      </c>
      <c r="AC6" s="12">
        <f t="shared" si="0"/>
        <v>2189187.6599999997</v>
      </c>
      <c r="AD6" s="12">
        <v>15</v>
      </c>
      <c r="AE6" s="12">
        <v>104</v>
      </c>
      <c r="AF6" s="12" t="b">
        <v>1</v>
      </c>
    </row>
    <row r="7" spans="1:32" x14ac:dyDescent="0.2">
      <c r="A7" s="12">
        <v>10</v>
      </c>
      <c r="B7" s="12">
        <v>188</v>
      </c>
      <c r="C7" s="12">
        <v>15</v>
      </c>
      <c r="D7" s="12">
        <v>3</v>
      </c>
      <c r="E7" s="12">
        <v>1</v>
      </c>
      <c r="F7" s="12">
        <v>30</v>
      </c>
      <c r="G7" s="12">
        <v>15</v>
      </c>
      <c r="H7" s="12">
        <v>90.12</v>
      </c>
      <c r="I7" s="12">
        <v>98.7</v>
      </c>
      <c r="J7" s="12">
        <v>0.3</v>
      </c>
      <c r="K7" s="12">
        <v>85560</v>
      </c>
      <c r="L7" s="12">
        <v>86242</v>
      </c>
      <c r="M7" s="12">
        <v>28090</v>
      </c>
      <c r="N7" s="12">
        <v>11706</v>
      </c>
      <c r="O7" s="12">
        <v>5404</v>
      </c>
      <c r="P7" s="12">
        <v>45377</v>
      </c>
      <c r="Q7" s="12">
        <v>4158</v>
      </c>
      <c r="R7" s="12">
        <v>37138</v>
      </c>
      <c r="S7" s="12">
        <v>23789500.699999999</v>
      </c>
      <c r="T7" s="12">
        <v>15071871</v>
      </c>
      <c r="U7" s="12">
        <v>-8717629.6999999993</v>
      </c>
      <c r="V7" s="12">
        <v>17357118</v>
      </c>
      <c r="W7" s="12">
        <v>0</v>
      </c>
      <c r="X7" s="12">
        <v>561</v>
      </c>
      <c r="Y7" s="12">
        <v>3931</v>
      </c>
      <c r="Z7" s="12">
        <v>0</v>
      </c>
      <c r="AA7" s="12">
        <v>6690446.8799999999</v>
      </c>
      <c r="AB7" s="12">
        <v>2508838.65</v>
      </c>
      <c r="AC7" s="12">
        <f t="shared" si="0"/>
        <v>4181608.23</v>
      </c>
      <c r="AD7" s="12">
        <v>15</v>
      </c>
      <c r="AE7" s="12">
        <v>251</v>
      </c>
      <c r="AF7" s="12" t="b">
        <v>1</v>
      </c>
    </row>
    <row r="8" spans="1:32" x14ac:dyDescent="0.2">
      <c r="A8" s="12">
        <v>10</v>
      </c>
      <c r="B8" s="12">
        <v>193</v>
      </c>
      <c r="C8" s="12">
        <v>15</v>
      </c>
      <c r="D8" s="12">
        <v>3</v>
      </c>
      <c r="E8" s="12">
        <v>1</v>
      </c>
      <c r="F8" s="12">
        <v>15</v>
      </c>
      <c r="G8" s="12">
        <v>15</v>
      </c>
      <c r="H8" s="12">
        <v>45.06</v>
      </c>
      <c r="I8" s="12">
        <v>49.35</v>
      </c>
      <c r="J8" s="12">
        <v>0.3</v>
      </c>
      <c r="K8" s="12">
        <v>64009</v>
      </c>
      <c r="L8" s="12">
        <v>99409</v>
      </c>
      <c r="M8" s="12">
        <v>27356</v>
      </c>
      <c r="N8" s="12">
        <v>11773</v>
      </c>
      <c r="O8" s="12">
        <v>35536</v>
      </c>
      <c r="P8" s="12">
        <v>40016</v>
      </c>
      <c r="Q8" s="12">
        <v>3643</v>
      </c>
      <c r="R8" s="12">
        <v>37782</v>
      </c>
      <c r="S8" s="12">
        <v>25323597</v>
      </c>
      <c r="T8" s="12">
        <v>9119490.4700000007</v>
      </c>
      <c r="U8" s="12">
        <v>-16204107</v>
      </c>
      <c r="V8" s="12">
        <v>8956016.2300000004</v>
      </c>
      <c r="W8" s="12">
        <v>0</v>
      </c>
      <c r="X8" s="12">
        <v>2795</v>
      </c>
      <c r="Y8" s="12">
        <v>2071</v>
      </c>
      <c r="Z8" s="12">
        <v>0</v>
      </c>
      <c r="AA8" s="12">
        <v>2129072.16</v>
      </c>
      <c r="AB8" s="12">
        <v>2508838.65</v>
      </c>
      <c r="AC8" s="12">
        <f t="shared" si="0"/>
        <v>-379766.48999999976</v>
      </c>
      <c r="AD8" s="12">
        <v>15</v>
      </c>
      <c r="AE8" s="12">
        <v>220</v>
      </c>
      <c r="AF8" s="12" t="b">
        <v>1</v>
      </c>
    </row>
    <row r="9" spans="1:32" x14ac:dyDescent="0.2">
      <c r="A9" s="12">
        <v>10</v>
      </c>
      <c r="B9" s="12">
        <v>188</v>
      </c>
      <c r="C9" s="12">
        <v>15</v>
      </c>
      <c r="D9" s="12">
        <v>3</v>
      </c>
      <c r="E9" s="12">
        <v>1</v>
      </c>
      <c r="F9" s="12">
        <v>15</v>
      </c>
      <c r="G9" s="12">
        <v>15</v>
      </c>
      <c r="H9" s="12">
        <v>90.12</v>
      </c>
      <c r="I9" s="12">
        <v>98.7</v>
      </c>
      <c r="J9" s="12">
        <v>0.3</v>
      </c>
      <c r="K9" s="12">
        <v>85042</v>
      </c>
      <c r="L9" s="12">
        <v>86176</v>
      </c>
      <c r="M9" s="12">
        <v>27840</v>
      </c>
      <c r="N9" s="12">
        <v>11607</v>
      </c>
      <c r="O9" s="12">
        <v>5552</v>
      </c>
      <c r="P9" s="12">
        <v>45653</v>
      </c>
      <c r="Q9" s="12">
        <v>4293</v>
      </c>
      <c r="R9" s="12">
        <v>37425</v>
      </c>
      <c r="S9" s="12">
        <v>23162912</v>
      </c>
      <c r="T9" s="12">
        <v>7727633.6699999999</v>
      </c>
      <c r="U9" s="12">
        <v>-15435278</v>
      </c>
      <c r="V9" s="12">
        <v>8661396.5700000003</v>
      </c>
      <c r="W9" s="12">
        <v>0</v>
      </c>
      <c r="X9" s="12">
        <v>2732</v>
      </c>
      <c r="Y9" s="12">
        <v>2027</v>
      </c>
      <c r="Z9" s="12">
        <v>0</v>
      </c>
      <c r="AA9" s="12">
        <v>395386.28600000002</v>
      </c>
      <c r="AB9" s="12">
        <v>2508838.65</v>
      </c>
      <c r="AC9" s="12">
        <f t="shared" si="0"/>
        <v>-2113452.3640000001</v>
      </c>
      <c r="AD9" s="12">
        <v>15</v>
      </c>
      <c r="AE9" s="12">
        <v>365</v>
      </c>
      <c r="AF9" s="12" t="b">
        <v>1</v>
      </c>
    </row>
    <row r="10" spans="1:32" x14ac:dyDescent="0.2">
      <c r="A10" s="12">
        <v>10</v>
      </c>
      <c r="B10" s="12">
        <v>193</v>
      </c>
      <c r="C10" s="12">
        <v>15</v>
      </c>
      <c r="D10" s="12">
        <v>1</v>
      </c>
      <c r="E10" s="12">
        <v>3</v>
      </c>
      <c r="F10" s="12">
        <v>30</v>
      </c>
      <c r="G10" s="12">
        <v>15</v>
      </c>
      <c r="H10" s="12">
        <v>45.06</v>
      </c>
      <c r="I10" s="12">
        <v>49.35</v>
      </c>
      <c r="J10" s="12">
        <v>0.3</v>
      </c>
      <c r="K10" s="12">
        <v>63877</v>
      </c>
      <c r="L10" s="12">
        <v>99424</v>
      </c>
      <c r="M10" s="12">
        <v>27880</v>
      </c>
      <c r="N10" s="12">
        <v>11725</v>
      </c>
      <c r="O10" s="12">
        <v>35451</v>
      </c>
      <c r="P10" s="12">
        <v>40218</v>
      </c>
      <c r="Q10" s="12">
        <v>3644</v>
      </c>
      <c r="R10" s="12">
        <v>37725</v>
      </c>
      <c r="S10" s="12">
        <v>24260791.600000001</v>
      </c>
      <c r="T10" s="12">
        <v>12752456.300000001</v>
      </c>
      <c r="U10" s="12">
        <v>-11508335</v>
      </c>
      <c r="V10" s="12">
        <v>18251706.600000001</v>
      </c>
      <c r="W10" s="12">
        <v>0</v>
      </c>
      <c r="X10" s="12">
        <v>309</v>
      </c>
      <c r="Y10" s="12">
        <v>3941</v>
      </c>
      <c r="Z10" s="12">
        <v>0</v>
      </c>
      <c r="AA10" s="12">
        <v>5235619.99</v>
      </c>
      <c r="AB10" s="12">
        <v>2508838.65</v>
      </c>
      <c r="AC10" s="12">
        <f t="shared" si="0"/>
        <v>2726781.3400000003</v>
      </c>
      <c r="AD10" s="12">
        <v>15</v>
      </c>
      <c r="AE10" s="12">
        <v>82</v>
      </c>
      <c r="AF10" s="12" t="b">
        <v>1</v>
      </c>
    </row>
    <row r="11" spans="1:32" x14ac:dyDescent="0.2">
      <c r="A11" s="12">
        <v>10</v>
      </c>
      <c r="B11" s="12">
        <v>188</v>
      </c>
      <c r="C11" s="12">
        <v>15</v>
      </c>
      <c r="D11" s="12">
        <v>1</v>
      </c>
      <c r="E11" s="12">
        <v>3</v>
      </c>
      <c r="F11" s="12">
        <v>30</v>
      </c>
      <c r="G11" s="12">
        <v>15</v>
      </c>
      <c r="H11" s="12">
        <v>90.12</v>
      </c>
      <c r="I11" s="12">
        <v>98.7</v>
      </c>
      <c r="J11" s="12">
        <v>0.3</v>
      </c>
      <c r="K11" s="12">
        <v>85034</v>
      </c>
      <c r="L11" s="12">
        <v>86430</v>
      </c>
      <c r="M11" s="12">
        <v>27947</v>
      </c>
      <c r="N11" s="12">
        <v>11653</v>
      </c>
      <c r="O11" s="12">
        <v>5554</v>
      </c>
      <c r="P11" s="12">
        <v>45696</v>
      </c>
      <c r="Q11" s="12">
        <v>4195</v>
      </c>
      <c r="R11" s="12">
        <v>37236</v>
      </c>
      <c r="S11" s="12">
        <v>23182498.399999999</v>
      </c>
      <c r="T11" s="12">
        <v>18593683.100000001</v>
      </c>
      <c r="U11" s="12">
        <v>-4588815.3</v>
      </c>
      <c r="V11" s="12">
        <v>17749198</v>
      </c>
      <c r="W11" s="12">
        <v>0</v>
      </c>
      <c r="X11" s="12">
        <v>307</v>
      </c>
      <c r="Y11" s="12">
        <v>3835</v>
      </c>
      <c r="Z11" s="12">
        <v>0</v>
      </c>
      <c r="AA11" s="12">
        <v>9811670.0399999991</v>
      </c>
      <c r="AB11" s="12">
        <v>2508838.65</v>
      </c>
      <c r="AC11" s="12">
        <f t="shared" si="0"/>
        <v>7302831.3899999987</v>
      </c>
      <c r="AD11" s="12">
        <v>15</v>
      </c>
      <c r="AE11" s="12">
        <v>177</v>
      </c>
      <c r="AF11" s="12" t="b">
        <v>1</v>
      </c>
    </row>
    <row r="12" spans="1:32" x14ac:dyDescent="0.2">
      <c r="A12" s="12">
        <v>10</v>
      </c>
      <c r="B12" s="12">
        <v>193</v>
      </c>
      <c r="C12" s="12">
        <v>15</v>
      </c>
      <c r="D12" s="12">
        <v>1</v>
      </c>
      <c r="E12" s="12">
        <v>3</v>
      </c>
      <c r="F12" s="12">
        <v>15</v>
      </c>
      <c r="G12" s="12">
        <v>15</v>
      </c>
      <c r="H12" s="12">
        <v>45.06</v>
      </c>
      <c r="I12" s="12">
        <v>49.35</v>
      </c>
      <c r="J12" s="12">
        <v>0.3</v>
      </c>
      <c r="K12" s="12">
        <v>63844</v>
      </c>
      <c r="L12" s="12">
        <v>98074</v>
      </c>
      <c r="M12" s="12">
        <v>27623</v>
      </c>
      <c r="N12" s="12">
        <v>11726</v>
      </c>
      <c r="O12" s="12">
        <v>35418</v>
      </c>
      <c r="P12" s="12">
        <v>40084</v>
      </c>
      <c r="Q12" s="12">
        <v>3777</v>
      </c>
      <c r="R12" s="12">
        <v>37693</v>
      </c>
      <c r="S12" s="12">
        <v>23584935.199999999</v>
      </c>
      <c r="T12" s="12">
        <v>8522441.9000000004</v>
      </c>
      <c r="U12" s="12">
        <v>-15062493</v>
      </c>
      <c r="V12" s="12">
        <v>9312454.7300000004</v>
      </c>
      <c r="W12" s="12">
        <v>0</v>
      </c>
      <c r="X12" s="12">
        <v>2466</v>
      </c>
      <c r="Y12" s="12">
        <v>2017</v>
      </c>
      <c r="Z12" s="12">
        <v>0</v>
      </c>
      <c r="AA12" s="12">
        <v>2427967.61</v>
      </c>
      <c r="AB12" s="12">
        <v>2508838.65</v>
      </c>
      <c r="AC12" s="12">
        <f t="shared" si="0"/>
        <v>-80871.040000000037</v>
      </c>
      <c r="AD12" s="12">
        <v>15</v>
      </c>
      <c r="AE12" s="12">
        <v>225</v>
      </c>
      <c r="AF12" s="12" t="b">
        <v>1</v>
      </c>
    </row>
    <row r="13" spans="1:32" x14ac:dyDescent="0.2">
      <c r="A13" s="12">
        <v>10</v>
      </c>
      <c r="B13" s="12">
        <v>188</v>
      </c>
      <c r="C13" s="12">
        <v>15</v>
      </c>
      <c r="D13" s="12">
        <v>1</v>
      </c>
      <c r="E13" s="12">
        <v>3</v>
      </c>
      <c r="F13" s="12">
        <v>15</v>
      </c>
      <c r="G13" s="12">
        <v>15</v>
      </c>
      <c r="H13" s="12">
        <v>90.12</v>
      </c>
      <c r="I13" s="12">
        <v>98.7</v>
      </c>
      <c r="J13" s="12">
        <v>0.3</v>
      </c>
      <c r="K13" s="12">
        <v>84824</v>
      </c>
      <c r="L13" s="12">
        <v>85758</v>
      </c>
      <c r="M13" s="12">
        <v>27829</v>
      </c>
      <c r="N13" s="12">
        <v>11598</v>
      </c>
      <c r="O13" s="12">
        <v>5439</v>
      </c>
      <c r="P13" s="12">
        <v>45496</v>
      </c>
      <c r="Q13" s="12">
        <v>4156</v>
      </c>
      <c r="R13" s="12">
        <v>37442</v>
      </c>
      <c r="S13" s="12">
        <v>22095992.600000001</v>
      </c>
      <c r="T13" s="12">
        <v>8688628.5</v>
      </c>
      <c r="U13" s="12">
        <v>-13407364</v>
      </c>
      <c r="V13" s="12">
        <v>9069530.2899999991</v>
      </c>
      <c r="W13" s="12">
        <v>0</v>
      </c>
      <c r="X13" s="12">
        <v>2437</v>
      </c>
      <c r="Y13" s="12">
        <v>1974</v>
      </c>
      <c r="Z13" s="12">
        <v>0</v>
      </c>
      <c r="AA13" s="12">
        <v>2104518.56</v>
      </c>
      <c r="AB13" s="12">
        <v>2508838.65</v>
      </c>
      <c r="AC13" s="12">
        <f t="shared" si="0"/>
        <v>-404320.08999999985</v>
      </c>
      <c r="AD13" s="12">
        <v>15</v>
      </c>
      <c r="AE13" s="12">
        <v>331</v>
      </c>
      <c r="AF13" s="12" t="b">
        <v>1</v>
      </c>
    </row>
    <row r="14" spans="1:32" x14ac:dyDescent="0.2">
      <c r="A14" s="12">
        <v>10</v>
      </c>
      <c r="B14" s="12">
        <v>193</v>
      </c>
      <c r="C14" s="12">
        <v>15</v>
      </c>
      <c r="D14" s="12">
        <v>1</v>
      </c>
      <c r="E14" s="12">
        <v>1</v>
      </c>
      <c r="F14" s="12">
        <v>30</v>
      </c>
      <c r="G14" s="12">
        <v>15</v>
      </c>
      <c r="H14" s="12">
        <v>45.06</v>
      </c>
      <c r="I14" s="12">
        <v>49.35</v>
      </c>
      <c r="J14" s="12">
        <v>0.3</v>
      </c>
      <c r="K14" s="12">
        <v>63988</v>
      </c>
      <c r="L14" s="12">
        <v>98835</v>
      </c>
      <c r="M14" s="12">
        <v>28009</v>
      </c>
      <c r="N14" s="12">
        <v>11753</v>
      </c>
      <c r="O14" s="12">
        <v>35429</v>
      </c>
      <c r="P14" s="12">
        <v>40044</v>
      </c>
      <c r="Q14" s="12">
        <v>3682</v>
      </c>
      <c r="R14" s="12">
        <v>37674</v>
      </c>
      <c r="S14" s="12">
        <v>24129787.800000001</v>
      </c>
      <c r="T14" s="12">
        <v>12682515.300000001</v>
      </c>
      <c r="U14" s="12">
        <v>-11447272</v>
      </c>
      <c r="V14" s="12">
        <v>18268613.100000001</v>
      </c>
      <c r="W14" s="12">
        <v>0</v>
      </c>
      <c r="X14" s="12">
        <v>304</v>
      </c>
      <c r="Y14" s="12">
        <v>3940</v>
      </c>
      <c r="Z14" s="12">
        <v>0</v>
      </c>
      <c r="AA14" s="12">
        <v>4863587.59</v>
      </c>
      <c r="AB14" s="12">
        <v>2508838.65</v>
      </c>
      <c r="AC14" s="12">
        <f t="shared" si="0"/>
        <v>2354748.94</v>
      </c>
      <c r="AD14" s="12">
        <v>15</v>
      </c>
      <c r="AE14" s="12">
        <v>72</v>
      </c>
      <c r="AF14" s="12" t="b">
        <v>1</v>
      </c>
    </row>
    <row r="15" spans="1:32" x14ac:dyDescent="0.2">
      <c r="A15" s="12">
        <v>10</v>
      </c>
      <c r="B15" s="12">
        <v>188</v>
      </c>
      <c r="C15" s="12">
        <v>15</v>
      </c>
      <c r="D15" s="12">
        <v>1</v>
      </c>
      <c r="E15" s="12">
        <v>1</v>
      </c>
      <c r="F15" s="12">
        <v>30</v>
      </c>
      <c r="G15" s="12">
        <v>15</v>
      </c>
      <c r="H15" s="12">
        <v>90.12</v>
      </c>
      <c r="I15" s="12">
        <v>98.7</v>
      </c>
      <c r="J15" s="12">
        <v>0.3</v>
      </c>
      <c r="K15" s="12">
        <v>85137</v>
      </c>
      <c r="L15" s="12">
        <v>86965</v>
      </c>
      <c r="M15" s="12">
        <v>27998</v>
      </c>
      <c r="N15" s="12">
        <v>11623</v>
      </c>
      <c r="O15" s="12">
        <v>5561</v>
      </c>
      <c r="P15" s="12">
        <v>45326</v>
      </c>
      <c r="Q15" s="12">
        <v>4021</v>
      </c>
      <c r="R15" s="12">
        <v>37324</v>
      </c>
      <c r="S15" s="12">
        <v>22462758.800000001</v>
      </c>
      <c r="T15" s="12">
        <v>15870881.199999999</v>
      </c>
      <c r="U15" s="12">
        <v>-6591877.5999999996</v>
      </c>
      <c r="V15" s="12">
        <v>17688701.199999999</v>
      </c>
      <c r="W15" s="12">
        <v>0</v>
      </c>
      <c r="X15" s="12">
        <v>299</v>
      </c>
      <c r="Y15" s="12">
        <v>3830</v>
      </c>
      <c r="Z15" s="12">
        <v>0</v>
      </c>
      <c r="AA15" s="12">
        <v>7571208.8899999997</v>
      </c>
      <c r="AB15" s="12">
        <v>2508838.65</v>
      </c>
      <c r="AC15" s="12">
        <f t="shared" si="0"/>
        <v>5062370.24</v>
      </c>
      <c r="AD15" s="12">
        <v>15</v>
      </c>
      <c r="AE15" s="12">
        <v>217</v>
      </c>
      <c r="AF15" s="12" t="b">
        <v>1</v>
      </c>
    </row>
    <row r="16" spans="1:32" x14ac:dyDescent="0.2">
      <c r="A16" s="12">
        <v>10</v>
      </c>
      <c r="B16" s="12">
        <v>193</v>
      </c>
      <c r="C16" s="12">
        <v>15</v>
      </c>
      <c r="D16" s="12">
        <v>1</v>
      </c>
      <c r="E16" s="12">
        <v>1</v>
      </c>
      <c r="F16" s="12">
        <v>15</v>
      </c>
      <c r="G16" s="12">
        <v>15</v>
      </c>
      <c r="H16" s="12">
        <v>45.06</v>
      </c>
      <c r="I16" s="12">
        <v>49.35</v>
      </c>
      <c r="J16" s="12">
        <v>0.3</v>
      </c>
      <c r="K16" s="12">
        <v>63482</v>
      </c>
      <c r="L16" s="12">
        <v>98973</v>
      </c>
      <c r="M16" s="12">
        <v>27567</v>
      </c>
      <c r="N16" s="12">
        <v>11678</v>
      </c>
      <c r="O16" s="12">
        <v>35413</v>
      </c>
      <c r="P16" s="12">
        <v>40354</v>
      </c>
      <c r="Q16" s="12">
        <v>3631</v>
      </c>
      <c r="R16" s="12">
        <v>37716</v>
      </c>
      <c r="S16" s="12">
        <v>24184074.800000001</v>
      </c>
      <c r="T16" s="12">
        <v>9295774.1899999995</v>
      </c>
      <c r="U16" s="12">
        <v>-14888301</v>
      </c>
      <c r="V16" s="12">
        <v>9230642.6799999997</v>
      </c>
      <c r="W16" s="12">
        <v>0</v>
      </c>
      <c r="X16" s="12">
        <v>2507</v>
      </c>
      <c r="Y16" s="12">
        <v>2020</v>
      </c>
      <c r="Z16" s="12">
        <v>0</v>
      </c>
      <c r="AA16" s="12">
        <v>2761666.38</v>
      </c>
      <c r="AB16" s="12">
        <v>2508838.65</v>
      </c>
      <c r="AC16" s="12">
        <f t="shared" si="0"/>
        <v>252827.72999999998</v>
      </c>
      <c r="AD16" s="12">
        <v>15</v>
      </c>
      <c r="AE16" s="12">
        <v>196</v>
      </c>
      <c r="AF16" s="12" t="b">
        <v>1</v>
      </c>
    </row>
    <row r="17" spans="1:32" x14ac:dyDescent="0.2">
      <c r="A17" s="12">
        <v>10</v>
      </c>
      <c r="B17" s="12">
        <v>188</v>
      </c>
      <c r="C17" s="12">
        <v>15</v>
      </c>
      <c r="D17" s="12">
        <v>1</v>
      </c>
      <c r="E17" s="12">
        <v>1</v>
      </c>
      <c r="F17" s="12">
        <v>15</v>
      </c>
      <c r="G17" s="12">
        <v>15</v>
      </c>
      <c r="H17" s="12">
        <v>90.12</v>
      </c>
      <c r="I17" s="12">
        <v>98.7</v>
      </c>
      <c r="J17" s="12">
        <v>0.3</v>
      </c>
      <c r="K17" s="12">
        <v>84948</v>
      </c>
      <c r="L17" s="12">
        <v>85775</v>
      </c>
      <c r="M17" s="12">
        <v>27996</v>
      </c>
      <c r="N17" s="12">
        <v>11578</v>
      </c>
      <c r="O17" s="12">
        <v>5467</v>
      </c>
      <c r="P17" s="12">
        <v>45417</v>
      </c>
      <c r="Q17" s="12">
        <v>4177</v>
      </c>
      <c r="R17" s="12">
        <v>37452</v>
      </c>
      <c r="S17" s="12">
        <v>21924971.800000001</v>
      </c>
      <c r="T17" s="12">
        <v>7428456.0199999996</v>
      </c>
      <c r="U17" s="12">
        <v>-14496516</v>
      </c>
      <c r="V17" s="12">
        <v>9060843.0999999996</v>
      </c>
      <c r="W17" s="12">
        <v>0</v>
      </c>
      <c r="X17" s="12">
        <v>2452</v>
      </c>
      <c r="Y17" s="12">
        <v>1974</v>
      </c>
      <c r="Z17" s="12">
        <v>0</v>
      </c>
      <c r="AA17" s="12">
        <v>1021224</v>
      </c>
      <c r="AB17" s="12">
        <v>2508838.65</v>
      </c>
      <c r="AC17" s="12">
        <f t="shared" si="0"/>
        <v>-1487614.65</v>
      </c>
      <c r="AD17" s="12">
        <v>15</v>
      </c>
      <c r="AE17" s="12">
        <v>355</v>
      </c>
      <c r="AF17" s="12" t="b">
        <v>1</v>
      </c>
    </row>
    <row r="18" spans="1:32" x14ac:dyDescent="0.2">
      <c r="A18">
        <v>10</v>
      </c>
      <c r="B18">
        <v>128</v>
      </c>
      <c r="C18">
        <v>10</v>
      </c>
      <c r="D18">
        <v>3</v>
      </c>
      <c r="E18">
        <v>3</v>
      </c>
      <c r="F18">
        <v>15</v>
      </c>
      <c r="G18">
        <v>15</v>
      </c>
      <c r="H18">
        <v>90.12</v>
      </c>
      <c r="I18">
        <v>98.7</v>
      </c>
      <c r="J18">
        <v>0.3</v>
      </c>
      <c r="K18">
        <v>75746</v>
      </c>
      <c r="L18">
        <v>54813</v>
      </c>
      <c r="M18">
        <v>34199</v>
      </c>
      <c r="N18">
        <v>10337</v>
      </c>
      <c r="O18">
        <v>22941</v>
      </c>
      <c r="P18">
        <v>31113</v>
      </c>
      <c r="Q18">
        <v>8338</v>
      </c>
      <c r="R18">
        <v>35596</v>
      </c>
      <c r="S18">
        <v>16841150.929387901</v>
      </c>
      <c r="T18">
        <v>9696916.5411453098</v>
      </c>
      <c r="U18">
        <v>-7144234.38824262</v>
      </c>
      <c r="V18">
        <v>5732650.1778611904</v>
      </c>
      <c r="W18">
        <v>0</v>
      </c>
      <c r="X18">
        <v>1831</v>
      </c>
      <c r="Y18">
        <v>1365</v>
      </c>
      <c r="Z18">
        <v>0</v>
      </c>
      <c r="AA18">
        <v>2902535.5311014098</v>
      </c>
      <c r="AB18">
        <v>1708694.3999999899</v>
      </c>
      <c r="AC18" s="12">
        <f t="shared" si="0"/>
        <v>1193841.1311014199</v>
      </c>
      <c r="AD18">
        <v>15</v>
      </c>
      <c r="AE18">
        <v>237</v>
      </c>
      <c r="AF18" t="b">
        <v>1</v>
      </c>
    </row>
    <row r="19" spans="1:32" x14ac:dyDescent="0.2">
      <c r="A19">
        <v>10</v>
      </c>
      <c r="B19">
        <v>128</v>
      </c>
      <c r="C19">
        <v>10</v>
      </c>
      <c r="D19">
        <v>3</v>
      </c>
      <c r="E19">
        <v>3</v>
      </c>
      <c r="F19">
        <v>15</v>
      </c>
      <c r="G19">
        <v>15</v>
      </c>
      <c r="H19">
        <v>45.06</v>
      </c>
      <c r="I19">
        <v>49.35</v>
      </c>
      <c r="J19">
        <v>0.3</v>
      </c>
      <c r="K19">
        <v>75746</v>
      </c>
      <c r="L19">
        <v>54813</v>
      </c>
      <c r="M19">
        <v>34199</v>
      </c>
      <c r="N19">
        <v>10337</v>
      </c>
      <c r="O19">
        <v>22941</v>
      </c>
      <c r="P19">
        <v>31113</v>
      </c>
      <c r="Q19">
        <v>8338</v>
      </c>
      <c r="R19">
        <v>35596</v>
      </c>
      <c r="S19">
        <v>16841150.929387901</v>
      </c>
      <c r="T19">
        <v>5702805.4705726504</v>
      </c>
      <c r="U19">
        <v>-11138345.4588152</v>
      </c>
      <c r="V19">
        <v>5732650.1778611904</v>
      </c>
      <c r="W19">
        <v>0</v>
      </c>
      <c r="X19">
        <v>1831</v>
      </c>
      <c r="Y19">
        <v>1365</v>
      </c>
      <c r="Z19">
        <v>0</v>
      </c>
      <c r="AA19">
        <v>1451267.7655507</v>
      </c>
      <c r="AB19">
        <v>1708694.3999999899</v>
      </c>
      <c r="AC19" s="12">
        <f t="shared" si="0"/>
        <v>-257426.63444928988</v>
      </c>
      <c r="AD19">
        <v>15</v>
      </c>
      <c r="AE19">
        <v>237</v>
      </c>
      <c r="AF19" t="b">
        <v>1</v>
      </c>
    </row>
    <row r="20" spans="1:32" x14ac:dyDescent="0.2">
      <c r="A20">
        <v>10</v>
      </c>
      <c r="B20">
        <v>128</v>
      </c>
      <c r="C20">
        <v>10</v>
      </c>
      <c r="D20">
        <v>3</v>
      </c>
      <c r="E20">
        <v>3</v>
      </c>
      <c r="F20">
        <v>30</v>
      </c>
      <c r="G20">
        <v>15</v>
      </c>
      <c r="H20">
        <v>90.12</v>
      </c>
      <c r="I20">
        <v>98.7</v>
      </c>
      <c r="J20">
        <v>0.3</v>
      </c>
      <c r="K20">
        <v>76044</v>
      </c>
      <c r="L20">
        <v>55277</v>
      </c>
      <c r="M20">
        <v>34483</v>
      </c>
      <c r="N20">
        <v>10366</v>
      </c>
      <c r="O20">
        <v>22971</v>
      </c>
      <c r="P20">
        <v>30956</v>
      </c>
      <c r="Q20">
        <v>8437</v>
      </c>
      <c r="R20">
        <v>35421</v>
      </c>
      <c r="S20">
        <v>17810243.948886901</v>
      </c>
      <c r="T20">
        <v>17545155.665422302</v>
      </c>
      <c r="U20">
        <v>-265088.28346464701</v>
      </c>
      <c r="V20">
        <v>11601145.368618401</v>
      </c>
      <c r="W20">
        <v>0</v>
      </c>
      <c r="X20">
        <v>399</v>
      </c>
      <c r="Y20">
        <v>2616</v>
      </c>
      <c r="Z20">
        <v>0</v>
      </c>
      <c r="AA20">
        <v>8947470.0011640098</v>
      </c>
      <c r="AB20">
        <v>1708694.3999999899</v>
      </c>
      <c r="AC20" s="12">
        <f t="shared" si="0"/>
        <v>7238775.6011640197</v>
      </c>
      <c r="AD20">
        <v>15</v>
      </c>
      <c r="AE20">
        <v>109</v>
      </c>
      <c r="AF20" t="b">
        <v>1</v>
      </c>
    </row>
    <row r="21" spans="1:32" x14ac:dyDescent="0.2">
      <c r="A21">
        <v>10</v>
      </c>
      <c r="B21">
        <v>128</v>
      </c>
      <c r="C21">
        <v>10</v>
      </c>
      <c r="D21">
        <v>3</v>
      </c>
      <c r="E21">
        <v>3</v>
      </c>
      <c r="F21">
        <v>30</v>
      </c>
      <c r="G21">
        <v>15</v>
      </c>
      <c r="H21">
        <v>45.06</v>
      </c>
      <c r="I21">
        <v>49.35</v>
      </c>
      <c r="J21">
        <v>0.3</v>
      </c>
      <c r="K21">
        <v>76044</v>
      </c>
      <c r="L21">
        <v>55277</v>
      </c>
      <c r="M21">
        <v>34483</v>
      </c>
      <c r="N21">
        <v>10366</v>
      </c>
      <c r="O21">
        <v>22971</v>
      </c>
      <c r="P21">
        <v>30956</v>
      </c>
      <c r="Q21">
        <v>8437</v>
      </c>
      <c r="R21">
        <v>35421</v>
      </c>
      <c r="S21">
        <v>17810243.948886901</v>
      </c>
      <c r="T21">
        <v>9626925.0327111594</v>
      </c>
      <c r="U21">
        <v>-8183318.9161758004</v>
      </c>
      <c r="V21">
        <v>11601145.368618401</v>
      </c>
      <c r="W21">
        <v>0</v>
      </c>
      <c r="X21">
        <v>399</v>
      </c>
      <c r="Y21">
        <v>2616</v>
      </c>
      <c r="Z21">
        <v>0</v>
      </c>
      <c r="AA21">
        <v>4473735.0005820002</v>
      </c>
      <c r="AB21">
        <v>1708694.3999999899</v>
      </c>
      <c r="AC21" s="12">
        <f t="shared" si="0"/>
        <v>2765040.6005820101</v>
      </c>
      <c r="AD21">
        <v>15</v>
      </c>
      <c r="AE21">
        <v>109</v>
      </c>
      <c r="AF21" t="b">
        <v>1</v>
      </c>
    </row>
    <row r="22" spans="1:32" x14ac:dyDescent="0.2">
      <c r="A22">
        <v>10</v>
      </c>
      <c r="B22">
        <v>128</v>
      </c>
      <c r="C22">
        <v>10</v>
      </c>
      <c r="D22">
        <v>3</v>
      </c>
      <c r="E22">
        <v>1</v>
      </c>
      <c r="F22">
        <v>15</v>
      </c>
      <c r="G22">
        <v>15</v>
      </c>
      <c r="H22">
        <v>90.12</v>
      </c>
      <c r="I22">
        <v>98.7</v>
      </c>
      <c r="J22">
        <v>0.3</v>
      </c>
      <c r="K22">
        <v>75954</v>
      </c>
      <c r="L22">
        <v>55069</v>
      </c>
      <c r="M22">
        <v>34490</v>
      </c>
      <c r="N22">
        <v>10355</v>
      </c>
      <c r="O22">
        <v>22859</v>
      </c>
      <c r="P22">
        <v>31041</v>
      </c>
      <c r="Q22">
        <v>8143</v>
      </c>
      <c r="R22">
        <v>35613</v>
      </c>
      <c r="S22">
        <v>16816489.794108599</v>
      </c>
      <c r="T22">
        <v>9700612.6074119397</v>
      </c>
      <c r="U22">
        <v>-7115877.1866967296</v>
      </c>
      <c r="V22">
        <v>5880732.3645357704</v>
      </c>
      <c r="W22">
        <v>0</v>
      </c>
      <c r="X22">
        <v>1826</v>
      </c>
      <c r="Y22">
        <v>1364</v>
      </c>
      <c r="Z22">
        <v>0</v>
      </c>
      <c r="AA22">
        <v>2901436.3106182399</v>
      </c>
      <c r="AB22">
        <v>1708694.3999999899</v>
      </c>
      <c r="AC22" s="12">
        <f t="shared" si="0"/>
        <v>1192741.91061825</v>
      </c>
      <c r="AD22">
        <v>15</v>
      </c>
      <c r="AE22">
        <v>234</v>
      </c>
      <c r="AF22" t="b">
        <v>1</v>
      </c>
    </row>
    <row r="23" spans="1:32" x14ac:dyDescent="0.2">
      <c r="A23">
        <v>10</v>
      </c>
      <c r="B23">
        <v>128</v>
      </c>
      <c r="C23">
        <v>10</v>
      </c>
      <c r="D23">
        <v>3</v>
      </c>
      <c r="E23">
        <v>1</v>
      </c>
      <c r="F23">
        <v>15</v>
      </c>
      <c r="G23">
        <v>15</v>
      </c>
      <c r="H23">
        <v>45.06</v>
      </c>
      <c r="I23">
        <v>49.35</v>
      </c>
      <c r="J23">
        <v>0.3</v>
      </c>
      <c r="K23">
        <v>75954</v>
      </c>
      <c r="L23">
        <v>55069</v>
      </c>
      <c r="M23">
        <v>34490</v>
      </c>
      <c r="N23">
        <v>10355</v>
      </c>
      <c r="O23">
        <v>22859</v>
      </c>
      <c r="P23">
        <v>31041</v>
      </c>
      <c r="Q23">
        <v>8143</v>
      </c>
      <c r="R23">
        <v>35613</v>
      </c>
      <c r="S23">
        <v>16816489.794108599</v>
      </c>
      <c r="T23">
        <v>5704653.50370597</v>
      </c>
      <c r="U23">
        <v>-11111836.290402699</v>
      </c>
      <c r="V23">
        <v>5880732.3645357704</v>
      </c>
      <c r="W23">
        <v>0</v>
      </c>
      <c r="X23">
        <v>1826</v>
      </c>
      <c r="Y23">
        <v>1364</v>
      </c>
      <c r="Z23">
        <v>0</v>
      </c>
      <c r="AA23">
        <v>1450718.15530912</v>
      </c>
      <c r="AB23">
        <v>1708694.3999999899</v>
      </c>
      <c r="AC23" s="12">
        <f t="shared" si="0"/>
        <v>-257976.24469086993</v>
      </c>
      <c r="AD23">
        <v>15</v>
      </c>
      <c r="AE23">
        <v>234</v>
      </c>
      <c r="AF23" t="b">
        <v>1</v>
      </c>
    </row>
    <row r="24" spans="1:32" x14ac:dyDescent="0.2">
      <c r="A24">
        <v>10</v>
      </c>
      <c r="B24">
        <v>128</v>
      </c>
      <c r="C24">
        <v>10</v>
      </c>
      <c r="D24">
        <v>3</v>
      </c>
      <c r="E24">
        <v>1</v>
      </c>
      <c r="F24">
        <v>30</v>
      </c>
      <c r="G24">
        <v>15</v>
      </c>
      <c r="H24">
        <v>90.12</v>
      </c>
      <c r="I24">
        <v>98.7</v>
      </c>
      <c r="J24">
        <v>0.3</v>
      </c>
      <c r="K24">
        <v>76299</v>
      </c>
      <c r="L24">
        <v>55181</v>
      </c>
      <c r="M24">
        <v>34275</v>
      </c>
      <c r="N24">
        <v>10356</v>
      </c>
      <c r="O24">
        <v>22856</v>
      </c>
      <c r="P24">
        <v>30652</v>
      </c>
      <c r="Q24">
        <v>8353</v>
      </c>
      <c r="R24">
        <v>35340</v>
      </c>
      <c r="S24">
        <v>17359957.9444266</v>
      </c>
      <c r="T24">
        <v>15641912.4338626</v>
      </c>
      <c r="U24">
        <v>-1718045.5105639801</v>
      </c>
      <c r="V24">
        <v>11757424.1735091</v>
      </c>
      <c r="W24">
        <v>0</v>
      </c>
      <c r="X24">
        <v>398</v>
      </c>
      <c r="Y24">
        <v>2621</v>
      </c>
      <c r="Z24">
        <v>0</v>
      </c>
      <c r="AA24">
        <v>7316118.65982717</v>
      </c>
      <c r="AB24">
        <v>1708694.3999999899</v>
      </c>
      <c r="AC24" s="12">
        <f t="shared" si="0"/>
        <v>5607424.2598271798</v>
      </c>
      <c r="AD24">
        <v>15</v>
      </c>
      <c r="AE24">
        <v>138</v>
      </c>
      <c r="AF24" t="b">
        <v>1</v>
      </c>
    </row>
    <row r="25" spans="1:32" x14ac:dyDescent="0.2">
      <c r="A25">
        <v>10</v>
      </c>
      <c r="B25">
        <v>128</v>
      </c>
      <c r="C25">
        <v>10</v>
      </c>
      <c r="D25">
        <v>3</v>
      </c>
      <c r="E25">
        <v>1</v>
      </c>
      <c r="F25">
        <v>30</v>
      </c>
      <c r="G25">
        <v>15</v>
      </c>
      <c r="H25">
        <v>45.06</v>
      </c>
      <c r="I25">
        <v>49.35</v>
      </c>
      <c r="J25">
        <v>0.3</v>
      </c>
      <c r="K25">
        <v>76299</v>
      </c>
      <c r="L25">
        <v>55181</v>
      </c>
      <c r="M25">
        <v>34275</v>
      </c>
      <c r="N25">
        <v>10356</v>
      </c>
      <c r="O25">
        <v>22856</v>
      </c>
      <c r="P25">
        <v>30652</v>
      </c>
      <c r="Q25">
        <v>8353</v>
      </c>
      <c r="R25">
        <v>35340</v>
      </c>
      <c r="S25">
        <v>17359957.9444266</v>
      </c>
      <c r="T25">
        <v>8675303.4169313293</v>
      </c>
      <c r="U25">
        <v>-8684654.5274953209</v>
      </c>
      <c r="V25">
        <v>11757424.1735091</v>
      </c>
      <c r="W25">
        <v>0</v>
      </c>
      <c r="X25">
        <v>398</v>
      </c>
      <c r="Y25">
        <v>2621</v>
      </c>
      <c r="Z25">
        <v>0</v>
      </c>
      <c r="AA25">
        <v>3658059.3299135799</v>
      </c>
      <c r="AB25">
        <v>1708694.3999999899</v>
      </c>
      <c r="AC25" s="12">
        <f t="shared" si="0"/>
        <v>1949364.92991359</v>
      </c>
      <c r="AD25">
        <v>15</v>
      </c>
      <c r="AE25">
        <v>138</v>
      </c>
      <c r="AF25" t="b">
        <v>1</v>
      </c>
    </row>
    <row r="26" spans="1:32" x14ac:dyDescent="0.2">
      <c r="A26">
        <v>10</v>
      </c>
      <c r="B26">
        <v>128</v>
      </c>
      <c r="C26">
        <v>10</v>
      </c>
      <c r="D26">
        <v>1</v>
      </c>
      <c r="E26">
        <v>3</v>
      </c>
      <c r="F26">
        <v>15</v>
      </c>
      <c r="G26">
        <v>15</v>
      </c>
      <c r="H26">
        <v>90.12</v>
      </c>
      <c r="I26">
        <v>98.7</v>
      </c>
      <c r="J26">
        <v>0.3</v>
      </c>
      <c r="K26">
        <v>75277</v>
      </c>
      <c r="L26">
        <v>54712</v>
      </c>
      <c r="M26">
        <v>34304</v>
      </c>
      <c r="N26">
        <v>10288</v>
      </c>
      <c r="O26">
        <v>22819</v>
      </c>
      <c r="P26">
        <v>31295</v>
      </c>
      <c r="Q26">
        <v>8317</v>
      </c>
      <c r="R26">
        <v>35591</v>
      </c>
      <c r="S26">
        <v>15770608.7946683</v>
      </c>
      <c r="T26">
        <v>9791280.1612872891</v>
      </c>
      <c r="U26">
        <v>-5979328.6333810799</v>
      </c>
      <c r="V26">
        <v>6015859.1128444998</v>
      </c>
      <c r="W26">
        <v>0</v>
      </c>
      <c r="X26">
        <v>1622</v>
      </c>
      <c r="Y26">
        <v>1331</v>
      </c>
      <c r="Z26">
        <v>0</v>
      </c>
      <c r="AA26">
        <v>3861427.0563950799</v>
      </c>
      <c r="AB26">
        <v>1708694.3999999899</v>
      </c>
      <c r="AC26" s="12">
        <f t="shared" si="0"/>
        <v>2152732.6563950898</v>
      </c>
      <c r="AD26">
        <v>15</v>
      </c>
      <c r="AE26">
        <v>220</v>
      </c>
      <c r="AF26" t="b">
        <v>1</v>
      </c>
    </row>
    <row r="27" spans="1:32" x14ac:dyDescent="0.2">
      <c r="A27">
        <v>10</v>
      </c>
      <c r="B27">
        <v>128</v>
      </c>
      <c r="C27">
        <v>10</v>
      </c>
      <c r="D27">
        <v>1</v>
      </c>
      <c r="E27">
        <v>3</v>
      </c>
      <c r="F27">
        <v>15</v>
      </c>
      <c r="G27">
        <v>15</v>
      </c>
      <c r="H27">
        <v>45.06</v>
      </c>
      <c r="I27">
        <v>49.35</v>
      </c>
      <c r="J27">
        <v>0.3</v>
      </c>
      <c r="K27">
        <v>75277</v>
      </c>
      <c r="L27">
        <v>54712</v>
      </c>
      <c r="M27">
        <v>34304</v>
      </c>
      <c r="N27">
        <v>10288</v>
      </c>
      <c r="O27">
        <v>22819</v>
      </c>
      <c r="P27">
        <v>31295</v>
      </c>
      <c r="Q27">
        <v>8317</v>
      </c>
      <c r="R27">
        <v>35591</v>
      </c>
      <c r="S27">
        <v>15770608.7946683</v>
      </c>
      <c r="T27">
        <v>5749987.2806436401</v>
      </c>
      <c r="U27">
        <v>-10020621.514024699</v>
      </c>
      <c r="V27">
        <v>6015859.1128444998</v>
      </c>
      <c r="W27">
        <v>0</v>
      </c>
      <c r="X27">
        <v>1622</v>
      </c>
      <c r="Y27">
        <v>1331</v>
      </c>
      <c r="Z27">
        <v>0</v>
      </c>
      <c r="AA27">
        <v>1930713.52819754</v>
      </c>
      <c r="AB27">
        <v>1708694.3999999899</v>
      </c>
      <c r="AC27" s="12">
        <f t="shared" si="0"/>
        <v>222019.12819755008</v>
      </c>
      <c r="AD27">
        <v>15</v>
      </c>
      <c r="AE27">
        <v>220</v>
      </c>
      <c r="AF27" t="b">
        <v>1</v>
      </c>
    </row>
    <row r="28" spans="1:32" x14ac:dyDescent="0.2">
      <c r="A28">
        <v>10</v>
      </c>
      <c r="B28">
        <v>128</v>
      </c>
      <c r="C28">
        <v>10</v>
      </c>
      <c r="D28">
        <v>1</v>
      </c>
      <c r="E28">
        <v>3</v>
      </c>
      <c r="F28">
        <v>30</v>
      </c>
      <c r="G28">
        <v>15</v>
      </c>
      <c r="H28">
        <v>90.12</v>
      </c>
      <c r="I28">
        <v>98.7</v>
      </c>
      <c r="J28">
        <v>0.3</v>
      </c>
      <c r="K28">
        <v>76283</v>
      </c>
      <c r="L28">
        <v>55290</v>
      </c>
      <c r="M28">
        <v>34287</v>
      </c>
      <c r="N28">
        <v>10396</v>
      </c>
      <c r="O28">
        <v>23190</v>
      </c>
      <c r="P28">
        <v>31073</v>
      </c>
      <c r="Q28">
        <v>8438</v>
      </c>
      <c r="R28">
        <v>35690</v>
      </c>
      <c r="S28">
        <v>15918787.478277599</v>
      </c>
      <c r="T28">
        <v>13571381.813327</v>
      </c>
      <c r="U28">
        <v>-2347405.6649506199</v>
      </c>
      <c r="V28">
        <v>11781699.0764578</v>
      </c>
      <c r="W28">
        <v>0</v>
      </c>
      <c r="X28">
        <v>267</v>
      </c>
      <c r="Y28">
        <v>2530</v>
      </c>
      <c r="Z28">
        <v>0</v>
      </c>
      <c r="AA28">
        <v>6475809.3119374597</v>
      </c>
      <c r="AB28">
        <v>1708694.3999999899</v>
      </c>
      <c r="AC28" s="12">
        <f t="shared" si="0"/>
        <v>4767114.9119374696</v>
      </c>
      <c r="AD28">
        <v>15</v>
      </c>
      <c r="AE28">
        <v>153</v>
      </c>
      <c r="AF28" t="b">
        <v>1</v>
      </c>
    </row>
    <row r="29" spans="1:32" x14ac:dyDescent="0.2">
      <c r="A29">
        <v>10</v>
      </c>
      <c r="B29">
        <v>128</v>
      </c>
      <c r="C29">
        <v>10</v>
      </c>
      <c r="D29">
        <v>1</v>
      </c>
      <c r="E29">
        <v>3</v>
      </c>
      <c r="F29">
        <v>30</v>
      </c>
      <c r="G29">
        <v>15</v>
      </c>
      <c r="H29">
        <v>45.06</v>
      </c>
      <c r="I29">
        <v>49.35</v>
      </c>
      <c r="J29">
        <v>0.3</v>
      </c>
      <c r="K29">
        <v>76283</v>
      </c>
      <c r="L29">
        <v>55290</v>
      </c>
      <c r="M29">
        <v>34287</v>
      </c>
      <c r="N29">
        <v>10396</v>
      </c>
      <c r="O29">
        <v>23190</v>
      </c>
      <c r="P29">
        <v>31073</v>
      </c>
      <c r="Q29">
        <v>8438</v>
      </c>
      <c r="R29">
        <v>35690</v>
      </c>
      <c r="S29">
        <v>15918787.478277599</v>
      </c>
      <c r="T29">
        <v>7640038.1066635298</v>
      </c>
      <c r="U29">
        <v>-8278749.3716141498</v>
      </c>
      <c r="V29">
        <v>11781699.0764578</v>
      </c>
      <c r="W29">
        <v>0</v>
      </c>
      <c r="X29">
        <v>267</v>
      </c>
      <c r="Y29">
        <v>2530</v>
      </c>
      <c r="Z29">
        <v>0</v>
      </c>
      <c r="AA29">
        <v>3237904.6559687299</v>
      </c>
      <c r="AB29">
        <v>1708694.3999999899</v>
      </c>
      <c r="AC29" s="12">
        <f t="shared" si="0"/>
        <v>1529210.25596874</v>
      </c>
      <c r="AD29">
        <v>15</v>
      </c>
      <c r="AE29">
        <v>153</v>
      </c>
      <c r="AF29" t="b">
        <v>1</v>
      </c>
    </row>
    <row r="30" spans="1:32" x14ac:dyDescent="0.2">
      <c r="A30">
        <v>10</v>
      </c>
      <c r="B30">
        <v>128</v>
      </c>
      <c r="C30">
        <v>10</v>
      </c>
      <c r="D30">
        <v>1</v>
      </c>
      <c r="E30">
        <v>1</v>
      </c>
      <c r="F30">
        <v>15</v>
      </c>
      <c r="G30">
        <v>15</v>
      </c>
      <c r="H30">
        <v>90.12</v>
      </c>
      <c r="I30">
        <v>98.7</v>
      </c>
      <c r="J30">
        <v>0.3</v>
      </c>
      <c r="K30">
        <v>76101</v>
      </c>
      <c r="L30">
        <v>55057</v>
      </c>
      <c r="M30">
        <v>34305</v>
      </c>
      <c r="N30">
        <v>10352</v>
      </c>
      <c r="O30">
        <v>22893</v>
      </c>
      <c r="P30">
        <v>31017</v>
      </c>
      <c r="Q30">
        <v>8338</v>
      </c>
      <c r="R30">
        <v>35603</v>
      </c>
      <c r="S30">
        <v>15822313.056992</v>
      </c>
      <c r="T30">
        <v>9693786.1922475304</v>
      </c>
      <c r="U30">
        <v>-6128526.8647445301</v>
      </c>
      <c r="V30">
        <v>6144208.6332440795</v>
      </c>
      <c r="W30">
        <v>0</v>
      </c>
      <c r="X30">
        <v>1632</v>
      </c>
      <c r="Y30">
        <v>1329</v>
      </c>
      <c r="Z30">
        <v>0</v>
      </c>
      <c r="AA30">
        <v>3777860.7972181402</v>
      </c>
      <c r="AB30">
        <v>1708694.3999999899</v>
      </c>
      <c r="AC30" s="12">
        <f t="shared" si="0"/>
        <v>2069166.3972181503</v>
      </c>
      <c r="AD30">
        <v>15</v>
      </c>
      <c r="AE30">
        <v>218</v>
      </c>
      <c r="AF30" t="b">
        <v>1</v>
      </c>
    </row>
    <row r="31" spans="1:32" x14ac:dyDescent="0.2">
      <c r="A31">
        <v>10</v>
      </c>
      <c r="B31">
        <v>128</v>
      </c>
      <c r="C31">
        <v>10</v>
      </c>
      <c r="D31">
        <v>1</v>
      </c>
      <c r="E31">
        <v>1</v>
      </c>
      <c r="F31">
        <v>15</v>
      </c>
      <c r="G31">
        <v>15</v>
      </c>
      <c r="H31">
        <v>45.06</v>
      </c>
      <c r="I31">
        <v>49.35</v>
      </c>
      <c r="J31">
        <v>0.3</v>
      </c>
      <c r="K31">
        <v>76101</v>
      </c>
      <c r="L31">
        <v>55057</v>
      </c>
      <c r="M31">
        <v>34305</v>
      </c>
      <c r="N31">
        <v>10352</v>
      </c>
      <c r="O31">
        <v>22893</v>
      </c>
      <c r="P31">
        <v>31017</v>
      </c>
      <c r="Q31">
        <v>8338</v>
      </c>
      <c r="R31">
        <v>35603</v>
      </c>
      <c r="S31">
        <v>15822313.056992</v>
      </c>
      <c r="T31">
        <v>5701240.2961237598</v>
      </c>
      <c r="U31">
        <v>-10121072.7608683</v>
      </c>
      <c r="V31">
        <v>6144208.6332440795</v>
      </c>
      <c r="W31">
        <v>0</v>
      </c>
      <c r="X31">
        <v>1632</v>
      </c>
      <c r="Y31">
        <v>1329</v>
      </c>
      <c r="Z31">
        <v>0</v>
      </c>
      <c r="AA31">
        <v>1888930.3986090701</v>
      </c>
      <c r="AB31">
        <v>1708694.3999999899</v>
      </c>
      <c r="AC31" s="12">
        <f t="shared" si="0"/>
        <v>180235.99860908021</v>
      </c>
      <c r="AD31">
        <v>15</v>
      </c>
      <c r="AE31">
        <v>218</v>
      </c>
      <c r="AF31" t="b">
        <v>1</v>
      </c>
    </row>
    <row r="32" spans="1:32" x14ac:dyDescent="0.2">
      <c r="A32">
        <v>10</v>
      </c>
      <c r="B32">
        <v>128</v>
      </c>
      <c r="C32">
        <v>10</v>
      </c>
      <c r="D32">
        <v>1</v>
      </c>
      <c r="E32">
        <v>1</v>
      </c>
      <c r="F32">
        <v>30</v>
      </c>
      <c r="G32">
        <v>15</v>
      </c>
      <c r="H32">
        <v>90.12</v>
      </c>
      <c r="I32">
        <v>98.7</v>
      </c>
      <c r="J32">
        <v>0.3</v>
      </c>
      <c r="K32">
        <v>76398</v>
      </c>
      <c r="L32">
        <v>55610</v>
      </c>
      <c r="M32">
        <v>34599</v>
      </c>
      <c r="N32">
        <v>10405</v>
      </c>
      <c r="O32">
        <v>22920</v>
      </c>
      <c r="P32">
        <v>31106</v>
      </c>
      <c r="Q32">
        <v>8405</v>
      </c>
      <c r="R32">
        <v>35554</v>
      </c>
      <c r="S32">
        <v>16193809.555305099</v>
      </c>
      <c r="T32">
        <v>14622161.5418116</v>
      </c>
      <c r="U32">
        <v>-1571648.01349358</v>
      </c>
      <c r="V32">
        <v>11800812.4385131</v>
      </c>
      <c r="W32">
        <v>0</v>
      </c>
      <c r="X32">
        <v>267</v>
      </c>
      <c r="Y32">
        <v>2532</v>
      </c>
      <c r="Z32">
        <v>0</v>
      </c>
      <c r="AA32">
        <v>7324322.16623851</v>
      </c>
      <c r="AB32">
        <v>1708694.3999999899</v>
      </c>
      <c r="AC32" s="12">
        <f t="shared" si="0"/>
        <v>5615627.7662385199</v>
      </c>
      <c r="AD32">
        <v>15</v>
      </c>
      <c r="AE32">
        <v>137</v>
      </c>
      <c r="AF32" t="b">
        <v>1</v>
      </c>
    </row>
    <row r="33" spans="1:32" x14ac:dyDescent="0.2">
      <c r="A33">
        <v>10</v>
      </c>
      <c r="B33">
        <v>128</v>
      </c>
      <c r="C33">
        <v>10</v>
      </c>
      <c r="D33">
        <v>1</v>
      </c>
      <c r="E33">
        <v>1</v>
      </c>
      <c r="F33">
        <v>30</v>
      </c>
      <c r="G33">
        <v>15</v>
      </c>
      <c r="H33">
        <v>45.06</v>
      </c>
      <c r="I33">
        <v>49.35</v>
      </c>
      <c r="J33">
        <v>0.3</v>
      </c>
      <c r="K33">
        <v>76398</v>
      </c>
      <c r="L33">
        <v>55610</v>
      </c>
      <c r="M33">
        <v>34599</v>
      </c>
      <c r="N33">
        <v>10405</v>
      </c>
      <c r="O33">
        <v>22920</v>
      </c>
      <c r="P33">
        <v>31106</v>
      </c>
      <c r="Q33">
        <v>8405</v>
      </c>
      <c r="R33">
        <v>35554</v>
      </c>
      <c r="S33">
        <v>16193809.555305099</v>
      </c>
      <c r="T33">
        <v>8165427.9709058004</v>
      </c>
      <c r="U33">
        <v>-8028381.5843993798</v>
      </c>
      <c r="V33">
        <v>11800812.4385131</v>
      </c>
      <c r="W33">
        <v>0</v>
      </c>
      <c r="X33">
        <v>267</v>
      </c>
      <c r="Y33">
        <v>2532</v>
      </c>
      <c r="Z33">
        <v>0</v>
      </c>
      <c r="AA33">
        <v>3662161.0831192499</v>
      </c>
      <c r="AB33">
        <v>1708694.3999999899</v>
      </c>
      <c r="AC33" s="12">
        <f t="shared" si="0"/>
        <v>1953466.68311926</v>
      </c>
      <c r="AD33">
        <v>15</v>
      </c>
      <c r="AE33">
        <v>137</v>
      </c>
      <c r="AF33" t="b">
        <v>1</v>
      </c>
    </row>
    <row r="34" spans="1:32" x14ac:dyDescent="0.2">
      <c r="A34">
        <v>10</v>
      </c>
      <c r="B34">
        <v>199</v>
      </c>
      <c r="C34">
        <v>15</v>
      </c>
      <c r="D34">
        <v>3</v>
      </c>
      <c r="E34">
        <v>3</v>
      </c>
      <c r="F34">
        <v>15</v>
      </c>
      <c r="G34">
        <v>30</v>
      </c>
      <c r="H34">
        <v>90.12</v>
      </c>
      <c r="I34">
        <v>98.7</v>
      </c>
      <c r="J34">
        <v>0.3</v>
      </c>
      <c r="K34">
        <v>88241</v>
      </c>
      <c r="L34">
        <v>93888</v>
      </c>
      <c r="M34">
        <v>26924</v>
      </c>
      <c r="N34">
        <v>12090</v>
      </c>
      <c r="O34">
        <v>25706</v>
      </c>
      <c r="P34">
        <v>39128</v>
      </c>
      <c r="Q34">
        <v>2996</v>
      </c>
      <c r="R34">
        <v>38060</v>
      </c>
      <c r="S34">
        <v>30116481.626526602</v>
      </c>
      <c r="T34">
        <v>24414507.837606601</v>
      </c>
      <c r="U34">
        <v>-5701973.7889199601</v>
      </c>
      <c r="V34">
        <v>9287902.3168659694</v>
      </c>
      <c r="W34">
        <v>0</v>
      </c>
      <c r="X34">
        <v>3167</v>
      </c>
      <c r="Y34">
        <v>2539</v>
      </c>
      <c r="Z34">
        <v>0</v>
      </c>
      <c r="AA34">
        <v>6390578.44054545</v>
      </c>
      <c r="AB34">
        <v>5017677.3</v>
      </c>
      <c r="AC34" s="12">
        <f t="shared" si="0"/>
        <v>1372901.1405454502</v>
      </c>
      <c r="AD34">
        <v>30</v>
      </c>
      <c r="AE34">
        <v>516</v>
      </c>
      <c r="AF34" t="b">
        <v>1</v>
      </c>
    </row>
    <row r="35" spans="1:32" x14ac:dyDescent="0.2">
      <c r="A35">
        <v>10</v>
      </c>
      <c r="B35">
        <v>199</v>
      </c>
      <c r="C35">
        <v>15</v>
      </c>
      <c r="D35">
        <v>3</v>
      </c>
      <c r="E35">
        <v>3</v>
      </c>
      <c r="F35">
        <v>15</v>
      </c>
      <c r="G35">
        <v>30</v>
      </c>
      <c r="H35">
        <v>45.06</v>
      </c>
      <c r="I35">
        <v>49.35</v>
      </c>
      <c r="J35">
        <v>0.3</v>
      </c>
      <c r="K35">
        <v>88811</v>
      </c>
      <c r="L35">
        <v>94249</v>
      </c>
      <c r="M35">
        <v>27163</v>
      </c>
      <c r="N35">
        <v>12163</v>
      </c>
      <c r="O35">
        <v>25488</v>
      </c>
      <c r="P35">
        <v>39197</v>
      </c>
      <c r="Q35">
        <v>3091</v>
      </c>
      <c r="R35">
        <v>37996</v>
      </c>
      <c r="S35">
        <v>30815601.8030851</v>
      </c>
      <c r="T35">
        <v>16406563.487194199</v>
      </c>
      <c r="U35">
        <v>-14409038.315890901</v>
      </c>
      <c r="V35">
        <v>8804939.1492255107</v>
      </c>
      <c r="W35">
        <v>0</v>
      </c>
      <c r="X35">
        <v>3158</v>
      </c>
      <c r="Y35">
        <v>2530</v>
      </c>
      <c r="Z35">
        <v>0</v>
      </c>
      <c r="AA35">
        <v>4571570.7649019798</v>
      </c>
      <c r="AB35">
        <v>5017677.3</v>
      </c>
      <c r="AC35" s="12">
        <f t="shared" si="0"/>
        <v>-446106.53509801999</v>
      </c>
      <c r="AD35">
        <v>30</v>
      </c>
      <c r="AE35">
        <v>467</v>
      </c>
      <c r="AF35" t="b">
        <v>1</v>
      </c>
    </row>
    <row r="36" spans="1:32" x14ac:dyDescent="0.2">
      <c r="A36">
        <v>10</v>
      </c>
      <c r="B36">
        <v>198</v>
      </c>
      <c r="C36">
        <v>15</v>
      </c>
      <c r="D36">
        <v>3</v>
      </c>
      <c r="E36">
        <v>3</v>
      </c>
      <c r="F36">
        <v>30</v>
      </c>
      <c r="G36">
        <v>30</v>
      </c>
      <c r="H36">
        <v>90.12</v>
      </c>
      <c r="I36">
        <v>98.7</v>
      </c>
      <c r="J36">
        <v>0.3</v>
      </c>
      <c r="K36">
        <v>80000</v>
      </c>
      <c r="L36">
        <v>96000</v>
      </c>
      <c r="M36">
        <v>27065</v>
      </c>
      <c r="N36">
        <v>12115</v>
      </c>
      <c r="O36">
        <v>26543</v>
      </c>
      <c r="P36">
        <v>41092</v>
      </c>
      <c r="Q36">
        <v>3271</v>
      </c>
      <c r="R36">
        <v>38350</v>
      </c>
      <c r="S36">
        <v>37692936.1476864</v>
      </c>
      <c r="T36">
        <v>14581256.767043199</v>
      </c>
      <c r="U36">
        <v>-23111679.3806432</v>
      </c>
      <c r="V36">
        <v>19470854.3054334</v>
      </c>
      <c r="W36">
        <v>0</v>
      </c>
      <c r="X36">
        <v>3183</v>
      </c>
      <c r="Y36">
        <v>4971</v>
      </c>
      <c r="Z36">
        <v>0</v>
      </c>
      <c r="AA36">
        <v>2126136.3299145601</v>
      </c>
      <c r="AB36">
        <v>5017677.3</v>
      </c>
      <c r="AC36" s="12">
        <f t="shared" si="0"/>
        <v>-2891540.9700854397</v>
      </c>
      <c r="AD36">
        <v>30</v>
      </c>
      <c r="AE36">
        <v>702</v>
      </c>
      <c r="AF36" t="b">
        <v>1</v>
      </c>
    </row>
    <row r="37" spans="1:32" x14ac:dyDescent="0.2">
      <c r="A37">
        <v>10</v>
      </c>
      <c r="B37">
        <v>199</v>
      </c>
      <c r="C37">
        <v>15</v>
      </c>
      <c r="D37">
        <v>3</v>
      </c>
      <c r="E37">
        <v>3</v>
      </c>
      <c r="F37">
        <v>30</v>
      </c>
      <c r="G37">
        <v>30</v>
      </c>
      <c r="H37">
        <v>45.06</v>
      </c>
      <c r="I37">
        <v>49.35</v>
      </c>
      <c r="J37">
        <v>0.3</v>
      </c>
      <c r="K37">
        <v>89229</v>
      </c>
      <c r="L37">
        <v>96079</v>
      </c>
      <c r="M37">
        <v>27487</v>
      </c>
      <c r="N37">
        <v>12175</v>
      </c>
      <c r="O37">
        <v>25561</v>
      </c>
      <c r="P37">
        <v>39899</v>
      </c>
      <c r="Q37">
        <v>3162</v>
      </c>
      <c r="R37">
        <v>38011</v>
      </c>
      <c r="S37">
        <v>39766899.401008897</v>
      </c>
      <c r="T37">
        <v>15244202.239419101</v>
      </c>
      <c r="U37">
        <v>-24522697.161589701</v>
      </c>
      <c r="V37">
        <v>19442897.8680964</v>
      </c>
      <c r="W37">
        <v>0</v>
      </c>
      <c r="X37">
        <v>3175</v>
      </c>
      <c r="Y37">
        <v>4987</v>
      </c>
      <c r="Z37">
        <v>0</v>
      </c>
      <c r="AA37">
        <v>2633598.9674652698</v>
      </c>
      <c r="AB37">
        <v>5017677.3</v>
      </c>
      <c r="AC37" s="12">
        <f t="shared" si="0"/>
        <v>-2384078.33253473</v>
      </c>
      <c r="AD37">
        <v>30</v>
      </c>
      <c r="AE37">
        <v>492</v>
      </c>
      <c r="AF37" t="b">
        <v>1</v>
      </c>
    </row>
    <row r="38" spans="1:32" x14ac:dyDescent="0.2">
      <c r="A38">
        <v>10</v>
      </c>
      <c r="B38">
        <v>199</v>
      </c>
      <c r="C38">
        <v>15</v>
      </c>
      <c r="D38">
        <v>3</v>
      </c>
      <c r="E38">
        <v>1</v>
      </c>
      <c r="F38">
        <v>15</v>
      </c>
      <c r="G38">
        <v>30</v>
      </c>
      <c r="H38">
        <v>90.12</v>
      </c>
      <c r="I38">
        <v>98.7</v>
      </c>
      <c r="J38">
        <v>0.3</v>
      </c>
      <c r="K38">
        <v>88557</v>
      </c>
      <c r="L38">
        <v>94129</v>
      </c>
      <c r="M38">
        <v>26733</v>
      </c>
      <c r="N38">
        <v>12268</v>
      </c>
      <c r="O38">
        <v>25478</v>
      </c>
      <c r="P38">
        <v>39343</v>
      </c>
      <c r="Q38">
        <v>3023</v>
      </c>
      <c r="R38">
        <v>38104</v>
      </c>
      <c r="S38">
        <v>29641491.395477701</v>
      </c>
      <c r="T38">
        <v>20050417.511750601</v>
      </c>
      <c r="U38">
        <v>-9591073.8837270793</v>
      </c>
      <c r="V38">
        <v>9628718.6758367494</v>
      </c>
      <c r="W38">
        <v>0</v>
      </c>
      <c r="X38">
        <v>3178</v>
      </c>
      <c r="Y38">
        <v>2543</v>
      </c>
      <c r="Z38">
        <v>0</v>
      </c>
      <c r="AA38">
        <v>4589632.8509921897</v>
      </c>
      <c r="AB38">
        <v>5017677.3</v>
      </c>
      <c r="AC38" s="12">
        <f t="shared" si="0"/>
        <v>-428044.44900781009</v>
      </c>
      <c r="AD38">
        <v>30</v>
      </c>
      <c r="AE38">
        <v>598</v>
      </c>
      <c r="AF38" t="b">
        <v>1</v>
      </c>
    </row>
    <row r="39" spans="1:32" x14ac:dyDescent="0.2">
      <c r="A39">
        <v>10</v>
      </c>
      <c r="B39">
        <v>200</v>
      </c>
      <c r="C39">
        <v>15</v>
      </c>
      <c r="D39">
        <v>3</v>
      </c>
      <c r="E39">
        <v>1</v>
      </c>
      <c r="F39">
        <v>15</v>
      </c>
      <c r="G39">
        <v>30</v>
      </c>
      <c r="H39">
        <v>45.06</v>
      </c>
      <c r="I39">
        <v>49.35</v>
      </c>
      <c r="J39">
        <v>0.3</v>
      </c>
      <c r="K39">
        <v>87494</v>
      </c>
      <c r="L39">
        <v>92499</v>
      </c>
      <c r="M39">
        <v>26689</v>
      </c>
      <c r="N39">
        <v>12258</v>
      </c>
      <c r="O39">
        <v>24830</v>
      </c>
      <c r="P39">
        <v>38197</v>
      </c>
      <c r="Q39">
        <v>2950</v>
      </c>
      <c r="R39">
        <v>38166</v>
      </c>
      <c r="S39">
        <v>29922414.083046399</v>
      </c>
      <c r="T39">
        <v>13736600.3919411</v>
      </c>
      <c r="U39">
        <v>-16185813.691105301</v>
      </c>
      <c r="V39">
        <v>9065336.7316496093</v>
      </c>
      <c r="W39">
        <v>0</v>
      </c>
      <c r="X39">
        <v>3205</v>
      </c>
      <c r="Y39">
        <v>2549</v>
      </c>
      <c r="Z39">
        <v>0</v>
      </c>
      <c r="AA39">
        <v>2713846.8427943699</v>
      </c>
      <c r="AB39">
        <v>5017677.3</v>
      </c>
      <c r="AC39" s="12">
        <f t="shared" si="0"/>
        <v>-2303830.4572056299</v>
      </c>
      <c r="AD39">
        <v>30</v>
      </c>
      <c r="AE39">
        <v>558</v>
      </c>
      <c r="AF39" t="b">
        <v>1</v>
      </c>
    </row>
    <row r="40" spans="1:32" x14ac:dyDescent="0.2">
      <c r="A40">
        <v>10</v>
      </c>
      <c r="B40">
        <v>198</v>
      </c>
      <c r="C40">
        <v>15</v>
      </c>
      <c r="D40">
        <v>3</v>
      </c>
      <c r="E40">
        <v>1</v>
      </c>
      <c r="F40">
        <v>30</v>
      </c>
      <c r="G40">
        <v>30</v>
      </c>
      <c r="H40">
        <v>90.12</v>
      </c>
      <c r="I40">
        <v>98.7</v>
      </c>
      <c r="J40">
        <v>0.3</v>
      </c>
      <c r="K40">
        <v>80515</v>
      </c>
      <c r="L40">
        <v>96386</v>
      </c>
      <c r="M40">
        <v>26993</v>
      </c>
      <c r="N40">
        <v>12175</v>
      </c>
      <c r="O40">
        <v>26499</v>
      </c>
      <c r="P40">
        <v>41236</v>
      </c>
      <c r="Q40">
        <v>3217</v>
      </c>
      <c r="R40">
        <v>38272</v>
      </c>
      <c r="S40">
        <v>39163977.096425802</v>
      </c>
      <c r="T40">
        <v>24425639.138596699</v>
      </c>
      <c r="U40">
        <v>-14738337.957829</v>
      </c>
      <c r="V40">
        <v>18587755.536563199</v>
      </c>
      <c r="W40">
        <v>0</v>
      </c>
      <c r="X40">
        <v>3171</v>
      </c>
      <c r="Y40">
        <v>4969</v>
      </c>
      <c r="Z40">
        <v>0</v>
      </c>
      <c r="AA40">
        <v>8418686.3468886707</v>
      </c>
      <c r="AB40">
        <v>5017677.3</v>
      </c>
      <c r="AC40" s="12">
        <f t="shared" si="0"/>
        <v>3401009.0468886709</v>
      </c>
      <c r="AD40">
        <v>30</v>
      </c>
      <c r="AE40">
        <v>533</v>
      </c>
      <c r="AF40" t="b">
        <v>1</v>
      </c>
    </row>
    <row r="41" spans="1:32" x14ac:dyDescent="0.2">
      <c r="A41">
        <v>10</v>
      </c>
      <c r="B41">
        <v>199</v>
      </c>
      <c r="C41">
        <v>15</v>
      </c>
      <c r="D41">
        <v>3</v>
      </c>
      <c r="E41">
        <v>1</v>
      </c>
      <c r="F41">
        <v>30</v>
      </c>
      <c r="G41">
        <v>30</v>
      </c>
      <c r="H41">
        <v>45.06</v>
      </c>
      <c r="I41">
        <v>49.35</v>
      </c>
      <c r="J41">
        <v>0.3</v>
      </c>
      <c r="K41">
        <v>89114</v>
      </c>
      <c r="L41">
        <v>95975</v>
      </c>
      <c r="M41">
        <v>27470</v>
      </c>
      <c r="N41">
        <v>12204</v>
      </c>
      <c r="O41">
        <v>25616</v>
      </c>
      <c r="P41">
        <v>39818</v>
      </c>
      <c r="Q41">
        <v>3170</v>
      </c>
      <c r="R41">
        <v>37961</v>
      </c>
      <c r="S41">
        <v>40575933.220669903</v>
      </c>
      <c r="T41">
        <v>16958971.463699099</v>
      </c>
      <c r="U41">
        <v>-23616961.7569708</v>
      </c>
      <c r="V41">
        <v>18482478.629764002</v>
      </c>
      <c r="W41">
        <v>0</v>
      </c>
      <c r="X41">
        <v>3174</v>
      </c>
      <c r="Y41">
        <v>4994</v>
      </c>
      <c r="Z41">
        <v>0</v>
      </c>
      <c r="AA41">
        <v>4640105.7502488196</v>
      </c>
      <c r="AB41">
        <v>5017677.3</v>
      </c>
      <c r="AC41" s="12">
        <f t="shared" si="0"/>
        <v>-377571.54975118022</v>
      </c>
      <c r="AD41">
        <v>30</v>
      </c>
      <c r="AE41">
        <v>432</v>
      </c>
      <c r="AF41" t="b">
        <v>1</v>
      </c>
    </row>
    <row r="42" spans="1:32" x14ac:dyDescent="0.2">
      <c r="A42">
        <v>10</v>
      </c>
      <c r="B42">
        <v>203</v>
      </c>
      <c r="C42">
        <v>15</v>
      </c>
      <c r="D42">
        <v>1</v>
      </c>
      <c r="E42">
        <v>3</v>
      </c>
      <c r="F42">
        <v>15</v>
      </c>
      <c r="G42">
        <v>30</v>
      </c>
      <c r="H42">
        <v>90.12</v>
      </c>
      <c r="I42">
        <v>98.7</v>
      </c>
      <c r="J42">
        <v>0.3</v>
      </c>
      <c r="K42">
        <v>74854</v>
      </c>
      <c r="L42">
        <v>99760</v>
      </c>
      <c r="M42">
        <v>26494</v>
      </c>
      <c r="N42">
        <v>12262</v>
      </c>
      <c r="O42">
        <v>22905</v>
      </c>
      <c r="P42">
        <v>35240</v>
      </c>
      <c r="Q42">
        <v>3651</v>
      </c>
      <c r="R42">
        <v>38262</v>
      </c>
      <c r="S42">
        <v>30885049.911348298</v>
      </c>
      <c r="T42">
        <v>24739696.032533299</v>
      </c>
      <c r="U42">
        <v>-6145353.8788149701</v>
      </c>
      <c r="V42">
        <v>9960784.8596400805</v>
      </c>
      <c r="W42">
        <v>0</v>
      </c>
      <c r="X42">
        <v>3229</v>
      </c>
      <c r="Y42">
        <v>2534</v>
      </c>
      <c r="Z42">
        <v>0</v>
      </c>
      <c r="AA42">
        <v>7766409.1240662402</v>
      </c>
      <c r="AB42">
        <v>5017677.3</v>
      </c>
      <c r="AC42" s="12">
        <f t="shared" si="0"/>
        <v>2748731.8240662403</v>
      </c>
      <c r="AD42">
        <v>30</v>
      </c>
      <c r="AE42">
        <v>474</v>
      </c>
      <c r="AF42" t="b">
        <v>1</v>
      </c>
    </row>
    <row r="43" spans="1:32" x14ac:dyDescent="0.2">
      <c r="A43">
        <v>10</v>
      </c>
      <c r="B43">
        <v>199</v>
      </c>
      <c r="C43">
        <v>15</v>
      </c>
      <c r="D43">
        <v>1</v>
      </c>
      <c r="E43">
        <v>3</v>
      </c>
      <c r="F43">
        <v>15</v>
      </c>
      <c r="G43">
        <v>30</v>
      </c>
      <c r="H43">
        <v>45.06</v>
      </c>
      <c r="I43">
        <v>49.35</v>
      </c>
      <c r="J43">
        <v>0.3</v>
      </c>
      <c r="K43">
        <v>88139</v>
      </c>
      <c r="L43">
        <v>94040</v>
      </c>
      <c r="M43">
        <v>26817</v>
      </c>
      <c r="N43">
        <v>12167</v>
      </c>
      <c r="O43">
        <v>25707</v>
      </c>
      <c r="P43">
        <v>39446</v>
      </c>
      <c r="Q43">
        <v>3101</v>
      </c>
      <c r="R43">
        <v>38240</v>
      </c>
      <c r="S43">
        <v>31148158.184110001</v>
      </c>
      <c r="T43">
        <v>15758628.609583599</v>
      </c>
      <c r="U43">
        <v>-15389529.574526301</v>
      </c>
      <c r="V43">
        <v>9775615.8234457001</v>
      </c>
      <c r="W43">
        <v>0</v>
      </c>
      <c r="X43">
        <v>3187</v>
      </c>
      <c r="Y43">
        <v>2481</v>
      </c>
      <c r="Z43">
        <v>0</v>
      </c>
      <c r="AA43">
        <v>4754893.9609366301</v>
      </c>
      <c r="AB43">
        <v>5017677.3</v>
      </c>
      <c r="AC43" s="12">
        <f t="shared" si="0"/>
        <v>-262783.33906336967</v>
      </c>
      <c r="AD43">
        <v>30</v>
      </c>
      <c r="AE43">
        <v>458</v>
      </c>
      <c r="AF43" t="b">
        <v>1</v>
      </c>
    </row>
    <row r="44" spans="1:32" x14ac:dyDescent="0.2">
      <c r="A44">
        <v>10</v>
      </c>
      <c r="B44">
        <v>200</v>
      </c>
      <c r="C44">
        <v>15</v>
      </c>
      <c r="D44">
        <v>1</v>
      </c>
      <c r="E44">
        <v>3</v>
      </c>
      <c r="F44">
        <v>30</v>
      </c>
      <c r="G44">
        <v>30</v>
      </c>
      <c r="H44">
        <v>90.12</v>
      </c>
      <c r="I44">
        <v>98.7</v>
      </c>
      <c r="J44">
        <v>0.3</v>
      </c>
      <c r="K44">
        <v>88102</v>
      </c>
      <c r="L44">
        <v>94813</v>
      </c>
      <c r="M44">
        <v>27183</v>
      </c>
      <c r="N44">
        <v>12236</v>
      </c>
      <c r="O44">
        <v>25005</v>
      </c>
      <c r="P44">
        <v>39144</v>
      </c>
      <c r="Q44">
        <v>3106</v>
      </c>
      <c r="R44">
        <v>38174</v>
      </c>
      <c r="S44">
        <v>38824222.1987895</v>
      </c>
      <c r="T44">
        <v>19433319.184701499</v>
      </c>
      <c r="U44">
        <v>-19390903.014087901</v>
      </c>
      <c r="V44">
        <v>19366660.224896599</v>
      </c>
      <c r="W44">
        <v>0</v>
      </c>
      <c r="X44">
        <v>3186</v>
      </c>
      <c r="Y44">
        <v>4975</v>
      </c>
      <c r="Z44">
        <v>0</v>
      </c>
      <c r="AA44">
        <v>3373422.0724063399</v>
      </c>
      <c r="AB44">
        <v>5017677.3</v>
      </c>
      <c r="AC44" s="12">
        <f t="shared" si="0"/>
        <v>-1644255.2275936599</v>
      </c>
      <c r="AD44">
        <v>30</v>
      </c>
      <c r="AE44">
        <v>568</v>
      </c>
      <c r="AF44" t="b">
        <v>1</v>
      </c>
    </row>
    <row r="45" spans="1:32" x14ac:dyDescent="0.2">
      <c r="A45">
        <v>10</v>
      </c>
      <c r="B45">
        <v>197</v>
      </c>
      <c r="C45">
        <v>15</v>
      </c>
      <c r="D45">
        <v>1</v>
      </c>
      <c r="E45">
        <v>3</v>
      </c>
      <c r="F45">
        <v>30</v>
      </c>
      <c r="G45">
        <v>30</v>
      </c>
      <c r="H45">
        <v>45.06</v>
      </c>
      <c r="I45">
        <v>49.35</v>
      </c>
      <c r="J45">
        <v>0.3</v>
      </c>
      <c r="K45">
        <v>71868</v>
      </c>
      <c r="L45">
        <v>97763</v>
      </c>
      <c r="M45">
        <v>27667</v>
      </c>
      <c r="N45">
        <v>12124</v>
      </c>
      <c r="O45">
        <v>27088</v>
      </c>
      <c r="P45">
        <v>41844</v>
      </c>
      <c r="Q45">
        <v>3204</v>
      </c>
      <c r="R45">
        <v>38198</v>
      </c>
      <c r="S45">
        <v>40000490.2905358</v>
      </c>
      <c r="T45">
        <v>16564383.638966899</v>
      </c>
      <c r="U45">
        <v>-23436106.6515688</v>
      </c>
      <c r="V45">
        <v>19923125.654141199</v>
      </c>
      <c r="W45">
        <v>0</v>
      </c>
      <c r="X45">
        <v>3133</v>
      </c>
      <c r="Y45">
        <v>4879</v>
      </c>
      <c r="Z45">
        <v>0</v>
      </c>
      <c r="AA45">
        <v>4161460.2862599501</v>
      </c>
      <c r="AB45">
        <v>5017677.3</v>
      </c>
      <c r="AC45" s="12">
        <f t="shared" si="0"/>
        <v>-856217.01374004968</v>
      </c>
      <c r="AD45">
        <v>30</v>
      </c>
      <c r="AE45">
        <v>417</v>
      </c>
      <c r="AF45" t="b">
        <v>1</v>
      </c>
    </row>
    <row r="46" spans="1:32" x14ac:dyDescent="0.2">
      <c r="A46">
        <v>10</v>
      </c>
      <c r="B46">
        <v>200</v>
      </c>
      <c r="C46">
        <v>15</v>
      </c>
      <c r="D46">
        <v>1</v>
      </c>
      <c r="E46">
        <v>1</v>
      </c>
      <c r="F46">
        <v>15</v>
      </c>
      <c r="G46">
        <v>30</v>
      </c>
      <c r="H46">
        <v>90.12</v>
      </c>
      <c r="I46">
        <v>98.7</v>
      </c>
      <c r="J46">
        <v>0.3</v>
      </c>
      <c r="K46">
        <v>86875</v>
      </c>
      <c r="L46">
        <v>92473</v>
      </c>
      <c r="M46">
        <v>26710</v>
      </c>
      <c r="N46">
        <v>12162</v>
      </c>
      <c r="O46">
        <v>25065</v>
      </c>
      <c r="P46">
        <v>38623</v>
      </c>
      <c r="Q46">
        <v>3008</v>
      </c>
      <c r="R46">
        <v>38448</v>
      </c>
      <c r="S46">
        <v>28406506.144663598</v>
      </c>
      <c r="T46">
        <v>16342364.162526401</v>
      </c>
      <c r="U46">
        <v>-12064141.982137199</v>
      </c>
      <c r="V46">
        <v>10418230.682326701</v>
      </c>
      <c r="W46">
        <v>0</v>
      </c>
      <c r="X46">
        <v>3203</v>
      </c>
      <c r="Y46">
        <v>2499</v>
      </c>
      <c r="Z46">
        <v>0</v>
      </c>
      <c r="AA46">
        <v>3425952.1433042502</v>
      </c>
      <c r="AB46">
        <v>5017677.3</v>
      </c>
      <c r="AC46" s="12">
        <f t="shared" si="0"/>
        <v>-1591725.1566957496</v>
      </c>
      <c r="AD46">
        <v>30</v>
      </c>
      <c r="AE46">
        <v>646</v>
      </c>
      <c r="AF46" t="b">
        <v>1</v>
      </c>
    </row>
    <row r="47" spans="1:32" x14ac:dyDescent="0.2">
      <c r="A47">
        <v>10</v>
      </c>
      <c r="B47">
        <v>199</v>
      </c>
      <c r="C47">
        <v>15</v>
      </c>
      <c r="D47">
        <v>1</v>
      </c>
      <c r="E47">
        <v>1</v>
      </c>
      <c r="F47">
        <v>15</v>
      </c>
      <c r="G47">
        <v>30</v>
      </c>
      <c r="H47">
        <v>45.06</v>
      </c>
      <c r="I47">
        <v>49.35</v>
      </c>
      <c r="J47">
        <v>0.3</v>
      </c>
      <c r="K47">
        <v>88121</v>
      </c>
      <c r="L47">
        <v>93117</v>
      </c>
      <c r="M47">
        <v>27034</v>
      </c>
      <c r="N47">
        <v>12110</v>
      </c>
      <c r="O47">
        <v>25506</v>
      </c>
      <c r="P47">
        <v>39433</v>
      </c>
      <c r="Q47">
        <v>3029</v>
      </c>
      <c r="R47">
        <v>38158</v>
      </c>
      <c r="S47">
        <v>31072339.408988301</v>
      </c>
      <c r="T47">
        <v>16221598.3500324</v>
      </c>
      <c r="U47">
        <v>-14850741.0589558</v>
      </c>
      <c r="V47">
        <v>9760804.1087622102</v>
      </c>
      <c r="W47">
        <v>0</v>
      </c>
      <c r="X47">
        <v>3177</v>
      </c>
      <c r="Y47">
        <v>2481</v>
      </c>
      <c r="Z47">
        <v>0</v>
      </c>
      <c r="AA47">
        <v>5361918.8248243202</v>
      </c>
      <c r="AB47">
        <v>5017677.3</v>
      </c>
      <c r="AC47" s="12">
        <f t="shared" si="0"/>
        <v>344241.52482432034</v>
      </c>
      <c r="AD47">
        <v>30</v>
      </c>
      <c r="AE47">
        <v>471</v>
      </c>
      <c r="AF47" t="b">
        <v>1</v>
      </c>
    </row>
    <row r="48" spans="1:32" x14ac:dyDescent="0.2">
      <c r="A48">
        <v>10</v>
      </c>
      <c r="B48">
        <v>196</v>
      </c>
      <c r="C48">
        <v>15</v>
      </c>
      <c r="D48">
        <v>1</v>
      </c>
      <c r="E48">
        <v>1</v>
      </c>
      <c r="F48">
        <v>30</v>
      </c>
      <c r="G48">
        <v>30</v>
      </c>
      <c r="H48">
        <v>90.12</v>
      </c>
      <c r="I48">
        <v>98.7</v>
      </c>
      <c r="J48">
        <v>0.3</v>
      </c>
      <c r="K48">
        <v>62223</v>
      </c>
      <c r="L48">
        <v>97820</v>
      </c>
      <c r="M48">
        <v>27576</v>
      </c>
      <c r="N48">
        <v>12065</v>
      </c>
      <c r="O48">
        <v>28012</v>
      </c>
      <c r="P48">
        <v>43250</v>
      </c>
      <c r="Q48">
        <v>3374</v>
      </c>
      <c r="R48">
        <v>38249</v>
      </c>
      <c r="S48">
        <v>38042460.157166801</v>
      </c>
      <c r="T48">
        <v>19021546.000703201</v>
      </c>
      <c r="U48">
        <v>-19020914.156463601</v>
      </c>
      <c r="V48">
        <v>19676608.076409899</v>
      </c>
      <c r="W48">
        <v>0</v>
      </c>
      <c r="X48">
        <v>3130</v>
      </c>
      <c r="Y48">
        <v>4860</v>
      </c>
      <c r="Z48">
        <v>0</v>
      </c>
      <c r="AA48">
        <v>3331249.3869251302</v>
      </c>
      <c r="AB48">
        <v>5017677.3</v>
      </c>
      <c r="AC48" s="12">
        <f t="shared" si="0"/>
        <v>-1686427.9130748697</v>
      </c>
      <c r="AD48">
        <v>30</v>
      </c>
      <c r="AE48">
        <v>598</v>
      </c>
      <c r="AF48" t="b">
        <v>1</v>
      </c>
    </row>
    <row r="49" spans="1:32" x14ac:dyDescent="0.2">
      <c r="A49">
        <v>10</v>
      </c>
      <c r="B49">
        <v>198</v>
      </c>
      <c r="C49">
        <v>15</v>
      </c>
      <c r="D49">
        <v>1</v>
      </c>
      <c r="E49">
        <v>1</v>
      </c>
      <c r="F49">
        <v>30</v>
      </c>
      <c r="G49">
        <v>30</v>
      </c>
      <c r="H49">
        <v>45.06</v>
      </c>
      <c r="I49">
        <v>49.35</v>
      </c>
      <c r="J49">
        <v>0.3</v>
      </c>
      <c r="K49">
        <v>80714</v>
      </c>
      <c r="L49">
        <v>96731</v>
      </c>
      <c r="M49">
        <v>27648</v>
      </c>
      <c r="N49">
        <v>12211</v>
      </c>
      <c r="O49">
        <v>26284</v>
      </c>
      <c r="P49">
        <v>41137</v>
      </c>
      <c r="Q49">
        <v>3173</v>
      </c>
      <c r="R49">
        <v>38116</v>
      </c>
      <c r="S49">
        <v>40797792.705938302</v>
      </c>
      <c r="T49">
        <v>17331905.4416417</v>
      </c>
      <c r="U49">
        <v>-23465887.264296498</v>
      </c>
      <c r="V49">
        <v>19101919.710503101</v>
      </c>
      <c r="W49">
        <v>0</v>
      </c>
      <c r="X49">
        <v>3155</v>
      </c>
      <c r="Y49">
        <v>4904</v>
      </c>
      <c r="Z49">
        <v>0</v>
      </c>
      <c r="AA49">
        <v>6073512.5786481798</v>
      </c>
      <c r="AB49">
        <v>5017677.3</v>
      </c>
      <c r="AC49" s="12">
        <f t="shared" si="0"/>
        <v>1055835.27864818</v>
      </c>
      <c r="AD49">
        <v>30</v>
      </c>
      <c r="AE49">
        <v>433</v>
      </c>
      <c r="AF49" t="b">
        <v>1</v>
      </c>
    </row>
    <row r="50" spans="1:32" x14ac:dyDescent="0.2">
      <c r="A50">
        <v>10</v>
      </c>
      <c r="B50">
        <v>138</v>
      </c>
      <c r="C50">
        <v>10</v>
      </c>
      <c r="D50">
        <v>3</v>
      </c>
      <c r="E50">
        <v>3</v>
      </c>
      <c r="F50">
        <v>15</v>
      </c>
      <c r="G50">
        <v>30</v>
      </c>
      <c r="H50">
        <v>90.12</v>
      </c>
      <c r="I50">
        <v>98.7</v>
      </c>
      <c r="J50">
        <v>0.3</v>
      </c>
      <c r="K50">
        <v>72622</v>
      </c>
      <c r="L50">
        <v>62729</v>
      </c>
      <c r="M50">
        <v>33727</v>
      </c>
      <c r="N50">
        <v>10589</v>
      </c>
      <c r="O50">
        <v>5902</v>
      </c>
      <c r="P50">
        <v>42215</v>
      </c>
      <c r="Q50">
        <v>7823</v>
      </c>
      <c r="R50">
        <v>35562</v>
      </c>
      <c r="S50">
        <v>21160299.106495</v>
      </c>
      <c r="T50">
        <v>20359410.753768999</v>
      </c>
      <c r="U50">
        <v>-800888.352726012</v>
      </c>
      <c r="V50">
        <v>6582219.8630843703</v>
      </c>
      <c r="W50">
        <v>0</v>
      </c>
      <c r="X50">
        <v>2145</v>
      </c>
      <c r="Y50">
        <v>1726</v>
      </c>
      <c r="Z50">
        <v>0</v>
      </c>
      <c r="AA50">
        <v>3493425.9358307598</v>
      </c>
      <c r="AB50">
        <v>3417388.79999999</v>
      </c>
      <c r="AC50" s="12">
        <f t="shared" si="0"/>
        <v>76037.135830769781</v>
      </c>
      <c r="AD50">
        <v>30</v>
      </c>
      <c r="AE50">
        <v>368</v>
      </c>
      <c r="AF50" t="b">
        <v>1</v>
      </c>
    </row>
    <row r="51" spans="1:32" x14ac:dyDescent="0.2">
      <c r="A51">
        <v>10</v>
      </c>
      <c r="B51">
        <v>138</v>
      </c>
      <c r="C51">
        <v>10</v>
      </c>
      <c r="D51">
        <v>3</v>
      </c>
      <c r="E51">
        <v>3</v>
      </c>
      <c r="F51">
        <v>15</v>
      </c>
      <c r="G51">
        <v>30</v>
      </c>
      <c r="H51">
        <v>45.06</v>
      </c>
      <c r="I51">
        <v>49.35</v>
      </c>
      <c r="J51">
        <v>0.3</v>
      </c>
      <c r="K51">
        <v>72622</v>
      </c>
      <c r="L51">
        <v>62729</v>
      </c>
      <c r="M51">
        <v>33727</v>
      </c>
      <c r="N51">
        <v>10589</v>
      </c>
      <c r="O51">
        <v>5902</v>
      </c>
      <c r="P51">
        <v>42215</v>
      </c>
      <c r="Q51">
        <v>7823</v>
      </c>
      <c r="R51">
        <v>35562</v>
      </c>
      <c r="S51">
        <v>21160299.106495</v>
      </c>
      <c r="T51">
        <v>11888399.7768845</v>
      </c>
      <c r="U51">
        <v>-9271899.3296105396</v>
      </c>
      <c r="V51">
        <v>6582219.8630843703</v>
      </c>
      <c r="W51">
        <v>0</v>
      </c>
      <c r="X51">
        <v>2145</v>
      </c>
      <c r="Y51">
        <v>1726</v>
      </c>
      <c r="Z51">
        <v>0</v>
      </c>
      <c r="AA51">
        <v>1746712.9679153799</v>
      </c>
      <c r="AB51">
        <v>3417388.79999999</v>
      </c>
      <c r="AC51" s="12">
        <f t="shared" si="0"/>
        <v>-1670675.8320846101</v>
      </c>
      <c r="AD51">
        <v>30</v>
      </c>
      <c r="AE51">
        <v>368</v>
      </c>
      <c r="AF51" t="b">
        <v>1</v>
      </c>
    </row>
    <row r="52" spans="1:32" x14ac:dyDescent="0.2">
      <c r="A52">
        <v>10</v>
      </c>
      <c r="B52">
        <v>135</v>
      </c>
      <c r="C52">
        <v>10</v>
      </c>
      <c r="D52">
        <v>3</v>
      </c>
      <c r="E52">
        <v>3</v>
      </c>
      <c r="F52">
        <v>30</v>
      </c>
      <c r="G52">
        <v>30</v>
      </c>
      <c r="H52">
        <v>90.12</v>
      </c>
      <c r="I52">
        <v>98.7</v>
      </c>
      <c r="J52">
        <v>0.3</v>
      </c>
      <c r="K52">
        <v>57569</v>
      </c>
      <c r="L52">
        <v>65544</v>
      </c>
      <c r="M52">
        <v>34003</v>
      </c>
      <c r="N52">
        <v>10550</v>
      </c>
      <c r="O52">
        <v>6530</v>
      </c>
      <c r="P52">
        <v>45843</v>
      </c>
      <c r="Q52">
        <v>7822</v>
      </c>
      <c r="R52">
        <v>35782</v>
      </c>
      <c r="S52">
        <v>25612910.744945802</v>
      </c>
      <c r="T52">
        <v>13399871.010262299</v>
      </c>
      <c r="U52">
        <v>-12213039.7346834</v>
      </c>
      <c r="V52">
        <v>12712074.155863101</v>
      </c>
      <c r="W52">
        <v>0</v>
      </c>
      <c r="X52">
        <v>2143</v>
      </c>
      <c r="Y52">
        <v>3328</v>
      </c>
      <c r="Z52">
        <v>0</v>
      </c>
      <c r="AA52">
        <v>809470.82449084998</v>
      </c>
      <c r="AB52">
        <v>3417388.79999999</v>
      </c>
      <c r="AC52" s="12">
        <f t="shared" si="0"/>
        <v>-2607917.9755091402</v>
      </c>
      <c r="AD52">
        <v>30</v>
      </c>
      <c r="AE52">
        <v>514</v>
      </c>
      <c r="AF52" t="b">
        <v>1</v>
      </c>
    </row>
    <row r="53" spans="1:32" x14ac:dyDescent="0.2">
      <c r="A53">
        <v>10</v>
      </c>
      <c r="B53">
        <v>135</v>
      </c>
      <c r="C53">
        <v>10</v>
      </c>
      <c r="D53">
        <v>3</v>
      </c>
      <c r="E53">
        <v>3</v>
      </c>
      <c r="F53">
        <v>30</v>
      </c>
      <c r="G53">
        <v>30</v>
      </c>
      <c r="H53">
        <v>45.06</v>
      </c>
      <c r="I53">
        <v>49.35</v>
      </c>
      <c r="J53">
        <v>0.3</v>
      </c>
      <c r="K53">
        <v>57569</v>
      </c>
      <c r="L53">
        <v>65544</v>
      </c>
      <c r="M53">
        <v>34003</v>
      </c>
      <c r="N53">
        <v>10550</v>
      </c>
      <c r="O53">
        <v>6530</v>
      </c>
      <c r="P53">
        <v>45843</v>
      </c>
      <c r="Q53">
        <v>7822</v>
      </c>
      <c r="R53">
        <v>35782</v>
      </c>
      <c r="S53">
        <v>25612910.744945802</v>
      </c>
      <c r="T53">
        <v>8408629.9051311594</v>
      </c>
      <c r="U53">
        <v>-17204280.8398146</v>
      </c>
      <c r="V53">
        <v>12712074.155863101</v>
      </c>
      <c r="W53">
        <v>0</v>
      </c>
      <c r="X53">
        <v>2143</v>
      </c>
      <c r="Y53">
        <v>3328</v>
      </c>
      <c r="Z53">
        <v>0</v>
      </c>
      <c r="AA53">
        <v>404735.41224542499</v>
      </c>
      <c r="AB53">
        <v>3417388.79999999</v>
      </c>
      <c r="AC53" s="12">
        <f t="shared" si="0"/>
        <v>-3012653.3877545651</v>
      </c>
      <c r="AD53">
        <v>30</v>
      </c>
      <c r="AE53">
        <v>514</v>
      </c>
      <c r="AF53" t="b">
        <v>1</v>
      </c>
    </row>
    <row r="54" spans="1:32" x14ac:dyDescent="0.2">
      <c r="A54">
        <v>10</v>
      </c>
      <c r="B54">
        <v>140</v>
      </c>
      <c r="C54">
        <v>10</v>
      </c>
      <c r="D54">
        <v>3</v>
      </c>
      <c r="E54">
        <v>1</v>
      </c>
      <c r="F54">
        <v>15</v>
      </c>
      <c r="G54">
        <v>30</v>
      </c>
      <c r="H54">
        <v>90.12</v>
      </c>
      <c r="I54">
        <v>98.7</v>
      </c>
      <c r="J54">
        <v>0.3</v>
      </c>
      <c r="K54">
        <v>78106</v>
      </c>
      <c r="L54">
        <v>61290</v>
      </c>
      <c r="M54">
        <v>33362</v>
      </c>
      <c r="N54">
        <v>10608</v>
      </c>
      <c r="O54">
        <v>5601</v>
      </c>
      <c r="P54">
        <v>40107</v>
      </c>
      <c r="Q54">
        <v>6641</v>
      </c>
      <c r="R54">
        <v>36598</v>
      </c>
      <c r="S54">
        <v>21510551.812253699</v>
      </c>
      <c r="T54">
        <v>16918048.724698499</v>
      </c>
      <c r="U54">
        <v>-4592503.0875552399</v>
      </c>
      <c r="V54">
        <v>6410840.6334572798</v>
      </c>
      <c r="W54">
        <v>0</v>
      </c>
      <c r="X54">
        <v>2176</v>
      </c>
      <c r="Y54">
        <v>1755</v>
      </c>
      <c r="Z54">
        <v>0</v>
      </c>
      <c r="AA54">
        <v>2302658.0422459799</v>
      </c>
      <c r="AB54">
        <v>3417388.79999999</v>
      </c>
      <c r="AC54" s="12">
        <f t="shared" si="0"/>
        <v>-1114730.7577540101</v>
      </c>
      <c r="AD54">
        <v>30</v>
      </c>
      <c r="AE54">
        <v>444</v>
      </c>
      <c r="AF54" t="b">
        <v>1</v>
      </c>
    </row>
    <row r="55" spans="1:32" x14ac:dyDescent="0.2">
      <c r="A55">
        <v>10</v>
      </c>
      <c r="B55">
        <v>140</v>
      </c>
      <c r="C55">
        <v>10</v>
      </c>
      <c r="D55">
        <v>3</v>
      </c>
      <c r="E55">
        <v>1</v>
      </c>
      <c r="F55">
        <v>15</v>
      </c>
      <c r="G55">
        <v>30</v>
      </c>
      <c r="H55">
        <v>45.06</v>
      </c>
      <c r="I55">
        <v>49.35</v>
      </c>
      <c r="J55">
        <v>0.3</v>
      </c>
      <c r="K55">
        <v>78106</v>
      </c>
      <c r="L55">
        <v>61290</v>
      </c>
      <c r="M55">
        <v>33362</v>
      </c>
      <c r="N55">
        <v>10608</v>
      </c>
      <c r="O55">
        <v>5601</v>
      </c>
      <c r="P55">
        <v>40107</v>
      </c>
      <c r="Q55">
        <v>6641</v>
      </c>
      <c r="R55">
        <v>36598</v>
      </c>
      <c r="S55">
        <v>21510551.812253699</v>
      </c>
      <c r="T55">
        <v>10167718.7623492</v>
      </c>
      <c r="U55">
        <v>-11342833.0499044</v>
      </c>
      <c r="V55">
        <v>6410840.6334572798</v>
      </c>
      <c r="W55">
        <v>0</v>
      </c>
      <c r="X55">
        <v>2176</v>
      </c>
      <c r="Y55">
        <v>1755</v>
      </c>
      <c r="Z55">
        <v>0</v>
      </c>
      <c r="AA55">
        <v>1151329.0211229899</v>
      </c>
      <c r="AB55">
        <v>3417388.79999999</v>
      </c>
      <c r="AC55" s="12">
        <f t="shared" si="0"/>
        <v>-2266059.7788770003</v>
      </c>
      <c r="AD55">
        <v>30</v>
      </c>
      <c r="AE55">
        <v>444</v>
      </c>
      <c r="AF55" t="b">
        <v>1</v>
      </c>
    </row>
    <row r="56" spans="1:32" x14ac:dyDescent="0.2">
      <c r="A56">
        <v>10</v>
      </c>
      <c r="B56">
        <v>136</v>
      </c>
      <c r="C56">
        <v>10</v>
      </c>
      <c r="D56">
        <v>3</v>
      </c>
      <c r="E56">
        <v>1</v>
      </c>
      <c r="F56">
        <v>30</v>
      </c>
      <c r="G56">
        <v>30</v>
      </c>
      <c r="H56">
        <v>90.12</v>
      </c>
      <c r="I56">
        <v>98.7</v>
      </c>
      <c r="J56">
        <v>0.3</v>
      </c>
      <c r="K56">
        <v>57001</v>
      </c>
      <c r="L56">
        <v>64061</v>
      </c>
      <c r="M56">
        <v>34045</v>
      </c>
      <c r="N56">
        <v>10483</v>
      </c>
      <c r="O56">
        <v>6202</v>
      </c>
      <c r="P56">
        <v>44922</v>
      </c>
      <c r="Q56">
        <v>7942</v>
      </c>
      <c r="R56">
        <v>35583</v>
      </c>
      <c r="S56">
        <v>26179493.6631184</v>
      </c>
      <c r="T56">
        <v>15688115.915072599</v>
      </c>
      <c r="U56">
        <v>-10491377.7480458</v>
      </c>
      <c r="V56">
        <v>12553221.2061192</v>
      </c>
      <c r="W56">
        <v>0</v>
      </c>
      <c r="X56">
        <v>2142</v>
      </c>
      <c r="Y56">
        <v>3354</v>
      </c>
      <c r="Z56">
        <v>0</v>
      </c>
      <c r="AA56">
        <v>1294686.87673028</v>
      </c>
      <c r="AB56">
        <v>3417388.79999999</v>
      </c>
      <c r="AC56" s="12">
        <f t="shared" si="0"/>
        <v>-2122701.92326971</v>
      </c>
      <c r="AD56">
        <v>30</v>
      </c>
      <c r="AE56">
        <v>466</v>
      </c>
      <c r="AF56" t="b">
        <v>1</v>
      </c>
    </row>
    <row r="57" spans="1:32" x14ac:dyDescent="0.2">
      <c r="A57">
        <v>10</v>
      </c>
      <c r="B57">
        <v>139</v>
      </c>
      <c r="C57">
        <v>10</v>
      </c>
      <c r="D57">
        <v>3</v>
      </c>
      <c r="E57">
        <v>1</v>
      </c>
      <c r="F57">
        <v>30</v>
      </c>
      <c r="G57">
        <v>30</v>
      </c>
      <c r="H57">
        <v>45.06</v>
      </c>
      <c r="I57">
        <v>49.35</v>
      </c>
      <c r="J57">
        <v>0.3</v>
      </c>
      <c r="K57">
        <v>79262</v>
      </c>
      <c r="L57">
        <v>62287</v>
      </c>
      <c r="M57">
        <v>33668</v>
      </c>
      <c r="N57">
        <v>10621</v>
      </c>
      <c r="O57">
        <v>5730</v>
      </c>
      <c r="P57">
        <v>41436</v>
      </c>
      <c r="Q57">
        <v>7123</v>
      </c>
      <c r="R57">
        <v>36013</v>
      </c>
      <c r="S57">
        <v>26784394.545593899</v>
      </c>
      <c r="T57">
        <v>9536237.6878629606</v>
      </c>
      <c r="U57">
        <v>-17248156.857731</v>
      </c>
      <c r="V57">
        <v>12908913.5087843</v>
      </c>
      <c r="W57">
        <v>0</v>
      </c>
      <c r="X57">
        <v>2182</v>
      </c>
      <c r="Y57">
        <v>3443</v>
      </c>
      <c r="Z57">
        <v>0</v>
      </c>
      <c r="AA57">
        <v>633188.00721655495</v>
      </c>
      <c r="AB57">
        <v>3417388.79999999</v>
      </c>
      <c r="AC57" s="12">
        <f t="shared" si="0"/>
        <v>-2784200.792783435</v>
      </c>
      <c r="AD57">
        <v>30</v>
      </c>
      <c r="AE57">
        <v>467</v>
      </c>
      <c r="AF57" t="b">
        <v>1</v>
      </c>
    </row>
    <row r="58" spans="1:32" x14ac:dyDescent="0.2">
      <c r="A58">
        <v>10</v>
      </c>
      <c r="B58">
        <v>144</v>
      </c>
      <c r="C58">
        <v>10</v>
      </c>
      <c r="D58">
        <v>1</v>
      </c>
      <c r="E58">
        <v>3</v>
      </c>
      <c r="F58">
        <v>15</v>
      </c>
      <c r="G58">
        <v>30</v>
      </c>
      <c r="H58">
        <v>90.12</v>
      </c>
      <c r="I58">
        <v>98.7</v>
      </c>
      <c r="J58">
        <v>0.3</v>
      </c>
      <c r="K58">
        <v>60719</v>
      </c>
      <c r="L58">
        <v>72271</v>
      </c>
      <c r="M58">
        <v>32976</v>
      </c>
      <c r="N58">
        <v>10658</v>
      </c>
      <c r="O58">
        <v>4883</v>
      </c>
      <c r="P58">
        <v>36051</v>
      </c>
      <c r="Q58">
        <v>5900</v>
      </c>
      <c r="R58">
        <v>37063</v>
      </c>
      <c r="S58">
        <v>21176908.265469</v>
      </c>
      <c r="T58">
        <v>15726279.579289</v>
      </c>
      <c r="U58">
        <v>-5450628.6861798996</v>
      </c>
      <c r="V58">
        <v>7199822.1405656803</v>
      </c>
      <c r="W58">
        <v>0</v>
      </c>
      <c r="X58">
        <v>2256</v>
      </c>
      <c r="Y58">
        <v>1766</v>
      </c>
      <c r="Z58">
        <v>0</v>
      </c>
      <c r="AA58">
        <v>3175467.2612346401</v>
      </c>
      <c r="AB58">
        <v>3417388.79999999</v>
      </c>
      <c r="AC58" s="12">
        <f t="shared" si="0"/>
        <v>-241921.53876534989</v>
      </c>
      <c r="AD58">
        <v>30</v>
      </c>
      <c r="AE58">
        <v>456</v>
      </c>
      <c r="AF58" t="b">
        <v>1</v>
      </c>
    </row>
    <row r="59" spans="1:32" x14ac:dyDescent="0.2">
      <c r="A59">
        <v>10</v>
      </c>
      <c r="B59">
        <v>144</v>
      </c>
      <c r="C59">
        <v>10</v>
      </c>
      <c r="D59">
        <v>1</v>
      </c>
      <c r="E59">
        <v>3</v>
      </c>
      <c r="F59">
        <v>15</v>
      </c>
      <c r="G59">
        <v>30</v>
      </c>
      <c r="H59">
        <v>45.06</v>
      </c>
      <c r="I59">
        <v>49.35</v>
      </c>
      <c r="J59">
        <v>0.3</v>
      </c>
      <c r="K59">
        <v>60719</v>
      </c>
      <c r="L59">
        <v>72271</v>
      </c>
      <c r="M59">
        <v>32976</v>
      </c>
      <c r="N59">
        <v>10658</v>
      </c>
      <c r="O59">
        <v>4883</v>
      </c>
      <c r="P59">
        <v>36051</v>
      </c>
      <c r="Q59">
        <v>5900</v>
      </c>
      <c r="R59">
        <v>37063</v>
      </c>
      <c r="S59">
        <v>21176908.265469</v>
      </c>
      <c r="T59">
        <v>9571834.1896445397</v>
      </c>
      <c r="U59">
        <v>-11605074.0758244</v>
      </c>
      <c r="V59">
        <v>7199822.1405656803</v>
      </c>
      <c r="W59">
        <v>0</v>
      </c>
      <c r="X59">
        <v>2256</v>
      </c>
      <c r="Y59">
        <v>1766</v>
      </c>
      <c r="Z59">
        <v>0</v>
      </c>
      <c r="AA59">
        <v>1587733.6306173201</v>
      </c>
      <c r="AB59">
        <v>3417388.79999999</v>
      </c>
      <c r="AC59" s="12">
        <f t="shared" si="0"/>
        <v>-1829655.16938267</v>
      </c>
      <c r="AD59">
        <v>30</v>
      </c>
      <c r="AE59">
        <v>456</v>
      </c>
      <c r="AF59" t="b">
        <v>1</v>
      </c>
    </row>
    <row r="60" spans="1:32" x14ac:dyDescent="0.2">
      <c r="A60">
        <v>10</v>
      </c>
      <c r="B60">
        <v>144</v>
      </c>
      <c r="C60">
        <v>10</v>
      </c>
      <c r="D60">
        <v>1</v>
      </c>
      <c r="E60">
        <v>3</v>
      </c>
      <c r="F60">
        <v>30</v>
      </c>
      <c r="G60">
        <v>30</v>
      </c>
      <c r="H60">
        <v>90.12</v>
      </c>
      <c r="I60">
        <v>98.7</v>
      </c>
      <c r="J60">
        <v>0.3</v>
      </c>
      <c r="K60">
        <v>61182</v>
      </c>
      <c r="L60">
        <v>73079</v>
      </c>
      <c r="M60">
        <v>33139</v>
      </c>
      <c r="N60">
        <v>10697</v>
      </c>
      <c r="O60">
        <v>4882</v>
      </c>
      <c r="P60">
        <v>36849</v>
      </c>
      <c r="Q60">
        <v>5957</v>
      </c>
      <c r="R60">
        <v>37050</v>
      </c>
      <c r="S60">
        <v>28028783.882309798</v>
      </c>
      <c r="T60">
        <v>16043155.8998337</v>
      </c>
      <c r="U60">
        <v>-11985627.9824761</v>
      </c>
      <c r="V60">
        <v>13713764.6016274</v>
      </c>
      <c r="W60">
        <v>0</v>
      </c>
      <c r="X60">
        <v>2250</v>
      </c>
      <c r="Y60">
        <v>3529</v>
      </c>
      <c r="Z60">
        <v>0</v>
      </c>
      <c r="AA60">
        <v>2776424.6649622102</v>
      </c>
      <c r="AB60">
        <v>3417388.79999999</v>
      </c>
      <c r="AC60" s="12">
        <f t="shared" si="0"/>
        <v>-640964.13503777981</v>
      </c>
      <c r="AD60">
        <v>30</v>
      </c>
      <c r="AE60">
        <v>436</v>
      </c>
      <c r="AF60" t="b">
        <v>1</v>
      </c>
    </row>
    <row r="61" spans="1:32" x14ac:dyDescent="0.2">
      <c r="A61">
        <v>10</v>
      </c>
      <c r="B61">
        <v>144</v>
      </c>
      <c r="C61">
        <v>10</v>
      </c>
      <c r="D61">
        <v>1</v>
      </c>
      <c r="E61">
        <v>3</v>
      </c>
      <c r="F61">
        <v>30</v>
      </c>
      <c r="G61">
        <v>30</v>
      </c>
      <c r="H61">
        <v>45.06</v>
      </c>
      <c r="I61">
        <v>49.35</v>
      </c>
      <c r="J61">
        <v>0.3</v>
      </c>
      <c r="K61">
        <v>61182</v>
      </c>
      <c r="L61">
        <v>73079</v>
      </c>
      <c r="M61">
        <v>33139</v>
      </c>
      <c r="N61">
        <v>10697</v>
      </c>
      <c r="O61">
        <v>4882</v>
      </c>
      <c r="P61">
        <v>36849</v>
      </c>
      <c r="Q61">
        <v>5957</v>
      </c>
      <c r="R61">
        <v>37050</v>
      </c>
      <c r="S61">
        <v>28028783.882309798</v>
      </c>
      <c r="T61">
        <v>9730272.3499168605</v>
      </c>
      <c r="U61">
        <v>-18298511.5323929</v>
      </c>
      <c r="V61">
        <v>13713764.6016274</v>
      </c>
      <c r="W61">
        <v>0</v>
      </c>
      <c r="X61">
        <v>2250</v>
      </c>
      <c r="Y61">
        <v>3529</v>
      </c>
      <c r="Z61">
        <v>0</v>
      </c>
      <c r="AA61">
        <v>1388212.3324811</v>
      </c>
      <c r="AB61">
        <v>3417388.79999999</v>
      </c>
      <c r="AC61" s="12">
        <f t="shared" si="0"/>
        <v>-2029176.46751889</v>
      </c>
      <c r="AD61">
        <v>30</v>
      </c>
      <c r="AE61">
        <v>436</v>
      </c>
      <c r="AF61" t="b">
        <v>1</v>
      </c>
    </row>
    <row r="62" spans="1:32" x14ac:dyDescent="0.2">
      <c r="A62">
        <v>10</v>
      </c>
      <c r="B62">
        <v>139</v>
      </c>
      <c r="C62">
        <v>10</v>
      </c>
      <c r="D62">
        <v>1</v>
      </c>
      <c r="E62">
        <v>1</v>
      </c>
      <c r="F62">
        <v>15</v>
      </c>
      <c r="G62">
        <v>30</v>
      </c>
      <c r="H62">
        <v>90.12</v>
      </c>
      <c r="I62">
        <v>98.7</v>
      </c>
      <c r="J62">
        <v>0.3</v>
      </c>
      <c r="K62">
        <v>78968</v>
      </c>
      <c r="L62">
        <v>62041</v>
      </c>
      <c r="M62">
        <v>33288</v>
      </c>
      <c r="N62">
        <v>10661</v>
      </c>
      <c r="O62">
        <v>5648</v>
      </c>
      <c r="P62">
        <v>41198</v>
      </c>
      <c r="Q62">
        <v>7123</v>
      </c>
      <c r="R62">
        <v>36183</v>
      </c>
      <c r="S62">
        <v>20498535.415410802</v>
      </c>
      <c r="T62">
        <v>14093595.299446501</v>
      </c>
      <c r="U62">
        <v>-6404940.1159643298</v>
      </c>
      <c r="V62">
        <v>6927404.42800151</v>
      </c>
      <c r="W62">
        <v>0</v>
      </c>
      <c r="X62">
        <v>2184</v>
      </c>
      <c r="Y62">
        <v>1713</v>
      </c>
      <c r="Z62">
        <v>0</v>
      </c>
      <c r="AA62">
        <v>3942768.94450976</v>
      </c>
      <c r="AB62">
        <v>3417388.79999999</v>
      </c>
      <c r="AC62" s="12">
        <f t="shared" si="0"/>
        <v>525380.14450976998</v>
      </c>
      <c r="AD62">
        <v>30</v>
      </c>
      <c r="AE62">
        <v>485</v>
      </c>
      <c r="AF62" t="b">
        <v>1</v>
      </c>
    </row>
    <row r="63" spans="1:32" x14ac:dyDescent="0.2">
      <c r="A63">
        <v>10</v>
      </c>
      <c r="B63">
        <v>139</v>
      </c>
      <c r="C63">
        <v>10</v>
      </c>
      <c r="D63">
        <v>1</v>
      </c>
      <c r="E63">
        <v>1</v>
      </c>
      <c r="F63">
        <v>15</v>
      </c>
      <c r="G63">
        <v>30</v>
      </c>
      <c r="H63">
        <v>45.06</v>
      </c>
      <c r="I63">
        <v>49.35</v>
      </c>
      <c r="J63">
        <v>0.3</v>
      </c>
      <c r="K63">
        <v>78479</v>
      </c>
      <c r="L63">
        <v>62272</v>
      </c>
      <c r="M63">
        <v>33407</v>
      </c>
      <c r="N63">
        <v>10626</v>
      </c>
      <c r="O63">
        <v>5709</v>
      </c>
      <c r="P63">
        <v>40908</v>
      </c>
      <c r="Q63">
        <v>7095</v>
      </c>
      <c r="R63">
        <v>36002</v>
      </c>
      <c r="S63">
        <v>20436414.1661832</v>
      </c>
      <c r="T63">
        <v>8743884.5185206607</v>
      </c>
      <c r="U63">
        <v>-11692529.647662601</v>
      </c>
      <c r="V63">
        <v>6912866.9303601803</v>
      </c>
      <c r="W63">
        <v>0</v>
      </c>
      <c r="X63">
        <v>2183</v>
      </c>
      <c r="Y63">
        <v>1713</v>
      </c>
      <c r="Z63">
        <v>0</v>
      </c>
      <c r="AA63">
        <v>1961435.1597955099</v>
      </c>
      <c r="AB63">
        <v>3417388.79999999</v>
      </c>
      <c r="AC63" s="12">
        <f t="shared" si="0"/>
        <v>-1455953.6402044802</v>
      </c>
      <c r="AD63">
        <v>30</v>
      </c>
      <c r="AE63">
        <v>489</v>
      </c>
      <c r="AF63" t="b">
        <v>1</v>
      </c>
    </row>
    <row r="64" spans="1:32" x14ac:dyDescent="0.2">
      <c r="A64">
        <v>10</v>
      </c>
      <c r="B64">
        <v>141</v>
      </c>
      <c r="C64">
        <v>10</v>
      </c>
      <c r="D64">
        <v>1</v>
      </c>
      <c r="E64">
        <v>1</v>
      </c>
      <c r="F64">
        <v>30</v>
      </c>
      <c r="G64">
        <v>30</v>
      </c>
      <c r="H64">
        <v>90.12</v>
      </c>
      <c r="I64">
        <v>98.7</v>
      </c>
      <c r="J64">
        <v>0.3</v>
      </c>
      <c r="K64">
        <v>76490</v>
      </c>
      <c r="L64">
        <v>62100</v>
      </c>
      <c r="M64">
        <v>33509</v>
      </c>
      <c r="N64">
        <v>10667</v>
      </c>
      <c r="O64">
        <v>5374</v>
      </c>
      <c r="P64">
        <v>39560</v>
      </c>
      <c r="Q64">
        <v>6329</v>
      </c>
      <c r="R64">
        <v>36927</v>
      </c>
      <c r="S64">
        <v>27284871.102792699</v>
      </c>
      <c r="T64">
        <v>16231091.4886893</v>
      </c>
      <c r="U64">
        <v>-11053779.614103399</v>
      </c>
      <c r="V64">
        <v>13532822.267656</v>
      </c>
      <c r="W64">
        <v>0</v>
      </c>
      <c r="X64">
        <v>2220</v>
      </c>
      <c r="Y64">
        <v>3432</v>
      </c>
      <c r="Z64">
        <v>0</v>
      </c>
      <c r="AA64">
        <v>1228319.2444604801</v>
      </c>
      <c r="AB64">
        <v>3417388.79999999</v>
      </c>
      <c r="AC64" s="12">
        <f t="shared" si="0"/>
        <v>-2189069.5555395102</v>
      </c>
      <c r="AD64">
        <v>30</v>
      </c>
      <c r="AE64">
        <v>442</v>
      </c>
      <c r="AF64" t="b">
        <v>1</v>
      </c>
    </row>
    <row r="65" spans="1:32" x14ac:dyDescent="0.2">
      <c r="A65">
        <v>10</v>
      </c>
      <c r="B65">
        <v>141</v>
      </c>
      <c r="C65">
        <v>10</v>
      </c>
      <c r="D65">
        <v>1</v>
      </c>
      <c r="E65">
        <v>1</v>
      </c>
      <c r="F65">
        <v>30</v>
      </c>
      <c r="G65">
        <v>30</v>
      </c>
      <c r="H65">
        <v>45.06</v>
      </c>
      <c r="I65">
        <v>49.35</v>
      </c>
      <c r="J65">
        <v>0.3</v>
      </c>
      <c r="K65">
        <v>76490</v>
      </c>
      <c r="L65">
        <v>62100</v>
      </c>
      <c r="M65">
        <v>33509</v>
      </c>
      <c r="N65">
        <v>10667</v>
      </c>
      <c r="O65">
        <v>5374</v>
      </c>
      <c r="P65">
        <v>39560</v>
      </c>
      <c r="Q65">
        <v>6329</v>
      </c>
      <c r="R65">
        <v>36927</v>
      </c>
      <c r="S65">
        <v>27284871.102792699</v>
      </c>
      <c r="T65">
        <v>9824240.1443446502</v>
      </c>
      <c r="U65">
        <v>-17460630.958448</v>
      </c>
      <c r="V65">
        <v>13532822.267656</v>
      </c>
      <c r="W65">
        <v>0</v>
      </c>
      <c r="X65">
        <v>2220</v>
      </c>
      <c r="Y65">
        <v>3432</v>
      </c>
      <c r="Z65">
        <v>0</v>
      </c>
      <c r="AA65">
        <v>614159.62223024305</v>
      </c>
      <c r="AB65">
        <v>3417388.79999999</v>
      </c>
      <c r="AC65" s="12">
        <f t="shared" si="0"/>
        <v>-2803229.1777697471</v>
      </c>
      <c r="AD65">
        <v>30</v>
      </c>
      <c r="AE65">
        <v>442</v>
      </c>
      <c r="AF65" t="b">
        <v>1</v>
      </c>
    </row>
    <row r="66" spans="1:32" x14ac:dyDescent="0.2">
      <c r="A66">
        <v>10</v>
      </c>
      <c r="B66">
        <v>219</v>
      </c>
      <c r="C66">
        <v>15</v>
      </c>
      <c r="D66">
        <v>3</v>
      </c>
      <c r="E66">
        <v>3</v>
      </c>
      <c r="F66">
        <v>15</v>
      </c>
      <c r="G66">
        <v>50</v>
      </c>
      <c r="H66">
        <v>90.12</v>
      </c>
      <c r="I66">
        <v>98.7</v>
      </c>
      <c r="J66">
        <v>0.3</v>
      </c>
      <c r="K66">
        <v>66785</v>
      </c>
      <c r="L66">
        <v>108647</v>
      </c>
      <c r="M66">
        <v>25266</v>
      </c>
      <c r="N66">
        <v>13042</v>
      </c>
      <c r="O66">
        <v>29318</v>
      </c>
      <c r="P66">
        <v>43188</v>
      </c>
      <c r="Q66">
        <v>3068</v>
      </c>
      <c r="R66">
        <v>38278</v>
      </c>
      <c r="S66">
        <v>36839042.575356297</v>
      </c>
      <c r="T66">
        <v>44361847.406659499</v>
      </c>
      <c r="U66">
        <v>7522804.8313032398</v>
      </c>
      <c r="V66">
        <v>10567362.488749299</v>
      </c>
      <c r="W66">
        <v>0</v>
      </c>
      <c r="X66">
        <v>3474</v>
      </c>
      <c r="Y66">
        <v>2372</v>
      </c>
      <c r="Z66">
        <v>0</v>
      </c>
      <c r="AA66">
        <v>13751101.738272799</v>
      </c>
      <c r="AB66">
        <v>8362795.5</v>
      </c>
      <c r="AC66" s="12">
        <f t="shared" si="0"/>
        <v>5388306.2382727992</v>
      </c>
      <c r="AD66">
        <v>50</v>
      </c>
      <c r="AE66">
        <v>714</v>
      </c>
      <c r="AF66" t="b">
        <v>1</v>
      </c>
    </row>
    <row r="67" spans="1:32" x14ac:dyDescent="0.2">
      <c r="A67">
        <v>10</v>
      </c>
      <c r="B67">
        <v>218</v>
      </c>
      <c r="C67">
        <v>15</v>
      </c>
      <c r="D67">
        <v>3</v>
      </c>
      <c r="E67">
        <v>3</v>
      </c>
      <c r="F67">
        <v>15</v>
      </c>
      <c r="G67">
        <v>50</v>
      </c>
      <c r="H67">
        <v>45.06</v>
      </c>
      <c r="I67">
        <v>49.35</v>
      </c>
      <c r="J67">
        <v>0.3</v>
      </c>
      <c r="K67">
        <v>67439</v>
      </c>
      <c r="L67">
        <v>109826</v>
      </c>
      <c r="M67">
        <v>25376</v>
      </c>
      <c r="N67">
        <v>13068</v>
      </c>
      <c r="O67">
        <v>34663</v>
      </c>
      <c r="P67">
        <v>39103</v>
      </c>
      <c r="Q67">
        <v>3086</v>
      </c>
      <c r="R67">
        <v>37888</v>
      </c>
      <c r="S67">
        <v>38069350.722259797</v>
      </c>
      <c r="T67">
        <v>29052788.611126602</v>
      </c>
      <c r="U67">
        <v>-9016562.1111332309</v>
      </c>
      <c r="V67">
        <v>11387424.539475</v>
      </c>
      <c r="W67">
        <v>0</v>
      </c>
      <c r="X67">
        <v>3465</v>
      </c>
      <c r="Y67">
        <v>2371</v>
      </c>
      <c r="Z67">
        <v>0</v>
      </c>
      <c r="AA67">
        <v>9433456.0791799594</v>
      </c>
      <c r="AB67">
        <v>8362795.5</v>
      </c>
      <c r="AC67" s="12">
        <f t="shared" ref="AC67:AC130" si="1">AA67-AB67</f>
        <v>1070660.5791799594</v>
      </c>
      <c r="AD67">
        <v>50</v>
      </c>
      <c r="AE67">
        <v>646</v>
      </c>
      <c r="AF67" t="b">
        <v>1</v>
      </c>
    </row>
    <row r="68" spans="1:32" x14ac:dyDescent="0.2">
      <c r="A68">
        <v>10</v>
      </c>
      <c r="B68">
        <v>217</v>
      </c>
      <c r="C68">
        <v>15</v>
      </c>
      <c r="D68">
        <v>3</v>
      </c>
      <c r="E68">
        <v>3</v>
      </c>
      <c r="F68">
        <v>30</v>
      </c>
      <c r="G68">
        <v>50</v>
      </c>
      <c r="H68">
        <v>90.12</v>
      </c>
      <c r="I68">
        <v>98.7</v>
      </c>
      <c r="J68">
        <v>0.3</v>
      </c>
      <c r="K68">
        <v>68639</v>
      </c>
      <c r="L68">
        <v>112946</v>
      </c>
      <c r="M68">
        <v>26264</v>
      </c>
      <c r="N68">
        <v>13024</v>
      </c>
      <c r="O68">
        <v>36019</v>
      </c>
      <c r="P68">
        <v>40786</v>
      </c>
      <c r="Q68">
        <v>3338</v>
      </c>
      <c r="R68">
        <v>38193</v>
      </c>
      <c r="S68">
        <v>47130654.813767903</v>
      </c>
      <c r="T68">
        <v>48992849.1107357</v>
      </c>
      <c r="U68">
        <v>1862194.2969678601</v>
      </c>
      <c r="V68">
        <v>21146013.442159399</v>
      </c>
      <c r="W68">
        <v>0</v>
      </c>
      <c r="X68">
        <v>3406</v>
      </c>
      <c r="Y68">
        <v>4614</v>
      </c>
      <c r="Z68">
        <v>0</v>
      </c>
      <c r="AA68">
        <v>13566917.012350701</v>
      </c>
      <c r="AB68">
        <v>8362795.5</v>
      </c>
      <c r="AC68" s="12">
        <f t="shared" si="1"/>
        <v>5204121.5123507008</v>
      </c>
      <c r="AD68">
        <v>50</v>
      </c>
      <c r="AE68">
        <v>591</v>
      </c>
      <c r="AF68" t="b">
        <v>1</v>
      </c>
    </row>
    <row r="69" spans="1:32" x14ac:dyDescent="0.2">
      <c r="A69">
        <v>10</v>
      </c>
      <c r="B69">
        <v>214</v>
      </c>
      <c r="C69">
        <v>15</v>
      </c>
      <c r="D69">
        <v>3</v>
      </c>
      <c r="E69">
        <v>3</v>
      </c>
      <c r="F69">
        <v>30</v>
      </c>
      <c r="G69">
        <v>50</v>
      </c>
      <c r="H69">
        <v>45.06</v>
      </c>
      <c r="I69">
        <v>49.35</v>
      </c>
      <c r="J69">
        <v>0.3</v>
      </c>
      <c r="K69">
        <v>82708</v>
      </c>
      <c r="L69">
        <v>104926</v>
      </c>
      <c r="M69">
        <v>26208</v>
      </c>
      <c r="N69">
        <v>13051</v>
      </c>
      <c r="O69">
        <v>5236</v>
      </c>
      <c r="P69">
        <v>44035</v>
      </c>
      <c r="Q69">
        <v>3213</v>
      </c>
      <c r="R69">
        <v>38104</v>
      </c>
      <c r="S69">
        <v>47775704.882429101</v>
      </c>
      <c r="T69">
        <v>30510291.274507198</v>
      </c>
      <c r="U69">
        <v>-17265413.607921802</v>
      </c>
      <c r="V69">
        <v>21556336.058362</v>
      </c>
      <c r="W69">
        <v>0</v>
      </c>
      <c r="X69">
        <v>3359</v>
      </c>
      <c r="Y69">
        <v>4546</v>
      </c>
      <c r="Z69">
        <v>0</v>
      </c>
      <c r="AA69">
        <v>8520166.1218146905</v>
      </c>
      <c r="AB69">
        <v>8362795.5</v>
      </c>
      <c r="AC69" s="12">
        <f t="shared" si="1"/>
        <v>157370.62181469053</v>
      </c>
      <c r="AD69">
        <v>50</v>
      </c>
      <c r="AE69">
        <v>559</v>
      </c>
      <c r="AF69" t="b">
        <v>1</v>
      </c>
    </row>
    <row r="70" spans="1:32" x14ac:dyDescent="0.2">
      <c r="A70">
        <v>10</v>
      </c>
      <c r="B70">
        <v>216</v>
      </c>
      <c r="C70">
        <v>15</v>
      </c>
      <c r="D70">
        <v>3</v>
      </c>
      <c r="E70">
        <v>1</v>
      </c>
      <c r="F70">
        <v>15</v>
      </c>
      <c r="G70">
        <v>50</v>
      </c>
      <c r="H70">
        <v>90.12</v>
      </c>
      <c r="I70">
        <v>98.7</v>
      </c>
      <c r="J70">
        <v>0.3</v>
      </c>
      <c r="K70">
        <v>71096</v>
      </c>
      <c r="L70">
        <v>108959</v>
      </c>
      <c r="M70">
        <v>25510</v>
      </c>
      <c r="N70">
        <v>13018</v>
      </c>
      <c r="O70">
        <v>4890</v>
      </c>
      <c r="P70">
        <v>41668</v>
      </c>
      <c r="Q70">
        <v>3202</v>
      </c>
      <c r="R70">
        <v>38212</v>
      </c>
      <c r="S70">
        <v>36900485.233308397</v>
      </c>
      <c r="T70">
        <v>44207682.968072601</v>
      </c>
      <c r="U70">
        <v>7307197.7347641299</v>
      </c>
      <c r="V70">
        <v>10308108.669684101</v>
      </c>
      <c r="W70">
        <v>0</v>
      </c>
      <c r="X70">
        <v>3450</v>
      </c>
      <c r="Y70">
        <v>2341</v>
      </c>
      <c r="Z70">
        <v>0</v>
      </c>
      <c r="AA70">
        <v>18720599.074388001</v>
      </c>
      <c r="AB70">
        <v>8362795.5</v>
      </c>
      <c r="AC70" s="12">
        <f t="shared" si="1"/>
        <v>10357803.574388001</v>
      </c>
      <c r="AD70">
        <v>50</v>
      </c>
      <c r="AE70">
        <v>767</v>
      </c>
      <c r="AF70" t="b">
        <v>1</v>
      </c>
    </row>
    <row r="71" spans="1:32" x14ac:dyDescent="0.2">
      <c r="A71">
        <v>10</v>
      </c>
      <c r="B71">
        <v>218</v>
      </c>
      <c r="C71">
        <v>15</v>
      </c>
      <c r="D71">
        <v>3</v>
      </c>
      <c r="E71">
        <v>1</v>
      </c>
      <c r="F71">
        <v>15</v>
      </c>
      <c r="G71">
        <v>50</v>
      </c>
      <c r="H71">
        <v>45.06</v>
      </c>
      <c r="I71">
        <v>49.35</v>
      </c>
      <c r="J71">
        <v>0.3</v>
      </c>
      <c r="K71">
        <v>67236</v>
      </c>
      <c r="L71">
        <v>109326</v>
      </c>
      <c r="M71">
        <v>25227</v>
      </c>
      <c r="N71">
        <v>13075</v>
      </c>
      <c r="O71">
        <v>34992</v>
      </c>
      <c r="P71">
        <v>39313</v>
      </c>
      <c r="Q71">
        <v>3152</v>
      </c>
      <c r="R71">
        <v>38376</v>
      </c>
      <c r="S71">
        <v>36933249.662123702</v>
      </c>
      <c r="T71">
        <v>25350914.749671999</v>
      </c>
      <c r="U71">
        <v>-11582334.912451699</v>
      </c>
      <c r="V71">
        <v>10796713.8331175</v>
      </c>
      <c r="W71">
        <v>0</v>
      </c>
      <c r="X71">
        <v>3489</v>
      </c>
      <c r="Y71">
        <v>2364</v>
      </c>
      <c r="Z71">
        <v>0</v>
      </c>
      <c r="AA71">
        <v>7493332.7819590196</v>
      </c>
      <c r="AB71">
        <v>8362795.5</v>
      </c>
      <c r="AC71" s="12">
        <f t="shared" si="1"/>
        <v>-869462.7180409804</v>
      </c>
      <c r="AD71">
        <v>50</v>
      </c>
      <c r="AE71">
        <v>775</v>
      </c>
      <c r="AF71" t="b">
        <v>1</v>
      </c>
    </row>
    <row r="72" spans="1:32" x14ac:dyDescent="0.2">
      <c r="A72">
        <v>10</v>
      </c>
      <c r="B72">
        <v>221</v>
      </c>
      <c r="C72">
        <v>15</v>
      </c>
      <c r="D72">
        <v>3</v>
      </c>
      <c r="E72">
        <v>1</v>
      </c>
      <c r="F72">
        <v>30</v>
      </c>
      <c r="G72">
        <v>50</v>
      </c>
      <c r="H72">
        <v>90.12</v>
      </c>
      <c r="I72">
        <v>98.7</v>
      </c>
      <c r="J72">
        <v>0.3</v>
      </c>
      <c r="K72">
        <v>75199</v>
      </c>
      <c r="L72">
        <v>108158</v>
      </c>
      <c r="M72">
        <v>25600</v>
      </c>
      <c r="N72">
        <v>13110</v>
      </c>
      <c r="O72">
        <v>27653</v>
      </c>
      <c r="P72">
        <v>41906</v>
      </c>
      <c r="Q72">
        <v>3192</v>
      </c>
      <c r="R72">
        <v>38231</v>
      </c>
      <c r="S72">
        <v>48494183.115060002</v>
      </c>
      <c r="T72">
        <v>47538622.279030003</v>
      </c>
      <c r="U72">
        <v>-955560.83602998406</v>
      </c>
      <c r="V72">
        <v>22438439.547102898</v>
      </c>
      <c r="W72">
        <v>0</v>
      </c>
      <c r="X72">
        <v>3496</v>
      </c>
      <c r="Y72">
        <v>4680</v>
      </c>
      <c r="Z72">
        <v>0</v>
      </c>
      <c r="AA72">
        <v>13116528.9711025</v>
      </c>
      <c r="AB72">
        <v>8362795.5</v>
      </c>
      <c r="AC72" s="12">
        <f t="shared" si="1"/>
        <v>4753733.4711025003</v>
      </c>
      <c r="AD72">
        <v>50</v>
      </c>
      <c r="AE72">
        <v>626</v>
      </c>
      <c r="AF72" t="b">
        <v>1</v>
      </c>
    </row>
    <row r="73" spans="1:32" x14ac:dyDescent="0.2">
      <c r="A73">
        <v>10</v>
      </c>
      <c r="B73">
        <v>227</v>
      </c>
      <c r="C73">
        <v>15</v>
      </c>
      <c r="D73">
        <v>3</v>
      </c>
      <c r="E73">
        <v>1</v>
      </c>
      <c r="F73">
        <v>30</v>
      </c>
      <c r="G73">
        <v>50</v>
      </c>
      <c r="H73">
        <v>45.06</v>
      </c>
      <c r="I73">
        <v>49.35</v>
      </c>
      <c r="J73">
        <v>0.3</v>
      </c>
      <c r="K73">
        <v>77744</v>
      </c>
      <c r="L73">
        <v>112457</v>
      </c>
      <c r="M73">
        <v>25082</v>
      </c>
      <c r="N73">
        <v>13155</v>
      </c>
      <c r="O73">
        <v>23122</v>
      </c>
      <c r="P73">
        <v>35720</v>
      </c>
      <c r="Q73">
        <v>3778</v>
      </c>
      <c r="R73">
        <v>38006</v>
      </c>
      <c r="S73">
        <v>50594843.725469001</v>
      </c>
      <c r="T73">
        <v>30998854.485293001</v>
      </c>
      <c r="U73">
        <v>-19595989.240176</v>
      </c>
      <c r="V73">
        <v>23496909.369991001</v>
      </c>
      <c r="W73">
        <v>0</v>
      </c>
      <c r="X73">
        <v>3618</v>
      </c>
      <c r="Y73">
        <v>4832</v>
      </c>
      <c r="Z73">
        <v>0</v>
      </c>
      <c r="AA73">
        <v>9072905.5900607109</v>
      </c>
      <c r="AB73">
        <v>8362795.5</v>
      </c>
      <c r="AC73" s="12">
        <f t="shared" si="1"/>
        <v>710110.09006071091</v>
      </c>
      <c r="AD73">
        <v>50</v>
      </c>
      <c r="AE73">
        <v>543</v>
      </c>
      <c r="AF73" t="b">
        <v>1</v>
      </c>
    </row>
    <row r="74" spans="1:32" x14ac:dyDescent="0.2">
      <c r="A74">
        <v>10</v>
      </c>
      <c r="B74">
        <v>219</v>
      </c>
      <c r="C74">
        <v>15</v>
      </c>
      <c r="D74">
        <v>1</v>
      </c>
      <c r="E74">
        <v>3</v>
      </c>
      <c r="F74">
        <v>15</v>
      </c>
      <c r="G74">
        <v>50</v>
      </c>
      <c r="H74">
        <v>90.12</v>
      </c>
      <c r="I74">
        <v>98.7</v>
      </c>
      <c r="J74">
        <v>0.3</v>
      </c>
      <c r="K74">
        <v>66437</v>
      </c>
      <c r="L74">
        <v>108611</v>
      </c>
      <c r="M74">
        <v>25505</v>
      </c>
      <c r="N74">
        <v>12985</v>
      </c>
      <c r="O74">
        <v>29269</v>
      </c>
      <c r="P74">
        <v>42779</v>
      </c>
      <c r="Q74">
        <v>3077</v>
      </c>
      <c r="R74">
        <v>38040</v>
      </c>
      <c r="S74">
        <v>35279297.496927001</v>
      </c>
      <c r="T74">
        <v>38865913.0166732</v>
      </c>
      <c r="U74">
        <v>3586615.5197462798</v>
      </c>
      <c r="V74">
        <v>10543696.5370482</v>
      </c>
      <c r="W74">
        <v>0</v>
      </c>
      <c r="X74">
        <v>3483</v>
      </c>
      <c r="Y74">
        <v>2283</v>
      </c>
      <c r="Z74">
        <v>0</v>
      </c>
      <c r="AA74">
        <v>12108055.6128029</v>
      </c>
      <c r="AB74">
        <v>8362795.5</v>
      </c>
      <c r="AC74" s="12">
        <f t="shared" si="1"/>
        <v>3745260.1128029004</v>
      </c>
      <c r="AD74">
        <v>50</v>
      </c>
      <c r="AE74">
        <v>803</v>
      </c>
      <c r="AF74" t="b">
        <v>1</v>
      </c>
    </row>
    <row r="75" spans="1:32" x14ac:dyDescent="0.2">
      <c r="A75">
        <v>10</v>
      </c>
      <c r="B75">
        <v>218</v>
      </c>
      <c r="C75">
        <v>15</v>
      </c>
      <c r="D75">
        <v>1</v>
      </c>
      <c r="E75">
        <v>3</v>
      </c>
      <c r="F75">
        <v>15</v>
      </c>
      <c r="G75">
        <v>50</v>
      </c>
      <c r="H75">
        <v>45.06</v>
      </c>
      <c r="I75">
        <v>49.35</v>
      </c>
      <c r="J75">
        <v>0.3</v>
      </c>
      <c r="K75">
        <v>67249</v>
      </c>
      <c r="L75">
        <v>109430</v>
      </c>
      <c r="M75">
        <v>25140</v>
      </c>
      <c r="N75">
        <v>13089</v>
      </c>
      <c r="O75">
        <v>34884</v>
      </c>
      <c r="P75">
        <v>39664</v>
      </c>
      <c r="Q75">
        <v>3159</v>
      </c>
      <c r="R75">
        <v>38197</v>
      </c>
      <c r="S75">
        <v>38513652.439644597</v>
      </c>
      <c r="T75">
        <v>28766987.704115398</v>
      </c>
      <c r="U75">
        <v>-9746664.7355291806</v>
      </c>
      <c r="V75">
        <v>12683548.668361301</v>
      </c>
      <c r="W75">
        <v>0</v>
      </c>
      <c r="X75">
        <v>3480</v>
      </c>
      <c r="Y75">
        <v>2309</v>
      </c>
      <c r="Z75">
        <v>0</v>
      </c>
      <c r="AA75">
        <v>10809443.9746118</v>
      </c>
      <c r="AB75">
        <v>8362795.5</v>
      </c>
      <c r="AC75" s="12">
        <f t="shared" si="1"/>
        <v>2446648.4746118002</v>
      </c>
      <c r="AD75">
        <v>50</v>
      </c>
      <c r="AE75">
        <v>673</v>
      </c>
      <c r="AF75" t="b">
        <v>1</v>
      </c>
    </row>
    <row r="76" spans="1:32" x14ac:dyDescent="0.2">
      <c r="A76">
        <v>10</v>
      </c>
      <c r="B76">
        <v>219</v>
      </c>
      <c r="C76">
        <v>15</v>
      </c>
      <c r="D76">
        <v>1</v>
      </c>
      <c r="E76">
        <v>3</v>
      </c>
      <c r="F76">
        <v>30</v>
      </c>
      <c r="G76">
        <v>50</v>
      </c>
      <c r="H76">
        <v>90.12</v>
      </c>
      <c r="I76">
        <v>98.7</v>
      </c>
      <c r="J76">
        <v>0.3</v>
      </c>
      <c r="K76">
        <v>66747</v>
      </c>
      <c r="L76">
        <v>109939</v>
      </c>
      <c r="M76">
        <v>25970</v>
      </c>
      <c r="N76">
        <v>13016</v>
      </c>
      <c r="O76">
        <v>29392</v>
      </c>
      <c r="P76">
        <v>43637</v>
      </c>
      <c r="Q76">
        <v>3369</v>
      </c>
      <c r="R76">
        <v>38338</v>
      </c>
      <c r="S76">
        <v>48310465.655351698</v>
      </c>
      <c r="T76">
        <v>50856527.421485297</v>
      </c>
      <c r="U76">
        <v>2546061.7661335599</v>
      </c>
      <c r="V76">
        <v>22756492.816640399</v>
      </c>
      <c r="W76">
        <v>0</v>
      </c>
      <c r="X76">
        <v>3444</v>
      </c>
      <c r="Y76">
        <v>4601</v>
      </c>
      <c r="Z76">
        <v>0</v>
      </c>
      <c r="AA76">
        <v>17041571.6926127</v>
      </c>
      <c r="AB76">
        <v>8362795.5</v>
      </c>
      <c r="AC76" s="12">
        <f t="shared" si="1"/>
        <v>8678776.1926127002</v>
      </c>
      <c r="AD76">
        <v>50</v>
      </c>
      <c r="AE76">
        <v>551</v>
      </c>
      <c r="AF76" t="b">
        <v>1</v>
      </c>
    </row>
    <row r="77" spans="1:32" x14ac:dyDescent="0.2">
      <c r="A77">
        <v>10</v>
      </c>
      <c r="B77">
        <v>214</v>
      </c>
      <c r="C77">
        <v>15</v>
      </c>
      <c r="D77">
        <v>1</v>
      </c>
      <c r="E77">
        <v>3</v>
      </c>
      <c r="F77">
        <v>30</v>
      </c>
      <c r="G77">
        <v>50</v>
      </c>
      <c r="H77">
        <v>45.06</v>
      </c>
      <c r="I77">
        <v>49.35</v>
      </c>
      <c r="J77">
        <v>0.3</v>
      </c>
      <c r="K77">
        <v>82139</v>
      </c>
      <c r="L77">
        <v>104046</v>
      </c>
      <c r="M77">
        <v>26262</v>
      </c>
      <c r="N77">
        <v>12967</v>
      </c>
      <c r="O77">
        <v>5306</v>
      </c>
      <c r="P77">
        <v>44592</v>
      </c>
      <c r="Q77">
        <v>3303</v>
      </c>
      <c r="R77">
        <v>38553</v>
      </c>
      <c r="S77">
        <v>46617398.065269999</v>
      </c>
      <c r="T77">
        <v>28954153.6117681</v>
      </c>
      <c r="U77">
        <v>-17663244.453501798</v>
      </c>
      <c r="V77">
        <v>23053149.774319399</v>
      </c>
      <c r="W77">
        <v>0</v>
      </c>
      <c r="X77">
        <v>3348</v>
      </c>
      <c r="Y77">
        <v>4480</v>
      </c>
      <c r="Z77">
        <v>0</v>
      </c>
      <c r="AA77">
        <v>8500052.5515435096</v>
      </c>
      <c r="AB77">
        <v>8362795.5</v>
      </c>
      <c r="AC77" s="12">
        <f t="shared" si="1"/>
        <v>137257.05154350959</v>
      </c>
      <c r="AD77">
        <v>50</v>
      </c>
      <c r="AE77">
        <v>612</v>
      </c>
      <c r="AF77" t="b">
        <v>1</v>
      </c>
    </row>
    <row r="78" spans="1:32" s="4" customFormat="1" x14ac:dyDescent="0.2">
      <c r="A78" s="4">
        <v>10</v>
      </c>
      <c r="B78" s="4">
        <v>215</v>
      </c>
      <c r="C78" s="4">
        <v>15</v>
      </c>
      <c r="D78" s="4">
        <v>1</v>
      </c>
      <c r="E78" s="4">
        <v>1</v>
      </c>
      <c r="F78" s="4">
        <v>15</v>
      </c>
      <c r="G78" s="4">
        <v>50</v>
      </c>
      <c r="H78" s="4">
        <v>90.12</v>
      </c>
      <c r="I78" s="4">
        <v>98.7</v>
      </c>
      <c r="J78" s="4">
        <v>0.3</v>
      </c>
      <c r="K78" s="4">
        <v>76775</v>
      </c>
      <c r="L78" s="4">
        <v>105230</v>
      </c>
      <c r="M78" s="4">
        <v>25406</v>
      </c>
      <c r="N78" s="4">
        <v>13029</v>
      </c>
      <c r="O78" s="4">
        <v>5253</v>
      </c>
      <c r="P78" s="4">
        <v>42591</v>
      </c>
      <c r="Q78" s="4">
        <v>3114</v>
      </c>
      <c r="R78" s="4">
        <v>38386</v>
      </c>
      <c r="S78" s="4">
        <v>36394592.4257375</v>
      </c>
      <c r="T78" s="4">
        <v>47119967.583480701</v>
      </c>
      <c r="U78" s="4">
        <v>10725375.157743201</v>
      </c>
      <c r="V78" s="4">
        <v>10848259.829345001</v>
      </c>
      <c r="W78" s="4">
        <v>0</v>
      </c>
      <c r="X78" s="4">
        <v>3412</v>
      </c>
      <c r="Y78" s="4">
        <v>2262</v>
      </c>
      <c r="Z78" s="4">
        <v>0</v>
      </c>
      <c r="AA78" s="4">
        <v>20660188.789602999</v>
      </c>
      <c r="AB78" s="4">
        <v>8362795.5</v>
      </c>
      <c r="AC78" s="13">
        <f t="shared" si="1"/>
        <v>12297393.289602999</v>
      </c>
      <c r="AD78" s="4">
        <v>50</v>
      </c>
      <c r="AE78" s="4">
        <v>712</v>
      </c>
      <c r="AF78" s="4" t="b">
        <v>1</v>
      </c>
    </row>
    <row r="79" spans="1:32" x14ac:dyDescent="0.2">
      <c r="A79">
        <v>10</v>
      </c>
      <c r="B79">
        <v>218</v>
      </c>
      <c r="C79">
        <v>15</v>
      </c>
      <c r="D79">
        <v>1</v>
      </c>
      <c r="E79">
        <v>1</v>
      </c>
      <c r="F79">
        <v>15</v>
      </c>
      <c r="G79">
        <v>50</v>
      </c>
      <c r="H79">
        <v>45.06</v>
      </c>
      <c r="I79">
        <v>49.35</v>
      </c>
      <c r="J79">
        <v>0.3</v>
      </c>
      <c r="K79">
        <v>67405</v>
      </c>
      <c r="L79">
        <v>109488</v>
      </c>
      <c r="M79">
        <v>25164</v>
      </c>
      <c r="N79">
        <v>13027</v>
      </c>
      <c r="O79">
        <v>34934</v>
      </c>
      <c r="P79">
        <v>39532</v>
      </c>
      <c r="Q79">
        <v>3167</v>
      </c>
      <c r="R79">
        <v>38235</v>
      </c>
      <c r="S79">
        <v>37994174.486437201</v>
      </c>
      <c r="T79">
        <v>27841873.535813399</v>
      </c>
      <c r="U79">
        <v>-10152300.9506237</v>
      </c>
      <c r="V79">
        <v>11933027.5023244</v>
      </c>
      <c r="W79">
        <v>0</v>
      </c>
      <c r="X79">
        <v>3463</v>
      </c>
      <c r="Y79">
        <v>2302</v>
      </c>
      <c r="Z79">
        <v>0</v>
      </c>
      <c r="AA79">
        <v>8284284.7662291499</v>
      </c>
      <c r="AB79">
        <v>8362795.5</v>
      </c>
      <c r="AC79" s="12">
        <f t="shared" si="1"/>
        <v>-78510.733770850115</v>
      </c>
      <c r="AD79">
        <v>50</v>
      </c>
      <c r="AE79">
        <v>649</v>
      </c>
      <c r="AF79" t="b">
        <v>1</v>
      </c>
    </row>
    <row r="80" spans="1:32" x14ac:dyDescent="0.2">
      <c r="A80">
        <v>10</v>
      </c>
      <c r="B80">
        <v>220</v>
      </c>
      <c r="C80">
        <v>15</v>
      </c>
      <c r="D80">
        <v>1</v>
      </c>
      <c r="E80">
        <v>1</v>
      </c>
      <c r="F80">
        <v>30</v>
      </c>
      <c r="G80">
        <v>50</v>
      </c>
      <c r="H80">
        <v>90.12</v>
      </c>
      <c r="I80">
        <v>98.7</v>
      </c>
      <c r="J80">
        <v>0.3</v>
      </c>
      <c r="K80">
        <v>66327</v>
      </c>
      <c r="L80">
        <v>108557</v>
      </c>
      <c r="M80">
        <v>25635</v>
      </c>
      <c r="N80">
        <v>13109</v>
      </c>
      <c r="O80">
        <v>28612</v>
      </c>
      <c r="P80">
        <v>42462</v>
      </c>
      <c r="Q80">
        <v>3342</v>
      </c>
      <c r="R80">
        <v>38334</v>
      </c>
      <c r="S80">
        <v>46288324.877170898</v>
      </c>
      <c r="T80">
        <v>41141167.046559602</v>
      </c>
      <c r="U80">
        <v>-5147157.8306112802</v>
      </c>
      <c r="V80">
        <v>21809785.377733201</v>
      </c>
      <c r="W80">
        <v>0</v>
      </c>
      <c r="X80">
        <v>3492</v>
      </c>
      <c r="Y80">
        <v>4590</v>
      </c>
      <c r="Z80">
        <v>0</v>
      </c>
      <c r="AA80">
        <v>11429637.7481404</v>
      </c>
      <c r="AB80">
        <v>8362795.5</v>
      </c>
      <c r="AC80" s="12">
        <f t="shared" si="1"/>
        <v>3066842.2481404003</v>
      </c>
      <c r="AD80">
        <v>50</v>
      </c>
      <c r="AE80">
        <v>759</v>
      </c>
      <c r="AF80" t="b">
        <v>1</v>
      </c>
    </row>
    <row r="81" spans="1:32" x14ac:dyDescent="0.2">
      <c r="A81">
        <v>10</v>
      </c>
      <c r="B81">
        <v>219</v>
      </c>
      <c r="C81">
        <v>15</v>
      </c>
      <c r="D81">
        <v>1</v>
      </c>
      <c r="E81">
        <v>1</v>
      </c>
      <c r="F81">
        <v>30</v>
      </c>
      <c r="G81">
        <v>50</v>
      </c>
      <c r="H81">
        <v>45.06</v>
      </c>
      <c r="I81">
        <v>49.35</v>
      </c>
      <c r="J81">
        <v>0.3</v>
      </c>
      <c r="K81">
        <v>66922</v>
      </c>
      <c r="L81">
        <v>110482</v>
      </c>
      <c r="M81">
        <v>26058</v>
      </c>
      <c r="N81">
        <v>13008</v>
      </c>
      <c r="O81">
        <v>29417</v>
      </c>
      <c r="P81">
        <v>43485</v>
      </c>
      <c r="Q81">
        <v>3424</v>
      </c>
      <c r="R81">
        <v>38193</v>
      </c>
      <c r="S81">
        <v>49047165.8767545</v>
      </c>
      <c r="T81">
        <v>29934983.074675601</v>
      </c>
      <c r="U81">
        <v>-19112182.802078899</v>
      </c>
      <c r="V81">
        <v>22046951.575263299</v>
      </c>
      <c r="W81">
        <v>0</v>
      </c>
      <c r="X81">
        <v>3460</v>
      </c>
      <c r="Y81">
        <v>4588</v>
      </c>
      <c r="Z81">
        <v>0</v>
      </c>
      <c r="AA81">
        <v>7974301.9509452302</v>
      </c>
      <c r="AB81">
        <v>8362795.5</v>
      </c>
      <c r="AC81" s="12">
        <f t="shared" si="1"/>
        <v>-388493.5490547698</v>
      </c>
      <c r="AD81">
        <v>50</v>
      </c>
      <c r="AE81">
        <v>538</v>
      </c>
      <c r="AF81" t="b">
        <v>1</v>
      </c>
    </row>
    <row r="82" spans="1:32" x14ac:dyDescent="0.2">
      <c r="A82">
        <v>10</v>
      </c>
      <c r="B82">
        <v>157</v>
      </c>
      <c r="C82">
        <v>10</v>
      </c>
      <c r="D82">
        <v>3</v>
      </c>
      <c r="E82">
        <v>3</v>
      </c>
      <c r="F82">
        <v>15</v>
      </c>
      <c r="G82">
        <v>50</v>
      </c>
      <c r="H82">
        <v>45.06</v>
      </c>
      <c r="I82">
        <v>49.35</v>
      </c>
      <c r="J82">
        <v>0.3</v>
      </c>
      <c r="K82">
        <v>60887</v>
      </c>
      <c r="L82">
        <v>81180</v>
      </c>
      <c r="M82">
        <v>31820</v>
      </c>
      <c r="N82">
        <v>11142</v>
      </c>
      <c r="O82">
        <v>27213</v>
      </c>
      <c r="P82">
        <v>30126</v>
      </c>
      <c r="Q82">
        <v>4763</v>
      </c>
      <c r="R82">
        <v>37594</v>
      </c>
      <c r="S82">
        <v>28195499.529406499</v>
      </c>
      <c r="T82">
        <v>24021836.3558289</v>
      </c>
      <c r="U82">
        <v>-4173663.1735776002</v>
      </c>
      <c r="V82">
        <v>8944218.2669921592</v>
      </c>
      <c r="W82">
        <v>0</v>
      </c>
      <c r="X82">
        <v>2447</v>
      </c>
      <c r="Y82">
        <v>1670</v>
      </c>
      <c r="Z82">
        <v>0</v>
      </c>
      <c r="AA82">
        <v>7584277.7872077497</v>
      </c>
      <c r="AB82">
        <v>5695647.9999999898</v>
      </c>
      <c r="AC82" s="12">
        <f t="shared" si="1"/>
        <v>1888629.7872077599</v>
      </c>
      <c r="AD82">
        <v>50</v>
      </c>
      <c r="AE82">
        <v>462</v>
      </c>
      <c r="AF82" t="b">
        <v>1</v>
      </c>
    </row>
    <row r="83" spans="1:32" x14ac:dyDescent="0.2">
      <c r="A83">
        <v>10</v>
      </c>
      <c r="B83">
        <v>159</v>
      </c>
      <c r="C83">
        <v>10</v>
      </c>
      <c r="D83">
        <v>3</v>
      </c>
      <c r="E83">
        <v>3</v>
      </c>
      <c r="F83">
        <v>15</v>
      </c>
      <c r="G83">
        <v>50</v>
      </c>
      <c r="H83">
        <v>90.12</v>
      </c>
      <c r="I83">
        <v>98.7</v>
      </c>
      <c r="J83">
        <v>0.3</v>
      </c>
      <c r="K83">
        <v>59751</v>
      </c>
      <c r="L83">
        <v>79643</v>
      </c>
      <c r="M83">
        <v>31694</v>
      </c>
      <c r="N83">
        <v>11199</v>
      </c>
      <c r="O83">
        <v>6512</v>
      </c>
      <c r="P83">
        <v>48087</v>
      </c>
      <c r="Q83">
        <v>4665</v>
      </c>
      <c r="R83">
        <v>37465</v>
      </c>
      <c r="S83">
        <v>27038447.6851063</v>
      </c>
      <c r="T83">
        <v>37286114.115466699</v>
      </c>
      <c r="U83">
        <v>10247666.430360399</v>
      </c>
      <c r="V83">
        <v>8322387.4417445296</v>
      </c>
      <c r="W83">
        <v>0</v>
      </c>
      <c r="X83">
        <v>2474</v>
      </c>
      <c r="Y83">
        <v>1683</v>
      </c>
      <c r="Z83">
        <v>0</v>
      </c>
      <c r="AA83">
        <v>9729417.1285724193</v>
      </c>
      <c r="AB83">
        <v>5695647.9999999898</v>
      </c>
      <c r="AC83" s="12">
        <f t="shared" si="1"/>
        <v>4033769.1285724295</v>
      </c>
      <c r="AD83">
        <v>50</v>
      </c>
      <c r="AE83">
        <v>525</v>
      </c>
      <c r="AF83" t="b">
        <v>1</v>
      </c>
    </row>
    <row r="84" spans="1:32" x14ac:dyDescent="0.2">
      <c r="A84">
        <v>10</v>
      </c>
      <c r="B84">
        <v>157</v>
      </c>
      <c r="C84">
        <v>10</v>
      </c>
      <c r="D84">
        <v>3</v>
      </c>
      <c r="E84">
        <v>3</v>
      </c>
      <c r="F84">
        <v>30</v>
      </c>
      <c r="G84">
        <v>50</v>
      </c>
      <c r="H84">
        <v>45.06</v>
      </c>
      <c r="I84">
        <v>49.35</v>
      </c>
      <c r="J84">
        <v>0.3</v>
      </c>
      <c r="K84">
        <v>61467</v>
      </c>
      <c r="L84">
        <v>81817</v>
      </c>
      <c r="M84">
        <v>32519</v>
      </c>
      <c r="N84">
        <v>11206</v>
      </c>
      <c r="O84">
        <v>27122</v>
      </c>
      <c r="P84">
        <v>30669</v>
      </c>
      <c r="Q84">
        <v>4826</v>
      </c>
      <c r="R84">
        <v>37319</v>
      </c>
      <c r="S84">
        <v>36874673.547138304</v>
      </c>
      <c r="T84">
        <v>27247929.175788</v>
      </c>
      <c r="U84">
        <v>-9626744.3713502791</v>
      </c>
      <c r="V84">
        <v>16882120.846648902</v>
      </c>
      <c r="W84">
        <v>0</v>
      </c>
      <c r="X84">
        <v>2444</v>
      </c>
      <c r="Y84">
        <v>3295</v>
      </c>
      <c r="Z84">
        <v>0</v>
      </c>
      <c r="AA84">
        <v>9363298.0882001705</v>
      </c>
      <c r="AB84">
        <v>5695647.9999999898</v>
      </c>
      <c r="AC84" s="12">
        <f t="shared" si="1"/>
        <v>3667650.0882001808</v>
      </c>
      <c r="AD84">
        <v>50</v>
      </c>
      <c r="AE84">
        <v>341</v>
      </c>
      <c r="AF84" t="b">
        <v>1</v>
      </c>
    </row>
    <row r="85" spans="1:32" x14ac:dyDescent="0.2">
      <c r="A85">
        <v>10</v>
      </c>
      <c r="B85">
        <v>154</v>
      </c>
      <c r="C85">
        <v>10</v>
      </c>
      <c r="D85">
        <v>3</v>
      </c>
      <c r="E85">
        <v>3</v>
      </c>
      <c r="F85">
        <v>30</v>
      </c>
      <c r="G85">
        <v>50</v>
      </c>
      <c r="H85">
        <v>90.12</v>
      </c>
      <c r="I85">
        <v>98.7</v>
      </c>
      <c r="J85">
        <v>0.3</v>
      </c>
      <c r="K85">
        <v>74848</v>
      </c>
      <c r="L85">
        <v>73523</v>
      </c>
      <c r="M85">
        <v>33046</v>
      </c>
      <c r="N85">
        <v>11130</v>
      </c>
      <c r="O85">
        <v>21860</v>
      </c>
      <c r="P85">
        <v>32718</v>
      </c>
      <c r="Q85">
        <v>4851</v>
      </c>
      <c r="R85">
        <v>37559</v>
      </c>
      <c r="S85">
        <v>34834250.653181903</v>
      </c>
      <c r="T85">
        <v>42037733.208424799</v>
      </c>
      <c r="U85">
        <v>7203482.55524287</v>
      </c>
      <c r="V85">
        <v>16030662.788935</v>
      </c>
      <c r="W85">
        <v>0</v>
      </c>
      <c r="X85">
        <v>2392</v>
      </c>
      <c r="Y85">
        <v>3227</v>
      </c>
      <c r="Z85">
        <v>0</v>
      </c>
      <c r="AA85">
        <v>11582147.9118545</v>
      </c>
      <c r="AB85">
        <v>5695647.9999999898</v>
      </c>
      <c r="AC85" s="12">
        <f t="shared" si="1"/>
        <v>5886499.9118545102</v>
      </c>
      <c r="AD85">
        <v>50</v>
      </c>
      <c r="AE85">
        <v>428</v>
      </c>
      <c r="AF85" t="b">
        <v>1</v>
      </c>
    </row>
    <row r="86" spans="1:32" x14ac:dyDescent="0.2">
      <c r="A86">
        <v>10</v>
      </c>
      <c r="B86">
        <v>156</v>
      </c>
      <c r="C86">
        <v>10</v>
      </c>
      <c r="D86">
        <v>3</v>
      </c>
      <c r="E86">
        <v>1</v>
      </c>
      <c r="F86">
        <v>15</v>
      </c>
      <c r="G86">
        <v>50</v>
      </c>
      <c r="H86">
        <v>45.06</v>
      </c>
      <c r="I86">
        <v>49.35</v>
      </c>
      <c r="J86">
        <v>0.3</v>
      </c>
      <c r="K86">
        <v>64036</v>
      </c>
      <c r="L86">
        <v>80267</v>
      </c>
      <c r="M86">
        <v>32122</v>
      </c>
      <c r="N86">
        <v>11165</v>
      </c>
      <c r="O86">
        <v>20560</v>
      </c>
      <c r="P86">
        <v>30745</v>
      </c>
      <c r="Q86">
        <v>4818</v>
      </c>
      <c r="R86">
        <v>37308</v>
      </c>
      <c r="S86">
        <v>28761564.7879043</v>
      </c>
      <c r="T86">
        <v>24366930.7338094</v>
      </c>
      <c r="U86">
        <v>-4394634.0540949199</v>
      </c>
      <c r="V86">
        <v>8468722.8258324806</v>
      </c>
      <c r="W86">
        <v>0</v>
      </c>
      <c r="X86">
        <v>2421</v>
      </c>
      <c r="Y86">
        <v>1685</v>
      </c>
      <c r="Z86">
        <v>0</v>
      </c>
      <c r="AA86">
        <v>9171997.0604542494</v>
      </c>
      <c r="AB86">
        <v>5695647.9999999898</v>
      </c>
      <c r="AC86" s="12">
        <f t="shared" si="1"/>
        <v>3476349.0604542596</v>
      </c>
      <c r="AD86">
        <v>50</v>
      </c>
      <c r="AE86">
        <v>476</v>
      </c>
      <c r="AF86" t="b">
        <v>1</v>
      </c>
    </row>
    <row r="87" spans="1:32" x14ac:dyDescent="0.2">
      <c r="A87">
        <v>10</v>
      </c>
      <c r="B87">
        <v>155</v>
      </c>
      <c r="C87">
        <v>10</v>
      </c>
      <c r="D87">
        <v>3</v>
      </c>
      <c r="E87">
        <v>1</v>
      </c>
      <c r="F87">
        <v>15</v>
      </c>
      <c r="G87">
        <v>50</v>
      </c>
      <c r="H87">
        <v>90.12</v>
      </c>
      <c r="I87">
        <v>98.7</v>
      </c>
      <c r="J87">
        <v>0.3</v>
      </c>
      <c r="K87">
        <v>69409</v>
      </c>
      <c r="L87">
        <v>76043</v>
      </c>
      <c r="M87">
        <v>32026</v>
      </c>
      <c r="N87">
        <v>11162</v>
      </c>
      <c r="O87">
        <v>21439</v>
      </c>
      <c r="P87">
        <v>31894</v>
      </c>
      <c r="Q87">
        <v>4706</v>
      </c>
      <c r="R87">
        <v>37563</v>
      </c>
      <c r="S87">
        <v>26704203.357740398</v>
      </c>
      <c r="T87">
        <v>35311211.812885404</v>
      </c>
      <c r="U87">
        <v>8607008.4551449604</v>
      </c>
      <c r="V87">
        <v>7937821.9849208901</v>
      </c>
      <c r="W87">
        <v>0</v>
      </c>
      <c r="X87">
        <v>2400</v>
      </c>
      <c r="Y87">
        <v>1665</v>
      </c>
      <c r="Z87">
        <v>0</v>
      </c>
      <c r="AA87">
        <v>11244624.286627701</v>
      </c>
      <c r="AB87">
        <v>5695647.9999999898</v>
      </c>
      <c r="AC87" s="12">
        <f t="shared" si="1"/>
        <v>5548976.2866277108</v>
      </c>
      <c r="AD87">
        <v>50</v>
      </c>
      <c r="AE87">
        <v>572</v>
      </c>
      <c r="AF87" t="b">
        <v>1</v>
      </c>
    </row>
    <row r="88" spans="1:32" x14ac:dyDescent="0.2">
      <c r="A88">
        <v>10</v>
      </c>
      <c r="B88">
        <v>157</v>
      </c>
      <c r="C88">
        <v>10</v>
      </c>
      <c r="D88">
        <v>3</v>
      </c>
      <c r="E88">
        <v>1</v>
      </c>
      <c r="F88">
        <v>30</v>
      </c>
      <c r="G88">
        <v>50</v>
      </c>
      <c r="H88">
        <v>45.06</v>
      </c>
      <c r="I88">
        <v>49.35</v>
      </c>
      <c r="J88">
        <v>0.3</v>
      </c>
      <c r="K88">
        <v>61509</v>
      </c>
      <c r="L88">
        <v>81941</v>
      </c>
      <c r="M88">
        <v>32396</v>
      </c>
      <c r="N88">
        <v>11196</v>
      </c>
      <c r="O88">
        <v>27127</v>
      </c>
      <c r="P88">
        <v>30469</v>
      </c>
      <c r="Q88">
        <v>4686</v>
      </c>
      <c r="R88">
        <v>37347</v>
      </c>
      <c r="S88">
        <v>35277106.459473103</v>
      </c>
      <c r="T88">
        <v>22595009.8559049</v>
      </c>
      <c r="U88">
        <v>-12682096.6035682</v>
      </c>
      <c r="V88">
        <v>16154341.3130347</v>
      </c>
      <c r="W88">
        <v>0</v>
      </c>
      <c r="X88">
        <v>2456</v>
      </c>
      <c r="Y88">
        <v>3296</v>
      </c>
      <c r="Z88">
        <v>0</v>
      </c>
      <c r="AA88">
        <v>5085076.7400743496</v>
      </c>
      <c r="AB88">
        <v>5695647.9999999898</v>
      </c>
      <c r="AC88" s="12">
        <f t="shared" si="1"/>
        <v>-610571.25992564019</v>
      </c>
      <c r="AD88">
        <v>50</v>
      </c>
      <c r="AE88">
        <v>469</v>
      </c>
      <c r="AF88" t="b">
        <v>1</v>
      </c>
    </row>
    <row r="89" spans="1:32" x14ac:dyDescent="0.2">
      <c r="A89">
        <v>10</v>
      </c>
      <c r="B89">
        <v>154</v>
      </c>
      <c r="C89">
        <v>10</v>
      </c>
      <c r="D89">
        <v>3</v>
      </c>
      <c r="E89">
        <v>1</v>
      </c>
      <c r="F89">
        <v>30</v>
      </c>
      <c r="G89">
        <v>50</v>
      </c>
      <c r="H89">
        <v>90.12</v>
      </c>
      <c r="I89">
        <v>98.7</v>
      </c>
      <c r="J89">
        <v>0.3</v>
      </c>
      <c r="K89">
        <v>74506</v>
      </c>
      <c r="L89">
        <v>73280</v>
      </c>
      <c r="M89">
        <v>32758</v>
      </c>
      <c r="N89">
        <v>11114</v>
      </c>
      <c r="O89">
        <v>21975</v>
      </c>
      <c r="P89">
        <v>33227</v>
      </c>
      <c r="Q89">
        <v>4843</v>
      </c>
      <c r="R89">
        <v>37655</v>
      </c>
      <c r="S89">
        <v>34628629.441862598</v>
      </c>
      <c r="T89">
        <v>39656611.441306897</v>
      </c>
      <c r="U89">
        <v>5027981.9994443199</v>
      </c>
      <c r="V89">
        <v>16189588.846561801</v>
      </c>
      <c r="W89">
        <v>0</v>
      </c>
      <c r="X89">
        <v>2385</v>
      </c>
      <c r="Y89">
        <v>3242</v>
      </c>
      <c r="Z89">
        <v>0</v>
      </c>
      <c r="AA89">
        <v>10447655.591003999</v>
      </c>
      <c r="AB89">
        <v>5695647.9999999898</v>
      </c>
      <c r="AC89" s="12">
        <f t="shared" si="1"/>
        <v>4752007.5910040094</v>
      </c>
      <c r="AD89">
        <v>50</v>
      </c>
      <c r="AE89">
        <v>475</v>
      </c>
      <c r="AF89" t="b">
        <v>1</v>
      </c>
    </row>
    <row r="90" spans="1:32" x14ac:dyDescent="0.2">
      <c r="A90">
        <v>10</v>
      </c>
      <c r="B90">
        <v>156</v>
      </c>
      <c r="C90">
        <v>10</v>
      </c>
      <c r="D90">
        <v>1</v>
      </c>
      <c r="E90">
        <v>3</v>
      </c>
      <c r="F90">
        <v>15</v>
      </c>
      <c r="G90">
        <v>50</v>
      </c>
      <c r="H90">
        <v>45.06</v>
      </c>
      <c r="I90">
        <v>49.35</v>
      </c>
      <c r="J90">
        <v>0.3</v>
      </c>
      <c r="K90">
        <v>63932</v>
      </c>
      <c r="L90">
        <v>80076</v>
      </c>
      <c r="M90">
        <v>31719</v>
      </c>
      <c r="N90">
        <v>11159</v>
      </c>
      <c r="O90">
        <v>20774</v>
      </c>
      <c r="P90">
        <v>31266</v>
      </c>
      <c r="Q90">
        <v>4774</v>
      </c>
      <c r="R90">
        <v>37401</v>
      </c>
      <c r="S90">
        <v>28263681.197136998</v>
      </c>
      <c r="T90">
        <v>22951451.2170908</v>
      </c>
      <c r="U90">
        <v>-5312229.9800461996</v>
      </c>
      <c r="V90">
        <v>9300063.0754520502</v>
      </c>
      <c r="W90">
        <v>0</v>
      </c>
      <c r="X90">
        <v>2434</v>
      </c>
      <c r="Y90">
        <v>1630</v>
      </c>
      <c r="Z90">
        <v>0</v>
      </c>
      <c r="AA90">
        <v>8862879.4383330997</v>
      </c>
      <c r="AB90">
        <v>5695647.9999999898</v>
      </c>
      <c r="AC90" s="12">
        <f t="shared" si="1"/>
        <v>3167231.43833311</v>
      </c>
      <c r="AD90">
        <v>50</v>
      </c>
      <c r="AE90">
        <v>512</v>
      </c>
      <c r="AF90" t="b">
        <v>1</v>
      </c>
    </row>
    <row r="91" spans="1:32" x14ac:dyDescent="0.2">
      <c r="A91">
        <v>10</v>
      </c>
      <c r="B91">
        <v>154</v>
      </c>
      <c r="C91">
        <v>10</v>
      </c>
      <c r="D91">
        <v>1</v>
      </c>
      <c r="E91">
        <v>3</v>
      </c>
      <c r="F91">
        <v>15</v>
      </c>
      <c r="G91">
        <v>50</v>
      </c>
      <c r="H91">
        <v>90.12</v>
      </c>
      <c r="I91">
        <v>98.7</v>
      </c>
      <c r="J91">
        <v>0.3</v>
      </c>
      <c r="K91">
        <v>74530</v>
      </c>
      <c r="L91">
        <v>72657</v>
      </c>
      <c r="M91">
        <v>32088</v>
      </c>
      <c r="N91">
        <v>11121</v>
      </c>
      <c r="O91">
        <v>21921</v>
      </c>
      <c r="P91">
        <v>32371</v>
      </c>
      <c r="Q91">
        <v>4924</v>
      </c>
      <c r="R91">
        <v>37480</v>
      </c>
      <c r="S91">
        <v>26605978.429641001</v>
      </c>
      <c r="T91">
        <v>35895245.503313497</v>
      </c>
      <c r="U91">
        <v>9289267.0736725107</v>
      </c>
      <c r="V91">
        <v>9017586.6765397806</v>
      </c>
      <c r="W91">
        <v>0</v>
      </c>
      <c r="X91">
        <v>2393</v>
      </c>
      <c r="Y91">
        <v>1613</v>
      </c>
      <c r="Z91">
        <v>0</v>
      </c>
      <c r="AA91">
        <v>11128173.8925176</v>
      </c>
      <c r="AB91">
        <v>5695647.9999999898</v>
      </c>
      <c r="AC91" s="12">
        <f t="shared" si="1"/>
        <v>5432525.8925176105</v>
      </c>
      <c r="AD91">
        <v>50</v>
      </c>
      <c r="AE91">
        <v>546</v>
      </c>
      <c r="AF91" t="b">
        <v>1</v>
      </c>
    </row>
    <row r="92" spans="1:32" x14ac:dyDescent="0.2">
      <c r="A92">
        <v>10</v>
      </c>
      <c r="B92">
        <v>161</v>
      </c>
      <c r="C92">
        <v>10</v>
      </c>
      <c r="D92">
        <v>1</v>
      </c>
      <c r="E92">
        <v>3</v>
      </c>
      <c r="F92">
        <v>30</v>
      </c>
      <c r="G92">
        <v>50</v>
      </c>
      <c r="H92">
        <v>45.06</v>
      </c>
      <c r="I92">
        <v>49.35</v>
      </c>
      <c r="J92">
        <v>0.3</v>
      </c>
      <c r="K92">
        <v>66272</v>
      </c>
      <c r="L92">
        <v>79201</v>
      </c>
      <c r="M92">
        <v>31708</v>
      </c>
      <c r="N92">
        <v>11221</v>
      </c>
      <c r="O92">
        <v>6182</v>
      </c>
      <c r="P92">
        <v>45883</v>
      </c>
      <c r="Q92">
        <v>4642</v>
      </c>
      <c r="R92">
        <v>37240</v>
      </c>
      <c r="S92">
        <v>36882735.263782904</v>
      </c>
      <c r="T92">
        <v>24609721.812995601</v>
      </c>
      <c r="U92">
        <v>-12273013.4507873</v>
      </c>
      <c r="V92">
        <v>18704919.659489602</v>
      </c>
      <c r="W92">
        <v>0</v>
      </c>
      <c r="X92">
        <v>2514</v>
      </c>
      <c r="Y92">
        <v>3353</v>
      </c>
      <c r="Z92">
        <v>0</v>
      </c>
      <c r="AA92">
        <v>8767882.9305619001</v>
      </c>
      <c r="AB92">
        <v>5695647.9999999898</v>
      </c>
      <c r="AC92" s="12">
        <f t="shared" si="1"/>
        <v>3072234.9305619104</v>
      </c>
      <c r="AD92">
        <v>50</v>
      </c>
      <c r="AE92">
        <v>431</v>
      </c>
      <c r="AF92" t="b">
        <v>1</v>
      </c>
    </row>
    <row r="93" spans="1:32" x14ac:dyDescent="0.2">
      <c r="A93">
        <v>10</v>
      </c>
      <c r="B93">
        <v>162</v>
      </c>
      <c r="C93">
        <v>10</v>
      </c>
      <c r="D93">
        <v>1</v>
      </c>
      <c r="E93">
        <v>3</v>
      </c>
      <c r="F93">
        <v>30</v>
      </c>
      <c r="G93">
        <v>50</v>
      </c>
      <c r="H93">
        <v>90.12</v>
      </c>
      <c r="I93">
        <v>98.7</v>
      </c>
      <c r="J93">
        <v>0.3</v>
      </c>
      <c r="K93">
        <v>75411</v>
      </c>
      <c r="L93">
        <v>78498</v>
      </c>
      <c r="M93">
        <v>31639</v>
      </c>
      <c r="N93">
        <v>11360</v>
      </c>
      <c r="O93">
        <v>6039</v>
      </c>
      <c r="P93">
        <v>44687</v>
      </c>
      <c r="Q93">
        <v>4658</v>
      </c>
      <c r="R93">
        <v>37185</v>
      </c>
      <c r="S93">
        <v>37866397.677130699</v>
      </c>
      <c r="T93">
        <v>46310350.039002702</v>
      </c>
      <c r="U93">
        <v>8443952.3618720006</v>
      </c>
      <c r="V93">
        <v>18703971.790360101</v>
      </c>
      <c r="W93">
        <v>0</v>
      </c>
      <c r="X93">
        <v>2523</v>
      </c>
      <c r="Y93">
        <v>3374</v>
      </c>
      <c r="Z93">
        <v>0</v>
      </c>
      <c r="AA93">
        <v>19302296.267535601</v>
      </c>
      <c r="AB93">
        <v>5695647.9999999898</v>
      </c>
      <c r="AC93" s="12">
        <f t="shared" si="1"/>
        <v>13606648.267535612</v>
      </c>
      <c r="AD93">
        <v>50</v>
      </c>
      <c r="AE93">
        <v>381</v>
      </c>
      <c r="AF93" t="b">
        <v>1</v>
      </c>
    </row>
    <row r="94" spans="1:32" x14ac:dyDescent="0.2">
      <c r="A94">
        <v>10</v>
      </c>
      <c r="B94">
        <v>158</v>
      </c>
      <c r="C94">
        <v>10</v>
      </c>
      <c r="D94">
        <v>1</v>
      </c>
      <c r="E94">
        <v>1</v>
      </c>
      <c r="F94">
        <v>15</v>
      </c>
      <c r="G94">
        <v>50</v>
      </c>
      <c r="H94">
        <v>45.06</v>
      </c>
      <c r="I94">
        <v>49.35</v>
      </c>
      <c r="J94">
        <v>0.3</v>
      </c>
      <c r="K94">
        <v>60364</v>
      </c>
      <c r="L94">
        <v>80304</v>
      </c>
      <c r="M94">
        <v>31777</v>
      </c>
      <c r="N94">
        <v>11169</v>
      </c>
      <c r="O94">
        <v>26415</v>
      </c>
      <c r="P94">
        <v>29519</v>
      </c>
      <c r="Q94">
        <v>4716</v>
      </c>
      <c r="R94">
        <v>37416</v>
      </c>
      <c r="S94">
        <v>27004404.5002767</v>
      </c>
      <c r="T94">
        <v>19885415.543485198</v>
      </c>
      <c r="U94">
        <v>-7118988.9567914903</v>
      </c>
      <c r="V94">
        <v>9173795.9984365106</v>
      </c>
      <c r="W94">
        <v>0</v>
      </c>
      <c r="X94">
        <v>2466</v>
      </c>
      <c r="Y94">
        <v>1656</v>
      </c>
      <c r="Z94">
        <v>0</v>
      </c>
      <c r="AA94">
        <v>5043628.6454064902</v>
      </c>
      <c r="AB94">
        <v>5695647.9999999898</v>
      </c>
      <c r="AC94" s="12">
        <f t="shared" si="1"/>
        <v>-652019.35459349956</v>
      </c>
      <c r="AD94">
        <v>50</v>
      </c>
      <c r="AE94">
        <v>578</v>
      </c>
      <c r="AF94" t="b">
        <v>1</v>
      </c>
    </row>
    <row r="95" spans="1:32" x14ac:dyDescent="0.2">
      <c r="A95">
        <v>10</v>
      </c>
      <c r="B95">
        <v>159</v>
      </c>
      <c r="C95">
        <v>10</v>
      </c>
      <c r="D95">
        <v>1</v>
      </c>
      <c r="E95">
        <v>1</v>
      </c>
      <c r="F95">
        <v>15</v>
      </c>
      <c r="G95">
        <v>50</v>
      </c>
      <c r="H95">
        <v>90.12</v>
      </c>
      <c r="I95">
        <v>98.7</v>
      </c>
      <c r="J95">
        <v>0.3</v>
      </c>
      <c r="K95">
        <v>59639</v>
      </c>
      <c r="L95">
        <v>79327</v>
      </c>
      <c r="M95">
        <v>31850</v>
      </c>
      <c r="N95">
        <v>11217</v>
      </c>
      <c r="O95">
        <v>6533</v>
      </c>
      <c r="P95">
        <v>48208</v>
      </c>
      <c r="Q95">
        <v>4630</v>
      </c>
      <c r="R95">
        <v>37475</v>
      </c>
      <c r="S95">
        <v>26576047.711718898</v>
      </c>
      <c r="T95">
        <v>33259098.689709</v>
      </c>
      <c r="U95">
        <v>6683050.9779901197</v>
      </c>
      <c r="V95">
        <v>8536772.3655629605</v>
      </c>
      <c r="W95">
        <v>0</v>
      </c>
      <c r="X95">
        <v>2497</v>
      </c>
      <c r="Y95">
        <v>1653</v>
      </c>
      <c r="Z95">
        <v>0</v>
      </c>
      <c r="AA95">
        <v>7565291.5493179597</v>
      </c>
      <c r="AB95">
        <v>5695647.9999999898</v>
      </c>
      <c r="AC95" s="12">
        <f t="shared" si="1"/>
        <v>1869643.5493179699</v>
      </c>
      <c r="AD95">
        <v>50</v>
      </c>
      <c r="AE95">
        <v>569</v>
      </c>
      <c r="AF95" t="b">
        <v>1</v>
      </c>
    </row>
    <row r="96" spans="1:32" x14ac:dyDescent="0.2">
      <c r="A96">
        <v>10</v>
      </c>
      <c r="B96">
        <v>158</v>
      </c>
      <c r="C96">
        <v>10</v>
      </c>
      <c r="D96">
        <v>1</v>
      </c>
      <c r="E96">
        <v>1</v>
      </c>
      <c r="F96">
        <v>30</v>
      </c>
      <c r="G96">
        <v>50</v>
      </c>
      <c r="H96">
        <v>45.06</v>
      </c>
      <c r="I96">
        <v>49.35</v>
      </c>
      <c r="J96">
        <v>0.3</v>
      </c>
      <c r="K96">
        <v>60644</v>
      </c>
      <c r="L96">
        <v>81439</v>
      </c>
      <c r="M96">
        <v>31893</v>
      </c>
      <c r="N96">
        <v>11247</v>
      </c>
      <c r="O96">
        <v>26320</v>
      </c>
      <c r="P96">
        <v>30071</v>
      </c>
      <c r="Q96">
        <v>4772</v>
      </c>
      <c r="R96">
        <v>37306</v>
      </c>
      <c r="S96">
        <v>36594963.118134797</v>
      </c>
      <c r="T96">
        <v>24053925.6845771</v>
      </c>
      <c r="U96">
        <v>-12541037.4335576</v>
      </c>
      <c r="V96">
        <v>17710513.648871802</v>
      </c>
      <c r="W96">
        <v>0</v>
      </c>
      <c r="X96">
        <v>2454</v>
      </c>
      <c r="Y96">
        <v>3275</v>
      </c>
      <c r="Z96">
        <v>0</v>
      </c>
      <c r="AA96">
        <v>9404356.9071934707</v>
      </c>
      <c r="AB96">
        <v>5695647.9999999898</v>
      </c>
      <c r="AC96" s="12">
        <f t="shared" si="1"/>
        <v>3708708.907193481</v>
      </c>
      <c r="AD96">
        <v>50</v>
      </c>
      <c r="AE96">
        <v>459</v>
      </c>
      <c r="AF96" t="b">
        <v>1</v>
      </c>
    </row>
    <row r="97" spans="1:32" x14ac:dyDescent="0.2">
      <c r="A97">
        <v>10</v>
      </c>
      <c r="B97">
        <v>157</v>
      </c>
      <c r="C97">
        <v>10</v>
      </c>
      <c r="D97">
        <v>1</v>
      </c>
      <c r="E97">
        <v>1</v>
      </c>
      <c r="F97">
        <v>30</v>
      </c>
      <c r="G97">
        <v>50</v>
      </c>
      <c r="H97">
        <v>90.12</v>
      </c>
      <c r="I97">
        <v>98.7</v>
      </c>
      <c r="J97">
        <v>0.3</v>
      </c>
      <c r="K97">
        <v>61391</v>
      </c>
      <c r="L97">
        <v>81723</v>
      </c>
      <c r="M97">
        <v>32251</v>
      </c>
      <c r="N97">
        <v>11231</v>
      </c>
      <c r="O97">
        <v>27187</v>
      </c>
      <c r="P97">
        <v>30694</v>
      </c>
      <c r="Q97">
        <v>4816</v>
      </c>
      <c r="R97">
        <v>37510</v>
      </c>
      <c r="S97">
        <v>33761086.425325699</v>
      </c>
      <c r="T97">
        <v>34327769.446578696</v>
      </c>
      <c r="U97">
        <v>566683.02125297405</v>
      </c>
      <c r="V97">
        <v>16280107.232778201</v>
      </c>
      <c r="W97">
        <v>0</v>
      </c>
      <c r="X97">
        <v>2448</v>
      </c>
      <c r="Y97">
        <v>3275</v>
      </c>
      <c r="Z97">
        <v>0</v>
      </c>
      <c r="AA97">
        <v>9536472.5573194809</v>
      </c>
      <c r="AB97">
        <v>5695647.9999999898</v>
      </c>
      <c r="AC97" s="12">
        <f t="shared" si="1"/>
        <v>3840824.5573194912</v>
      </c>
      <c r="AD97">
        <v>50</v>
      </c>
      <c r="AE97">
        <v>566</v>
      </c>
      <c r="AF97" t="b">
        <v>1</v>
      </c>
    </row>
    <row r="98" spans="1:32" x14ac:dyDescent="0.2">
      <c r="A98">
        <v>10</v>
      </c>
      <c r="B98">
        <v>188</v>
      </c>
      <c r="C98">
        <v>15</v>
      </c>
      <c r="D98">
        <v>3</v>
      </c>
      <c r="E98">
        <v>3</v>
      </c>
      <c r="F98">
        <v>30</v>
      </c>
      <c r="G98">
        <v>15</v>
      </c>
      <c r="H98">
        <v>45.06</v>
      </c>
      <c r="I98">
        <v>49.35</v>
      </c>
      <c r="J98">
        <v>0.4</v>
      </c>
      <c r="K98">
        <v>84874</v>
      </c>
      <c r="L98">
        <v>86545</v>
      </c>
      <c r="M98">
        <v>27998</v>
      </c>
      <c r="N98">
        <v>11620</v>
      </c>
      <c r="O98">
        <v>5534</v>
      </c>
      <c r="P98">
        <v>45354</v>
      </c>
      <c r="Q98">
        <v>4250</v>
      </c>
      <c r="R98">
        <v>37158</v>
      </c>
      <c r="S98">
        <v>24057839.9047984</v>
      </c>
      <c r="T98">
        <v>9161520.1947115995</v>
      </c>
      <c r="U98">
        <v>-14896319.7100868</v>
      </c>
      <c r="V98">
        <v>17556769.257683702</v>
      </c>
      <c r="W98">
        <v>0</v>
      </c>
      <c r="X98">
        <v>548</v>
      </c>
      <c r="Y98">
        <v>3935</v>
      </c>
      <c r="Z98">
        <v>0</v>
      </c>
      <c r="AA98">
        <v>5101248.7223567897</v>
      </c>
      <c r="AB98">
        <v>2508838.65</v>
      </c>
      <c r="AC98" s="12">
        <f t="shared" si="1"/>
        <v>2592410.0723567898</v>
      </c>
      <c r="AD98">
        <v>15</v>
      </c>
      <c r="AE98">
        <v>214</v>
      </c>
      <c r="AF98" t="b">
        <v>1</v>
      </c>
    </row>
    <row r="99" spans="1:32" x14ac:dyDescent="0.2">
      <c r="A99">
        <v>10</v>
      </c>
      <c r="B99">
        <v>188</v>
      </c>
      <c r="C99">
        <v>15</v>
      </c>
      <c r="D99">
        <v>3</v>
      </c>
      <c r="E99">
        <v>3</v>
      </c>
      <c r="F99">
        <v>30</v>
      </c>
      <c r="G99">
        <v>15</v>
      </c>
      <c r="H99">
        <v>90.12</v>
      </c>
      <c r="I99">
        <v>98.7</v>
      </c>
      <c r="J99">
        <v>0.4</v>
      </c>
      <c r="K99">
        <v>84874</v>
      </c>
      <c r="L99">
        <v>86545</v>
      </c>
      <c r="M99">
        <v>27998</v>
      </c>
      <c r="N99">
        <v>11620</v>
      </c>
      <c r="O99">
        <v>5534</v>
      </c>
      <c r="P99">
        <v>45354</v>
      </c>
      <c r="Q99">
        <v>4250</v>
      </c>
      <c r="R99">
        <v>37158</v>
      </c>
      <c r="S99">
        <v>24057839.9047984</v>
      </c>
      <c r="T99">
        <v>15814201.7394232</v>
      </c>
      <c r="U99">
        <v>-8243638.1653752504</v>
      </c>
      <c r="V99">
        <v>17556769.257683702</v>
      </c>
      <c r="W99">
        <v>0</v>
      </c>
      <c r="X99">
        <v>548</v>
      </c>
      <c r="Y99">
        <v>3935</v>
      </c>
      <c r="Z99">
        <v>0</v>
      </c>
      <c r="AA99">
        <v>10202497.444713499</v>
      </c>
      <c r="AB99">
        <v>2508838.65</v>
      </c>
      <c r="AC99" s="12">
        <f t="shared" si="1"/>
        <v>7693658.794713499</v>
      </c>
      <c r="AD99">
        <v>15</v>
      </c>
      <c r="AE99">
        <v>214</v>
      </c>
      <c r="AF99" t="b">
        <v>1</v>
      </c>
    </row>
    <row r="100" spans="1:32" x14ac:dyDescent="0.2">
      <c r="A100">
        <v>10</v>
      </c>
      <c r="B100">
        <v>188</v>
      </c>
      <c r="C100">
        <v>15</v>
      </c>
      <c r="D100">
        <v>3</v>
      </c>
      <c r="E100">
        <v>3</v>
      </c>
      <c r="F100">
        <v>15</v>
      </c>
      <c r="G100">
        <v>15</v>
      </c>
      <c r="H100">
        <v>45.06</v>
      </c>
      <c r="I100">
        <v>49.35</v>
      </c>
      <c r="J100">
        <v>0.4</v>
      </c>
      <c r="K100">
        <v>84943</v>
      </c>
      <c r="L100">
        <v>86333</v>
      </c>
      <c r="M100">
        <v>27702</v>
      </c>
      <c r="N100">
        <v>11623</v>
      </c>
      <c r="O100">
        <v>5512</v>
      </c>
      <c r="P100">
        <v>45517</v>
      </c>
      <c r="Q100">
        <v>4136</v>
      </c>
      <c r="R100">
        <v>37391</v>
      </c>
      <c r="S100">
        <v>23195320.563554499</v>
      </c>
      <c r="T100">
        <v>5085287.3035008302</v>
      </c>
      <c r="U100">
        <v>-18110033.260053702</v>
      </c>
      <c r="V100">
        <v>8661396.5655684192</v>
      </c>
      <c r="W100">
        <v>0</v>
      </c>
      <c r="X100">
        <v>2735</v>
      </c>
      <c r="Y100">
        <v>2027</v>
      </c>
      <c r="Z100">
        <v>0</v>
      </c>
      <c r="AA100">
        <v>263590.85726512503</v>
      </c>
      <c r="AB100">
        <v>2508838.65</v>
      </c>
      <c r="AC100" s="12">
        <f t="shared" si="1"/>
        <v>-2245247.7927348749</v>
      </c>
      <c r="AD100">
        <v>15</v>
      </c>
      <c r="AE100">
        <v>368</v>
      </c>
      <c r="AF100" t="b">
        <v>1</v>
      </c>
    </row>
    <row r="101" spans="1:32" x14ac:dyDescent="0.2">
      <c r="A101">
        <v>10</v>
      </c>
      <c r="B101">
        <v>188</v>
      </c>
      <c r="C101">
        <v>15</v>
      </c>
      <c r="D101">
        <v>3</v>
      </c>
      <c r="E101">
        <v>3</v>
      </c>
      <c r="F101">
        <v>15</v>
      </c>
      <c r="G101">
        <v>15</v>
      </c>
      <c r="H101">
        <v>90.12</v>
      </c>
      <c r="I101">
        <v>98.7</v>
      </c>
      <c r="J101">
        <v>0.4</v>
      </c>
      <c r="K101">
        <v>84943</v>
      </c>
      <c r="L101">
        <v>86333</v>
      </c>
      <c r="M101">
        <v>27702</v>
      </c>
      <c r="N101">
        <v>11623</v>
      </c>
      <c r="O101">
        <v>5512</v>
      </c>
      <c r="P101">
        <v>45517</v>
      </c>
      <c r="Q101">
        <v>4136</v>
      </c>
      <c r="R101">
        <v>37391</v>
      </c>
      <c r="S101">
        <v>23195320.563554499</v>
      </c>
      <c r="T101">
        <v>7661735.95700166</v>
      </c>
      <c r="U101">
        <v>-15533584.606552901</v>
      </c>
      <c r="V101">
        <v>8661396.5655684192</v>
      </c>
      <c r="W101">
        <v>0</v>
      </c>
      <c r="X101">
        <v>2735</v>
      </c>
      <c r="Y101">
        <v>2027</v>
      </c>
      <c r="Z101">
        <v>0</v>
      </c>
      <c r="AA101">
        <v>527181.71453025099</v>
      </c>
      <c r="AB101">
        <v>2508838.65</v>
      </c>
      <c r="AC101" s="12">
        <f t="shared" si="1"/>
        <v>-1981656.9354697489</v>
      </c>
      <c r="AD101">
        <v>15</v>
      </c>
      <c r="AE101">
        <v>368</v>
      </c>
      <c r="AF101" t="b">
        <v>1</v>
      </c>
    </row>
    <row r="102" spans="1:32" x14ac:dyDescent="0.2">
      <c r="A102">
        <v>10</v>
      </c>
      <c r="B102">
        <v>188</v>
      </c>
      <c r="C102">
        <v>15</v>
      </c>
      <c r="D102">
        <v>3</v>
      </c>
      <c r="E102">
        <v>1</v>
      </c>
      <c r="F102">
        <v>30</v>
      </c>
      <c r="G102">
        <v>15</v>
      </c>
      <c r="H102">
        <v>45.06</v>
      </c>
      <c r="I102">
        <v>49.35</v>
      </c>
      <c r="J102">
        <v>0.4</v>
      </c>
      <c r="K102">
        <v>84746</v>
      </c>
      <c r="L102">
        <v>86908</v>
      </c>
      <c r="M102">
        <v>28183</v>
      </c>
      <c r="N102">
        <v>11670</v>
      </c>
      <c r="O102">
        <v>5565</v>
      </c>
      <c r="P102">
        <v>45484</v>
      </c>
      <c r="Q102">
        <v>4210</v>
      </c>
      <c r="R102">
        <v>37365</v>
      </c>
      <c r="S102">
        <v>24123753.946350999</v>
      </c>
      <c r="T102">
        <v>9031525.2827892601</v>
      </c>
      <c r="U102">
        <v>-15092228.6635617</v>
      </c>
      <c r="V102">
        <v>17566759.0786612</v>
      </c>
      <c r="W102">
        <v>0</v>
      </c>
      <c r="X102">
        <v>559</v>
      </c>
      <c r="Y102">
        <v>3936</v>
      </c>
      <c r="Z102">
        <v>0</v>
      </c>
      <c r="AA102">
        <v>4918770.3923097104</v>
      </c>
      <c r="AB102">
        <v>2508838.65</v>
      </c>
      <c r="AC102" s="12">
        <f t="shared" si="1"/>
        <v>2409931.7423097105</v>
      </c>
      <c r="AD102">
        <v>15</v>
      </c>
      <c r="AE102">
        <v>215</v>
      </c>
      <c r="AF102" t="b">
        <v>1</v>
      </c>
    </row>
    <row r="103" spans="1:32" x14ac:dyDescent="0.2">
      <c r="A103">
        <v>10</v>
      </c>
      <c r="B103">
        <v>188</v>
      </c>
      <c r="C103">
        <v>15</v>
      </c>
      <c r="D103">
        <v>3</v>
      </c>
      <c r="E103">
        <v>1</v>
      </c>
      <c r="F103">
        <v>30</v>
      </c>
      <c r="G103">
        <v>15</v>
      </c>
      <c r="H103">
        <v>90.12</v>
      </c>
      <c r="I103">
        <v>98.7</v>
      </c>
      <c r="J103">
        <v>0.4</v>
      </c>
      <c r="K103">
        <v>84746</v>
      </c>
      <c r="L103">
        <v>86908</v>
      </c>
      <c r="M103">
        <v>28183</v>
      </c>
      <c r="N103">
        <v>11670</v>
      </c>
      <c r="O103">
        <v>5565</v>
      </c>
      <c r="P103">
        <v>45484</v>
      </c>
      <c r="Q103">
        <v>4210</v>
      </c>
      <c r="R103">
        <v>37365</v>
      </c>
      <c r="S103">
        <v>24123753.946350999</v>
      </c>
      <c r="T103">
        <v>15554211.915578499</v>
      </c>
      <c r="U103">
        <v>-8569542.0307724606</v>
      </c>
      <c r="V103">
        <v>17566759.0786612</v>
      </c>
      <c r="W103">
        <v>0</v>
      </c>
      <c r="X103">
        <v>559</v>
      </c>
      <c r="Y103">
        <v>3936</v>
      </c>
      <c r="Z103">
        <v>0</v>
      </c>
      <c r="AA103">
        <v>9837540.7846194301</v>
      </c>
      <c r="AB103">
        <v>2508838.65</v>
      </c>
      <c r="AC103" s="12">
        <f t="shared" si="1"/>
        <v>7328702.1346194297</v>
      </c>
      <c r="AD103">
        <v>15</v>
      </c>
      <c r="AE103">
        <v>215</v>
      </c>
      <c r="AF103" t="b">
        <v>1</v>
      </c>
    </row>
    <row r="104" spans="1:32" x14ac:dyDescent="0.2">
      <c r="A104">
        <v>10</v>
      </c>
      <c r="B104">
        <v>188</v>
      </c>
      <c r="C104">
        <v>15</v>
      </c>
      <c r="D104">
        <v>3</v>
      </c>
      <c r="E104">
        <v>1</v>
      </c>
      <c r="F104">
        <v>15</v>
      </c>
      <c r="G104">
        <v>15</v>
      </c>
      <c r="H104">
        <v>45.06</v>
      </c>
      <c r="I104">
        <v>49.35</v>
      </c>
      <c r="J104">
        <v>0.4</v>
      </c>
      <c r="K104">
        <v>84713</v>
      </c>
      <c r="L104">
        <v>86300</v>
      </c>
      <c r="M104">
        <v>27907</v>
      </c>
      <c r="N104">
        <v>11583</v>
      </c>
      <c r="O104">
        <v>5599</v>
      </c>
      <c r="P104">
        <v>45585</v>
      </c>
      <c r="Q104">
        <v>4170</v>
      </c>
      <c r="R104">
        <v>37381</v>
      </c>
      <c r="S104">
        <v>23136908.800283398</v>
      </c>
      <c r="T104">
        <v>5085287.3035008302</v>
      </c>
      <c r="U104">
        <v>-18051621.496782601</v>
      </c>
      <c r="V104">
        <v>8657005.8868128601</v>
      </c>
      <c r="W104">
        <v>0</v>
      </c>
      <c r="X104">
        <v>2730</v>
      </c>
      <c r="Y104">
        <v>2027</v>
      </c>
      <c r="Z104">
        <v>0</v>
      </c>
      <c r="AA104">
        <v>263590.85726512503</v>
      </c>
      <c r="AB104">
        <v>2508838.65</v>
      </c>
      <c r="AC104" s="12">
        <f t="shared" si="1"/>
        <v>-2245247.7927348749</v>
      </c>
      <c r="AD104">
        <v>15</v>
      </c>
      <c r="AE104">
        <v>365</v>
      </c>
      <c r="AF104" t="b">
        <v>1</v>
      </c>
    </row>
    <row r="105" spans="1:32" x14ac:dyDescent="0.2">
      <c r="A105">
        <v>10</v>
      </c>
      <c r="B105">
        <v>188</v>
      </c>
      <c r="C105">
        <v>15</v>
      </c>
      <c r="D105">
        <v>3</v>
      </c>
      <c r="E105">
        <v>1</v>
      </c>
      <c r="F105">
        <v>15</v>
      </c>
      <c r="G105">
        <v>15</v>
      </c>
      <c r="H105">
        <v>90.12</v>
      </c>
      <c r="I105">
        <v>98.7</v>
      </c>
      <c r="J105">
        <v>0.4</v>
      </c>
      <c r="K105">
        <v>84713</v>
      </c>
      <c r="L105">
        <v>86300</v>
      </c>
      <c r="M105">
        <v>27907</v>
      </c>
      <c r="N105">
        <v>11583</v>
      </c>
      <c r="O105">
        <v>5599</v>
      </c>
      <c r="P105">
        <v>45585</v>
      </c>
      <c r="Q105">
        <v>4170</v>
      </c>
      <c r="R105">
        <v>37381</v>
      </c>
      <c r="S105">
        <v>23136908.800283398</v>
      </c>
      <c r="T105">
        <v>7661735.95700166</v>
      </c>
      <c r="U105">
        <v>-15475172.843281699</v>
      </c>
      <c r="V105">
        <v>8657005.8868128601</v>
      </c>
      <c r="W105">
        <v>0</v>
      </c>
      <c r="X105">
        <v>2730</v>
      </c>
      <c r="Y105">
        <v>2027</v>
      </c>
      <c r="Z105">
        <v>0</v>
      </c>
      <c r="AA105">
        <v>527181.71453025099</v>
      </c>
      <c r="AB105">
        <v>2508838.65</v>
      </c>
      <c r="AC105" s="12">
        <f t="shared" si="1"/>
        <v>-1981656.9354697489</v>
      </c>
      <c r="AD105">
        <v>15</v>
      </c>
      <c r="AE105">
        <v>365</v>
      </c>
      <c r="AF105" t="b">
        <v>1</v>
      </c>
    </row>
    <row r="106" spans="1:32" x14ac:dyDescent="0.2">
      <c r="A106">
        <v>10</v>
      </c>
      <c r="B106">
        <v>188</v>
      </c>
      <c r="C106">
        <v>15</v>
      </c>
      <c r="D106">
        <v>1</v>
      </c>
      <c r="E106">
        <v>3</v>
      </c>
      <c r="F106">
        <v>30</v>
      </c>
      <c r="G106">
        <v>15</v>
      </c>
      <c r="H106">
        <v>45.06</v>
      </c>
      <c r="I106">
        <v>49.35</v>
      </c>
      <c r="J106">
        <v>0.4</v>
      </c>
      <c r="K106">
        <v>84896</v>
      </c>
      <c r="L106">
        <v>86534</v>
      </c>
      <c r="M106">
        <v>27974</v>
      </c>
      <c r="N106">
        <v>11672</v>
      </c>
      <c r="O106">
        <v>5553</v>
      </c>
      <c r="P106">
        <v>45411</v>
      </c>
      <c r="Q106">
        <v>4144</v>
      </c>
      <c r="R106">
        <v>37248</v>
      </c>
      <c r="S106">
        <v>22974120.0590459</v>
      </c>
      <c r="T106">
        <v>9191680.1855714004</v>
      </c>
      <c r="U106">
        <v>-13782439.873474499</v>
      </c>
      <c r="V106">
        <v>17553035.890249901</v>
      </c>
      <c r="W106">
        <v>0</v>
      </c>
      <c r="X106">
        <v>323</v>
      </c>
      <c r="Y106">
        <v>3828</v>
      </c>
      <c r="Z106">
        <v>0</v>
      </c>
      <c r="AA106">
        <v>5818524.6957065295</v>
      </c>
      <c r="AB106">
        <v>2508838.65</v>
      </c>
      <c r="AC106" s="12">
        <f t="shared" si="1"/>
        <v>3309686.0457065296</v>
      </c>
      <c r="AD106">
        <v>15</v>
      </c>
      <c r="AE106">
        <v>196</v>
      </c>
      <c r="AF106" t="b">
        <v>1</v>
      </c>
    </row>
    <row r="107" spans="1:32" x14ac:dyDescent="0.2">
      <c r="A107">
        <v>10</v>
      </c>
      <c r="B107">
        <v>188</v>
      </c>
      <c r="C107">
        <v>15</v>
      </c>
      <c r="D107">
        <v>1</v>
      </c>
      <c r="E107">
        <v>3</v>
      </c>
      <c r="F107">
        <v>30</v>
      </c>
      <c r="G107">
        <v>15</v>
      </c>
      <c r="H107">
        <v>90.12</v>
      </c>
      <c r="I107">
        <v>98.7</v>
      </c>
      <c r="J107">
        <v>0.4</v>
      </c>
      <c r="K107">
        <v>84896</v>
      </c>
      <c r="L107">
        <v>86534</v>
      </c>
      <c r="M107">
        <v>27974</v>
      </c>
      <c r="N107">
        <v>11672</v>
      </c>
      <c r="O107">
        <v>5553</v>
      </c>
      <c r="P107">
        <v>45411</v>
      </c>
      <c r="Q107">
        <v>4144</v>
      </c>
      <c r="R107">
        <v>37248</v>
      </c>
      <c r="S107">
        <v>22974120.0590459</v>
      </c>
      <c r="T107">
        <v>15874521.721142801</v>
      </c>
      <c r="U107">
        <v>-7099598.3379031699</v>
      </c>
      <c r="V107">
        <v>17553035.890249901</v>
      </c>
      <c r="W107">
        <v>0</v>
      </c>
      <c r="X107">
        <v>323</v>
      </c>
      <c r="Y107">
        <v>3828</v>
      </c>
      <c r="Z107">
        <v>0</v>
      </c>
      <c r="AA107">
        <v>11637049.391412999</v>
      </c>
      <c r="AB107">
        <v>2508838.65</v>
      </c>
      <c r="AC107" s="12">
        <f t="shared" si="1"/>
        <v>9128210.7414129991</v>
      </c>
      <c r="AD107">
        <v>15</v>
      </c>
      <c r="AE107">
        <v>196</v>
      </c>
      <c r="AF107" t="b">
        <v>1</v>
      </c>
    </row>
    <row r="108" spans="1:32" x14ac:dyDescent="0.2">
      <c r="A108">
        <v>10</v>
      </c>
      <c r="B108">
        <v>188</v>
      </c>
      <c r="C108">
        <v>15</v>
      </c>
      <c r="D108">
        <v>1</v>
      </c>
      <c r="E108">
        <v>3</v>
      </c>
      <c r="F108">
        <v>15</v>
      </c>
      <c r="G108">
        <v>15</v>
      </c>
      <c r="H108">
        <v>45.06</v>
      </c>
      <c r="I108">
        <v>49.35</v>
      </c>
      <c r="J108">
        <v>0.4</v>
      </c>
      <c r="K108">
        <v>84506</v>
      </c>
      <c r="L108">
        <v>85645</v>
      </c>
      <c r="M108">
        <v>27733</v>
      </c>
      <c r="N108">
        <v>11628</v>
      </c>
      <c r="O108">
        <v>5502</v>
      </c>
      <c r="P108">
        <v>45454</v>
      </c>
      <c r="Q108">
        <v>4137</v>
      </c>
      <c r="R108">
        <v>37363</v>
      </c>
      <c r="S108">
        <v>21934722.476093698</v>
      </c>
      <c r="T108">
        <v>5133066.3226815602</v>
      </c>
      <c r="U108">
        <v>-16801656.1534121</v>
      </c>
      <c r="V108">
        <v>9072025.7918600999</v>
      </c>
      <c r="W108">
        <v>0</v>
      </c>
      <c r="X108">
        <v>2437</v>
      </c>
      <c r="Y108">
        <v>1974</v>
      </c>
      <c r="Z108">
        <v>0</v>
      </c>
      <c r="AA108">
        <v>1013510.6491934099</v>
      </c>
      <c r="AB108">
        <v>2508838.65</v>
      </c>
      <c r="AC108" s="12">
        <f t="shared" si="1"/>
        <v>-1495328.0008065901</v>
      </c>
      <c r="AD108">
        <v>15</v>
      </c>
      <c r="AE108">
        <v>342</v>
      </c>
      <c r="AF108" t="b">
        <v>1</v>
      </c>
    </row>
    <row r="109" spans="1:32" x14ac:dyDescent="0.2">
      <c r="A109">
        <v>10</v>
      </c>
      <c r="B109">
        <v>188</v>
      </c>
      <c r="C109">
        <v>15</v>
      </c>
      <c r="D109">
        <v>1</v>
      </c>
      <c r="E109">
        <v>3</v>
      </c>
      <c r="F109">
        <v>15</v>
      </c>
      <c r="G109">
        <v>15</v>
      </c>
      <c r="H109">
        <v>90.12</v>
      </c>
      <c r="I109">
        <v>98.7</v>
      </c>
      <c r="J109">
        <v>0.4</v>
      </c>
      <c r="K109">
        <v>84506</v>
      </c>
      <c r="L109">
        <v>85645</v>
      </c>
      <c r="M109">
        <v>27733</v>
      </c>
      <c r="N109">
        <v>11628</v>
      </c>
      <c r="O109">
        <v>5502</v>
      </c>
      <c r="P109">
        <v>45454</v>
      </c>
      <c r="Q109">
        <v>4137</v>
      </c>
      <c r="R109">
        <v>37363</v>
      </c>
      <c r="S109">
        <v>21934722.476093698</v>
      </c>
      <c r="T109">
        <v>7757293.9953631302</v>
      </c>
      <c r="U109">
        <v>-14177428.4807305</v>
      </c>
      <c r="V109">
        <v>9072025.7918600999</v>
      </c>
      <c r="W109">
        <v>0</v>
      </c>
      <c r="X109">
        <v>2437</v>
      </c>
      <c r="Y109">
        <v>1974</v>
      </c>
      <c r="Z109">
        <v>0</v>
      </c>
      <c r="AA109">
        <v>2027021.2983868299</v>
      </c>
      <c r="AB109">
        <v>2508838.65</v>
      </c>
      <c r="AC109" s="12">
        <f t="shared" si="1"/>
        <v>-481817.35161317</v>
      </c>
      <c r="AD109">
        <v>15</v>
      </c>
      <c r="AE109">
        <v>342</v>
      </c>
      <c r="AF109" t="b">
        <v>1</v>
      </c>
    </row>
    <row r="110" spans="1:32" x14ac:dyDescent="0.2">
      <c r="A110">
        <v>10</v>
      </c>
      <c r="B110">
        <v>188</v>
      </c>
      <c r="C110">
        <v>15</v>
      </c>
      <c r="D110">
        <v>1</v>
      </c>
      <c r="E110">
        <v>1</v>
      </c>
      <c r="F110">
        <v>30</v>
      </c>
      <c r="G110">
        <v>15</v>
      </c>
      <c r="H110">
        <v>45.06</v>
      </c>
      <c r="I110">
        <v>49.35</v>
      </c>
      <c r="J110">
        <v>0.4</v>
      </c>
      <c r="K110">
        <v>85135</v>
      </c>
      <c r="L110">
        <v>86803</v>
      </c>
      <c r="M110">
        <v>27973</v>
      </c>
      <c r="N110">
        <v>11689</v>
      </c>
      <c r="O110">
        <v>5478</v>
      </c>
      <c r="P110">
        <v>45268</v>
      </c>
      <c r="Q110">
        <v>4116</v>
      </c>
      <c r="R110">
        <v>37274</v>
      </c>
      <c r="S110">
        <v>22619000.3578934</v>
      </c>
      <c r="T110">
        <v>8590907.1380020306</v>
      </c>
      <c r="U110">
        <v>-14028093.219891399</v>
      </c>
      <c r="V110">
        <v>17741504.7509268</v>
      </c>
      <c r="W110">
        <v>0</v>
      </c>
      <c r="X110">
        <v>319</v>
      </c>
      <c r="Y110">
        <v>3830</v>
      </c>
      <c r="Z110">
        <v>0</v>
      </c>
      <c r="AA110">
        <v>5017493.9656140497</v>
      </c>
      <c r="AB110">
        <v>2508838.65</v>
      </c>
      <c r="AC110" s="12">
        <f t="shared" si="1"/>
        <v>2508655.3156140498</v>
      </c>
      <c r="AD110">
        <v>15</v>
      </c>
      <c r="AE110">
        <v>213</v>
      </c>
      <c r="AF110" t="b">
        <v>1</v>
      </c>
    </row>
    <row r="111" spans="1:32" x14ac:dyDescent="0.2">
      <c r="A111">
        <v>10</v>
      </c>
      <c r="B111">
        <v>188</v>
      </c>
      <c r="C111">
        <v>15</v>
      </c>
      <c r="D111">
        <v>1</v>
      </c>
      <c r="E111">
        <v>1</v>
      </c>
      <c r="F111">
        <v>30</v>
      </c>
      <c r="G111">
        <v>15</v>
      </c>
      <c r="H111">
        <v>90.12</v>
      </c>
      <c r="I111">
        <v>98.7</v>
      </c>
      <c r="J111">
        <v>0.4</v>
      </c>
      <c r="K111">
        <v>85135</v>
      </c>
      <c r="L111">
        <v>86803</v>
      </c>
      <c r="M111">
        <v>27973</v>
      </c>
      <c r="N111">
        <v>11689</v>
      </c>
      <c r="O111">
        <v>5478</v>
      </c>
      <c r="P111">
        <v>45268</v>
      </c>
      <c r="Q111">
        <v>4116</v>
      </c>
      <c r="R111">
        <v>37274</v>
      </c>
      <c r="S111">
        <v>22619000.3578934</v>
      </c>
      <c r="T111">
        <v>14672975.626003999</v>
      </c>
      <c r="U111">
        <v>-7946024.7318893801</v>
      </c>
      <c r="V111">
        <v>17741504.7509268</v>
      </c>
      <c r="W111">
        <v>0</v>
      </c>
      <c r="X111">
        <v>319</v>
      </c>
      <c r="Y111">
        <v>3830</v>
      </c>
      <c r="Z111">
        <v>0</v>
      </c>
      <c r="AA111">
        <v>10034987.931228099</v>
      </c>
      <c r="AB111">
        <v>2508838.65</v>
      </c>
      <c r="AC111" s="12">
        <f t="shared" si="1"/>
        <v>7526149.281228099</v>
      </c>
      <c r="AD111">
        <v>15</v>
      </c>
      <c r="AE111">
        <v>213</v>
      </c>
      <c r="AF111" t="b">
        <v>1</v>
      </c>
    </row>
    <row r="112" spans="1:32" x14ac:dyDescent="0.2">
      <c r="A112">
        <v>10</v>
      </c>
      <c r="B112">
        <v>188</v>
      </c>
      <c r="C112">
        <v>15</v>
      </c>
      <c r="D112">
        <v>1</v>
      </c>
      <c r="E112">
        <v>1</v>
      </c>
      <c r="F112">
        <v>15</v>
      </c>
      <c r="G112">
        <v>15</v>
      </c>
      <c r="H112">
        <v>45.06</v>
      </c>
      <c r="I112">
        <v>49.35</v>
      </c>
      <c r="J112">
        <v>0.4</v>
      </c>
      <c r="K112">
        <v>84625</v>
      </c>
      <c r="L112">
        <v>85810</v>
      </c>
      <c r="M112">
        <v>27925</v>
      </c>
      <c r="N112">
        <v>11621</v>
      </c>
      <c r="O112">
        <v>5524</v>
      </c>
      <c r="P112">
        <v>45346</v>
      </c>
      <c r="Q112">
        <v>4163</v>
      </c>
      <c r="R112">
        <v>37277</v>
      </c>
      <c r="S112">
        <v>21967555.9134381</v>
      </c>
      <c r="T112">
        <v>5426475.3809533603</v>
      </c>
      <c r="U112">
        <v>-16541080.532484701</v>
      </c>
      <c r="V112">
        <v>9056949.7590545397</v>
      </c>
      <c r="W112">
        <v>0</v>
      </c>
      <c r="X112">
        <v>2429</v>
      </c>
      <c r="Y112">
        <v>1974</v>
      </c>
      <c r="Z112">
        <v>0</v>
      </c>
      <c r="AA112">
        <v>1404722.72688914</v>
      </c>
      <c r="AB112">
        <v>2508838.65</v>
      </c>
      <c r="AC112" s="12">
        <f t="shared" si="1"/>
        <v>-1104115.9231108599</v>
      </c>
      <c r="AD112">
        <v>15</v>
      </c>
      <c r="AE112">
        <v>330</v>
      </c>
      <c r="AF112" t="b">
        <v>1</v>
      </c>
    </row>
    <row r="113" spans="1:32" x14ac:dyDescent="0.2">
      <c r="A113">
        <v>10</v>
      </c>
      <c r="B113">
        <v>188</v>
      </c>
      <c r="C113">
        <v>15</v>
      </c>
      <c r="D113">
        <v>1</v>
      </c>
      <c r="E113">
        <v>1</v>
      </c>
      <c r="F113">
        <v>15</v>
      </c>
      <c r="G113">
        <v>15</v>
      </c>
      <c r="H113">
        <v>90.12</v>
      </c>
      <c r="I113">
        <v>98.7</v>
      </c>
      <c r="J113">
        <v>0.4</v>
      </c>
      <c r="K113">
        <v>84625</v>
      </c>
      <c r="L113">
        <v>85810</v>
      </c>
      <c r="M113">
        <v>27925</v>
      </c>
      <c r="N113">
        <v>11621</v>
      </c>
      <c r="O113">
        <v>5524</v>
      </c>
      <c r="P113">
        <v>45346</v>
      </c>
      <c r="Q113">
        <v>4163</v>
      </c>
      <c r="R113">
        <v>37277</v>
      </c>
      <c r="S113">
        <v>21967555.9134381</v>
      </c>
      <c r="T113">
        <v>8344112.1119067203</v>
      </c>
      <c r="U113">
        <v>-13623443.801531401</v>
      </c>
      <c r="V113">
        <v>9056949.7590545397</v>
      </c>
      <c r="W113">
        <v>0</v>
      </c>
      <c r="X113">
        <v>2429</v>
      </c>
      <c r="Y113">
        <v>1974</v>
      </c>
      <c r="Z113">
        <v>0</v>
      </c>
      <c r="AA113">
        <v>2809445.4537782799</v>
      </c>
      <c r="AB113">
        <v>2508838.65</v>
      </c>
      <c r="AC113" s="12">
        <f t="shared" si="1"/>
        <v>300606.80377828004</v>
      </c>
      <c r="AD113">
        <v>15</v>
      </c>
      <c r="AE113">
        <v>330</v>
      </c>
      <c r="AF113" t="b">
        <v>1</v>
      </c>
    </row>
    <row r="114" spans="1:32" x14ac:dyDescent="0.2">
      <c r="A114">
        <v>10</v>
      </c>
      <c r="B114">
        <v>128</v>
      </c>
      <c r="C114">
        <v>10</v>
      </c>
      <c r="D114">
        <v>3</v>
      </c>
      <c r="E114">
        <v>3</v>
      </c>
      <c r="F114">
        <v>30</v>
      </c>
      <c r="G114">
        <v>15</v>
      </c>
      <c r="H114">
        <v>45.06</v>
      </c>
      <c r="I114">
        <v>49.35</v>
      </c>
      <c r="J114">
        <v>0.4</v>
      </c>
      <c r="K114">
        <v>76343</v>
      </c>
      <c r="L114">
        <v>55616</v>
      </c>
      <c r="M114">
        <v>34398</v>
      </c>
      <c r="N114">
        <v>10370</v>
      </c>
      <c r="O114">
        <v>22865</v>
      </c>
      <c r="P114">
        <v>31042</v>
      </c>
      <c r="Q114">
        <v>8339</v>
      </c>
      <c r="R114">
        <v>35392</v>
      </c>
      <c r="S114">
        <v>17608990.937100299</v>
      </c>
      <c r="T114">
        <v>8463610.4105313793</v>
      </c>
      <c r="U114">
        <v>-9145380.5265689604</v>
      </c>
      <c r="V114">
        <v>11740859.987288101</v>
      </c>
      <c r="W114">
        <v>0</v>
      </c>
      <c r="X114">
        <v>398</v>
      </c>
      <c r="Y114">
        <v>2613</v>
      </c>
      <c r="Z114">
        <v>0</v>
      </c>
      <c r="AA114">
        <v>5417206.6717728097</v>
      </c>
      <c r="AB114">
        <v>1708694.3999999899</v>
      </c>
      <c r="AC114" s="12">
        <f t="shared" si="1"/>
        <v>3708512.2717728196</v>
      </c>
      <c r="AD114">
        <v>15</v>
      </c>
      <c r="AE114">
        <v>124</v>
      </c>
      <c r="AF114" t="b">
        <v>1</v>
      </c>
    </row>
    <row r="115" spans="1:32" x14ac:dyDescent="0.2">
      <c r="A115">
        <v>10</v>
      </c>
      <c r="B115">
        <v>128</v>
      </c>
      <c r="C115">
        <v>10</v>
      </c>
      <c r="D115">
        <v>3</v>
      </c>
      <c r="E115">
        <v>3</v>
      </c>
      <c r="F115">
        <v>30</v>
      </c>
      <c r="G115">
        <v>15</v>
      </c>
      <c r="H115">
        <v>90.12</v>
      </c>
      <c r="I115">
        <v>98.7</v>
      </c>
      <c r="J115">
        <v>0.4</v>
      </c>
      <c r="K115">
        <v>76343</v>
      </c>
      <c r="L115">
        <v>55616</v>
      </c>
      <c r="M115">
        <v>34398</v>
      </c>
      <c r="N115">
        <v>10370</v>
      </c>
      <c r="O115">
        <v>22865</v>
      </c>
      <c r="P115">
        <v>31042</v>
      </c>
      <c r="Q115">
        <v>8339</v>
      </c>
      <c r="R115">
        <v>35392</v>
      </c>
      <c r="S115">
        <v>17608990.937100299</v>
      </c>
      <c r="T115">
        <v>15218526.4210627</v>
      </c>
      <c r="U115">
        <v>-2390464.5160375698</v>
      </c>
      <c r="V115">
        <v>11740859.987288101</v>
      </c>
      <c r="W115">
        <v>0</v>
      </c>
      <c r="X115">
        <v>398</v>
      </c>
      <c r="Y115">
        <v>2613</v>
      </c>
      <c r="Z115">
        <v>0</v>
      </c>
      <c r="AA115">
        <v>10834413.343545601</v>
      </c>
      <c r="AB115">
        <v>1708694.3999999899</v>
      </c>
      <c r="AC115" s="12">
        <f t="shared" si="1"/>
        <v>9125718.9435456116</v>
      </c>
      <c r="AD115">
        <v>15</v>
      </c>
      <c r="AE115">
        <v>124</v>
      </c>
      <c r="AF115" t="b">
        <v>1</v>
      </c>
    </row>
    <row r="116" spans="1:32" x14ac:dyDescent="0.2">
      <c r="A116">
        <v>10</v>
      </c>
      <c r="B116">
        <v>128</v>
      </c>
      <c r="C116">
        <v>10</v>
      </c>
      <c r="D116">
        <v>3</v>
      </c>
      <c r="E116">
        <v>3</v>
      </c>
      <c r="F116">
        <v>15</v>
      </c>
      <c r="G116">
        <v>15</v>
      </c>
      <c r="H116">
        <v>45.06</v>
      </c>
      <c r="I116">
        <v>49.35</v>
      </c>
      <c r="J116">
        <v>0.4</v>
      </c>
      <c r="K116">
        <v>75752</v>
      </c>
      <c r="L116">
        <v>55100</v>
      </c>
      <c r="M116">
        <v>34341</v>
      </c>
      <c r="N116">
        <v>10366</v>
      </c>
      <c r="O116">
        <v>23000</v>
      </c>
      <c r="P116">
        <v>31186</v>
      </c>
      <c r="Q116">
        <v>8429</v>
      </c>
      <c r="R116">
        <v>35632</v>
      </c>
      <c r="S116">
        <v>16809088.3002178</v>
      </c>
      <c r="T116">
        <v>5462502.1744134501</v>
      </c>
      <c r="U116">
        <v>-11346586.125804299</v>
      </c>
      <c r="V116">
        <v>5732650.1778611904</v>
      </c>
      <c r="W116">
        <v>0</v>
      </c>
      <c r="X116">
        <v>1828</v>
      </c>
      <c r="Y116">
        <v>1365</v>
      </c>
      <c r="Z116">
        <v>0</v>
      </c>
      <c r="AA116">
        <v>1933804.24697972</v>
      </c>
      <c r="AB116">
        <v>1708694.3999999899</v>
      </c>
      <c r="AC116" s="12">
        <f t="shared" si="1"/>
        <v>225109.84697973006</v>
      </c>
      <c r="AD116">
        <v>15</v>
      </c>
      <c r="AE116">
        <v>235</v>
      </c>
      <c r="AF116" t="b">
        <v>1</v>
      </c>
    </row>
    <row r="117" spans="1:32" x14ac:dyDescent="0.2">
      <c r="A117">
        <v>10</v>
      </c>
      <c r="B117">
        <v>128</v>
      </c>
      <c r="C117">
        <v>10</v>
      </c>
      <c r="D117">
        <v>3</v>
      </c>
      <c r="E117">
        <v>3</v>
      </c>
      <c r="F117">
        <v>15</v>
      </c>
      <c r="G117">
        <v>15</v>
      </c>
      <c r="H117">
        <v>90.12</v>
      </c>
      <c r="I117">
        <v>98.7</v>
      </c>
      <c r="J117">
        <v>0.4</v>
      </c>
      <c r="K117">
        <v>75752</v>
      </c>
      <c r="L117">
        <v>55100</v>
      </c>
      <c r="M117">
        <v>34341</v>
      </c>
      <c r="N117">
        <v>10366</v>
      </c>
      <c r="O117">
        <v>23000</v>
      </c>
      <c r="P117">
        <v>31186</v>
      </c>
      <c r="Q117">
        <v>8429</v>
      </c>
      <c r="R117">
        <v>35632</v>
      </c>
      <c r="S117">
        <v>16809088.3002178</v>
      </c>
      <c r="T117">
        <v>9216309.9488269109</v>
      </c>
      <c r="U117">
        <v>-7592778.3513908796</v>
      </c>
      <c r="V117">
        <v>5732650.1778611904</v>
      </c>
      <c r="W117">
        <v>0</v>
      </c>
      <c r="X117">
        <v>1828</v>
      </c>
      <c r="Y117">
        <v>1365</v>
      </c>
      <c r="Z117">
        <v>0</v>
      </c>
      <c r="AA117">
        <v>3867608.4939594399</v>
      </c>
      <c r="AB117">
        <v>1708694.3999999899</v>
      </c>
      <c r="AC117" s="12">
        <f t="shared" si="1"/>
        <v>2158914.0939594498</v>
      </c>
      <c r="AD117">
        <v>15</v>
      </c>
      <c r="AE117">
        <v>235</v>
      </c>
      <c r="AF117" t="b">
        <v>1</v>
      </c>
    </row>
    <row r="118" spans="1:32" x14ac:dyDescent="0.2">
      <c r="A118">
        <v>10</v>
      </c>
      <c r="B118">
        <v>128</v>
      </c>
      <c r="C118">
        <v>10</v>
      </c>
      <c r="D118">
        <v>3</v>
      </c>
      <c r="E118">
        <v>1</v>
      </c>
      <c r="F118">
        <v>30</v>
      </c>
      <c r="G118">
        <v>15</v>
      </c>
      <c r="H118">
        <v>45.06</v>
      </c>
      <c r="I118">
        <v>49.35</v>
      </c>
      <c r="J118">
        <v>0.4</v>
      </c>
      <c r="K118">
        <v>76191</v>
      </c>
      <c r="L118">
        <v>55681</v>
      </c>
      <c r="M118">
        <v>34414</v>
      </c>
      <c r="N118">
        <v>10345</v>
      </c>
      <c r="O118">
        <v>22908</v>
      </c>
      <c r="P118">
        <v>31125</v>
      </c>
      <c r="Q118">
        <v>8325</v>
      </c>
      <c r="R118">
        <v>35489</v>
      </c>
      <c r="S118">
        <v>17339336.035494201</v>
      </c>
      <c r="T118">
        <v>8133495.72926665</v>
      </c>
      <c r="U118">
        <v>-9205840.3062275909</v>
      </c>
      <c r="V118">
        <v>11805669.8585051</v>
      </c>
      <c r="W118">
        <v>0</v>
      </c>
      <c r="X118">
        <v>377</v>
      </c>
      <c r="Y118">
        <v>2621</v>
      </c>
      <c r="Z118">
        <v>0</v>
      </c>
      <c r="AA118">
        <v>4967901.9826025199</v>
      </c>
      <c r="AB118">
        <v>1708694.3999999899</v>
      </c>
      <c r="AC118" s="12">
        <f t="shared" si="1"/>
        <v>3259207.5826025298</v>
      </c>
      <c r="AD118">
        <v>15</v>
      </c>
      <c r="AE118">
        <v>137</v>
      </c>
      <c r="AF118" t="b">
        <v>1</v>
      </c>
    </row>
    <row r="119" spans="1:32" x14ac:dyDescent="0.2">
      <c r="A119">
        <v>10</v>
      </c>
      <c r="B119">
        <v>128</v>
      </c>
      <c r="C119">
        <v>10</v>
      </c>
      <c r="D119">
        <v>3</v>
      </c>
      <c r="E119">
        <v>1</v>
      </c>
      <c r="F119">
        <v>30</v>
      </c>
      <c r="G119">
        <v>15</v>
      </c>
      <c r="H119">
        <v>90.12</v>
      </c>
      <c r="I119">
        <v>98.7</v>
      </c>
      <c r="J119">
        <v>0.4</v>
      </c>
      <c r="K119">
        <v>76191</v>
      </c>
      <c r="L119">
        <v>55681</v>
      </c>
      <c r="M119">
        <v>34414</v>
      </c>
      <c r="N119">
        <v>10345</v>
      </c>
      <c r="O119">
        <v>22908</v>
      </c>
      <c r="P119">
        <v>31125</v>
      </c>
      <c r="Q119">
        <v>8325</v>
      </c>
      <c r="R119">
        <v>35489</v>
      </c>
      <c r="S119">
        <v>17339336.035494201</v>
      </c>
      <c r="T119">
        <v>14558297.0585333</v>
      </c>
      <c r="U119">
        <v>-2781038.9769609398</v>
      </c>
      <c r="V119">
        <v>11805669.8585051</v>
      </c>
      <c r="W119">
        <v>0</v>
      </c>
      <c r="X119">
        <v>377</v>
      </c>
      <c r="Y119">
        <v>2621</v>
      </c>
      <c r="Z119">
        <v>0</v>
      </c>
      <c r="AA119">
        <v>9935803.9652050491</v>
      </c>
      <c r="AB119">
        <v>1708694.3999999899</v>
      </c>
      <c r="AC119" s="12">
        <f t="shared" si="1"/>
        <v>8227109.565205059</v>
      </c>
      <c r="AD119">
        <v>15</v>
      </c>
      <c r="AE119">
        <v>137</v>
      </c>
      <c r="AF119" t="b">
        <v>1</v>
      </c>
    </row>
    <row r="120" spans="1:32" x14ac:dyDescent="0.2">
      <c r="A120">
        <v>10</v>
      </c>
      <c r="B120">
        <v>128</v>
      </c>
      <c r="C120">
        <v>10</v>
      </c>
      <c r="D120">
        <v>3</v>
      </c>
      <c r="E120">
        <v>1</v>
      </c>
      <c r="F120">
        <v>15</v>
      </c>
      <c r="G120">
        <v>15</v>
      </c>
      <c r="H120">
        <v>45.06</v>
      </c>
      <c r="I120">
        <v>49.35</v>
      </c>
      <c r="J120">
        <v>0.4</v>
      </c>
      <c r="K120">
        <v>76133</v>
      </c>
      <c r="L120">
        <v>55054</v>
      </c>
      <c r="M120">
        <v>34309</v>
      </c>
      <c r="N120">
        <v>10376</v>
      </c>
      <c r="O120">
        <v>22904</v>
      </c>
      <c r="P120">
        <v>30901</v>
      </c>
      <c r="Q120">
        <v>8433</v>
      </c>
      <c r="R120">
        <v>35498</v>
      </c>
      <c r="S120">
        <v>16789411.0662141</v>
      </c>
      <c r="T120">
        <v>5421524.1927237799</v>
      </c>
      <c r="U120">
        <v>-11367886.8734903</v>
      </c>
      <c r="V120">
        <v>5876341.6857802104</v>
      </c>
      <c r="W120">
        <v>0</v>
      </c>
      <c r="X120">
        <v>1826</v>
      </c>
      <c r="Y120">
        <v>1363</v>
      </c>
      <c r="Z120">
        <v>0</v>
      </c>
      <c r="AA120">
        <v>1879166.93806015</v>
      </c>
      <c r="AB120">
        <v>1708694.3999999899</v>
      </c>
      <c r="AC120" s="12">
        <f t="shared" si="1"/>
        <v>170472.53806016012</v>
      </c>
      <c r="AD120">
        <v>15</v>
      </c>
      <c r="AE120">
        <v>236</v>
      </c>
      <c r="AF120" t="b">
        <v>1</v>
      </c>
    </row>
    <row r="121" spans="1:32" x14ac:dyDescent="0.2">
      <c r="A121">
        <v>10</v>
      </c>
      <c r="B121">
        <v>128</v>
      </c>
      <c r="C121">
        <v>10</v>
      </c>
      <c r="D121">
        <v>3</v>
      </c>
      <c r="E121">
        <v>1</v>
      </c>
      <c r="F121">
        <v>15</v>
      </c>
      <c r="G121">
        <v>15</v>
      </c>
      <c r="H121">
        <v>90.12</v>
      </c>
      <c r="I121">
        <v>98.7</v>
      </c>
      <c r="J121">
        <v>0.4</v>
      </c>
      <c r="K121">
        <v>76133</v>
      </c>
      <c r="L121">
        <v>55054</v>
      </c>
      <c r="M121">
        <v>34309</v>
      </c>
      <c r="N121">
        <v>10376</v>
      </c>
      <c r="O121">
        <v>22904</v>
      </c>
      <c r="P121">
        <v>30901</v>
      </c>
      <c r="Q121">
        <v>8433</v>
      </c>
      <c r="R121">
        <v>35498</v>
      </c>
      <c r="S121">
        <v>16789411.0662141</v>
      </c>
      <c r="T121">
        <v>9134353.9854475595</v>
      </c>
      <c r="U121">
        <v>-7655057.08076654</v>
      </c>
      <c r="V121">
        <v>5876341.6857802104</v>
      </c>
      <c r="W121">
        <v>0</v>
      </c>
      <c r="X121">
        <v>1826</v>
      </c>
      <c r="Y121">
        <v>1363</v>
      </c>
      <c r="Z121">
        <v>0</v>
      </c>
      <c r="AA121">
        <v>3758333.8761203</v>
      </c>
      <c r="AB121">
        <v>1708694.3999999899</v>
      </c>
      <c r="AC121" s="12">
        <f t="shared" si="1"/>
        <v>2049639.4761203101</v>
      </c>
      <c r="AD121">
        <v>15</v>
      </c>
      <c r="AE121">
        <v>236</v>
      </c>
      <c r="AF121" t="b">
        <v>1</v>
      </c>
    </row>
    <row r="122" spans="1:32" x14ac:dyDescent="0.2">
      <c r="A122">
        <v>10</v>
      </c>
      <c r="B122">
        <v>128</v>
      </c>
      <c r="C122">
        <v>10</v>
      </c>
      <c r="D122">
        <v>1</v>
      </c>
      <c r="E122">
        <v>3</v>
      </c>
      <c r="F122">
        <v>30</v>
      </c>
      <c r="G122">
        <v>15</v>
      </c>
      <c r="H122">
        <v>45.06</v>
      </c>
      <c r="I122">
        <v>49.35</v>
      </c>
      <c r="J122">
        <v>0.4</v>
      </c>
      <c r="K122">
        <v>76203</v>
      </c>
      <c r="L122">
        <v>55456</v>
      </c>
      <c r="M122">
        <v>34499</v>
      </c>
      <c r="N122">
        <v>10377</v>
      </c>
      <c r="O122">
        <v>22902</v>
      </c>
      <c r="P122">
        <v>31045</v>
      </c>
      <c r="Q122">
        <v>8389</v>
      </c>
      <c r="R122">
        <v>35377</v>
      </c>
      <c r="S122">
        <v>16655944.3552683</v>
      </c>
      <c r="T122">
        <v>8381857.0349913603</v>
      </c>
      <c r="U122">
        <v>-8274087.32027693</v>
      </c>
      <c r="V122">
        <v>11803190.1060376</v>
      </c>
      <c r="W122">
        <v>0</v>
      </c>
      <c r="X122">
        <v>263</v>
      </c>
      <c r="Y122">
        <v>2531</v>
      </c>
      <c r="Z122">
        <v>0</v>
      </c>
      <c r="AA122">
        <v>5985264.8232561201</v>
      </c>
      <c r="AB122">
        <v>1708694.3999999899</v>
      </c>
      <c r="AC122" s="12">
        <f t="shared" si="1"/>
        <v>4276570.42325613</v>
      </c>
      <c r="AD122">
        <v>15</v>
      </c>
      <c r="AE122">
        <v>109</v>
      </c>
      <c r="AF122" t="b">
        <v>1</v>
      </c>
    </row>
    <row r="123" spans="1:32" x14ac:dyDescent="0.2">
      <c r="A123">
        <v>10</v>
      </c>
      <c r="B123">
        <v>128</v>
      </c>
      <c r="C123">
        <v>10</v>
      </c>
      <c r="D123">
        <v>1</v>
      </c>
      <c r="E123">
        <v>3</v>
      </c>
      <c r="F123">
        <v>30</v>
      </c>
      <c r="G123">
        <v>15</v>
      </c>
      <c r="H123">
        <v>90.12</v>
      </c>
      <c r="I123">
        <v>98.7</v>
      </c>
      <c r="J123">
        <v>0.4</v>
      </c>
      <c r="K123">
        <v>76203</v>
      </c>
      <c r="L123">
        <v>55456</v>
      </c>
      <c r="M123">
        <v>34499</v>
      </c>
      <c r="N123">
        <v>10377</v>
      </c>
      <c r="O123">
        <v>22902</v>
      </c>
      <c r="P123">
        <v>31045</v>
      </c>
      <c r="Q123">
        <v>8389</v>
      </c>
      <c r="R123">
        <v>35377</v>
      </c>
      <c r="S123">
        <v>16655944.3552683</v>
      </c>
      <c r="T123">
        <v>15055019.6699827</v>
      </c>
      <c r="U123">
        <v>-1600924.6852855601</v>
      </c>
      <c r="V123">
        <v>11803190.1060376</v>
      </c>
      <c r="W123">
        <v>0</v>
      </c>
      <c r="X123">
        <v>263</v>
      </c>
      <c r="Y123">
        <v>2531</v>
      </c>
      <c r="Z123">
        <v>0</v>
      </c>
      <c r="AA123">
        <v>11970529.646512199</v>
      </c>
      <c r="AB123">
        <v>1708694.3999999899</v>
      </c>
      <c r="AC123" s="12">
        <f t="shared" si="1"/>
        <v>10261835.24651221</v>
      </c>
      <c r="AD123">
        <v>15</v>
      </c>
      <c r="AE123">
        <v>109</v>
      </c>
      <c r="AF123" t="b">
        <v>1</v>
      </c>
    </row>
    <row r="124" spans="1:32" x14ac:dyDescent="0.2">
      <c r="A124">
        <v>10</v>
      </c>
      <c r="B124">
        <v>128</v>
      </c>
      <c r="C124">
        <v>10</v>
      </c>
      <c r="D124">
        <v>1</v>
      </c>
      <c r="E124">
        <v>3</v>
      </c>
      <c r="F124">
        <v>15</v>
      </c>
      <c r="G124">
        <v>15</v>
      </c>
      <c r="H124">
        <v>45.06</v>
      </c>
      <c r="I124">
        <v>49.35</v>
      </c>
      <c r="J124">
        <v>0.4</v>
      </c>
      <c r="K124">
        <v>75751</v>
      </c>
      <c r="L124">
        <v>54803</v>
      </c>
      <c r="M124">
        <v>34259</v>
      </c>
      <c r="N124">
        <v>10329</v>
      </c>
      <c r="O124">
        <v>23008</v>
      </c>
      <c r="P124">
        <v>31084</v>
      </c>
      <c r="Q124">
        <v>8354</v>
      </c>
      <c r="R124">
        <v>35595</v>
      </c>
      <c r="S124">
        <v>15791708.7360864</v>
      </c>
      <c r="T124">
        <v>5427287.1122948099</v>
      </c>
      <c r="U124">
        <v>-10364421.6237916</v>
      </c>
      <c r="V124">
        <v>6015859.1128444998</v>
      </c>
      <c r="W124">
        <v>0</v>
      </c>
      <c r="X124">
        <v>1624</v>
      </c>
      <c r="Y124">
        <v>1331</v>
      </c>
      <c r="Z124">
        <v>0</v>
      </c>
      <c r="AA124">
        <v>2573065.2638421701</v>
      </c>
      <c r="AB124">
        <v>1708694.3999999899</v>
      </c>
      <c r="AC124" s="12">
        <f t="shared" si="1"/>
        <v>864370.86384218023</v>
      </c>
      <c r="AD124">
        <v>15</v>
      </c>
      <c r="AE124">
        <v>217</v>
      </c>
      <c r="AF124" t="b">
        <v>1</v>
      </c>
    </row>
    <row r="125" spans="1:32" x14ac:dyDescent="0.2">
      <c r="A125">
        <v>10</v>
      </c>
      <c r="B125">
        <v>128</v>
      </c>
      <c r="C125">
        <v>10</v>
      </c>
      <c r="D125">
        <v>1</v>
      </c>
      <c r="E125">
        <v>3</v>
      </c>
      <c r="F125">
        <v>15</v>
      </c>
      <c r="G125">
        <v>15</v>
      </c>
      <c r="H125">
        <v>90.12</v>
      </c>
      <c r="I125">
        <v>98.7</v>
      </c>
      <c r="J125">
        <v>0.4</v>
      </c>
      <c r="K125">
        <v>75751</v>
      </c>
      <c r="L125">
        <v>54803</v>
      </c>
      <c r="M125">
        <v>34259</v>
      </c>
      <c r="N125">
        <v>10329</v>
      </c>
      <c r="O125">
        <v>23008</v>
      </c>
      <c r="P125">
        <v>31084</v>
      </c>
      <c r="Q125">
        <v>8354</v>
      </c>
      <c r="R125">
        <v>35595</v>
      </c>
      <c r="S125">
        <v>15791708.7360864</v>
      </c>
      <c r="T125">
        <v>9145879.8245896194</v>
      </c>
      <c r="U125">
        <v>-6645828.9114968004</v>
      </c>
      <c r="V125">
        <v>6015859.1128444998</v>
      </c>
      <c r="W125">
        <v>0</v>
      </c>
      <c r="X125">
        <v>1624</v>
      </c>
      <c r="Y125">
        <v>1331</v>
      </c>
      <c r="Z125">
        <v>0</v>
      </c>
      <c r="AA125">
        <v>5146130.5276843403</v>
      </c>
      <c r="AB125">
        <v>1708694.3999999899</v>
      </c>
      <c r="AC125" s="12">
        <f t="shared" si="1"/>
        <v>3437436.1276843501</v>
      </c>
      <c r="AD125">
        <v>15</v>
      </c>
      <c r="AE125">
        <v>217</v>
      </c>
      <c r="AF125" t="b">
        <v>1</v>
      </c>
    </row>
    <row r="126" spans="1:32" x14ac:dyDescent="0.2">
      <c r="A126">
        <v>10</v>
      </c>
      <c r="B126">
        <v>128</v>
      </c>
      <c r="C126">
        <v>10</v>
      </c>
      <c r="D126">
        <v>1</v>
      </c>
      <c r="E126">
        <v>1</v>
      </c>
      <c r="F126">
        <v>30</v>
      </c>
      <c r="G126">
        <v>15</v>
      </c>
      <c r="H126">
        <v>45.06</v>
      </c>
      <c r="I126">
        <v>49.35</v>
      </c>
      <c r="J126">
        <v>0.4</v>
      </c>
      <c r="K126">
        <v>75973</v>
      </c>
      <c r="L126">
        <v>55745</v>
      </c>
      <c r="M126">
        <v>34432</v>
      </c>
      <c r="N126">
        <v>10354</v>
      </c>
      <c r="O126">
        <v>22890</v>
      </c>
      <c r="P126">
        <v>31043</v>
      </c>
      <c r="Q126">
        <v>8304</v>
      </c>
      <c r="R126">
        <v>35557</v>
      </c>
      <c r="S126">
        <v>15762613.1197486</v>
      </c>
      <c r="T126">
        <v>6730642.5088857301</v>
      </c>
      <c r="U126">
        <v>-9031970.6108628996</v>
      </c>
      <c r="V126">
        <v>11771335.7339228</v>
      </c>
      <c r="W126">
        <v>0</v>
      </c>
      <c r="X126">
        <v>267</v>
      </c>
      <c r="Y126">
        <v>2526</v>
      </c>
      <c r="Z126">
        <v>0</v>
      </c>
      <c r="AA126">
        <v>3783645.4551152801</v>
      </c>
      <c r="AB126">
        <v>1708694.3999999899</v>
      </c>
      <c r="AC126" s="12">
        <f t="shared" si="1"/>
        <v>2074951.0551152902</v>
      </c>
      <c r="AD126">
        <v>15</v>
      </c>
      <c r="AE126">
        <v>166</v>
      </c>
      <c r="AF126" t="b">
        <v>1</v>
      </c>
    </row>
    <row r="127" spans="1:32" x14ac:dyDescent="0.2">
      <c r="A127">
        <v>10</v>
      </c>
      <c r="B127">
        <v>128</v>
      </c>
      <c r="C127">
        <v>10</v>
      </c>
      <c r="D127">
        <v>1</v>
      </c>
      <c r="E127">
        <v>1</v>
      </c>
      <c r="F127">
        <v>30</v>
      </c>
      <c r="G127">
        <v>15</v>
      </c>
      <c r="H127">
        <v>90.12</v>
      </c>
      <c r="I127">
        <v>98.7</v>
      </c>
      <c r="J127">
        <v>0.4</v>
      </c>
      <c r="K127">
        <v>75973</v>
      </c>
      <c r="L127">
        <v>55745</v>
      </c>
      <c r="M127">
        <v>34432</v>
      </c>
      <c r="N127">
        <v>10354</v>
      </c>
      <c r="O127">
        <v>22890</v>
      </c>
      <c r="P127">
        <v>31043</v>
      </c>
      <c r="Q127">
        <v>8304</v>
      </c>
      <c r="R127">
        <v>35557</v>
      </c>
      <c r="S127">
        <v>15762613.1197486</v>
      </c>
      <c r="T127">
        <v>11752590.6177714</v>
      </c>
      <c r="U127">
        <v>-4010022.5019771601</v>
      </c>
      <c r="V127">
        <v>11771335.7339228</v>
      </c>
      <c r="W127">
        <v>0</v>
      </c>
      <c r="X127">
        <v>267</v>
      </c>
      <c r="Y127">
        <v>2526</v>
      </c>
      <c r="Z127">
        <v>0</v>
      </c>
      <c r="AA127">
        <v>7567290.9102305602</v>
      </c>
      <c r="AB127">
        <v>1708694.3999999899</v>
      </c>
      <c r="AC127" s="12">
        <f t="shared" si="1"/>
        <v>5858596.5102305701</v>
      </c>
      <c r="AD127">
        <v>15</v>
      </c>
      <c r="AE127">
        <v>166</v>
      </c>
      <c r="AF127" t="b">
        <v>1</v>
      </c>
    </row>
    <row r="128" spans="1:32" x14ac:dyDescent="0.2">
      <c r="A128">
        <v>10</v>
      </c>
      <c r="B128">
        <v>128</v>
      </c>
      <c r="C128">
        <v>10</v>
      </c>
      <c r="D128">
        <v>1</v>
      </c>
      <c r="E128">
        <v>1</v>
      </c>
      <c r="F128">
        <v>15</v>
      </c>
      <c r="G128">
        <v>15</v>
      </c>
      <c r="H128">
        <v>45.06</v>
      </c>
      <c r="I128">
        <v>49.35</v>
      </c>
      <c r="J128">
        <v>0.4</v>
      </c>
      <c r="K128">
        <v>75842</v>
      </c>
      <c r="L128">
        <v>54986</v>
      </c>
      <c r="M128">
        <v>34315</v>
      </c>
      <c r="N128">
        <v>10402</v>
      </c>
      <c r="O128">
        <v>22987</v>
      </c>
      <c r="P128">
        <v>31124</v>
      </c>
      <c r="Q128">
        <v>8439</v>
      </c>
      <c r="R128">
        <v>35690</v>
      </c>
      <c r="S128">
        <v>15798974.8832369</v>
      </c>
      <c r="T128">
        <v>5427287.1122948099</v>
      </c>
      <c r="U128">
        <v>-10371687.770942099</v>
      </c>
      <c r="V128">
        <v>6155691.4903601902</v>
      </c>
      <c r="W128">
        <v>0</v>
      </c>
      <c r="X128">
        <v>1624</v>
      </c>
      <c r="Y128">
        <v>1330</v>
      </c>
      <c r="Z128">
        <v>0</v>
      </c>
      <c r="AA128">
        <v>2573065.2638421701</v>
      </c>
      <c r="AB128">
        <v>1708694.3999999899</v>
      </c>
      <c r="AC128" s="12">
        <f t="shared" si="1"/>
        <v>864370.86384218023</v>
      </c>
      <c r="AD128">
        <v>15</v>
      </c>
      <c r="AE128">
        <v>218</v>
      </c>
      <c r="AF128" t="b">
        <v>1</v>
      </c>
    </row>
    <row r="129" spans="1:32" x14ac:dyDescent="0.2">
      <c r="A129">
        <v>10</v>
      </c>
      <c r="B129">
        <v>128</v>
      </c>
      <c r="C129">
        <v>10</v>
      </c>
      <c r="D129">
        <v>1</v>
      </c>
      <c r="E129">
        <v>1</v>
      </c>
      <c r="F129">
        <v>15</v>
      </c>
      <c r="G129">
        <v>15</v>
      </c>
      <c r="H129">
        <v>90.12</v>
      </c>
      <c r="I129">
        <v>98.7</v>
      </c>
      <c r="J129">
        <v>0.4</v>
      </c>
      <c r="K129">
        <v>75842</v>
      </c>
      <c r="L129">
        <v>54986</v>
      </c>
      <c r="M129">
        <v>34315</v>
      </c>
      <c r="N129">
        <v>10402</v>
      </c>
      <c r="O129">
        <v>22987</v>
      </c>
      <c r="P129">
        <v>31124</v>
      </c>
      <c r="Q129">
        <v>8439</v>
      </c>
      <c r="R129">
        <v>35690</v>
      </c>
      <c r="S129">
        <v>15798974.8832369</v>
      </c>
      <c r="T129">
        <v>9145879.8245896194</v>
      </c>
      <c r="U129">
        <v>-6653095.0586473597</v>
      </c>
      <c r="V129">
        <v>6155691.4903601902</v>
      </c>
      <c r="W129">
        <v>0</v>
      </c>
      <c r="X129">
        <v>1624</v>
      </c>
      <c r="Y129">
        <v>1330</v>
      </c>
      <c r="Z129">
        <v>0</v>
      </c>
      <c r="AA129">
        <v>5146130.5276843403</v>
      </c>
      <c r="AB129">
        <v>1708694.3999999899</v>
      </c>
      <c r="AC129" s="12">
        <f t="shared" si="1"/>
        <v>3437436.1276843501</v>
      </c>
      <c r="AD129">
        <v>15</v>
      </c>
      <c r="AE129">
        <v>218</v>
      </c>
      <c r="AF129" t="b">
        <v>1</v>
      </c>
    </row>
    <row r="130" spans="1:32" x14ac:dyDescent="0.2">
      <c r="A130">
        <v>10</v>
      </c>
      <c r="B130">
        <v>198</v>
      </c>
      <c r="C130">
        <v>15</v>
      </c>
      <c r="D130">
        <v>3</v>
      </c>
      <c r="E130">
        <v>3</v>
      </c>
      <c r="F130">
        <v>30</v>
      </c>
      <c r="G130">
        <v>30</v>
      </c>
      <c r="H130">
        <v>45.06</v>
      </c>
      <c r="I130">
        <v>49.35</v>
      </c>
      <c r="J130">
        <v>0.4</v>
      </c>
      <c r="K130">
        <v>81327</v>
      </c>
      <c r="L130">
        <v>98501</v>
      </c>
      <c r="M130">
        <v>27633</v>
      </c>
      <c r="N130">
        <v>12131</v>
      </c>
      <c r="O130">
        <v>26339</v>
      </c>
      <c r="P130">
        <v>41968</v>
      </c>
      <c r="Q130">
        <v>3537</v>
      </c>
      <c r="R130">
        <v>38051</v>
      </c>
      <c r="S130">
        <v>39851833.748984098</v>
      </c>
      <c r="T130">
        <v>14738333.6806088</v>
      </c>
      <c r="U130">
        <v>-25113500.0683752</v>
      </c>
      <c r="V130">
        <v>18435799.055436</v>
      </c>
      <c r="W130">
        <v>0</v>
      </c>
      <c r="X130">
        <v>3160</v>
      </c>
      <c r="Y130">
        <v>4972</v>
      </c>
      <c r="Z130">
        <v>0</v>
      </c>
      <c r="AA130">
        <v>5063276.17728817</v>
      </c>
      <c r="AB130">
        <v>5017677.3</v>
      </c>
      <c r="AC130" s="12">
        <f t="shared" si="1"/>
        <v>45598.877288170159</v>
      </c>
      <c r="AD130">
        <v>30</v>
      </c>
      <c r="AE130">
        <v>488</v>
      </c>
      <c r="AF130" t="b">
        <v>1</v>
      </c>
    </row>
    <row r="131" spans="1:32" x14ac:dyDescent="0.2">
      <c r="A131">
        <v>10</v>
      </c>
      <c r="B131">
        <v>198</v>
      </c>
      <c r="C131">
        <v>15</v>
      </c>
      <c r="D131">
        <v>3</v>
      </c>
      <c r="E131">
        <v>3</v>
      </c>
      <c r="F131">
        <v>30</v>
      </c>
      <c r="G131">
        <v>30</v>
      </c>
      <c r="H131">
        <v>90.12</v>
      </c>
      <c r="I131">
        <v>98.7</v>
      </c>
      <c r="J131">
        <v>0.4</v>
      </c>
      <c r="K131">
        <v>81327</v>
      </c>
      <c r="L131">
        <v>98501</v>
      </c>
      <c r="M131">
        <v>27633</v>
      </c>
      <c r="N131">
        <v>12131</v>
      </c>
      <c r="O131">
        <v>26339</v>
      </c>
      <c r="P131">
        <v>41968</v>
      </c>
      <c r="Q131">
        <v>3537</v>
      </c>
      <c r="R131">
        <v>38051</v>
      </c>
      <c r="S131">
        <v>39851833.748984098</v>
      </c>
      <c r="T131">
        <v>24458990.061217699</v>
      </c>
      <c r="U131">
        <v>-15392843.687766301</v>
      </c>
      <c r="V131">
        <v>18435799.055436</v>
      </c>
      <c r="W131">
        <v>0</v>
      </c>
      <c r="X131">
        <v>3160</v>
      </c>
      <c r="Y131">
        <v>4972</v>
      </c>
      <c r="Z131">
        <v>0</v>
      </c>
      <c r="AA131">
        <v>10126552.354576301</v>
      </c>
      <c r="AB131">
        <v>5017677.3</v>
      </c>
      <c r="AC131" s="12">
        <f t="shared" ref="AC131:AC191" si="2">AA131-AB131</f>
        <v>5108875.054576301</v>
      </c>
      <c r="AD131">
        <v>30</v>
      </c>
      <c r="AE131">
        <v>488</v>
      </c>
      <c r="AF131" t="b">
        <v>1</v>
      </c>
    </row>
    <row r="132" spans="1:32" x14ac:dyDescent="0.2">
      <c r="A132">
        <v>10</v>
      </c>
      <c r="B132">
        <v>199</v>
      </c>
      <c r="C132">
        <v>15</v>
      </c>
      <c r="D132">
        <v>3</v>
      </c>
      <c r="E132">
        <v>3</v>
      </c>
      <c r="F132">
        <v>15</v>
      </c>
      <c r="G132">
        <v>30</v>
      </c>
      <c r="H132">
        <v>45.06</v>
      </c>
      <c r="I132">
        <v>49.35</v>
      </c>
      <c r="J132">
        <v>0.4</v>
      </c>
      <c r="K132">
        <v>88465</v>
      </c>
      <c r="L132">
        <v>95056</v>
      </c>
      <c r="M132">
        <v>27040</v>
      </c>
      <c r="N132">
        <v>12179</v>
      </c>
      <c r="O132">
        <v>25609</v>
      </c>
      <c r="P132">
        <v>39900</v>
      </c>
      <c r="Q132">
        <v>3255</v>
      </c>
      <c r="R132">
        <v>38124</v>
      </c>
      <c r="S132">
        <v>30410778.9955476</v>
      </c>
      <c r="T132">
        <v>14022266.871186299</v>
      </c>
      <c r="U132">
        <v>-16388512.1243612</v>
      </c>
      <c r="V132">
        <v>9784023.2870957498</v>
      </c>
      <c r="W132">
        <v>0</v>
      </c>
      <c r="X132">
        <v>3179</v>
      </c>
      <c r="Y132">
        <v>2539</v>
      </c>
      <c r="Z132">
        <v>0</v>
      </c>
      <c r="AA132">
        <v>5283522.7435954604</v>
      </c>
      <c r="AB132">
        <v>5017677.3</v>
      </c>
      <c r="AC132" s="12">
        <f t="shared" si="2"/>
        <v>265845.44359546062</v>
      </c>
      <c r="AD132">
        <v>30</v>
      </c>
      <c r="AE132">
        <v>507</v>
      </c>
      <c r="AF132" t="b">
        <v>1</v>
      </c>
    </row>
    <row r="133" spans="1:32" x14ac:dyDescent="0.2">
      <c r="A133">
        <v>10</v>
      </c>
      <c r="B133">
        <v>199</v>
      </c>
      <c r="C133">
        <v>15</v>
      </c>
      <c r="D133">
        <v>3</v>
      </c>
      <c r="E133">
        <v>3</v>
      </c>
      <c r="F133">
        <v>15</v>
      </c>
      <c r="G133">
        <v>30</v>
      </c>
      <c r="H133">
        <v>90.12</v>
      </c>
      <c r="I133">
        <v>98.7</v>
      </c>
      <c r="J133">
        <v>0.4</v>
      </c>
      <c r="K133">
        <v>88465</v>
      </c>
      <c r="L133">
        <v>95056</v>
      </c>
      <c r="M133">
        <v>27040</v>
      </c>
      <c r="N133">
        <v>12179</v>
      </c>
      <c r="O133">
        <v>25609</v>
      </c>
      <c r="P133">
        <v>39900</v>
      </c>
      <c r="Q133">
        <v>3255</v>
      </c>
      <c r="R133">
        <v>38124</v>
      </c>
      <c r="S133">
        <v>30410778.9955476</v>
      </c>
      <c r="T133">
        <v>23026856.442372698</v>
      </c>
      <c r="U133">
        <v>-7383922.5531748896</v>
      </c>
      <c r="V133">
        <v>9784023.2870957498</v>
      </c>
      <c r="W133">
        <v>0</v>
      </c>
      <c r="X133">
        <v>3179</v>
      </c>
      <c r="Y133">
        <v>2539</v>
      </c>
      <c r="Z133">
        <v>0</v>
      </c>
      <c r="AA133">
        <v>10567045.4871909</v>
      </c>
      <c r="AB133">
        <v>5017677.3</v>
      </c>
      <c r="AC133" s="12">
        <f t="shared" si="2"/>
        <v>5549368.1871909006</v>
      </c>
      <c r="AD133">
        <v>30</v>
      </c>
      <c r="AE133">
        <v>507</v>
      </c>
      <c r="AF133" t="b">
        <v>1</v>
      </c>
    </row>
    <row r="134" spans="1:32" x14ac:dyDescent="0.2">
      <c r="A134">
        <v>10</v>
      </c>
      <c r="B134">
        <v>200</v>
      </c>
      <c r="C134">
        <v>15</v>
      </c>
      <c r="D134">
        <v>3</v>
      </c>
      <c r="E134">
        <v>1</v>
      </c>
      <c r="F134">
        <v>30</v>
      </c>
      <c r="G134">
        <v>30</v>
      </c>
      <c r="H134">
        <v>45.06</v>
      </c>
      <c r="I134">
        <v>49.35</v>
      </c>
      <c r="J134">
        <v>0.4</v>
      </c>
      <c r="K134">
        <v>88664</v>
      </c>
      <c r="L134">
        <v>95601</v>
      </c>
      <c r="M134">
        <v>27230</v>
      </c>
      <c r="N134">
        <v>12303</v>
      </c>
      <c r="O134">
        <v>24905</v>
      </c>
      <c r="P134">
        <v>40165</v>
      </c>
      <c r="Q134">
        <v>3485</v>
      </c>
      <c r="R134">
        <v>38161</v>
      </c>
      <c r="S134">
        <v>39128362.053837001</v>
      </c>
      <c r="T134">
        <v>11827968.984556301</v>
      </c>
      <c r="U134">
        <v>-27300393.069280598</v>
      </c>
      <c r="V134">
        <v>19211092.6403706</v>
      </c>
      <c r="W134">
        <v>0</v>
      </c>
      <c r="X134">
        <v>3210</v>
      </c>
      <c r="Y134">
        <v>5032</v>
      </c>
      <c r="Z134">
        <v>0</v>
      </c>
      <c r="AA134">
        <v>3290091.3893891699</v>
      </c>
      <c r="AB134">
        <v>5017677.3</v>
      </c>
      <c r="AC134" s="12">
        <f t="shared" si="2"/>
        <v>-1727585.9106108299</v>
      </c>
      <c r="AD134">
        <v>30</v>
      </c>
      <c r="AE134">
        <v>617</v>
      </c>
      <c r="AF134" t="b">
        <v>1</v>
      </c>
    </row>
    <row r="135" spans="1:32" x14ac:dyDescent="0.2">
      <c r="A135">
        <v>10</v>
      </c>
      <c r="B135">
        <v>200</v>
      </c>
      <c r="C135">
        <v>15</v>
      </c>
      <c r="D135">
        <v>3</v>
      </c>
      <c r="E135">
        <v>1</v>
      </c>
      <c r="F135">
        <v>30</v>
      </c>
      <c r="G135">
        <v>30</v>
      </c>
      <c r="H135">
        <v>90.12</v>
      </c>
      <c r="I135">
        <v>98.7</v>
      </c>
      <c r="J135">
        <v>0.4</v>
      </c>
      <c r="K135">
        <v>88664</v>
      </c>
      <c r="L135">
        <v>95601</v>
      </c>
      <c r="M135">
        <v>27230</v>
      </c>
      <c r="N135">
        <v>12303</v>
      </c>
      <c r="O135">
        <v>24905</v>
      </c>
      <c r="P135">
        <v>40165</v>
      </c>
      <c r="Q135">
        <v>3485</v>
      </c>
      <c r="R135">
        <v>38161</v>
      </c>
      <c r="S135">
        <v>39128362.053837001</v>
      </c>
      <c r="T135">
        <v>18638260.669112701</v>
      </c>
      <c r="U135">
        <v>-20490101.3847243</v>
      </c>
      <c r="V135">
        <v>19211092.6403706</v>
      </c>
      <c r="W135">
        <v>0</v>
      </c>
      <c r="X135">
        <v>3210</v>
      </c>
      <c r="Y135">
        <v>5032</v>
      </c>
      <c r="Z135">
        <v>0</v>
      </c>
      <c r="AA135">
        <v>6580182.7787783397</v>
      </c>
      <c r="AB135">
        <v>5017677.3</v>
      </c>
      <c r="AC135" s="12">
        <f t="shared" si="2"/>
        <v>1562505.4787783399</v>
      </c>
      <c r="AD135">
        <v>30</v>
      </c>
      <c r="AE135">
        <v>617</v>
      </c>
      <c r="AF135" t="b">
        <v>1</v>
      </c>
    </row>
    <row r="136" spans="1:32" x14ac:dyDescent="0.2">
      <c r="A136">
        <v>10</v>
      </c>
      <c r="B136">
        <v>199</v>
      </c>
      <c r="C136">
        <v>15</v>
      </c>
      <c r="D136">
        <v>3</v>
      </c>
      <c r="E136">
        <v>1</v>
      </c>
      <c r="F136">
        <v>15</v>
      </c>
      <c r="G136">
        <v>30</v>
      </c>
      <c r="H136">
        <v>45.06</v>
      </c>
      <c r="I136">
        <v>49.35</v>
      </c>
      <c r="J136">
        <v>0.4</v>
      </c>
      <c r="K136">
        <v>88564</v>
      </c>
      <c r="L136">
        <v>94855</v>
      </c>
      <c r="M136">
        <v>27132</v>
      </c>
      <c r="N136">
        <v>12181</v>
      </c>
      <c r="O136">
        <v>25528</v>
      </c>
      <c r="P136">
        <v>39923</v>
      </c>
      <c r="Q136">
        <v>3287</v>
      </c>
      <c r="R136">
        <v>38211</v>
      </c>
      <c r="S136">
        <v>29824650.015843101</v>
      </c>
      <c r="T136">
        <v>13121796.9038372</v>
      </c>
      <c r="U136">
        <v>-16702853.112005901</v>
      </c>
      <c r="V136">
        <v>9567914.8420090303</v>
      </c>
      <c r="W136">
        <v>0</v>
      </c>
      <c r="X136">
        <v>3188</v>
      </c>
      <c r="Y136">
        <v>2541</v>
      </c>
      <c r="Z136">
        <v>0</v>
      </c>
      <c r="AA136">
        <v>5098514.9280688502</v>
      </c>
      <c r="AB136">
        <v>5017677.3</v>
      </c>
      <c r="AC136" s="12">
        <f t="shared" si="2"/>
        <v>80837.628068850376</v>
      </c>
      <c r="AD136">
        <v>30</v>
      </c>
      <c r="AE136">
        <v>566</v>
      </c>
      <c r="AF136" t="b">
        <v>1</v>
      </c>
    </row>
    <row r="137" spans="1:32" x14ac:dyDescent="0.2">
      <c r="A137">
        <v>10</v>
      </c>
      <c r="B137">
        <v>199</v>
      </c>
      <c r="C137">
        <v>15</v>
      </c>
      <c r="D137">
        <v>3</v>
      </c>
      <c r="E137">
        <v>1</v>
      </c>
      <c r="F137">
        <v>15</v>
      </c>
      <c r="G137">
        <v>30</v>
      </c>
      <c r="H137">
        <v>90.12</v>
      </c>
      <c r="I137">
        <v>98.7</v>
      </c>
      <c r="J137">
        <v>0.4</v>
      </c>
      <c r="K137">
        <v>88564</v>
      </c>
      <c r="L137">
        <v>94855</v>
      </c>
      <c r="M137">
        <v>27132</v>
      </c>
      <c r="N137">
        <v>12181</v>
      </c>
      <c r="O137">
        <v>25528</v>
      </c>
      <c r="P137">
        <v>39923</v>
      </c>
      <c r="Q137">
        <v>3287</v>
      </c>
      <c r="R137">
        <v>38211</v>
      </c>
      <c r="S137">
        <v>29824650.015843101</v>
      </c>
      <c r="T137">
        <v>21225916.5076744</v>
      </c>
      <c r="U137">
        <v>-8598733.5081687197</v>
      </c>
      <c r="V137">
        <v>9567914.8420090303</v>
      </c>
      <c r="W137">
        <v>0</v>
      </c>
      <c r="X137">
        <v>3188</v>
      </c>
      <c r="Y137">
        <v>2541</v>
      </c>
      <c r="Z137">
        <v>0</v>
      </c>
      <c r="AA137">
        <v>10197029.8561377</v>
      </c>
      <c r="AB137">
        <v>5017677.3</v>
      </c>
      <c r="AC137" s="12">
        <f t="shared" si="2"/>
        <v>5179352.5561377006</v>
      </c>
      <c r="AD137">
        <v>30</v>
      </c>
      <c r="AE137">
        <v>566</v>
      </c>
      <c r="AF137" t="b">
        <v>1</v>
      </c>
    </row>
    <row r="138" spans="1:32" x14ac:dyDescent="0.2">
      <c r="A138">
        <v>10</v>
      </c>
      <c r="B138">
        <v>203</v>
      </c>
      <c r="C138">
        <v>15</v>
      </c>
      <c r="D138">
        <v>1</v>
      </c>
      <c r="E138">
        <v>3</v>
      </c>
      <c r="F138">
        <v>30</v>
      </c>
      <c r="G138">
        <v>30</v>
      </c>
      <c r="H138">
        <v>45.06</v>
      </c>
      <c r="I138">
        <v>49.35</v>
      </c>
      <c r="J138">
        <v>0.4</v>
      </c>
      <c r="K138">
        <v>75689</v>
      </c>
      <c r="L138">
        <v>102882</v>
      </c>
      <c r="M138">
        <v>26894</v>
      </c>
      <c r="N138">
        <v>12339</v>
      </c>
      <c r="O138">
        <v>22854</v>
      </c>
      <c r="P138">
        <v>36886</v>
      </c>
      <c r="Q138">
        <v>4278</v>
      </c>
      <c r="R138">
        <v>38183</v>
      </c>
      <c r="S138">
        <v>38838883.915863097</v>
      </c>
      <c r="T138">
        <v>10438459.8568593</v>
      </c>
      <c r="U138">
        <v>-28400424.0590038</v>
      </c>
      <c r="V138">
        <v>19792475.973113898</v>
      </c>
      <c r="W138">
        <v>0</v>
      </c>
      <c r="X138">
        <v>3246</v>
      </c>
      <c r="Y138">
        <v>5041</v>
      </c>
      <c r="Z138">
        <v>0</v>
      </c>
      <c r="AA138">
        <v>1503045.2258701299</v>
      </c>
      <c r="AB138">
        <v>5017677.3</v>
      </c>
      <c r="AC138" s="12">
        <f t="shared" si="2"/>
        <v>-3514632.0741298702</v>
      </c>
      <c r="AD138">
        <v>30</v>
      </c>
      <c r="AE138">
        <v>648</v>
      </c>
      <c r="AF138" t="b">
        <v>1</v>
      </c>
    </row>
    <row r="139" spans="1:32" x14ac:dyDescent="0.2">
      <c r="A139">
        <v>10</v>
      </c>
      <c r="B139">
        <v>203</v>
      </c>
      <c r="C139">
        <v>15</v>
      </c>
      <c r="D139">
        <v>1</v>
      </c>
      <c r="E139">
        <v>3</v>
      </c>
      <c r="F139">
        <v>30</v>
      </c>
      <c r="G139">
        <v>30</v>
      </c>
      <c r="H139">
        <v>90.12</v>
      </c>
      <c r="I139">
        <v>98.7</v>
      </c>
      <c r="J139">
        <v>0.4</v>
      </c>
      <c r="K139">
        <v>75689</v>
      </c>
      <c r="L139">
        <v>102882</v>
      </c>
      <c r="M139">
        <v>26894</v>
      </c>
      <c r="N139">
        <v>12339</v>
      </c>
      <c r="O139">
        <v>22854</v>
      </c>
      <c r="P139">
        <v>36886</v>
      </c>
      <c r="Q139">
        <v>4278</v>
      </c>
      <c r="R139">
        <v>38183</v>
      </c>
      <c r="S139">
        <v>38838883.915863097</v>
      </c>
      <c r="T139">
        <v>15859242.4137186</v>
      </c>
      <c r="U139">
        <v>-22979641.5021444</v>
      </c>
      <c r="V139">
        <v>19792475.973113898</v>
      </c>
      <c r="W139">
        <v>0</v>
      </c>
      <c r="X139">
        <v>3246</v>
      </c>
      <c r="Y139">
        <v>5041</v>
      </c>
      <c r="Z139">
        <v>0</v>
      </c>
      <c r="AA139">
        <v>3006090.4517402598</v>
      </c>
      <c r="AB139">
        <v>5017677.3</v>
      </c>
      <c r="AC139" s="12">
        <f t="shared" si="2"/>
        <v>-2011586.84825974</v>
      </c>
      <c r="AD139">
        <v>30</v>
      </c>
      <c r="AE139">
        <v>648</v>
      </c>
      <c r="AF139" t="b">
        <v>1</v>
      </c>
    </row>
    <row r="140" spans="1:32" x14ac:dyDescent="0.2">
      <c r="A140">
        <v>10</v>
      </c>
      <c r="B140">
        <v>197</v>
      </c>
      <c r="C140">
        <v>15</v>
      </c>
      <c r="D140">
        <v>1</v>
      </c>
      <c r="E140">
        <v>3</v>
      </c>
      <c r="F140">
        <v>15</v>
      </c>
      <c r="G140">
        <v>30</v>
      </c>
      <c r="H140">
        <v>45.06</v>
      </c>
      <c r="I140">
        <v>49.35</v>
      </c>
      <c r="J140">
        <v>0.4</v>
      </c>
      <c r="K140">
        <v>71129</v>
      </c>
      <c r="L140">
        <v>96016</v>
      </c>
      <c r="M140">
        <v>27178</v>
      </c>
      <c r="N140">
        <v>12126</v>
      </c>
      <c r="O140">
        <v>27347</v>
      </c>
      <c r="P140">
        <v>42234</v>
      </c>
      <c r="Q140">
        <v>3392</v>
      </c>
      <c r="R140">
        <v>38378</v>
      </c>
      <c r="S140">
        <v>27899509.6309589</v>
      </c>
      <c r="T140">
        <v>10493748.6501843</v>
      </c>
      <c r="U140">
        <v>-17405760.9807746</v>
      </c>
      <c r="V140">
        <v>10497373.8198584</v>
      </c>
      <c r="W140">
        <v>0</v>
      </c>
      <c r="X140">
        <v>3161</v>
      </c>
      <c r="Y140">
        <v>2456</v>
      </c>
      <c r="Z140">
        <v>0</v>
      </c>
      <c r="AA140">
        <v>2219870.1394600598</v>
      </c>
      <c r="AB140">
        <v>5017677.3</v>
      </c>
      <c r="AC140" s="12">
        <f t="shared" si="2"/>
        <v>-2797807.16053994</v>
      </c>
      <c r="AD140">
        <v>30</v>
      </c>
      <c r="AE140">
        <v>643</v>
      </c>
      <c r="AF140" t="b">
        <v>1</v>
      </c>
    </row>
    <row r="141" spans="1:32" x14ac:dyDescent="0.2">
      <c r="A141">
        <v>10</v>
      </c>
      <c r="B141">
        <v>197</v>
      </c>
      <c r="C141">
        <v>15</v>
      </c>
      <c r="D141">
        <v>1</v>
      </c>
      <c r="E141">
        <v>3</v>
      </c>
      <c r="F141">
        <v>15</v>
      </c>
      <c r="G141">
        <v>30</v>
      </c>
      <c r="H141">
        <v>90.12</v>
      </c>
      <c r="I141">
        <v>98.7</v>
      </c>
      <c r="J141">
        <v>0.4</v>
      </c>
      <c r="K141">
        <v>71129</v>
      </c>
      <c r="L141">
        <v>96016</v>
      </c>
      <c r="M141">
        <v>27178</v>
      </c>
      <c r="N141">
        <v>12126</v>
      </c>
      <c r="O141">
        <v>27347</v>
      </c>
      <c r="P141">
        <v>42234</v>
      </c>
      <c r="Q141">
        <v>3392</v>
      </c>
      <c r="R141">
        <v>38378</v>
      </c>
      <c r="S141">
        <v>27899509.6309589</v>
      </c>
      <c r="T141">
        <v>15969820.000368601</v>
      </c>
      <c r="U141">
        <v>-11929689.630590299</v>
      </c>
      <c r="V141">
        <v>10497373.8198584</v>
      </c>
      <c r="W141">
        <v>0</v>
      </c>
      <c r="X141">
        <v>3161</v>
      </c>
      <c r="Y141">
        <v>2456</v>
      </c>
      <c r="Z141">
        <v>0</v>
      </c>
      <c r="AA141">
        <v>4439740.2789201299</v>
      </c>
      <c r="AB141">
        <v>5017677.3</v>
      </c>
      <c r="AC141" s="12">
        <f t="shared" si="2"/>
        <v>-577937.02107986994</v>
      </c>
      <c r="AD141">
        <v>30</v>
      </c>
      <c r="AE141">
        <v>643</v>
      </c>
      <c r="AF141" t="b">
        <v>1</v>
      </c>
    </row>
    <row r="142" spans="1:32" x14ac:dyDescent="0.2">
      <c r="A142">
        <v>10</v>
      </c>
      <c r="B142">
        <v>198</v>
      </c>
      <c r="C142">
        <v>15</v>
      </c>
      <c r="D142">
        <v>1</v>
      </c>
      <c r="E142">
        <v>1</v>
      </c>
      <c r="F142">
        <v>30</v>
      </c>
      <c r="G142">
        <v>30</v>
      </c>
      <c r="H142">
        <v>45.06</v>
      </c>
      <c r="I142">
        <v>49.35</v>
      </c>
      <c r="J142">
        <v>0.4</v>
      </c>
      <c r="K142">
        <v>81223</v>
      </c>
      <c r="L142">
        <v>98125</v>
      </c>
      <c r="M142">
        <v>27218</v>
      </c>
      <c r="N142">
        <v>12244</v>
      </c>
      <c r="O142">
        <v>26535</v>
      </c>
      <c r="P142">
        <v>42228</v>
      </c>
      <c r="Q142">
        <v>3602</v>
      </c>
      <c r="R142">
        <v>38382</v>
      </c>
      <c r="S142">
        <v>39183325.719999902</v>
      </c>
      <c r="T142">
        <v>13708052.726290099</v>
      </c>
      <c r="U142">
        <v>-25475272.993709799</v>
      </c>
      <c r="V142">
        <v>19054042.464482401</v>
      </c>
      <c r="W142">
        <v>0</v>
      </c>
      <c r="X142">
        <v>3158</v>
      </c>
      <c r="Y142">
        <v>4913</v>
      </c>
      <c r="Z142">
        <v>0</v>
      </c>
      <c r="AA142">
        <v>5232988.1185036004</v>
      </c>
      <c r="AB142">
        <v>5017677.3</v>
      </c>
      <c r="AC142" s="12">
        <f t="shared" si="2"/>
        <v>215310.81850360055</v>
      </c>
      <c r="AD142">
        <v>30</v>
      </c>
      <c r="AE142">
        <v>519</v>
      </c>
      <c r="AF142" t="b">
        <v>1</v>
      </c>
    </row>
    <row r="143" spans="1:32" x14ac:dyDescent="0.2">
      <c r="A143">
        <v>10</v>
      </c>
      <c r="B143">
        <v>198</v>
      </c>
      <c r="C143">
        <v>15</v>
      </c>
      <c r="D143">
        <v>1</v>
      </c>
      <c r="E143">
        <v>1</v>
      </c>
      <c r="F143">
        <v>30</v>
      </c>
      <c r="G143">
        <v>30</v>
      </c>
      <c r="H143">
        <v>90.12</v>
      </c>
      <c r="I143">
        <v>98.7</v>
      </c>
      <c r="J143">
        <v>0.4</v>
      </c>
      <c r="K143">
        <v>81223</v>
      </c>
      <c r="L143">
        <v>98125</v>
      </c>
      <c r="M143">
        <v>27218</v>
      </c>
      <c r="N143">
        <v>12244</v>
      </c>
      <c r="O143">
        <v>26535</v>
      </c>
      <c r="P143">
        <v>42228</v>
      </c>
      <c r="Q143">
        <v>3602</v>
      </c>
      <c r="R143">
        <v>38382</v>
      </c>
      <c r="S143">
        <v>39183325.719999902</v>
      </c>
      <c r="T143">
        <v>22398428.152580298</v>
      </c>
      <c r="U143">
        <v>-16784897.5674196</v>
      </c>
      <c r="V143">
        <v>19054042.464482401</v>
      </c>
      <c r="W143">
        <v>0</v>
      </c>
      <c r="X143">
        <v>3158</v>
      </c>
      <c r="Y143">
        <v>4913</v>
      </c>
      <c r="Z143">
        <v>0</v>
      </c>
      <c r="AA143">
        <v>10465976.237007201</v>
      </c>
      <c r="AB143">
        <v>5017677.3</v>
      </c>
      <c r="AC143" s="12">
        <f t="shared" si="2"/>
        <v>5448298.9370072009</v>
      </c>
      <c r="AD143">
        <v>30</v>
      </c>
      <c r="AE143">
        <v>519</v>
      </c>
      <c r="AF143" t="b">
        <v>1</v>
      </c>
    </row>
    <row r="144" spans="1:32" x14ac:dyDescent="0.2">
      <c r="A144">
        <v>10</v>
      </c>
      <c r="B144">
        <v>198</v>
      </c>
      <c r="C144">
        <v>15</v>
      </c>
      <c r="D144">
        <v>1</v>
      </c>
      <c r="E144">
        <v>1</v>
      </c>
      <c r="F144">
        <v>15</v>
      </c>
      <c r="G144">
        <v>30</v>
      </c>
      <c r="H144">
        <v>45.06</v>
      </c>
      <c r="I144">
        <v>49.35</v>
      </c>
      <c r="J144">
        <v>0.4</v>
      </c>
      <c r="K144">
        <v>80104</v>
      </c>
      <c r="L144">
        <v>95472</v>
      </c>
      <c r="M144">
        <v>27097</v>
      </c>
      <c r="N144">
        <v>12163</v>
      </c>
      <c r="O144">
        <v>26325</v>
      </c>
      <c r="P144">
        <v>41196</v>
      </c>
      <c r="Q144">
        <v>3259</v>
      </c>
      <c r="R144">
        <v>38385</v>
      </c>
      <c r="S144">
        <v>30230492.222088799</v>
      </c>
      <c r="T144">
        <v>13466614.346083</v>
      </c>
      <c r="U144">
        <v>-16763877.8760057</v>
      </c>
      <c r="V144">
        <v>9591766.6810400803</v>
      </c>
      <c r="W144">
        <v>0</v>
      </c>
      <c r="X144">
        <v>3161</v>
      </c>
      <c r="Y144">
        <v>2468</v>
      </c>
      <c r="Z144">
        <v>0</v>
      </c>
      <c r="AA144">
        <v>5214638.5250161598</v>
      </c>
      <c r="AB144">
        <v>5017677.3</v>
      </c>
      <c r="AC144" s="12">
        <f t="shared" si="2"/>
        <v>196961.22501615994</v>
      </c>
      <c r="AD144">
        <v>30</v>
      </c>
      <c r="AE144">
        <v>525</v>
      </c>
      <c r="AF144" t="b">
        <v>1</v>
      </c>
    </row>
    <row r="145" spans="1:32" x14ac:dyDescent="0.2">
      <c r="A145">
        <v>10</v>
      </c>
      <c r="B145">
        <v>198</v>
      </c>
      <c r="C145">
        <v>15</v>
      </c>
      <c r="D145">
        <v>1</v>
      </c>
      <c r="E145">
        <v>1</v>
      </c>
      <c r="F145">
        <v>15</v>
      </c>
      <c r="G145">
        <v>30</v>
      </c>
      <c r="H145">
        <v>90.12</v>
      </c>
      <c r="I145">
        <v>98.7</v>
      </c>
      <c r="J145">
        <v>0.4</v>
      </c>
      <c r="K145">
        <v>80104</v>
      </c>
      <c r="L145">
        <v>95472</v>
      </c>
      <c r="M145">
        <v>27097</v>
      </c>
      <c r="N145">
        <v>12163</v>
      </c>
      <c r="O145">
        <v>26325</v>
      </c>
      <c r="P145">
        <v>41196</v>
      </c>
      <c r="Q145">
        <v>3259</v>
      </c>
      <c r="R145">
        <v>38385</v>
      </c>
      <c r="S145">
        <v>30230492.222088799</v>
      </c>
      <c r="T145">
        <v>21915551.392166</v>
      </c>
      <c r="U145">
        <v>-8314940.8299227199</v>
      </c>
      <c r="V145">
        <v>9591766.6810400803</v>
      </c>
      <c r="W145">
        <v>0</v>
      </c>
      <c r="X145">
        <v>3161</v>
      </c>
      <c r="Y145">
        <v>2468</v>
      </c>
      <c r="Z145">
        <v>0</v>
      </c>
      <c r="AA145">
        <v>10429277.050032301</v>
      </c>
      <c r="AB145">
        <v>5017677.3</v>
      </c>
      <c r="AC145" s="12">
        <f t="shared" si="2"/>
        <v>5411599.7500323011</v>
      </c>
      <c r="AD145">
        <v>30</v>
      </c>
      <c r="AE145">
        <v>525</v>
      </c>
      <c r="AF145" t="b">
        <v>1</v>
      </c>
    </row>
    <row r="146" spans="1:32" x14ac:dyDescent="0.2">
      <c r="A146">
        <v>10</v>
      </c>
      <c r="B146">
        <v>139</v>
      </c>
      <c r="C146">
        <v>10</v>
      </c>
      <c r="D146">
        <v>3</v>
      </c>
      <c r="E146">
        <v>3</v>
      </c>
      <c r="F146">
        <v>30</v>
      </c>
      <c r="G146">
        <v>30</v>
      </c>
      <c r="H146">
        <v>45.06</v>
      </c>
      <c r="I146">
        <v>49.35</v>
      </c>
      <c r="J146">
        <v>0.4</v>
      </c>
      <c r="K146">
        <v>79342</v>
      </c>
      <c r="L146">
        <v>63193</v>
      </c>
      <c r="M146">
        <v>33895</v>
      </c>
      <c r="N146">
        <v>10616</v>
      </c>
      <c r="O146">
        <v>5812</v>
      </c>
      <c r="P146">
        <v>42247</v>
      </c>
      <c r="Q146">
        <v>7207</v>
      </c>
      <c r="R146">
        <v>36062</v>
      </c>
      <c r="S146">
        <v>28394408.554519899</v>
      </c>
      <c r="T146">
        <v>11765634.7590576</v>
      </c>
      <c r="U146">
        <v>-16628773.795462299</v>
      </c>
      <c r="V146">
        <v>12818213.375251999</v>
      </c>
      <c r="W146">
        <v>0</v>
      </c>
      <c r="X146">
        <v>2175</v>
      </c>
      <c r="Y146">
        <v>3445</v>
      </c>
      <c r="Z146">
        <v>0</v>
      </c>
      <c r="AA146">
        <v>3618228.58595797</v>
      </c>
      <c r="AB146">
        <v>3417388.79999999</v>
      </c>
      <c r="AC146" s="12">
        <f t="shared" si="2"/>
        <v>200839.78595797997</v>
      </c>
      <c r="AD146">
        <v>30</v>
      </c>
      <c r="AE146">
        <v>382</v>
      </c>
      <c r="AF146" t="b">
        <v>1</v>
      </c>
    </row>
    <row r="147" spans="1:32" x14ac:dyDescent="0.2">
      <c r="A147">
        <v>10</v>
      </c>
      <c r="B147">
        <v>139</v>
      </c>
      <c r="C147">
        <v>10</v>
      </c>
      <c r="D147">
        <v>3</v>
      </c>
      <c r="E147">
        <v>3</v>
      </c>
      <c r="F147">
        <v>30</v>
      </c>
      <c r="G147">
        <v>30</v>
      </c>
      <c r="H147">
        <v>90.12</v>
      </c>
      <c r="I147">
        <v>98.7</v>
      </c>
      <c r="J147">
        <v>0.4</v>
      </c>
      <c r="K147">
        <v>79342</v>
      </c>
      <c r="L147">
        <v>63193</v>
      </c>
      <c r="M147">
        <v>33895</v>
      </c>
      <c r="N147">
        <v>10616</v>
      </c>
      <c r="O147">
        <v>5812</v>
      </c>
      <c r="P147">
        <v>42247</v>
      </c>
      <c r="Q147">
        <v>7207</v>
      </c>
      <c r="R147">
        <v>36062</v>
      </c>
      <c r="S147">
        <v>28394408.554519899</v>
      </c>
      <c r="T147">
        <v>20113880.718115199</v>
      </c>
      <c r="U147">
        <v>-8280527.8364047902</v>
      </c>
      <c r="V147">
        <v>12818213.375251999</v>
      </c>
      <c r="W147">
        <v>0</v>
      </c>
      <c r="X147">
        <v>2175</v>
      </c>
      <c r="Y147">
        <v>3445</v>
      </c>
      <c r="Z147">
        <v>0</v>
      </c>
      <c r="AA147">
        <v>7236457.17191594</v>
      </c>
      <c r="AB147">
        <v>3417388.79999999</v>
      </c>
      <c r="AC147" s="12">
        <f t="shared" si="2"/>
        <v>3819068.37191595</v>
      </c>
      <c r="AD147">
        <v>30</v>
      </c>
      <c r="AE147">
        <v>382</v>
      </c>
      <c r="AF147" t="b">
        <v>1</v>
      </c>
    </row>
    <row r="148" spans="1:32" x14ac:dyDescent="0.2">
      <c r="A148">
        <v>10</v>
      </c>
      <c r="B148">
        <v>139</v>
      </c>
      <c r="C148">
        <v>10</v>
      </c>
      <c r="D148">
        <v>3</v>
      </c>
      <c r="E148">
        <v>3</v>
      </c>
      <c r="F148">
        <v>15</v>
      </c>
      <c r="G148">
        <v>30</v>
      </c>
      <c r="H148">
        <v>45.06</v>
      </c>
      <c r="I148">
        <v>49.35</v>
      </c>
      <c r="J148">
        <v>0.4</v>
      </c>
      <c r="K148">
        <v>78999</v>
      </c>
      <c r="L148">
        <v>62472</v>
      </c>
      <c r="M148">
        <v>33426</v>
      </c>
      <c r="N148">
        <v>10631</v>
      </c>
      <c r="O148">
        <v>5692</v>
      </c>
      <c r="P148">
        <v>41332</v>
      </c>
      <c r="Q148">
        <v>7116</v>
      </c>
      <c r="R148">
        <v>36090</v>
      </c>
      <c r="S148">
        <v>21112954.985390399</v>
      </c>
      <c r="T148">
        <v>9035486.2368516698</v>
      </c>
      <c r="U148">
        <v>-12077468.748538701</v>
      </c>
      <c r="V148">
        <v>7123936.05422178</v>
      </c>
      <c r="W148">
        <v>0</v>
      </c>
      <c r="X148">
        <v>2187</v>
      </c>
      <c r="Y148">
        <v>1750</v>
      </c>
      <c r="Z148">
        <v>0</v>
      </c>
      <c r="AA148">
        <v>2088948.50419996</v>
      </c>
      <c r="AB148">
        <v>3417388.79999999</v>
      </c>
      <c r="AC148" s="12">
        <f t="shared" si="2"/>
        <v>-1328440.29580003</v>
      </c>
      <c r="AD148">
        <v>30</v>
      </c>
      <c r="AE148">
        <v>483</v>
      </c>
      <c r="AF148" t="b">
        <v>1</v>
      </c>
    </row>
    <row r="149" spans="1:32" x14ac:dyDescent="0.2">
      <c r="A149">
        <v>10</v>
      </c>
      <c r="B149">
        <v>139</v>
      </c>
      <c r="C149">
        <v>10</v>
      </c>
      <c r="D149">
        <v>3</v>
      </c>
      <c r="E149">
        <v>3</v>
      </c>
      <c r="F149">
        <v>15</v>
      </c>
      <c r="G149">
        <v>30</v>
      </c>
      <c r="H149">
        <v>90.12</v>
      </c>
      <c r="I149">
        <v>98.7</v>
      </c>
      <c r="J149">
        <v>0.4</v>
      </c>
      <c r="K149">
        <v>78999</v>
      </c>
      <c r="L149">
        <v>62472</v>
      </c>
      <c r="M149">
        <v>33426</v>
      </c>
      <c r="N149">
        <v>10631</v>
      </c>
      <c r="O149">
        <v>5692</v>
      </c>
      <c r="P149">
        <v>41332</v>
      </c>
      <c r="Q149">
        <v>7116</v>
      </c>
      <c r="R149">
        <v>36090</v>
      </c>
      <c r="S149">
        <v>21112954.985390399</v>
      </c>
      <c r="T149">
        <v>14653583.6737033</v>
      </c>
      <c r="U149">
        <v>-6459371.31168711</v>
      </c>
      <c r="V149">
        <v>7123936.05422178</v>
      </c>
      <c r="W149">
        <v>0</v>
      </c>
      <c r="X149">
        <v>2187</v>
      </c>
      <c r="Y149">
        <v>1750</v>
      </c>
      <c r="Z149">
        <v>0</v>
      </c>
      <c r="AA149">
        <v>4177897.0083999299</v>
      </c>
      <c r="AB149">
        <v>3417388.79999999</v>
      </c>
      <c r="AC149" s="12">
        <f t="shared" si="2"/>
        <v>760508.20839993982</v>
      </c>
      <c r="AD149">
        <v>30</v>
      </c>
      <c r="AE149">
        <v>483</v>
      </c>
      <c r="AF149" t="b">
        <v>1</v>
      </c>
    </row>
    <row r="150" spans="1:32" x14ac:dyDescent="0.2">
      <c r="A150">
        <v>10</v>
      </c>
      <c r="B150">
        <v>137</v>
      </c>
      <c r="C150">
        <v>10</v>
      </c>
      <c r="D150">
        <v>3</v>
      </c>
      <c r="E150">
        <v>1</v>
      </c>
      <c r="F150">
        <v>30</v>
      </c>
      <c r="G150">
        <v>30</v>
      </c>
      <c r="H150">
        <v>45.06</v>
      </c>
      <c r="I150">
        <v>49.35</v>
      </c>
      <c r="J150">
        <v>0.4</v>
      </c>
      <c r="K150">
        <v>65293</v>
      </c>
      <c r="L150">
        <v>64413</v>
      </c>
      <c r="M150">
        <v>34089</v>
      </c>
      <c r="N150">
        <v>10581</v>
      </c>
      <c r="O150">
        <v>6150</v>
      </c>
      <c r="P150">
        <v>44369</v>
      </c>
      <c r="Q150">
        <v>7793</v>
      </c>
      <c r="R150">
        <v>35578</v>
      </c>
      <c r="S150">
        <v>27334367.767490201</v>
      </c>
      <c r="T150">
        <v>10085548.354691699</v>
      </c>
      <c r="U150">
        <v>-17248819.412798401</v>
      </c>
      <c r="V150">
        <v>13052609.736393999</v>
      </c>
      <c r="W150">
        <v>0</v>
      </c>
      <c r="X150">
        <v>2164</v>
      </c>
      <c r="Y150">
        <v>3380</v>
      </c>
      <c r="Z150">
        <v>0</v>
      </c>
      <c r="AA150">
        <v>1857450.81995385</v>
      </c>
      <c r="AB150">
        <v>3417388.79999999</v>
      </c>
      <c r="AC150" s="12">
        <f t="shared" si="2"/>
        <v>-1559937.98004614</v>
      </c>
      <c r="AD150">
        <v>30</v>
      </c>
      <c r="AE150">
        <v>445</v>
      </c>
      <c r="AF150" t="b">
        <v>1</v>
      </c>
    </row>
    <row r="151" spans="1:32" x14ac:dyDescent="0.2">
      <c r="A151">
        <v>10</v>
      </c>
      <c r="B151">
        <v>137</v>
      </c>
      <c r="C151">
        <v>10</v>
      </c>
      <c r="D151">
        <v>3</v>
      </c>
      <c r="E151">
        <v>1</v>
      </c>
      <c r="F151">
        <v>30</v>
      </c>
      <c r="G151">
        <v>30</v>
      </c>
      <c r="H151">
        <v>90.12</v>
      </c>
      <c r="I151">
        <v>98.7</v>
      </c>
      <c r="J151">
        <v>0.4</v>
      </c>
      <c r="K151">
        <v>65293</v>
      </c>
      <c r="L151">
        <v>64413</v>
      </c>
      <c r="M151">
        <v>34089</v>
      </c>
      <c r="N151">
        <v>10581</v>
      </c>
      <c r="O151">
        <v>6150</v>
      </c>
      <c r="P151">
        <v>44369</v>
      </c>
      <c r="Q151">
        <v>7793</v>
      </c>
      <c r="R151">
        <v>35578</v>
      </c>
      <c r="S151">
        <v>27334367.767490201</v>
      </c>
      <c r="T151">
        <v>16753707.909383399</v>
      </c>
      <c r="U151">
        <v>-10580659.858106701</v>
      </c>
      <c r="V151">
        <v>13052609.736393999</v>
      </c>
      <c r="W151">
        <v>0</v>
      </c>
      <c r="X151">
        <v>2164</v>
      </c>
      <c r="Y151">
        <v>3380</v>
      </c>
      <c r="Z151">
        <v>0</v>
      </c>
      <c r="AA151">
        <v>3714901.6399077098</v>
      </c>
      <c r="AB151">
        <v>3417388.79999999</v>
      </c>
      <c r="AC151" s="12">
        <f t="shared" si="2"/>
        <v>297512.83990771975</v>
      </c>
      <c r="AD151">
        <v>30</v>
      </c>
      <c r="AE151">
        <v>445</v>
      </c>
      <c r="AF151" t="b">
        <v>1</v>
      </c>
    </row>
    <row r="152" spans="1:32" x14ac:dyDescent="0.2">
      <c r="A152">
        <v>10</v>
      </c>
      <c r="B152">
        <v>138</v>
      </c>
      <c r="C152">
        <v>10</v>
      </c>
      <c r="D152">
        <v>3</v>
      </c>
      <c r="E152">
        <v>1</v>
      </c>
      <c r="F152">
        <v>15</v>
      </c>
      <c r="G152">
        <v>30</v>
      </c>
      <c r="H152">
        <v>45.06</v>
      </c>
      <c r="I152">
        <v>49.35</v>
      </c>
      <c r="J152">
        <v>0.4</v>
      </c>
      <c r="K152">
        <v>72618</v>
      </c>
      <c r="L152">
        <v>63025</v>
      </c>
      <c r="M152">
        <v>33678</v>
      </c>
      <c r="N152">
        <v>10637</v>
      </c>
      <c r="O152">
        <v>5813</v>
      </c>
      <c r="P152">
        <v>42185</v>
      </c>
      <c r="Q152">
        <v>7804</v>
      </c>
      <c r="R152">
        <v>35487</v>
      </c>
      <c r="S152">
        <v>21169985.457484301</v>
      </c>
      <c r="T152">
        <v>9506746.5629726797</v>
      </c>
      <c r="U152">
        <v>-11663238.894511599</v>
      </c>
      <c r="V152">
        <v>6628393.9519749703</v>
      </c>
      <c r="W152">
        <v>0</v>
      </c>
      <c r="X152">
        <v>2173</v>
      </c>
      <c r="Y152">
        <v>1733</v>
      </c>
      <c r="Z152">
        <v>0</v>
      </c>
      <c r="AA152">
        <v>3004017.6066658902</v>
      </c>
      <c r="AB152">
        <v>3417388.79999999</v>
      </c>
      <c r="AC152" s="12">
        <f t="shared" si="2"/>
        <v>-413371.19333409984</v>
      </c>
      <c r="AD152">
        <v>30</v>
      </c>
      <c r="AE152">
        <v>474</v>
      </c>
      <c r="AF152" t="b">
        <v>1</v>
      </c>
    </row>
    <row r="153" spans="1:32" x14ac:dyDescent="0.2">
      <c r="A153">
        <v>10</v>
      </c>
      <c r="B153">
        <v>138</v>
      </c>
      <c r="C153">
        <v>10</v>
      </c>
      <c r="D153">
        <v>3</v>
      </c>
      <c r="E153">
        <v>1</v>
      </c>
      <c r="F153">
        <v>15</v>
      </c>
      <c r="G153">
        <v>30</v>
      </c>
      <c r="H153">
        <v>90.12</v>
      </c>
      <c r="I153">
        <v>98.7</v>
      </c>
      <c r="J153">
        <v>0.4</v>
      </c>
      <c r="K153">
        <v>72618</v>
      </c>
      <c r="L153">
        <v>63025</v>
      </c>
      <c r="M153">
        <v>33678</v>
      </c>
      <c r="N153">
        <v>10637</v>
      </c>
      <c r="O153">
        <v>5813</v>
      </c>
      <c r="P153">
        <v>42185</v>
      </c>
      <c r="Q153">
        <v>7804</v>
      </c>
      <c r="R153">
        <v>35487</v>
      </c>
      <c r="S153">
        <v>21169985.457484301</v>
      </c>
      <c r="T153">
        <v>15596104.325945299</v>
      </c>
      <c r="U153">
        <v>-5573881.1315389704</v>
      </c>
      <c r="V153">
        <v>6628393.9519749703</v>
      </c>
      <c r="W153">
        <v>0</v>
      </c>
      <c r="X153">
        <v>2173</v>
      </c>
      <c r="Y153">
        <v>1733</v>
      </c>
      <c r="Z153">
        <v>0</v>
      </c>
      <c r="AA153">
        <v>6008035.2133317804</v>
      </c>
      <c r="AB153">
        <v>3417388.79999999</v>
      </c>
      <c r="AC153" s="12">
        <f t="shared" si="2"/>
        <v>2590646.4133317904</v>
      </c>
      <c r="AD153">
        <v>30</v>
      </c>
      <c r="AE153">
        <v>474</v>
      </c>
      <c r="AF153" t="b">
        <v>1</v>
      </c>
    </row>
    <row r="154" spans="1:32" x14ac:dyDescent="0.2">
      <c r="A154">
        <v>10</v>
      </c>
      <c r="B154">
        <v>138</v>
      </c>
      <c r="C154">
        <v>10</v>
      </c>
      <c r="D154">
        <v>1</v>
      </c>
      <c r="E154">
        <v>3</v>
      </c>
      <c r="F154">
        <v>30</v>
      </c>
      <c r="G154">
        <v>30</v>
      </c>
      <c r="H154">
        <v>45.06</v>
      </c>
      <c r="I154">
        <v>49.35</v>
      </c>
      <c r="J154">
        <v>0.4</v>
      </c>
      <c r="K154">
        <v>73023</v>
      </c>
      <c r="L154">
        <v>63762</v>
      </c>
      <c r="M154">
        <v>34265</v>
      </c>
      <c r="N154">
        <v>10644</v>
      </c>
      <c r="O154">
        <v>5841</v>
      </c>
      <c r="P154">
        <v>43394</v>
      </c>
      <c r="Q154">
        <v>7773</v>
      </c>
      <c r="R154">
        <v>35505</v>
      </c>
      <c r="S154">
        <v>27190643.404102799</v>
      </c>
      <c r="T154">
        <v>10091614.988854799</v>
      </c>
      <c r="U154">
        <v>-17099028.415247999</v>
      </c>
      <c r="V154">
        <v>13066322.9943357</v>
      </c>
      <c r="W154">
        <v>0</v>
      </c>
      <c r="X154">
        <v>2162</v>
      </c>
      <c r="Y154">
        <v>3375</v>
      </c>
      <c r="Z154">
        <v>0</v>
      </c>
      <c r="AA154">
        <v>1890218.7957186401</v>
      </c>
      <c r="AB154">
        <v>3417388.79999999</v>
      </c>
      <c r="AC154" s="12">
        <f t="shared" si="2"/>
        <v>-1527170.0042813499</v>
      </c>
      <c r="AD154">
        <v>30</v>
      </c>
      <c r="AE154">
        <v>420</v>
      </c>
      <c r="AF154" t="b">
        <v>1</v>
      </c>
    </row>
    <row r="155" spans="1:32" x14ac:dyDescent="0.2">
      <c r="A155">
        <v>10</v>
      </c>
      <c r="B155">
        <v>138</v>
      </c>
      <c r="C155">
        <v>10</v>
      </c>
      <c r="D155">
        <v>1</v>
      </c>
      <c r="E155">
        <v>3</v>
      </c>
      <c r="F155">
        <v>30</v>
      </c>
      <c r="G155">
        <v>30</v>
      </c>
      <c r="H155">
        <v>90.12</v>
      </c>
      <c r="I155">
        <v>98.7</v>
      </c>
      <c r="J155">
        <v>0.4</v>
      </c>
      <c r="K155">
        <v>73023</v>
      </c>
      <c r="L155">
        <v>63762</v>
      </c>
      <c r="M155">
        <v>34265</v>
      </c>
      <c r="N155">
        <v>10644</v>
      </c>
      <c r="O155">
        <v>5841</v>
      </c>
      <c r="P155">
        <v>43394</v>
      </c>
      <c r="Q155">
        <v>7773</v>
      </c>
      <c r="R155">
        <v>35505</v>
      </c>
      <c r="S155">
        <v>27190643.404102799</v>
      </c>
      <c r="T155">
        <v>16765841.1777096</v>
      </c>
      <c r="U155">
        <v>-10424802.2263931</v>
      </c>
      <c r="V155">
        <v>13066322.9943357</v>
      </c>
      <c r="W155">
        <v>0</v>
      </c>
      <c r="X155">
        <v>2162</v>
      </c>
      <c r="Y155">
        <v>3375</v>
      </c>
      <c r="Z155">
        <v>0</v>
      </c>
      <c r="AA155">
        <v>3780437.5914372802</v>
      </c>
      <c r="AB155">
        <v>3417388.79999999</v>
      </c>
      <c r="AC155" s="12">
        <f t="shared" si="2"/>
        <v>363048.79143729014</v>
      </c>
      <c r="AD155">
        <v>30</v>
      </c>
      <c r="AE155">
        <v>420</v>
      </c>
      <c r="AF155" t="b">
        <v>1</v>
      </c>
    </row>
    <row r="156" spans="1:32" x14ac:dyDescent="0.2">
      <c r="A156">
        <v>10</v>
      </c>
      <c r="B156">
        <v>139</v>
      </c>
      <c r="C156">
        <v>10</v>
      </c>
      <c r="D156">
        <v>1</v>
      </c>
      <c r="E156">
        <v>3</v>
      </c>
      <c r="F156">
        <v>15</v>
      </c>
      <c r="G156">
        <v>30</v>
      </c>
      <c r="H156">
        <v>45.06</v>
      </c>
      <c r="I156">
        <v>49.35</v>
      </c>
      <c r="J156">
        <v>0.4</v>
      </c>
      <c r="K156">
        <v>78488</v>
      </c>
      <c r="L156">
        <v>62320</v>
      </c>
      <c r="M156">
        <v>33282</v>
      </c>
      <c r="N156">
        <v>10634</v>
      </c>
      <c r="O156">
        <v>5755</v>
      </c>
      <c r="P156">
        <v>41832</v>
      </c>
      <c r="Q156">
        <v>7192</v>
      </c>
      <c r="R156">
        <v>36061</v>
      </c>
      <c r="S156">
        <v>20298515.225427698</v>
      </c>
      <c r="T156">
        <v>9140510.3215331398</v>
      </c>
      <c r="U156">
        <v>-11158004.903894501</v>
      </c>
      <c r="V156">
        <v>7131238.5590937696</v>
      </c>
      <c r="W156">
        <v>0</v>
      </c>
      <c r="X156">
        <v>2180</v>
      </c>
      <c r="Y156">
        <v>1704</v>
      </c>
      <c r="Z156">
        <v>0</v>
      </c>
      <c r="AA156">
        <v>2580951.081913</v>
      </c>
      <c r="AB156">
        <v>3417388.79999999</v>
      </c>
      <c r="AC156" s="12">
        <f t="shared" si="2"/>
        <v>-836437.71808699006</v>
      </c>
      <c r="AD156">
        <v>30</v>
      </c>
      <c r="AE156">
        <v>469</v>
      </c>
      <c r="AF156" t="b">
        <v>1</v>
      </c>
    </row>
    <row r="157" spans="1:32" x14ac:dyDescent="0.2">
      <c r="A157">
        <v>10</v>
      </c>
      <c r="B157">
        <v>139</v>
      </c>
      <c r="C157">
        <v>10</v>
      </c>
      <c r="D157">
        <v>1</v>
      </c>
      <c r="E157">
        <v>3</v>
      </c>
      <c r="F157">
        <v>15</v>
      </c>
      <c r="G157">
        <v>30</v>
      </c>
      <c r="H157">
        <v>90.12</v>
      </c>
      <c r="I157">
        <v>98.7</v>
      </c>
      <c r="J157">
        <v>0.4</v>
      </c>
      <c r="K157">
        <v>78488</v>
      </c>
      <c r="L157">
        <v>62320</v>
      </c>
      <c r="M157">
        <v>33282</v>
      </c>
      <c r="N157">
        <v>10634</v>
      </c>
      <c r="O157">
        <v>5755</v>
      </c>
      <c r="P157">
        <v>41832</v>
      </c>
      <c r="Q157">
        <v>7192</v>
      </c>
      <c r="R157">
        <v>36061</v>
      </c>
      <c r="S157">
        <v>20298515.225427698</v>
      </c>
      <c r="T157">
        <v>14863631.843066201</v>
      </c>
      <c r="U157">
        <v>-5434883.3823614102</v>
      </c>
      <c r="V157">
        <v>7131238.5590937696</v>
      </c>
      <c r="W157">
        <v>0</v>
      </c>
      <c r="X157">
        <v>2180</v>
      </c>
      <c r="Y157">
        <v>1704</v>
      </c>
      <c r="Z157">
        <v>0</v>
      </c>
      <c r="AA157">
        <v>5161902.1638259999</v>
      </c>
      <c r="AB157">
        <v>3417388.79999999</v>
      </c>
      <c r="AC157" s="12">
        <f t="shared" si="2"/>
        <v>1744513.3638260099</v>
      </c>
      <c r="AD157">
        <v>30</v>
      </c>
      <c r="AE157">
        <v>469</v>
      </c>
      <c r="AF157" t="b">
        <v>1</v>
      </c>
    </row>
    <row r="158" spans="1:32" x14ac:dyDescent="0.2">
      <c r="A158">
        <v>10</v>
      </c>
      <c r="B158">
        <v>138</v>
      </c>
      <c r="C158">
        <v>10</v>
      </c>
      <c r="D158">
        <v>1</v>
      </c>
      <c r="E158">
        <v>1</v>
      </c>
      <c r="F158">
        <v>30</v>
      </c>
      <c r="G158">
        <v>30</v>
      </c>
      <c r="H158">
        <v>45.06</v>
      </c>
      <c r="I158">
        <v>49.35</v>
      </c>
      <c r="J158">
        <v>0.4</v>
      </c>
      <c r="K158">
        <v>72850</v>
      </c>
      <c r="L158">
        <v>63740</v>
      </c>
      <c r="M158">
        <v>34184</v>
      </c>
      <c r="N158">
        <v>10573</v>
      </c>
      <c r="O158">
        <v>5903</v>
      </c>
      <c r="P158">
        <v>43254</v>
      </c>
      <c r="Q158">
        <v>7783</v>
      </c>
      <c r="R158">
        <v>35499</v>
      </c>
      <c r="S158">
        <v>27960840.424438398</v>
      </c>
      <c r="T158">
        <v>10769979.190660801</v>
      </c>
      <c r="U158">
        <v>-17190861.233777501</v>
      </c>
      <c r="V158">
        <v>13146327.282641601</v>
      </c>
      <c r="W158">
        <v>0</v>
      </c>
      <c r="X158">
        <v>2164</v>
      </c>
      <c r="Y158">
        <v>3375</v>
      </c>
      <c r="Z158">
        <v>0</v>
      </c>
      <c r="AA158">
        <v>3536151.1920497799</v>
      </c>
      <c r="AB158">
        <v>3417388.79999999</v>
      </c>
      <c r="AC158" s="12">
        <f t="shared" si="2"/>
        <v>118762.39204978989</v>
      </c>
      <c r="AD158">
        <v>30</v>
      </c>
      <c r="AE158">
        <v>393</v>
      </c>
      <c r="AF158" t="b">
        <v>1</v>
      </c>
    </row>
    <row r="159" spans="1:32" x14ac:dyDescent="0.2">
      <c r="A159">
        <v>10</v>
      </c>
      <c r="B159">
        <v>138</v>
      </c>
      <c r="C159">
        <v>10</v>
      </c>
      <c r="D159">
        <v>1</v>
      </c>
      <c r="E159">
        <v>1</v>
      </c>
      <c r="F159">
        <v>30</v>
      </c>
      <c r="G159">
        <v>30</v>
      </c>
      <c r="H159">
        <v>90.12</v>
      </c>
      <c r="I159">
        <v>98.7</v>
      </c>
      <c r="J159">
        <v>0.4</v>
      </c>
      <c r="K159">
        <v>72850</v>
      </c>
      <c r="L159">
        <v>63740</v>
      </c>
      <c r="M159">
        <v>34184</v>
      </c>
      <c r="N159">
        <v>10573</v>
      </c>
      <c r="O159">
        <v>5903</v>
      </c>
      <c r="P159">
        <v>43254</v>
      </c>
      <c r="Q159">
        <v>7783</v>
      </c>
      <c r="R159">
        <v>35499</v>
      </c>
      <c r="S159">
        <v>27960840.424438398</v>
      </c>
      <c r="T159">
        <v>18122569.581321601</v>
      </c>
      <c r="U159">
        <v>-9838270.8431167491</v>
      </c>
      <c r="V159">
        <v>13146327.282641601</v>
      </c>
      <c r="W159">
        <v>0</v>
      </c>
      <c r="X159">
        <v>2164</v>
      </c>
      <c r="Y159">
        <v>3375</v>
      </c>
      <c r="Z159">
        <v>0</v>
      </c>
      <c r="AA159">
        <v>7072302.3840995701</v>
      </c>
      <c r="AB159">
        <v>3417388.79999999</v>
      </c>
      <c r="AC159" s="12">
        <f t="shared" si="2"/>
        <v>3654913.5840995801</v>
      </c>
      <c r="AD159">
        <v>30</v>
      </c>
      <c r="AE159">
        <v>393</v>
      </c>
      <c r="AF159" t="b">
        <v>1</v>
      </c>
    </row>
    <row r="160" spans="1:32" x14ac:dyDescent="0.2">
      <c r="A160">
        <v>10</v>
      </c>
      <c r="B160">
        <v>140</v>
      </c>
      <c r="C160">
        <v>10</v>
      </c>
      <c r="D160">
        <v>1</v>
      </c>
      <c r="E160">
        <v>1</v>
      </c>
      <c r="F160">
        <v>15</v>
      </c>
      <c r="G160">
        <v>30</v>
      </c>
      <c r="H160">
        <v>45.06</v>
      </c>
      <c r="I160">
        <v>49.35</v>
      </c>
      <c r="J160">
        <v>0.4</v>
      </c>
      <c r="K160">
        <v>78079</v>
      </c>
      <c r="L160">
        <v>61582</v>
      </c>
      <c r="M160">
        <v>33284</v>
      </c>
      <c r="N160">
        <v>10662</v>
      </c>
      <c r="O160">
        <v>5521</v>
      </c>
      <c r="P160">
        <v>40390</v>
      </c>
      <c r="Q160">
        <v>6718</v>
      </c>
      <c r="R160">
        <v>36551</v>
      </c>
      <c r="S160">
        <v>20250505.231081899</v>
      </c>
      <c r="T160">
        <v>8268002.4391249698</v>
      </c>
      <c r="U160">
        <v>-11982502.791957</v>
      </c>
      <c r="V160">
        <v>7425597.9823034499</v>
      </c>
      <c r="W160">
        <v>0</v>
      </c>
      <c r="X160">
        <v>2202</v>
      </c>
      <c r="Y160">
        <v>1715</v>
      </c>
      <c r="Z160">
        <v>0</v>
      </c>
      <c r="AA160">
        <v>1609481.87287133</v>
      </c>
      <c r="AB160">
        <v>3417388.79999999</v>
      </c>
      <c r="AC160" s="12">
        <f t="shared" si="2"/>
        <v>-1807906.92712866</v>
      </c>
      <c r="AD160">
        <v>30</v>
      </c>
      <c r="AE160">
        <v>498</v>
      </c>
      <c r="AF160" t="b">
        <v>1</v>
      </c>
    </row>
    <row r="161" spans="1:32" x14ac:dyDescent="0.2">
      <c r="A161">
        <v>10</v>
      </c>
      <c r="B161">
        <v>140</v>
      </c>
      <c r="C161">
        <v>10</v>
      </c>
      <c r="D161">
        <v>1</v>
      </c>
      <c r="E161">
        <v>1</v>
      </c>
      <c r="F161">
        <v>15</v>
      </c>
      <c r="G161">
        <v>30</v>
      </c>
      <c r="H161">
        <v>90.12</v>
      </c>
      <c r="I161">
        <v>98.7</v>
      </c>
      <c r="J161">
        <v>0.4</v>
      </c>
      <c r="K161">
        <v>78079</v>
      </c>
      <c r="L161">
        <v>61582</v>
      </c>
      <c r="M161">
        <v>33284</v>
      </c>
      <c r="N161">
        <v>10662</v>
      </c>
      <c r="O161">
        <v>5521</v>
      </c>
      <c r="P161">
        <v>40390</v>
      </c>
      <c r="Q161">
        <v>6718</v>
      </c>
      <c r="R161">
        <v>36551</v>
      </c>
      <c r="S161">
        <v>20250505.231081899</v>
      </c>
      <c r="T161">
        <v>13118616.0782499</v>
      </c>
      <c r="U161">
        <v>-7131889.1528320303</v>
      </c>
      <c r="V161">
        <v>7425597.9823034499</v>
      </c>
      <c r="W161">
        <v>0</v>
      </c>
      <c r="X161">
        <v>2202</v>
      </c>
      <c r="Y161">
        <v>1715</v>
      </c>
      <c r="Z161">
        <v>0</v>
      </c>
      <c r="AA161">
        <v>3218963.7457426698</v>
      </c>
      <c r="AB161">
        <v>3417388.79999999</v>
      </c>
      <c r="AC161" s="12">
        <f t="shared" si="2"/>
        <v>-198425.05425732024</v>
      </c>
      <c r="AD161">
        <v>30</v>
      </c>
      <c r="AE161">
        <v>498</v>
      </c>
      <c r="AF161" t="b">
        <v>1</v>
      </c>
    </row>
    <row r="162" spans="1:32" x14ac:dyDescent="0.2">
      <c r="A162">
        <v>10</v>
      </c>
      <c r="B162">
        <v>159</v>
      </c>
      <c r="C162">
        <v>10</v>
      </c>
      <c r="D162">
        <v>3</v>
      </c>
      <c r="E162">
        <v>3</v>
      </c>
      <c r="F162">
        <v>30</v>
      </c>
      <c r="G162">
        <v>50</v>
      </c>
      <c r="H162">
        <v>45.06</v>
      </c>
      <c r="I162">
        <v>49.35</v>
      </c>
      <c r="J162">
        <v>0.4</v>
      </c>
      <c r="K162">
        <v>59838</v>
      </c>
      <c r="L162">
        <v>80240</v>
      </c>
      <c r="M162">
        <v>32193</v>
      </c>
      <c r="N162">
        <v>11217</v>
      </c>
      <c r="O162">
        <v>6457</v>
      </c>
      <c r="P162">
        <v>48191</v>
      </c>
      <c r="Q162">
        <v>4682</v>
      </c>
      <c r="R162">
        <v>37149</v>
      </c>
      <c r="S162">
        <v>35793145.856115699</v>
      </c>
      <c r="T162">
        <v>22445896.718378201</v>
      </c>
      <c r="U162">
        <v>-13347249.137737401</v>
      </c>
      <c r="V162">
        <v>15108723.0479038</v>
      </c>
      <c r="W162">
        <v>0</v>
      </c>
      <c r="X162">
        <v>2454</v>
      </c>
      <c r="Y162">
        <v>3944</v>
      </c>
      <c r="Z162">
        <v>0</v>
      </c>
      <c r="AA162">
        <v>8600731.1006705705</v>
      </c>
      <c r="AB162">
        <v>5695647.9999999898</v>
      </c>
      <c r="AC162" s="12">
        <f t="shared" si="2"/>
        <v>2905083.1006705808</v>
      </c>
      <c r="AD162">
        <v>50</v>
      </c>
      <c r="AE162">
        <v>462</v>
      </c>
      <c r="AF162" t="b">
        <v>1</v>
      </c>
    </row>
    <row r="163" spans="1:32" x14ac:dyDescent="0.2">
      <c r="A163">
        <v>10</v>
      </c>
      <c r="B163">
        <v>159</v>
      </c>
      <c r="C163">
        <v>10</v>
      </c>
      <c r="D163">
        <v>3</v>
      </c>
      <c r="E163">
        <v>3</v>
      </c>
      <c r="F163">
        <v>30</v>
      </c>
      <c r="G163">
        <v>50</v>
      </c>
      <c r="H163">
        <v>90.12</v>
      </c>
      <c r="I163">
        <v>98.7</v>
      </c>
      <c r="J163">
        <v>0.4</v>
      </c>
      <c r="K163">
        <v>59838</v>
      </c>
      <c r="L163">
        <v>80240</v>
      </c>
      <c r="M163">
        <v>32193</v>
      </c>
      <c r="N163">
        <v>11217</v>
      </c>
      <c r="O163">
        <v>6457</v>
      </c>
      <c r="P163">
        <v>48191</v>
      </c>
      <c r="Q163">
        <v>4682</v>
      </c>
      <c r="R163">
        <v>37149</v>
      </c>
      <c r="S163">
        <v>35793145.856115699</v>
      </c>
      <c r="T163">
        <v>39196145.436756499</v>
      </c>
      <c r="U163">
        <v>3402999.5806408599</v>
      </c>
      <c r="V163">
        <v>15108723.0479038</v>
      </c>
      <c r="W163">
        <v>0</v>
      </c>
      <c r="X163">
        <v>2454</v>
      </c>
      <c r="Y163">
        <v>3944</v>
      </c>
      <c r="Z163">
        <v>0</v>
      </c>
      <c r="AA163">
        <v>17201462.2013411</v>
      </c>
      <c r="AB163">
        <v>5695647.9999999898</v>
      </c>
      <c r="AC163" s="12">
        <f t="shared" si="2"/>
        <v>11505814.201341111</v>
      </c>
      <c r="AD163">
        <v>50</v>
      </c>
      <c r="AE163">
        <v>462</v>
      </c>
      <c r="AF163" t="b">
        <v>1</v>
      </c>
    </row>
    <row r="164" spans="1:32" x14ac:dyDescent="0.2">
      <c r="A164">
        <v>10</v>
      </c>
      <c r="B164">
        <v>160</v>
      </c>
      <c r="C164">
        <v>10</v>
      </c>
      <c r="D164">
        <v>3</v>
      </c>
      <c r="E164">
        <v>3</v>
      </c>
      <c r="F164">
        <v>15</v>
      </c>
      <c r="G164">
        <v>50</v>
      </c>
      <c r="H164">
        <v>45.06</v>
      </c>
      <c r="I164">
        <v>49.35</v>
      </c>
      <c r="J164">
        <v>0.4</v>
      </c>
      <c r="K164">
        <v>59275</v>
      </c>
      <c r="L164">
        <v>78602</v>
      </c>
      <c r="M164">
        <v>31585</v>
      </c>
      <c r="N164">
        <v>11242</v>
      </c>
      <c r="O164">
        <v>6283</v>
      </c>
      <c r="P164">
        <v>46808</v>
      </c>
      <c r="Q164">
        <v>4672</v>
      </c>
      <c r="R164">
        <v>37193</v>
      </c>
      <c r="S164">
        <v>27611567.4891745</v>
      </c>
      <c r="T164">
        <v>20100998.922688801</v>
      </c>
      <c r="U164">
        <v>-7510568.5664857598</v>
      </c>
      <c r="V164">
        <v>7741040.6036523497</v>
      </c>
      <c r="W164">
        <v>0</v>
      </c>
      <c r="X164">
        <v>2478</v>
      </c>
      <c r="Y164">
        <v>2025</v>
      </c>
      <c r="Z164">
        <v>0</v>
      </c>
      <c r="AA164">
        <v>6730141.8497599997</v>
      </c>
      <c r="AB164">
        <v>5695647.9999999898</v>
      </c>
      <c r="AC164" s="12">
        <f t="shared" si="2"/>
        <v>1034493.8497600099</v>
      </c>
      <c r="AD164">
        <v>50</v>
      </c>
      <c r="AE164">
        <v>555</v>
      </c>
      <c r="AF164" t="b">
        <v>1</v>
      </c>
    </row>
    <row r="165" spans="1:32" x14ac:dyDescent="0.2">
      <c r="A165">
        <v>10</v>
      </c>
      <c r="B165">
        <v>160</v>
      </c>
      <c r="C165">
        <v>10</v>
      </c>
      <c r="D165">
        <v>3</v>
      </c>
      <c r="E165">
        <v>3</v>
      </c>
      <c r="F165">
        <v>15</v>
      </c>
      <c r="G165">
        <v>50</v>
      </c>
      <c r="H165">
        <v>90.12</v>
      </c>
      <c r="I165">
        <v>98.7</v>
      </c>
      <c r="J165">
        <v>0.4</v>
      </c>
      <c r="K165">
        <v>59275</v>
      </c>
      <c r="L165">
        <v>78602</v>
      </c>
      <c r="M165">
        <v>31585</v>
      </c>
      <c r="N165">
        <v>11242</v>
      </c>
      <c r="O165">
        <v>6283</v>
      </c>
      <c r="P165">
        <v>46808</v>
      </c>
      <c r="Q165">
        <v>4672</v>
      </c>
      <c r="R165">
        <v>37193</v>
      </c>
      <c r="S165">
        <v>27611567.4891745</v>
      </c>
      <c r="T165">
        <v>34506349.845377602</v>
      </c>
      <c r="U165">
        <v>6894782.3562030504</v>
      </c>
      <c r="V165">
        <v>7741040.6036523497</v>
      </c>
      <c r="W165">
        <v>0</v>
      </c>
      <c r="X165">
        <v>2478</v>
      </c>
      <c r="Y165">
        <v>2025</v>
      </c>
      <c r="Z165">
        <v>0</v>
      </c>
      <c r="AA165">
        <v>13460283.699519999</v>
      </c>
      <c r="AB165">
        <v>5695647.9999999898</v>
      </c>
      <c r="AC165" s="12">
        <f t="shared" si="2"/>
        <v>7764635.6995200096</v>
      </c>
      <c r="AD165">
        <v>50</v>
      </c>
      <c r="AE165">
        <v>555</v>
      </c>
      <c r="AF165" t="b">
        <v>1</v>
      </c>
    </row>
    <row r="166" spans="1:32" x14ac:dyDescent="0.2">
      <c r="A166">
        <v>10</v>
      </c>
      <c r="B166">
        <v>155</v>
      </c>
      <c r="C166">
        <v>10</v>
      </c>
      <c r="D166">
        <v>3</v>
      </c>
      <c r="E166">
        <v>1</v>
      </c>
      <c r="F166">
        <v>30</v>
      </c>
      <c r="G166">
        <v>50</v>
      </c>
      <c r="H166">
        <v>45.06</v>
      </c>
      <c r="I166">
        <v>49.35</v>
      </c>
      <c r="J166">
        <v>0.4</v>
      </c>
      <c r="K166">
        <v>69441</v>
      </c>
      <c r="L166">
        <v>76461</v>
      </c>
      <c r="M166">
        <v>32473</v>
      </c>
      <c r="N166">
        <v>11125</v>
      </c>
      <c r="O166">
        <v>21364</v>
      </c>
      <c r="P166">
        <v>32402</v>
      </c>
      <c r="Q166">
        <v>4739</v>
      </c>
      <c r="R166">
        <v>37531</v>
      </c>
      <c r="S166">
        <v>33745223.547147803</v>
      </c>
      <c r="T166">
        <v>19468848.102999199</v>
      </c>
      <c r="U166">
        <v>-14276375.4441486</v>
      </c>
      <c r="V166">
        <v>15217867.497408999</v>
      </c>
      <c r="W166">
        <v>0</v>
      </c>
      <c r="X166">
        <v>2425</v>
      </c>
      <c r="Y166">
        <v>3832</v>
      </c>
      <c r="Z166">
        <v>0</v>
      </c>
      <c r="AA166">
        <v>7451506.6757243499</v>
      </c>
      <c r="AB166">
        <v>5695647.9999999898</v>
      </c>
      <c r="AC166" s="12">
        <f t="shared" si="2"/>
        <v>1755858.6757243602</v>
      </c>
      <c r="AD166">
        <v>50</v>
      </c>
      <c r="AE166">
        <v>592</v>
      </c>
      <c r="AF166" t="b">
        <v>1</v>
      </c>
    </row>
    <row r="167" spans="1:32" x14ac:dyDescent="0.2">
      <c r="A167">
        <v>10</v>
      </c>
      <c r="B167">
        <v>155</v>
      </c>
      <c r="C167">
        <v>10</v>
      </c>
      <c r="D167">
        <v>3</v>
      </c>
      <c r="E167">
        <v>1</v>
      </c>
      <c r="F167">
        <v>30</v>
      </c>
      <c r="G167">
        <v>50</v>
      </c>
      <c r="H167">
        <v>90.12</v>
      </c>
      <c r="I167">
        <v>98.7</v>
      </c>
      <c r="J167">
        <v>0.4</v>
      </c>
      <c r="K167">
        <v>69441</v>
      </c>
      <c r="L167">
        <v>76461</v>
      </c>
      <c r="M167">
        <v>32473</v>
      </c>
      <c r="N167">
        <v>11125</v>
      </c>
      <c r="O167">
        <v>21364</v>
      </c>
      <c r="P167">
        <v>32402</v>
      </c>
      <c r="Q167">
        <v>4739</v>
      </c>
      <c r="R167">
        <v>37531</v>
      </c>
      <c r="S167">
        <v>33745223.547147803</v>
      </c>
      <c r="T167">
        <v>33242048.205998398</v>
      </c>
      <c r="U167">
        <v>-503175.34114941902</v>
      </c>
      <c r="V167">
        <v>15217867.497408999</v>
      </c>
      <c r="W167">
        <v>0</v>
      </c>
      <c r="X167">
        <v>2425</v>
      </c>
      <c r="Y167">
        <v>3832</v>
      </c>
      <c r="Z167">
        <v>0</v>
      </c>
      <c r="AA167">
        <v>14903013.3514487</v>
      </c>
      <c r="AB167">
        <v>5695647.9999999898</v>
      </c>
      <c r="AC167" s="12">
        <f t="shared" si="2"/>
        <v>9207365.351448711</v>
      </c>
      <c r="AD167">
        <v>50</v>
      </c>
      <c r="AE167">
        <v>592</v>
      </c>
      <c r="AF167" t="b">
        <v>1</v>
      </c>
    </row>
    <row r="168" spans="1:32" x14ac:dyDescent="0.2">
      <c r="A168">
        <v>10</v>
      </c>
      <c r="B168">
        <v>158</v>
      </c>
      <c r="C168">
        <v>10</v>
      </c>
      <c r="D168">
        <v>3</v>
      </c>
      <c r="E168">
        <v>1</v>
      </c>
      <c r="F168">
        <v>15</v>
      </c>
      <c r="G168">
        <v>50</v>
      </c>
      <c r="H168">
        <v>45.06</v>
      </c>
      <c r="I168">
        <v>49.35</v>
      </c>
      <c r="J168">
        <v>0.4</v>
      </c>
      <c r="K168">
        <v>60267</v>
      </c>
      <c r="L168">
        <v>79786</v>
      </c>
      <c r="M168">
        <v>31775</v>
      </c>
      <c r="N168">
        <v>11100</v>
      </c>
      <c r="O168">
        <v>26565</v>
      </c>
      <c r="P168">
        <v>29681</v>
      </c>
      <c r="Q168">
        <v>4621</v>
      </c>
      <c r="R168">
        <v>37591</v>
      </c>
      <c r="S168">
        <v>26779783.436997801</v>
      </c>
      <c r="T168">
        <v>18719303.995046899</v>
      </c>
      <c r="U168">
        <v>-8060479.4419509098</v>
      </c>
      <c r="V168">
        <v>8199017.0380506897</v>
      </c>
      <c r="W168">
        <v>0</v>
      </c>
      <c r="X168">
        <v>2463</v>
      </c>
      <c r="Y168">
        <v>1997</v>
      </c>
      <c r="Z168">
        <v>0</v>
      </c>
      <c r="AA168">
        <v>6223260.17846628</v>
      </c>
      <c r="AB168">
        <v>5695647.9999999898</v>
      </c>
      <c r="AC168" s="12">
        <f t="shared" si="2"/>
        <v>527612.17846629024</v>
      </c>
      <c r="AD168">
        <v>50</v>
      </c>
      <c r="AE168">
        <v>624</v>
      </c>
      <c r="AF168" t="b">
        <v>1</v>
      </c>
    </row>
    <row r="169" spans="1:32" x14ac:dyDescent="0.2">
      <c r="A169">
        <v>10</v>
      </c>
      <c r="B169">
        <v>158</v>
      </c>
      <c r="C169">
        <v>10</v>
      </c>
      <c r="D169">
        <v>3</v>
      </c>
      <c r="E169">
        <v>1</v>
      </c>
      <c r="F169">
        <v>15</v>
      </c>
      <c r="G169">
        <v>50</v>
      </c>
      <c r="H169">
        <v>90.12</v>
      </c>
      <c r="I169">
        <v>98.7</v>
      </c>
      <c r="J169">
        <v>0.4</v>
      </c>
      <c r="K169">
        <v>60267</v>
      </c>
      <c r="L169">
        <v>79786</v>
      </c>
      <c r="M169">
        <v>31775</v>
      </c>
      <c r="N169">
        <v>11100</v>
      </c>
      <c r="O169">
        <v>26565</v>
      </c>
      <c r="P169">
        <v>29681</v>
      </c>
      <c r="Q169">
        <v>4621</v>
      </c>
      <c r="R169">
        <v>37591</v>
      </c>
      <c r="S169">
        <v>26779783.436997801</v>
      </c>
      <c r="T169">
        <v>31742959.990093902</v>
      </c>
      <c r="U169">
        <v>4963176.5530960597</v>
      </c>
      <c r="V169">
        <v>8199017.0380506897</v>
      </c>
      <c r="W169">
        <v>0</v>
      </c>
      <c r="X169">
        <v>2463</v>
      </c>
      <c r="Y169">
        <v>1997</v>
      </c>
      <c r="Z169">
        <v>0</v>
      </c>
      <c r="AA169">
        <v>12446520.3569325</v>
      </c>
      <c r="AB169">
        <v>5695647.9999999898</v>
      </c>
      <c r="AC169" s="12">
        <f t="shared" si="2"/>
        <v>6750872.3569325106</v>
      </c>
      <c r="AD169">
        <v>50</v>
      </c>
      <c r="AE169">
        <v>624</v>
      </c>
      <c r="AF169" t="b">
        <v>1</v>
      </c>
    </row>
    <row r="170" spans="1:32" x14ac:dyDescent="0.2">
      <c r="A170">
        <v>10</v>
      </c>
      <c r="B170">
        <v>158</v>
      </c>
      <c r="C170">
        <v>10</v>
      </c>
      <c r="D170">
        <v>1</v>
      </c>
      <c r="E170">
        <v>3</v>
      </c>
      <c r="F170">
        <v>30</v>
      </c>
      <c r="G170">
        <v>50</v>
      </c>
      <c r="H170">
        <v>45.06</v>
      </c>
      <c r="I170">
        <v>49.35</v>
      </c>
      <c r="J170">
        <v>0.4</v>
      </c>
      <c r="K170">
        <v>60676</v>
      </c>
      <c r="L170">
        <v>81336</v>
      </c>
      <c r="M170">
        <v>32410</v>
      </c>
      <c r="N170">
        <v>11197</v>
      </c>
      <c r="O170">
        <v>26329</v>
      </c>
      <c r="P170">
        <v>30404</v>
      </c>
      <c r="Q170">
        <v>4667</v>
      </c>
      <c r="R170">
        <v>37535</v>
      </c>
      <c r="S170">
        <v>34237998.427577399</v>
      </c>
      <c r="T170">
        <v>20675772.581783898</v>
      </c>
      <c r="U170">
        <v>-13562225.8457934</v>
      </c>
      <c r="V170">
        <v>14980768.5053828</v>
      </c>
      <c r="W170">
        <v>0</v>
      </c>
      <c r="X170">
        <v>2418</v>
      </c>
      <c r="Y170">
        <v>3885</v>
      </c>
      <c r="Z170">
        <v>0</v>
      </c>
      <c r="AA170">
        <v>5878974.3969941996</v>
      </c>
      <c r="AB170">
        <v>5695647.9999999898</v>
      </c>
      <c r="AC170" s="12">
        <f t="shared" si="2"/>
        <v>183326.39699420985</v>
      </c>
      <c r="AD170">
        <v>50</v>
      </c>
      <c r="AE170">
        <v>493</v>
      </c>
      <c r="AF170" t="b">
        <v>1</v>
      </c>
    </row>
    <row r="171" spans="1:32" x14ac:dyDescent="0.2">
      <c r="A171">
        <v>10</v>
      </c>
      <c r="B171">
        <v>158</v>
      </c>
      <c r="C171">
        <v>10</v>
      </c>
      <c r="D171">
        <v>1</v>
      </c>
      <c r="E171">
        <v>3</v>
      </c>
      <c r="F171">
        <v>30</v>
      </c>
      <c r="G171">
        <v>50</v>
      </c>
      <c r="H171">
        <v>90.12</v>
      </c>
      <c r="I171">
        <v>98.7</v>
      </c>
      <c r="J171">
        <v>0.4</v>
      </c>
      <c r="K171">
        <v>60676</v>
      </c>
      <c r="L171">
        <v>81336</v>
      </c>
      <c r="M171">
        <v>32410</v>
      </c>
      <c r="N171">
        <v>11197</v>
      </c>
      <c r="O171">
        <v>26329</v>
      </c>
      <c r="P171">
        <v>30404</v>
      </c>
      <c r="Q171">
        <v>4667</v>
      </c>
      <c r="R171">
        <v>37535</v>
      </c>
      <c r="S171">
        <v>34237998.427577399</v>
      </c>
      <c r="T171">
        <v>35655897.163567901</v>
      </c>
      <c r="U171">
        <v>1417898.7359905499</v>
      </c>
      <c r="V171">
        <v>14980768.5053828</v>
      </c>
      <c r="W171">
        <v>0</v>
      </c>
      <c r="X171">
        <v>2418</v>
      </c>
      <c r="Y171">
        <v>3885</v>
      </c>
      <c r="Z171">
        <v>0</v>
      </c>
      <c r="AA171">
        <v>11757948.793988399</v>
      </c>
      <c r="AB171">
        <v>5695647.9999999898</v>
      </c>
      <c r="AC171" s="12">
        <f t="shared" si="2"/>
        <v>6062300.7939884095</v>
      </c>
      <c r="AD171">
        <v>50</v>
      </c>
      <c r="AE171">
        <v>493</v>
      </c>
      <c r="AF171" t="b">
        <v>1</v>
      </c>
    </row>
    <row r="172" spans="1:32" x14ac:dyDescent="0.2">
      <c r="A172">
        <v>10</v>
      </c>
      <c r="B172">
        <v>156</v>
      </c>
      <c r="C172">
        <v>10</v>
      </c>
      <c r="D172">
        <v>1</v>
      </c>
      <c r="E172">
        <v>3</v>
      </c>
      <c r="F172">
        <v>15</v>
      </c>
      <c r="G172">
        <v>50</v>
      </c>
      <c r="H172">
        <v>45.06</v>
      </c>
      <c r="I172">
        <v>49.35</v>
      </c>
      <c r="J172">
        <v>0.4</v>
      </c>
      <c r="K172">
        <v>63860</v>
      </c>
      <c r="L172">
        <v>79671</v>
      </c>
      <c r="M172">
        <v>31997</v>
      </c>
      <c r="N172">
        <v>11192</v>
      </c>
      <c r="O172">
        <v>20707</v>
      </c>
      <c r="P172">
        <v>31265</v>
      </c>
      <c r="Q172">
        <v>4772</v>
      </c>
      <c r="R172">
        <v>37435</v>
      </c>
      <c r="S172">
        <v>26177610.1520162</v>
      </c>
      <c r="T172">
        <v>19203346.578968301</v>
      </c>
      <c r="U172">
        <v>-6974263.57304784</v>
      </c>
      <c r="V172">
        <v>8480716.5341788102</v>
      </c>
      <c r="W172">
        <v>0</v>
      </c>
      <c r="X172">
        <v>2423</v>
      </c>
      <c r="Y172">
        <v>1909</v>
      </c>
      <c r="Z172">
        <v>0</v>
      </c>
      <c r="AA172">
        <v>6450837.7148498502</v>
      </c>
      <c r="AB172">
        <v>5695647.9999999898</v>
      </c>
      <c r="AC172" s="12">
        <f t="shared" si="2"/>
        <v>755189.71484986041</v>
      </c>
      <c r="AD172">
        <v>50</v>
      </c>
      <c r="AE172">
        <v>574</v>
      </c>
      <c r="AF172" t="b">
        <v>1</v>
      </c>
    </row>
    <row r="173" spans="1:32" x14ac:dyDescent="0.2">
      <c r="A173">
        <v>10</v>
      </c>
      <c r="B173">
        <v>156</v>
      </c>
      <c r="C173">
        <v>10</v>
      </c>
      <c r="D173">
        <v>1</v>
      </c>
      <c r="E173">
        <v>3</v>
      </c>
      <c r="F173">
        <v>15</v>
      </c>
      <c r="G173">
        <v>50</v>
      </c>
      <c r="H173">
        <v>90.12</v>
      </c>
      <c r="I173">
        <v>98.7</v>
      </c>
      <c r="J173">
        <v>0.4</v>
      </c>
      <c r="K173">
        <v>63860</v>
      </c>
      <c r="L173">
        <v>79671</v>
      </c>
      <c r="M173">
        <v>31997</v>
      </c>
      <c r="N173">
        <v>11192</v>
      </c>
      <c r="O173">
        <v>20707</v>
      </c>
      <c r="P173">
        <v>31265</v>
      </c>
      <c r="Q173">
        <v>4772</v>
      </c>
      <c r="R173">
        <v>37435</v>
      </c>
      <c r="S173">
        <v>26177610.1520162</v>
      </c>
      <c r="T173">
        <v>32711045.1579367</v>
      </c>
      <c r="U173">
        <v>6533435.0059205201</v>
      </c>
      <c r="V173">
        <v>8480716.5341788102</v>
      </c>
      <c r="W173">
        <v>0</v>
      </c>
      <c r="X173">
        <v>2423</v>
      </c>
      <c r="Y173">
        <v>1909</v>
      </c>
      <c r="Z173">
        <v>0</v>
      </c>
      <c r="AA173">
        <v>12901675.4296997</v>
      </c>
      <c r="AB173">
        <v>5695647.9999999898</v>
      </c>
      <c r="AC173" s="12">
        <f t="shared" si="2"/>
        <v>7206027.4296997106</v>
      </c>
      <c r="AD173">
        <v>50</v>
      </c>
      <c r="AE173">
        <v>574</v>
      </c>
      <c r="AF173" t="b">
        <v>1</v>
      </c>
    </row>
    <row r="174" spans="1:32" x14ac:dyDescent="0.2">
      <c r="A174">
        <v>10</v>
      </c>
      <c r="B174">
        <v>161</v>
      </c>
      <c r="C174">
        <v>10</v>
      </c>
      <c r="D174">
        <v>1</v>
      </c>
      <c r="E174">
        <v>1</v>
      </c>
      <c r="F174">
        <v>30</v>
      </c>
      <c r="G174">
        <v>50</v>
      </c>
      <c r="H174">
        <v>45.06</v>
      </c>
      <c r="I174">
        <v>49.35</v>
      </c>
      <c r="J174">
        <v>0.4</v>
      </c>
      <c r="K174">
        <v>66390</v>
      </c>
      <c r="L174">
        <v>78821</v>
      </c>
      <c r="M174">
        <v>32180</v>
      </c>
      <c r="N174">
        <v>11268</v>
      </c>
      <c r="O174">
        <v>6135</v>
      </c>
      <c r="P174">
        <v>46226</v>
      </c>
      <c r="Q174">
        <v>4679</v>
      </c>
      <c r="R174">
        <v>37188</v>
      </c>
      <c r="S174">
        <v>35436687.7389668</v>
      </c>
      <c r="T174">
        <v>21459704.926268999</v>
      </c>
      <c r="U174">
        <v>-13976982.812697699</v>
      </c>
      <c r="V174">
        <v>15927272.992327999</v>
      </c>
      <c r="W174">
        <v>0</v>
      </c>
      <c r="X174">
        <v>2478</v>
      </c>
      <c r="Y174">
        <v>3932</v>
      </c>
      <c r="Z174">
        <v>0</v>
      </c>
      <c r="AA174">
        <v>6092246.6974248402</v>
      </c>
      <c r="AB174">
        <v>5695647.9999999898</v>
      </c>
      <c r="AC174" s="12">
        <f t="shared" si="2"/>
        <v>396598.69742485043</v>
      </c>
      <c r="AD174">
        <v>50</v>
      </c>
      <c r="AE174">
        <v>472</v>
      </c>
      <c r="AF174" t="b">
        <v>1</v>
      </c>
    </row>
    <row r="175" spans="1:32" x14ac:dyDescent="0.2">
      <c r="A175">
        <v>10</v>
      </c>
      <c r="B175">
        <v>161</v>
      </c>
      <c r="C175">
        <v>10</v>
      </c>
      <c r="D175">
        <v>1</v>
      </c>
      <c r="E175">
        <v>1</v>
      </c>
      <c r="F175">
        <v>30</v>
      </c>
      <c r="G175">
        <v>50</v>
      </c>
      <c r="H175">
        <v>90.12</v>
      </c>
      <c r="I175">
        <v>98.7</v>
      </c>
      <c r="J175">
        <v>0.4</v>
      </c>
      <c r="K175">
        <v>66390</v>
      </c>
      <c r="L175">
        <v>78821</v>
      </c>
      <c r="M175">
        <v>32180</v>
      </c>
      <c r="N175">
        <v>11268</v>
      </c>
      <c r="O175">
        <v>6135</v>
      </c>
      <c r="P175">
        <v>46226</v>
      </c>
      <c r="Q175">
        <v>4679</v>
      </c>
      <c r="R175">
        <v>37188</v>
      </c>
      <c r="S175">
        <v>35436687.7389668</v>
      </c>
      <c r="T175">
        <v>37223761.852538101</v>
      </c>
      <c r="U175">
        <v>1787074.11357131</v>
      </c>
      <c r="V175">
        <v>15927272.992327999</v>
      </c>
      <c r="W175">
        <v>0</v>
      </c>
      <c r="X175">
        <v>2478</v>
      </c>
      <c r="Y175">
        <v>3932</v>
      </c>
      <c r="Z175">
        <v>0</v>
      </c>
      <c r="AA175">
        <v>12184493.3948496</v>
      </c>
      <c r="AB175">
        <v>5695647.9999999898</v>
      </c>
      <c r="AC175" s="12">
        <f t="shared" si="2"/>
        <v>6488845.3948496105</v>
      </c>
      <c r="AD175">
        <v>50</v>
      </c>
      <c r="AE175">
        <v>472</v>
      </c>
      <c r="AF175" t="b">
        <v>1</v>
      </c>
    </row>
    <row r="176" spans="1:32" x14ac:dyDescent="0.2">
      <c r="A176">
        <v>10</v>
      </c>
      <c r="B176">
        <v>159</v>
      </c>
      <c r="C176">
        <v>10</v>
      </c>
      <c r="D176">
        <v>1</v>
      </c>
      <c r="E176">
        <v>1</v>
      </c>
      <c r="F176">
        <v>15</v>
      </c>
      <c r="G176">
        <v>50</v>
      </c>
      <c r="H176">
        <v>45.06</v>
      </c>
      <c r="I176">
        <v>49.35</v>
      </c>
      <c r="J176">
        <v>0.4</v>
      </c>
      <c r="K176">
        <v>59578</v>
      </c>
      <c r="L176">
        <v>79467</v>
      </c>
      <c r="M176">
        <v>31679</v>
      </c>
      <c r="N176">
        <v>11163</v>
      </c>
      <c r="O176">
        <v>6498</v>
      </c>
      <c r="P176">
        <v>47985</v>
      </c>
      <c r="Q176">
        <v>4636</v>
      </c>
      <c r="R176">
        <v>37332</v>
      </c>
      <c r="S176">
        <v>26041104.5383863</v>
      </c>
      <c r="T176">
        <v>17016095.022015601</v>
      </c>
      <c r="U176">
        <v>-9025009.5163706299</v>
      </c>
      <c r="V176">
        <v>9149276.4150017407</v>
      </c>
      <c r="W176">
        <v>0</v>
      </c>
      <c r="X176">
        <v>2468</v>
      </c>
      <c r="Y176">
        <v>1971</v>
      </c>
      <c r="Z176">
        <v>0</v>
      </c>
      <c r="AA176">
        <v>6112996.0235027503</v>
      </c>
      <c r="AB176">
        <v>5695647.9999999898</v>
      </c>
      <c r="AC176" s="12">
        <f t="shared" si="2"/>
        <v>417348.02350276057</v>
      </c>
      <c r="AD176">
        <v>50</v>
      </c>
      <c r="AE176">
        <v>678</v>
      </c>
      <c r="AF176" t="b">
        <v>1</v>
      </c>
    </row>
    <row r="177" spans="1:32" x14ac:dyDescent="0.2">
      <c r="A177">
        <v>10</v>
      </c>
      <c r="B177">
        <v>159</v>
      </c>
      <c r="C177">
        <v>10</v>
      </c>
      <c r="D177">
        <v>1</v>
      </c>
      <c r="E177">
        <v>1</v>
      </c>
      <c r="F177">
        <v>15</v>
      </c>
      <c r="G177">
        <v>50</v>
      </c>
      <c r="H177">
        <v>90.12</v>
      </c>
      <c r="I177">
        <v>98.7</v>
      </c>
      <c r="J177">
        <v>0.4</v>
      </c>
      <c r="K177">
        <v>59578</v>
      </c>
      <c r="L177">
        <v>79467</v>
      </c>
      <c r="M177">
        <v>31679</v>
      </c>
      <c r="N177">
        <v>11163</v>
      </c>
      <c r="O177">
        <v>6498</v>
      </c>
      <c r="P177">
        <v>47985</v>
      </c>
      <c r="Q177">
        <v>4636</v>
      </c>
      <c r="R177">
        <v>37332</v>
      </c>
      <c r="S177">
        <v>26041104.5383863</v>
      </c>
      <c r="T177">
        <v>28336542.0440313</v>
      </c>
      <c r="U177">
        <v>2295437.5056450302</v>
      </c>
      <c r="V177">
        <v>9149276.4150017407</v>
      </c>
      <c r="W177">
        <v>0</v>
      </c>
      <c r="X177">
        <v>2468</v>
      </c>
      <c r="Y177">
        <v>1971</v>
      </c>
      <c r="Z177">
        <v>0</v>
      </c>
      <c r="AA177">
        <v>12225992.047005501</v>
      </c>
      <c r="AB177">
        <v>5695647.9999999898</v>
      </c>
      <c r="AC177" s="12">
        <f t="shared" si="2"/>
        <v>6530344.0470055109</v>
      </c>
      <c r="AD177">
        <v>50</v>
      </c>
      <c r="AE177">
        <v>678</v>
      </c>
      <c r="AF177" t="b">
        <v>1</v>
      </c>
    </row>
    <row r="178" spans="1:32" x14ac:dyDescent="0.2">
      <c r="A178">
        <v>10</v>
      </c>
      <c r="B178">
        <v>219</v>
      </c>
      <c r="C178">
        <v>15</v>
      </c>
      <c r="D178">
        <v>3</v>
      </c>
      <c r="E178">
        <v>3</v>
      </c>
      <c r="F178">
        <v>30</v>
      </c>
      <c r="G178">
        <v>50</v>
      </c>
      <c r="H178">
        <v>45.06</v>
      </c>
      <c r="I178">
        <v>49.35</v>
      </c>
      <c r="J178">
        <v>0.4</v>
      </c>
      <c r="K178">
        <v>67006</v>
      </c>
      <c r="L178">
        <v>111432</v>
      </c>
      <c r="M178">
        <v>25713</v>
      </c>
      <c r="N178">
        <v>13067</v>
      </c>
      <c r="O178">
        <v>29262</v>
      </c>
      <c r="P178">
        <v>44412</v>
      </c>
      <c r="Q178">
        <v>3830</v>
      </c>
      <c r="R178">
        <v>38205</v>
      </c>
      <c r="S178">
        <v>49160761.757037699</v>
      </c>
      <c r="T178">
        <v>28959582.356123399</v>
      </c>
      <c r="U178">
        <v>-20201179.4009142</v>
      </c>
      <c r="V178">
        <v>21244867.441321898</v>
      </c>
      <c r="W178">
        <v>0</v>
      </c>
      <c r="X178">
        <v>3493</v>
      </c>
      <c r="Y178">
        <v>5514</v>
      </c>
      <c r="Z178">
        <v>0</v>
      </c>
      <c r="AA178">
        <v>12874123.199588699</v>
      </c>
      <c r="AB178">
        <v>8362795.5</v>
      </c>
      <c r="AC178" s="12">
        <f t="shared" si="2"/>
        <v>4511327.6995886993</v>
      </c>
      <c r="AD178">
        <v>50</v>
      </c>
      <c r="AE178">
        <v>561</v>
      </c>
      <c r="AF178" t="b">
        <v>1</v>
      </c>
    </row>
    <row r="179" spans="1:32" x14ac:dyDescent="0.2">
      <c r="A179">
        <v>10</v>
      </c>
      <c r="B179">
        <v>219</v>
      </c>
      <c r="C179">
        <v>15</v>
      </c>
      <c r="D179">
        <v>3</v>
      </c>
      <c r="E179">
        <v>3</v>
      </c>
      <c r="F179">
        <v>30</v>
      </c>
      <c r="G179">
        <v>50</v>
      </c>
      <c r="H179">
        <v>90.12</v>
      </c>
      <c r="I179">
        <v>98.7</v>
      </c>
      <c r="J179">
        <v>0.4</v>
      </c>
      <c r="K179">
        <v>67006</v>
      </c>
      <c r="L179">
        <v>111432</v>
      </c>
      <c r="M179">
        <v>25713</v>
      </c>
      <c r="N179">
        <v>13067</v>
      </c>
      <c r="O179">
        <v>29262</v>
      </c>
      <c r="P179">
        <v>44412</v>
      </c>
      <c r="Q179">
        <v>3830</v>
      </c>
      <c r="R179">
        <v>38205</v>
      </c>
      <c r="S179">
        <v>49160761.757037699</v>
      </c>
      <c r="T179">
        <v>49556369.212246798</v>
      </c>
      <c r="U179">
        <v>395607.45520912798</v>
      </c>
      <c r="V179">
        <v>21244867.441321898</v>
      </c>
      <c r="W179">
        <v>0</v>
      </c>
      <c r="X179">
        <v>3493</v>
      </c>
      <c r="Y179">
        <v>5514</v>
      </c>
      <c r="Z179">
        <v>0</v>
      </c>
      <c r="AA179">
        <v>25748246.399177499</v>
      </c>
      <c r="AB179">
        <v>8362795.5</v>
      </c>
      <c r="AC179" s="12">
        <f t="shared" si="2"/>
        <v>17385450.899177499</v>
      </c>
      <c r="AD179">
        <v>50</v>
      </c>
      <c r="AE179">
        <v>561</v>
      </c>
      <c r="AF179" t="b">
        <v>1</v>
      </c>
    </row>
    <row r="180" spans="1:32" x14ac:dyDescent="0.2">
      <c r="A180">
        <v>10</v>
      </c>
      <c r="B180">
        <v>218</v>
      </c>
      <c r="C180">
        <v>15</v>
      </c>
      <c r="D180">
        <v>3</v>
      </c>
      <c r="E180">
        <v>3</v>
      </c>
      <c r="F180">
        <v>15</v>
      </c>
      <c r="G180">
        <v>50</v>
      </c>
      <c r="H180">
        <v>45.06</v>
      </c>
      <c r="I180">
        <v>49.35</v>
      </c>
      <c r="J180">
        <v>0.4</v>
      </c>
      <c r="K180">
        <v>67350</v>
      </c>
      <c r="L180">
        <v>109926</v>
      </c>
      <c r="M180">
        <v>25192</v>
      </c>
      <c r="N180">
        <v>13050</v>
      </c>
      <c r="O180">
        <v>35224</v>
      </c>
      <c r="P180">
        <v>40078</v>
      </c>
      <c r="Q180">
        <v>3484</v>
      </c>
      <c r="R180">
        <v>38454</v>
      </c>
      <c r="S180">
        <v>36459345.143924601</v>
      </c>
      <c r="T180">
        <v>23714433.7871079</v>
      </c>
      <c r="U180">
        <v>-12744911.3568167</v>
      </c>
      <c r="V180">
        <v>10997496.827051699</v>
      </c>
      <c r="W180">
        <v>0</v>
      </c>
      <c r="X180">
        <v>3471</v>
      </c>
      <c r="Y180">
        <v>2790</v>
      </c>
      <c r="Z180">
        <v>0</v>
      </c>
      <c r="AA180">
        <v>9463378.7070490606</v>
      </c>
      <c r="AB180">
        <v>8362795.5</v>
      </c>
      <c r="AC180" s="12">
        <f t="shared" si="2"/>
        <v>1100583.2070490606</v>
      </c>
      <c r="AD180">
        <v>50</v>
      </c>
      <c r="AE180">
        <v>796</v>
      </c>
      <c r="AF180" t="b">
        <v>1</v>
      </c>
    </row>
    <row r="181" spans="1:32" x14ac:dyDescent="0.2">
      <c r="A181">
        <v>10</v>
      </c>
      <c r="B181">
        <v>218</v>
      </c>
      <c r="C181">
        <v>15</v>
      </c>
      <c r="D181">
        <v>3</v>
      </c>
      <c r="E181">
        <v>3</v>
      </c>
      <c r="F181">
        <v>15</v>
      </c>
      <c r="G181">
        <v>50</v>
      </c>
      <c r="H181">
        <v>90.12</v>
      </c>
      <c r="I181">
        <v>98.7</v>
      </c>
      <c r="J181">
        <v>0.4</v>
      </c>
      <c r="K181">
        <v>67350</v>
      </c>
      <c r="L181">
        <v>109926</v>
      </c>
      <c r="M181">
        <v>25192</v>
      </c>
      <c r="N181">
        <v>13050</v>
      </c>
      <c r="O181">
        <v>35224</v>
      </c>
      <c r="P181">
        <v>40078</v>
      </c>
      <c r="Q181">
        <v>3484</v>
      </c>
      <c r="R181">
        <v>38454</v>
      </c>
      <c r="S181">
        <v>36459345.143924601</v>
      </c>
      <c r="T181">
        <v>39066072.0742158</v>
      </c>
      <c r="U181">
        <v>2606726.93029114</v>
      </c>
      <c r="V181">
        <v>10997496.827051699</v>
      </c>
      <c r="W181">
        <v>0</v>
      </c>
      <c r="X181">
        <v>3471</v>
      </c>
      <c r="Y181">
        <v>2790</v>
      </c>
      <c r="Z181">
        <v>0</v>
      </c>
      <c r="AA181">
        <v>18926757.414098099</v>
      </c>
      <c r="AB181">
        <v>8362795.5</v>
      </c>
      <c r="AC181" s="12">
        <f t="shared" si="2"/>
        <v>10563961.914098099</v>
      </c>
      <c r="AD181">
        <v>50</v>
      </c>
      <c r="AE181">
        <v>796</v>
      </c>
      <c r="AF181" t="b">
        <v>1</v>
      </c>
    </row>
    <row r="182" spans="1:32" x14ac:dyDescent="0.2">
      <c r="A182">
        <v>10</v>
      </c>
      <c r="B182">
        <v>222</v>
      </c>
      <c r="C182">
        <v>15</v>
      </c>
      <c r="D182">
        <v>3</v>
      </c>
      <c r="E182">
        <v>1</v>
      </c>
      <c r="F182">
        <v>30</v>
      </c>
      <c r="G182">
        <v>50</v>
      </c>
      <c r="H182">
        <v>45.06</v>
      </c>
      <c r="I182">
        <v>49.35</v>
      </c>
      <c r="J182">
        <v>0.4</v>
      </c>
      <c r="K182">
        <v>83402</v>
      </c>
      <c r="L182">
        <v>108018</v>
      </c>
      <c r="M182">
        <v>25499</v>
      </c>
      <c r="N182">
        <v>13197</v>
      </c>
      <c r="O182">
        <v>26892</v>
      </c>
      <c r="P182">
        <v>40883</v>
      </c>
      <c r="Q182">
        <v>3718</v>
      </c>
      <c r="R182">
        <v>38073</v>
      </c>
      <c r="S182">
        <v>46455971.406212904</v>
      </c>
      <c r="T182">
        <v>24308473.647459999</v>
      </c>
      <c r="U182">
        <v>-22147497.758752801</v>
      </c>
      <c r="V182">
        <v>21586230.566376101</v>
      </c>
      <c r="W182">
        <v>0</v>
      </c>
      <c r="X182">
        <v>3542</v>
      </c>
      <c r="Y182">
        <v>5611</v>
      </c>
      <c r="Z182">
        <v>0</v>
      </c>
      <c r="AA182">
        <v>8529394.1942931395</v>
      </c>
      <c r="AB182">
        <v>8362795.5</v>
      </c>
      <c r="AC182" s="12">
        <f t="shared" si="2"/>
        <v>166598.6942931395</v>
      </c>
      <c r="AD182">
        <v>50</v>
      </c>
      <c r="AE182">
        <v>743</v>
      </c>
      <c r="AF182" t="b">
        <v>1</v>
      </c>
    </row>
    <row r="183" spans="1:32" x14ac:dyDescent="0.2">
      <c r="A183">
        <v>10</v>
      </c>
      <c r="B183">
        <v>222</v>
      </c>
      <c r="C183">
        <v>15</v>
      </c>
      <c r="D183">
        <v>3</v>
      </c>
      <c r="E183">
        <v>1</v>
      </c>
      <c r="F183">
        <v>30</v>
      </c>
      <c r="G183">
        <v>50</v>
      </c>
      <c r="H183">
        <v>90.12</v>
      </c>
      <c r="I183">
        <v>98.7</v>
      </c>
      <c r="J183">
        <v>0.4</v>
      </c>
      <c r="K183">
        <v>83402</v>
      </c>
      <c r="L183">
        <v>108018</v>
      </c>
      <c r="M183">
        <v>25499</v>
      </c>
      <c r="N183">
        <v>13197</v>
      </c>
      <c r="O183">
        <v>26892</v>
      </c>
      <c r="P183">
        <v>40883</v>
      </c>
      <c r="Q183">
        <v>3718</v>
      </c>
      <c r="R183">
        <v>38073</v>
      </c>
      <c r="S183">
        <v>46455971.406212904</v>
      </c>
      <c r="T183">
        <v>40254151.794920102</v>
      </c>
      <c r="U183">
        <v>-6201819.6112927701</v>
      </c>
      <c r="V183">
        <v>21586230.566376101</v>
      </c>
      <c r="W183">
        <v>0</v>
      </c>
      <c r="X183">
        <v>3542</v>
      </c>
      <c r="Y183">
        <v>5611</v>
      </c>
      <c r="Z183">
        <v>0</v>
      </c>
      <c r="AA183">
        <v>17058788.388586201</v>
      </c>
      <c r="AB183">
        <v>8362795.5</v>
      </c>
      <c r="AC183" s="12">
        <f t="shared" si="2"/>
        <v>8695992.8885862008</v>
      </c>
      <c r="AD183">
        <v>50</v>
      </c>
      <c r="AE183">
        <v>743</v>
      </c>
      <c r="AF183" t="b">
        <v>1</v>
      </c>
    </row>
    <row r="184" spans="1:32" x14ac:dyDescent="0.2">
      <c r="A184">
        <v>10</v>
      </c>
      <c r="B184">
        <v>218</v>
      </c>
      <c r="C184">
        <v>15</v>
      </c>
      <c r="D184">
        <v>3</v>
      </c>
      <c r="E184">
        <v>1</v>
      </c>
      <c r="F184">
        <v>15</v>
      </c>
      <c r="G184">
        <v>50</v>
      </c>
      <c r="H184">
        <v>45.06</v>
      </c>
      <c r="I184">
        <v>49.35</v>
      </c>
      <c r="J184">
        <v>0.4</v>
      </c>
      <c r="K184">
        <v>66978</v>
      </c>
      <c r="L184">
        <v>109790</v>
      </c>
      <c r="M184">
        <v>25377</v>
      </c>
      <c r="N184">
        <v>12950</v>
      </c>
      <c r="O184">
        <v>35176</v>
      </c>
      <c r="P184">
        <v>40421</v>
      </c>
      <c r="Q184">
        <v>3515</v>
      </c>
      <c r="R184">
        <v>38512</v>
      </c>
      <c r="S184">
        <v>35498021.111126304</v>
      </c>
      <c r="T184">
        <v>22769537.8653295</v>
      </c>
      <c r="U184">
        <v>-12728483.245796699</v>
      </c>
      <c r="V184">
        <v>10958867.321188901</v>
      </c>
      <c r="W184">
        <v>0</v>
      </c>
      <c r="X184">
        <v>3483</v>
      </c>
      <c r="Y184">
        <v>2785</v>
      </c>
      <c r="Z184">
        <v>0</v>
      </c>
      <c r="AA184">
        <v>8105933.5299495002</v>
      </c>
      <c r="AB184">
        <v>8362795.5</v>
      </c>
      <c r="AC184" s="12">
        <f t="shared" si="2"/>
        <v>-256861.97005049977</v>
      </c>
      <c r="AD184">
        <v>50</v>
      </c>
      <c r="AE184">
        <v>843</v>
      </c>
      <c r="AF184" t="b">
        <v>1</v>
      </c>
    </row>
    <row r="185" spans="1:32" x14ac:dyDescent="0.2">
      <c r="A185">
        <v>10</v>
      </c>
      <c r="B185">
        <v>218</v>
      </c>
      <c r="C185">
        <v>15</v>
      </c>
      <c r="D185">
        <v>3</v>
      </c>
      <c r="E185">
        <v>1</v>
      </c>
      <c r="F185">
        <v>15</v>
      </c>
      <c r="G185">
        <v>50</v>
      </c>
      <c r="H185">
        <v>90.12</v>
      </c>
      <c r="I185">
        <v>98.7</v>
      </c>
      <c r="J185">
        <v>0.4</v>
      </c>
      <c r="K185">
        <v>66978</v>
      </c>
      <c r="L185">
        <v>109790</v>
      </c>
      <c r="M185">
        <v>25377</v>
      </c>
      <c r="N185">
        <v>12950</v>
      </c>
      <c r="O185">
        <v>35176</v>
      </c>
      <c r="P185">
        <v>40421</v>
      </c>
      <c r="Q185">
        <v>3515</v>
      </c>
      <c r="R185">
        <v>38512</v>
      </c>
      <c r="S185">
        <v>35498021.111126304</v>
      </c>
      <c r="T185">
        <v>37176280.230659097</v>
      </c>
      <c r="U185">
        <v>1678259.11953279</v>
      </c>
      <c r="V185">
        <v>10958867.321188901</v>
      </c>
      <c r="W185">
        <v>0</v>
      </c>
      <c r="X185">
        <v>3483</v>
      </c>
      <c r="Y185">
        <v>2785</v>
      </c>
      <c r="Z185">
        <v>0</v>
      </c>
      <c r="AA185">
        <v>16211867.059899</v>
      </c>
      <c r="AB185">
        <v>8362795.5</v>
      </c>
      <c r="AC185" s="12">
        <f t="shared" si="2"/>
        <v>7849071.5598990005</v>
      </c>
      <c r="AD185">
        <v>50</v>
      </c>
      <c r="AE185">
        <v>843</v>
      </c>
      <c r="AF185" t="b">
        <v>1</v>
      </c>
    </row>
    <row r="186" spans="1:32" x14ac:dyDescent="0.2">
      <c r="A186">
        <v>10</v>
      </c>
      <c r="B186">
        <v>220</v>
      </c>
      <c r="C186">
        <v>15</v>
      </c>
      <c r="D186">
        <v>1</v>
      </c>
      <c r="E186">
        <v>3</v>
      </c>
      <c r="F186">
        <v>30</v>
      </c>
      <c r="G186">
        <v>50</v>
      </c>
      <c r="H186">
        <v>45.06</v>
      </c>
      <c r="I186">
        <v>49.35</v>
      </c>
      <c r="J186">
        <v>0.4</v>
      </c>
      <c r="K186">
        <v>66420</v>
      </c>
      <c r="L186">
        <v>109883</v>
      </c>
      <c r="M186">
        <v>25737</v>
      </c>
      <c r="N186">
        <v>13102</v>
      </c>
      <c r="O186">
        <v>28491</v>
      </c>
      <c r="P186">
        <v>43158</v>
      </c>
      <c r="Q186">
        <v>3830</v>
      </c>
      <c r="R186">
        <v>38243</v>
      </c>
      <c r="S186">
        <v>48861729.096551903</v>
      </c>
      <c r="T186">
        <v>28126727.241679002</v>
      </c>
      <c r="U186">
        <v>-20735001.854872901</v>
      </c>
      <c r="V186">
        <v>22933074.3460683</v>
      </c>
      <c r="W186">
        <v>0</v>
      </c>
      <c r="X186">
        <v>3498</v>
      </c>
      <c r="Y186">
        <v>5473</v>
      </c>
      <c r="Z186">
        <v>0</v>
      </c>
      <c r="AA186">
        <v>12941198.3878399</v>
      </c>
      <c r="AB186">
        <v>8362795.5</v>
      </c>
      <c r="AC186" s="12">
        <f t="shared" si="2"/>
        <v>4578402.8878399003</v>
      </c>
      <c r="AD186">
        <v>50</v>
      </c>
      <c r="AE186">
        <v>589</v>
      </c>
      <c r="AF186" t="b">
        <v>1</v>
      </c>
    </row>
    <row r="187" spans="1:32" x14ac:dyDescent="0.2">
      <c r="A187">
        <v>10</v>
      </c>
      <c r="B187">
        <v>220</v>
      </c>
      <c r="C187">
        <v>15</v>
      </c>
      <c r="D187">
        <v>1</v>
      </c>
      <c r="E187">
        <v>3</v>
      </c>
      <c r="F187">
        <v>30</v>
      </c>
      <c r="G187">
        <v>50</v>
      </c>
      <c r="H187">
        <v>90.12</v>
      </c>
      <c r="I187">
        <v>98.7</v>
      </c>
      <c r="J187">
        <v>0.4</v>
      </c>
      <c r="K187">
        <v>66420</v>
      </c>
      <c r="L187">
        <v>109883</v>
      </c>
      <c r="M187">
        <v>25737</v>
      </c>
      <c r="N187">
        <v>13102</v>
      </c>
      <c r="O187">
        <v>28491</v>
      </c>
      <c r="P187">
        <v>43158</v>
      </c>
      <c r="Q187">
        <v>3830</v>
      </c>
      <c r="R187">
        <v>38243</v>
      </c>
      <c r="S187">
        <v>48861729.096551903</v>
      </c>
      <c r="T187">
        <v>47890658.9833581</v>
      </c>
      <c r="U187">
        <v>-971070.11319386901</v>
      </c>
      <c r="V187">
        <v>22933074.3460683</v>
      </c>
      <c r="W187">
        <v>0</v>
      </c>
      <c r="X187">
        <v>3498</v>
      </c>
      <c r="Y187">
        <v>5473</v>
      </c>
      <c r="Z187">
        <v>0</v>
      </c>
      <c r="AA187">
        <v>25882396.775679901</v>
      </c>
      <c r="AB187">
        <v>8362795.5</v>
      </c>
      <c r="AC187" s="12">
        <f t="shared" si="2"/>
        <v>17519601.275679901</v>
      </c>
      <c r="AD187">
        <v>50</v>
      </c>
      <c r="AE187">
        <v>589</v>
      </c>
      <c r="AF187" t="b">
        <v>1</v>
      </c>
    </row>
    <row r="188" spans="1:32" x14ac:dyDescent="0.2">
      <c r="A188">
        <v>10</v>
      </c>
      <c r="B188">
        <v>218</v>
      </c>
      <c r="C188">
        <v>15</v>
      </c>
      <c r="D188">
        <v>1</v>
      </c>
      <c r="E188">
        <v>3</v>
      </c>
      <c r="F188">
        <v>15</v>
      </c>
      <c r="G188">
        <v>50</v>
      </c>
      <c r="H188">
        <v>45.06</v>
      </c>
      <c r="I188">
        <v>49.35</v>
      </c>
      <c r="J188">
        <v>0.4</v>
      </c>
      <c r="K188">
        <v>67502</v>
      </c>
      <c r="L188">
        <v>110161</v>
      </c>
      <c r="M188">
        <v>25244</v>
      </c>
      <c r="N188">
        <v>13088</v>
      </c>
      <c r="O188">
        <v>35041</v>
      </c>
      <c r="P188">
        <v>39841</v>
      </c>
      <c r="Q188">
        <v>3629</v>
      </c>
      <c r="R188">
        <v>38328</v>
      </c>
      <c r="S188">
        <v>36247492.108230896</v>
      </c>
      <c r="T188">
        <v>23562860.311107598</v>
      </c>
      <c r="U188">
        <v>-12684631.7971233</v>
      </c>
      <c r="V188">
        <v>12057053.5984466</v>
      </c>
      <c r="W188">
        <v>0</v>
      </c>
      <c r="X188">
        <v>3462</v>
      </c>
      <c r="Y188">
        <v>2725</v>
      </c>
      <c r="Z188">
        <v>0</v>
      </c>
      <c r="AA188">
        <v>9010159.6901488807</v>
      </c>
      <c r="AB188">
        <v>8362795.5</v>
      </c>
      <c r="AC188" s="12">
        <f t="shared" si="2"/>
        <v>647364.19014888071</v>
      </c>
      <c r="AD188">
        <v>50</v>
      </c>
      <c r="AE188">
        <v>762</v>
      </c>
      <c r="AF188" t="b">
        <v>1</v>
      </c>
    </row>
    <row r="189" spans="1:32" x14ac:dyDescent="0.2">
      <c r="A189">
        <v>10</v>
      </c>
      <c r="B189">
        <v>218</v>
      </c>
      <c r="C189">
        <v>15</v>
      </c>
      <c r="D189">
        <v>1</v>
      </c>
      <c r="E189">
        <v>3</v>
      </c>
      <c r="F189">
        <v>15</v>
      </c>
      <c r="G189">
        <v>50</v>
      </c>
      <c r="H189">
        <v>90.12</v>
      </c>
      <c r="I189">
        <v>98.7</v>
      </c>
      <c r="J189">
        <v>0.4</v>
      </c>
      <c r="K189">
        <v>67502</v>
      </c>
      <c r="L189">
        <v>110161</v>
      </c>
      <c r="M189">
        <v>25244</v>
      </c>
      <c r="N189">
        <v>13088</v>
      </c>
      <c r="O189">
        <v>35041</v>
      </c>
      <c r="P189">
        <v>39841</v>
      </c>
      <c r="Q189">
        <v>3629</v>
      </c>
      <c r="R189">
        <v>38328</v>
      </c>
      <c r="S189">
        <v>36247492.108230896</v>
      </c>
      <c r="T189">
        <v>38762925.122215196</v>
      </c>
      <c r="U189">
        <v>2515433.0139842401</v>
      </c>
      <c r="V189">
        <v>12057053.5984466</v>
      </c>
      <c r="W189">
        <v>0</v>
      </c>
      <c r="X189">
        <v>3462</v>
      </c>
      <c r="Y189">
        <v>2725</v>
      </c>
      <c r="Z189">
        <v>0</v>
      </c>
      <c r="AA189">
        <v>18020319.380297702</v>
      </c>
      <c r="AB189">
        <v>8362795.5</v>
      </c>
      <c r="AC189" s="12">
        <f t="shared" si="2"/>
        <v>9657523.8802977018</v>
      </c>
      <c r="AD189">
        <v>50</v>
      </c>
      <c r="AE189">
        <v>762</v>
      </c>
      <c r="AF189" t="b">
        <v>1</v>
      </c>
    </row>
    <row r="190" spans="1:32" x14ac:dyDescent="0.2">
      <c r="A190">
        <v>10</v>
      </c>
      <c r="B190">
        <v>217</v>
      </c>
      <c r="C190">
        <v>15</v>
      </c>
      <c r="D190">
        <v>1</v>
      </c>
      <c r="E190">
        <v>1</v>
      </c>
      <c r="F190">
        <v>30</v>
      </c>
      <c r="G190">
        <v>50</v>
      </c>
      <c r="H190">
        <v>45.06</v>
      </c>
      <c r="I190">
        <v>49.35</v>
      </c>
      <c r="J190">
        <v>0.4</v>
      </c>
      <c r="K190">
        <v>68681</v>
      </c>
      <c r="L190">
        <v>113474</v>
      </c>
      <c r="M190">
        <v>25952</v>
      </c>
      <c r="N190">
        <v>13032</v>
      </c>
      <c r="O190">
        <v>35870</v>
      </c>
      <c r="P190">
        <v>41337</v>
      </c>
      <c r="Q190">
        <v>3889</v>
      </c>
      <c r="R190">
        <v>38236</v>
      </c>
      <c r="S190">
        <v>46859447.672300801</v>
      </c>
      <c r="T190">
        <v>27087529.7193496</v>
      </c>
      <c r="U190">
        <v>-19771917.9529512</v>
      </c>
      <c r="V190">
        <v>21544737.033042099</v>
      </c>
      <c r="W190">
        <v>0</v>
      </c>
      <c r="X190">
        <v>3426</v>
      </c>
      <c r="Y190">
        <v>5400</v>
      </c>
      <c r="Z190">
        <v>0</v>
      </c>
      <c r="AA190">
        <v>10202550.272717901</v>
      </c>
      <c r="AB190">
        <v>8362795.5</v>
      </c>
      <c r="AC190" s="12">
        <f t="shared" si="2"/>
        <v>1839754.7727179006</v>
      </c>
      <c r="AD190">
        <v>50</v>
      </c>
      <c r="AE190">
        <v>613</v>
      </c>
      <c r="AF190" t="b">
        <v>1</v>
      </c>
    </row>
    <row r="191" spans="1:32" x14ac:dyDescent="0.2">
      <c r="A191">
        <v>10</v>
      </c>
      <c r="B191">
        <v>217</v>
      </c>
      <c r="C191">
        <v>15</v>
      </c>
      <c r="D191">
        <v>1</v>
      </c>
      <c r="E191">
        <v>1</v>
      </c>
      <c r="F191">
        <v>30</v>
      </c>
      <c r="G191">
        <v>50</v>
      </c>
      <c r="H191">
        <v>90.12</v>
      </c>
      <c r="I191">
        <v>98.7</v>
      </c>
      <c r="J191">
        <v>0.4</v>
      </c>
      <c r="K191">
        <v>68681</v>
      </c>
      <c r="L191">
        <v>113474</v>
      </c>
      <c r="M191">
        <v>25952</v>
      </c>
      <c r="N191">
        <v>13032</v>
      </c>
      <c r="O191">
        <v>35870</v>
      </c>
      <c r="P191">
        <v>41337</v>
      </c>
      <c r="Q191">
        <v>3889</v>
      </c>
      <c r="R191">
        <v>38236</v>
      </c>
      <c r="S191">
        <v>46859447.672300801</v>
      </c>
      <c r="T191">
        <v>45812263.938699201</v>
      </c>
      <c r="U191">
        <v>-1047183.73360159</v>
      </c>
      <c r="V191">
        <v>21544737.033042099</v>
      </c>
      <c r="W191">
        <v>0</v>
      </c>
      <c r="X191">
        <v>3426</v>
      </c>
      <c r="Y191">
        <v>5400</v>
      </c>
      <c r="Z191">
        <v>0</v>
      </c>
      <c r="AA191">
        <v>20405100.545435902</v>
      </c>
      <c r="AB191">
        <v>8362795.5</v>
      </c>
      <c r="AC191" s="12">
        <f t="shared" si="2"/>
        <v>12042305.045435902</v>
      </c>
      <c r="AD191">
        <v>50</v>
      </c>
      <c r="AE191">
        <v>613</v>
      </c>
      <c r="AF191" t="b">
        <v>1</v>
      </c>
    </row>
    <row r="192" spans="1:32" x14ac:dyDescent="0.2">
      <c r="A192">
        <v>10</v>
      </c>
      <c r="B192">
        <v>218</v>
      </c>
      <c r="C192">
        <v>15</v>
      </c>
      <c r="D192">
        <v>1</v>
      </c>
      <c r="E192">
        <v>1</v>
      </c>
      <c r="F192">
        <v>15</v>
      </c>
      <c r="G192">
        <v>50</v>
      </c>
      <c r="H192">
        <v>45.06</v>
      </c>
      <c r="I192">
        <v>49.35</v>
      </c>
      <c r="J192">
        <v>0.4</v>
      </c>
      <c r="K192">
        <v>66989</v>
      </c>
      <c r="L192">
        <v>109299</v>
      </c>
      <c r="M192">
        <v>25380</v>
      </c>
      <c r="N192">
        <v>13010</v>
      </c>
      <c r="O192">
        <v>34978</v>
      </c>
      <c r="P192">
        <v>39244</v>
      </c>
      <c r="Q192">
        <v>3038</v>
      </c>
      <c r="R192">
        <v>38258</v>
      </c>
      <c r="S192">
        <v>35889751.399999999</v>
      </c>
      <c r="T192">
        <v>24448683.800000001</v>
      </c>
      <c r="U192">
        <v>-11441068</v>
      </c>
      <c r="V192">
        <v>10961923.5</v>
      </c>
      <c r="W192">
        <v>0</v>
      </c>
      <c r="X192">
        <v>3447</v>
      </c>
      <c r="Y192">
        <v>2306</v>
      </c>
      <c r="Z192">
        <v>0</v>
      </c>
      <c r="AA192">
        <v>8525770.0500000007</v>
      </c>
      <c r="AB192">
        <v>8362795.5</v>
      </c>
      <c r="AC192" s="12">
        <f>AA192-AB192</f>
        <v>162974.55000000075</v>
      </c>
      <c r="AD192">
        <v>50</v>
      </c>
      <c r="AE192">
        <v>719</v>
      </c>
      <c r="AF192" t="b">
        <v>1</v>
      </c>
    </row>
    <row r="193" spans="1:32" x14ac:dyDescent="0.2">
      <c r="A193">
        <v>10</v>
      </c>
      <c r="B193">
        <v>218</v>
      </c>
      <c r="C193">
        <v>15</v>
      </c>
      <c r="D193">
        <v>1</v>
      </c>
      <c r="E193">
        <v>1</v>
      </c>
      <c r="F193">
        <v>15</v>
      </c>
      <c r="G193">
        <v>50</v>
      </c>
      <c r="H193">
        <v>90.12</v>
      </c>
      <c r="I193">
        <v>98.7</v>
      </c>
      <c r="J193">
        <v>0.4</v>
      </c>
      <c r="K193">
        <v>66989</v>
      </c>
      <c r="L193">
        <v>109299</v>
      </c>
      <c r="M193">
        <v>25380</v>
      </c>
      <c r="N193">
        <v>13010</v>
      </c>
      <c r="O193">
        <v>34978</v>
      </c>
      <c r="P193">
        <v>39244</v>
      </c>
      <c r="Q193">
        <v>3038</v>
      </c>
      <c r="R193">
        <v>38258</v>
      </c>
      <c r="S193">
        <v>35889751.399999999</v>
      </c>
      <c r="T193">
        <v>40534572</v>
      </c>
      <c r="U193">
        <v>4644820.62</v>
      </c>
      <c r="V193">
        <v>10961923.5</v>
      </c>
      <c r="W193">
        <v>0</v>
      </c>
      <c r="X193">
        <v>3447</v>
      </c>
      <c r="Y193">
        <v>2306</v>
      </c>
      <c r="Z193">
        <v>0</v>
      </c>
      <c r="AA193">
        <v>17051540.100000001</v>
      </c>
      <c r="AB193">
        <v>8362795.5</v>
      </c>
      <c r="AC193" s="12">
        <f>AA193-AB193</f>
        <v>8688744.6000000015</v>
      </c>
      <c r="AD193">
        <v>50</v>
      </c>
      <c r="AE193">
        <v>719</v>
      </c>
      <c r="AF193" t="b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65"/>
  <sheetViews>
    <sheetView zoomScaleNormal="100" workbookViewId="0">
      <selection activeCell="A2" sqref="A2"/>
    </sheetView>
  </sheetViews>
  <sheetFormatPr baseColWidth="10" defaultRowHeight="16" x14ac:dyDescent="0.2"/>
  <cols>
    <col min="2" max="2" width="21.83203125" customWidth="1"/>
    <col min="4" max="4" width="23.5" bestFit="1" customWidth="1"/>
    <col min="7" max="7" width="13.6640625" bestFit="1" customWidth="1"/>
    <col min="16" max="16" width="10.83203125" style="4"/>
    <col min="21" max="22" width="10.83203125" style="4"/>
    <col min="25" max="25" width="18.33203125" bestFit="1" customWidth="1"/>
    <col min="26" max="26" width="18.1640625" bestFit="1" customWidth="1"/>
    <col min="27" max="27" width="22.1640625" style="4" bestFit="1" customWidth="1"/>
    <col min="29" max="29" width="27.6640625" bestFit="1" customWidth="1"/>
    <col min="32" max="32" width="25" style="4" bestFit="1" customWidth="1"/>
    <col min="36" max="36" width="22.83203125" bestFit="1" customWidth="1"/>
  </cols>
  <sheetData>
    <row r="1" spans="1:60" x14ac:dyDescent="0.2">
      <c r="A1" t="s">
        <v>75</v>
      </c>
      <c r="B1" t="s">
        <v>287</v>
      </c>
      <c r="C1" t="s">
        <v>0</v>
      </c>
      <c r="D1" t="s">
        <v>1</v>
      </c>
      <c r="E1" t="s">
        <v>2</v>
      </c>
      <c r="F1" t="s">
        <v>3</v>
      </c>
      <c r="G1" s="6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4" t="s">
        <v>27</v>
      </c>
      <c r="Q1" t="s">
        <v>13</v>
      </c>
      <c r="R1" t="s">
        <v>14</v>
      </c>
      <c r="S1" t="s">
        <v>15</v>
      </c>
      <c r="T1" t="s">
        <v>16</v>
      </c>
      <c r="U1" s="4" t="s">
        <v>28</v>
      </c>
      <c r="V1" s="4" t="s">
        <v>29</v>
      </c>
      <c r="W1" t="s">
        <v>17</v>
      </c>
      <c r="X1" t="s">
        <v>18</v>
      </c>
      <c r="Y1" s="6" t="s">
        <v>19</v>
      </c>
      <c r="Z1" t="s">
        <v>20</v>
      </c>
      <c r="AA1" s="4" t="s">
        <v>291</v>
      </c>
      <c r="AB1" t="s">
        <v>21</v>
      </c>
      <c r="AC1" t="s">
        <v>22</v>
      </c>
      <c r="AD1" t="s">
        <v>23</v>
      </c>
      <c r="AE1" t="s">
        <v>290</v>
      </c>
      <c r="AF1" s="4" t="s">
        <v>292</v>
      </c>
      <c r="AG1" t="s">
        <v>24</v>
      </c>
      <c r="AH1" t="s">
        <v>25</v>
      </c>
      <c r="AI1" t="s">
        <v>288</v>
      </c>
      <c r="AZ1" s="7" t="s">
        <v>293</v>
      </c>
      <c r="BA1" t="s">
        <v>1</v>
      </c>
      <c r="BB1" t="s">
        <v>2</v>
      </c>
      <c r="BC1" t="s">
        <v>3</v>
      </c>
      <c r="BD1" s="6" t="s">
        <v>4</v>
      </c>
      <c r="BE1" t="s">
        <v>5</v>
      </c>
      <c r="BF1" t="s">
        <v>6</v>
      </c>
      <c r="BG1" t="s">
        <v>7</v>
      </c>
      <c r="BH1" t="s">
        <v>8</v>
      </c>
    </row>
    <row r="2" spans="1:60" x14ac:dyDescent="0.2">
      <c r="A2" t="s">
        <v>76</v>
      </c>
      <c r="B2" s="11" t="s">
        <v>289</v>
      </c>
      <c r="C2">
        <v>128</v>
      </c>
      <c r="D2">
        <v>10</v>
      </c>
      <c r="E2">
        <v>1</v>
      </c>
      <c r="F2">
        <v>1</v>
      </c>
      <c r="G2">
        <v>30</v>
      </c>
      <c r="H2">
        <v>10</v>
      </c>
      <c r="I2">
        <v>45.06</v>
      </c>
      <c r="J2">
        <v>49.35</v>
      </c>
      <c r="K2">
        <v>0.3</v>
      </c>
      <c r="L2">
        <v>72989</v>
      </c>
      <c r="M2">
        <v>54935</v>
      </c>
      <c r="N2">
        <v>34022</v>
      </c>
      <c r="O2">
        <v>9846</v>
      </c>
      <c r="P2" s="4">
        <f>SUM(L2:O2)</f>
        <v>171792</v>
      </c>
      <c r="Q2">
        <v>20926</v>
      </c>
      <c r="R2">
        <v>29290</v>
      </c>
      <c r="S2">
        <v>8507</v>
      </c>
      <c r="T2">
        <v>32861</v>
      </c>
      <c r="U2" s="4">
        <f>SUM(Q2:T2)</f>
        <v>91584</v>
      </c>
      <c r="V2" s="4">
        <f>P2+U2</f>
        <v>263376</v>
      </c>
      <c r="W2">
        <v>11737057.5486471</v>
      </c>
      <c r="X2">
        <v>6626360.9936819496</v>
      </c>
      <c r="Y2">
        <v>-5110696.5549652204</v>
      </c>
      <c r="Z2">
        <v>9421164.9092961494</v>
      </c>
      <c r="AA2" s="4">
        <f>Z2/G2</f>
        <v>314038.83030987164</v>
      </c>
      <c r="AB2">
        <v>64684109.504126497</v>
      </c>
      <c r="AC2">
        <v>2844189.6618162198</v>
      </c>
      <c r="AD2">
        <v>1139129.5999999901</v>
      </c>
      <c r="AE2">
        <f>AC2-AD2</f>
        <v>1705060.0618162297</v>
      </c>
      <c r="AF2" s="4">
        <f>AE2/H2</f>
        <v>170506.00618162297</v>
      </c>
      <c r="AG2">
        <v>10</v>
      </c>
      <c r="AH2">
        <v>48</v>
      </c>
      <c r="AI2" t="b">
        <v>1</v>
      </c>
      <c r="AZ2" s="7" t="s">
        <v>42</v>
      </c>
      <c r="BA2">
        <v>10</v>
      </c>
      <c r="BB2">
        <v>1</v>
      </c>
      <c r="BC2">
        <v>3</v>
      </c>
      <c r="BD2">
        <v>30</v>
      </c>
      <c r="BE2">
        <v>10</v>
      </c>
      <c r="BF2">
        <v>90.12</v>
      </c>
      <c r="BG2">
        <v>98.7</v>
      </c>
      <c r="BH2">
        <v>0.3</v>
      </c>
    </row>
    <row r="3" spans="1:60" x14ac:dyDescent="0.2">
      <c r="A3" t="s">
        <v>77</v>
      </c>
      <c r="B3" s="11" t="s">
        <v>289</v>
      </c>
      <c r="C3">
        <v>128</v>
      </c>
      <c r="D3">
        <v>10</v>
      </c>
      <c r="E3">
        <v>1</v>
      </c>
      <c r="F3">
        <v>1</v>
      </c>
      <c r="G3">
        <v>30</v>
      </c>
      <c r="H3">
        <v>10</v>
      </c>
      <c r="I3">
        <v>90.12</v>
      </c>
      <c r="J3">
        <v>98.7</v>
      </c>
      <c r="K3">
        <v>0.3</v>
      </c>
      <c r="L3">
        <v>72989</v>
      </c>
      <c r="M3">
        <v>54935</v>
      </c>
      <c r="N3">
        <v>34022</v>
      </c>
      <c r="O3">
        <v>9846</v>
      </c>
      <c r="P3" s="4">
        <f t="shared" ref="P3:P33" si="0">SUM(L3:O3)</f>
        <v>171792</v>
      </c>
      <c r="Q3">
        <v>20926</v>
      </c>
      <c r="R3">
        <v>29290</v>
      </c>
      <c r="S3">
        <v>8507</v>
      </c>
      <c r="T3">
        <v>32861</v>
      </c>
      <c r="U3" s="4">
        <f t="shared" ref="U3:U33" si="1">SUM(Q3:T3)</f>
        <v>91584</v>
      </c>
      <c r="V3" s="4">
        <f t="shared" ref="V3:V33" si="2">P3+U3</f>
        <v>263376</v>
      </c>
      <c r="W3">
        <v>11737057.5486471</v>
      </c>
      <c r="X3">
        <v>12113592.387363899</v>
      </c>
      <c r="Y3">
        <v>376534.83871673601</v>
      </c>
      <c r="Z3">
        <v>10023893.2235527</v>
      </c>
      <c r="AA3" s="4">
        <f t="shared" ref="AA3:AA33" si="3">Z3/G3</f>
        <v>334129.77411842335</v>
      </c>
      <c r="AB3">
        <v>129368219.00825299</v>
      </c>
      <c r="AC3">
        <v>5688379.3236324498</v>
      </c>
      <c r="AD3">
        <v>1139129.5999999901</v>
      </c>
      <c r="AE3">
        <f t="shared" ref="AE3:AE33" si="4">AC3-AD3</f>
        <v>4549249.7236324595</v>
      </c>
      <c r="AF3" s="4">
        <f t="shared" ref="AF3:AF33" si="5">AE3/H3</f>
        <v>454924.97236324596</v>
      </c>
      <c r="AG3">
        <v>10</v>
      </c>
      <c r="AH3">
        <v>48</v>
      </c>
      <c r="AI3" t="b">
        <v>1</v>
      </c>
    </row>
    <row r="4" spans="1:60" x14ac:dyDescent="0.2">
      <c r="A4" t="s">
        <v>78</v>
      </c>
      <c r="B4" s="11" t="s">
        <v>289</v>
      </c>
      <c r="C4">
        <v>128</v>
      </c>
      <c r="D4">
        <v>10</v>
      </c>
      <c r="E4">
        <v>1</v>
      </c>
      <c r="F4">
        <v>1</v>
      </c>
      <c r="G4">
        <v>15</v>
      </c>
      <c r="H4">
        <v>10</v>
      </c>
      <c r="I4">
        <v>45.06</v>
      </c>
      <c r="J4">
        <v>49.35</v>
      </c>
      <c r="K4">
        <v>0.3</v>
      </c>
      <c r="L4">
        <v>75261</v>
      </c>
      <c r="M4">
        <v>54329</v>
      </c>
      <c r="N4">
        <v>34393</v>
      </c>
      <c r="O4">
        <v>10304</v>
      </c>
      <c r="P4" s="4">
        <f t="shared" si="0"/>
        <v>174287</v>
      </c>
      <c r="Q4">
        <v>22949</v>
      </c>
      <c r="R4">
        <v>30574</v>
      </c>
      <c r="S4">
        <v>8382</v>
      </c>
      <c r="T4">
        <v>35524</v>
      </c>
      <c r="U4" s="4">
        <f t="shared" si="1"/>
        <v>97429</v>
      </c>
      <c r="V4" s="4">
        <f t="shared" si="2"/>
        <v>271716</v>
      </c>
      <c r="W4">
        <v>11595290.0302184</v>
      </c>
      <c r="X4">
        <v>6111532.3833825402</v>
      </c>
      <c r="Y4">
        <v>-5483757.6468358496</v>
      </c>
      <c r="Z4">
        <v>6075176.1188081997</v>
      </c>
      <c r="AA4" s="4">
        <f t="shared" si="3"/>
        <v>405011.74125387997</v>
      </c>
      <c r="AB4">
        <v>0</v>
      </c>
      <c r="AC4">
        <v>2728807.7305451701</v>
      </c>
      <c r="AD4">
        <v>1139129.5999999901</v>
      </c>
      <c r="AE4">
        <f t="shared" si="4"/>
        <v>1589678.1305451801</v>
      </c>
      <c r="AF4" s="4">
        <f t="shared" si="5"/>
        <v>158967.81305451802</v>
      </c>
      <c r="AG4">
        <v>10</v>
      </c>
      <c r="AH4">
        <v>70</v>
      </c>
      <c r="AI4" t="b">
        <v>1</v>
      </c>
    </row>
    <row r="5" spans="1:60" x14ac:dyDescent="0.2">
      <c r="A5" t="s">
        <v>79</v>
      </c>
      <c r="B5" s="11" t="s">
        <v>289</v>
      </c>
      <c r="C5">
        <v>128</v>
      </c>
      <c r="D5">
        <v>10</v>
      </c>
      <c r="E5">
        <v>1</v>
      </c>
      <c r="F5">
        <v>1</v>
      </c>
      <c r="G5">
        <v>15</v>
      </c>
      <c r="H5">
        <v>10</v>
      </c>
      <c r="I5">
        <v>90.12</v>
      </c>
      <c r="J5">
        <v>98.7</v>
      </c>
      <c r="K5">
        <v>0.3</v>
      </c>
      <c r="L5">
        <v>75261</v>
      </c>
      <c r="M5">
        <v>54329</v>
      </c>
      <c r="N5">
        <v>34393</v>
      </c>
      <c r="O5">
        <v>10304</v>
      </c>
      <c r="P5" s="4">
        <f t="shared" si="0"/>
        <v>174287</v>
      </c>
      <c r="Q5">
        <v>22949</v>
      </c>
      <c r="R5">
        <v>30574</v>
      </c>
      <c r="S5">
        <v>8382</v>
      </c>
      <c r="T5">
        <v>35524</v>
      </c>
      <c r="U5" s="4">
        <f t="shared" si="1"/>
        <v>97429</v>
      </c>
      <c r="V5" s="4">
        <f t="shared" si="2"/>
        <v>271716</v>
      </c>
      <c r="W5">
        <v>11595290.0302184</v>
      </c>
      <c r="X5">
        <v>11083935.166765001</v>
      </c>
      <c r="Y5">
        <v>-511354.86345331097</v>
      </c>
      <c r="Z5">
        <v>6075176.1188081997</v>
      </c>
      <c r="AA5" s="4">
        <f t="shared" si="3"/>
        <v>405011.74125387997</v>
      </c>
      <c r="AB5">
        <v>0</v>
      </c>
      <c r="AC5">
        <v>5457615.4610903403</v>
      </c>
      <c r="AD5">
        <v>1139129.5999999901</v>
      </c>
      <c r="AE5">
        <f t="shared" si="4"/>
        <v>4318485.86109035</v>
      </c>
      <c r="AF5" s="4">
        <f t="shared" si="5"/>
        <v>431848.58610903501</v>
      </c>
      <c r="AG5">
        <v>10</v>
      </c>
      <c r="AH5">
        <v>70</v>
      </c>
      <c r="AI5" t="b">
        <v>1</v>
      </c>
    </row>
    <row r="6" spans="1:60" x14ac:dyDescent="0.2">
      <c r="A6" t="s">
        <v>80</v>
      </c>
      <c r="B6" s="11" t="s">
        <v>289</v>
      </c>
      <c r="C6">
        <v>128</v>
      </c>
      <c r="D6">
        <v>10</v>
      </c>
      <c r="E6">
        <v>1</v>
      </c>
      <c r="F6">
        <v>3</v>
      </c>
      <c r="G6">
        <v>30</v>
      </c>
      <c r="H6">
        <v>10</v>
      </c>
      <c r="I6">
        <v>45.06</v>
      </c>
      <c r="J6">
        <v>49.35</v>
      </c>
      <c r="K6">
        <v>0.3</v>
      </c>
      <c r="L6">
        <v>73458</v>
      </c>
      <c r="M6">
        <v>55946</v>
      </c>
      <c r="N6">
        <v>34279</v>
      </c>
      <c r="O6">
        <v>9612</v>
      </c>
      <c r="P6" s="4">
        <f t="shared" si="0"/>
        <v>173295</v>
      </c>
      <c r="Q6">
        <v>19778</v>
      </c>
      <c r="R6">
        <v>29152</v>
      </c>
      <c r="S6">
        <v>8354</v>
      </c>
      <c r="T6">
        <v>30964</v>
      </c>
      <c r="U6" s="4">
        <f t="shared" si="1"/>
        <v>88248</v>
      </c>
      <c r="V6" s="4">
        <f t="shared" si="2"/>
        <v>261543</v>
      </c>
      <c r="W6">
        <v>10537412.434258901</v>
      </c>
      <c r="X6">
        <v>6641564.8896682002</v>
      </c>
      <c r="Y6">
        <v>-3895847.54459078</v>
      </c>
      <c r="Z6">
        <v>6583050.4212593399</v>
      </c>
      <c r="AA6" s="4">
        <f t="shared" si="3"/>
        <v>219435.01404197799</v>
      </c>
      <c r="AB6">
        <v>122295727.362151</v>
      </c>
      <c r="AC6">
        <v>2844189.6618162198</v>
      </c>
      <c r="AD6">
        <v>1139129.5999999901</v>
      </c>
      <c r="AE6">
        <f t="shared" si="4"/>
        <v>1705060.0618162297</v>
      </c>
      <c r="AF6" s="4">
        <f t="shared" si="5"/>
        <v>170506.00618162297</v>
      </c>
      <c r="AG6">
        <v>10</v>
      </c>
      <c r="AH6">
        <v>48</v>
      </c>
      <c r="AI6" t="b">
        <v>1</v>
      </c>
    </row>
    <row r="7" spans="1:60" x14ac:dyDescent="0.2">
      <c r="A7" t="s">
        <v>42</v>
      </c>
      <c r="B7" s="11" t="s">
        <v>289</v>
      </c>
      <c r="C7">
        <v>128</v>
      </c>
      <c r="D7">
        <v>10</v>
      </c>
      <c r="E7">
        <v>1</v>
      </c>
      <c r="F7">
        <v>3</v>
      </c>
      <c r="G7">
        <v>30</v>
      </c>
      <c r="H7">
        <v>10</v>
      </c>
      <c r="I7">
        <v>90.12</v>
      </c>
      <c r="J7">
        <v>98.7</v>
      </c>
      <c r="K7">
        <v>0.3</v>
      </c>
      <c r="L7">
        <v>73458</v>
      </c>
      <c r="M7">
        <v>55946</v>
      </c>
      <c r="N7">
        <v>34279</v>
      </c>
      <c r="O7">
        <v>9612</v>
      </c>
      <c r="P7" s="4">
        <f t="shared" si="0"/>
        <v>173295</v>
      </c>
      <c r="Q7">
        <v>19778</v>
      </c>
      <c r="R7">
        <v>29152</v>
      </c>
      <c r="S7">
        <v>8354</v>
      </c>
      <c r="T7">
        <v>30964</v>
      </c>
      <c r="U7" s="4">
        <f t="shared" si="1"/>
        <v>88248</v>
      </c>
      <c r="V7" s="4">
        <f t="shared" si="2"/>
        <v>261543</v>
      </c>
      <c r="W7">
        <v>10537412.434258901</v>
      </c>
      <c r="X7">
        <v>12144000.179336401</v>
      </c>
      <c r="Y7">
        <v>1606587.74507741</v>
      </c>
      <c r="Z7">
        <v>6606542.9887817902</v>
      </c>
      <c r="AA7" s="4">
        <f t="shared" si="3"/>
        <v>220218.09962605967</v>
      </c>
      <c r="AB7">
        <v>244591454.72430199</v>
      </c>
      <c r="AC7">
        <v>5688379.3236324498</v>
      </c>
      <c r="AD7">
        <v>1139129.5999999901</v>
      </c>
      <c r="AE7">
        <f t="shared" si="4"/>
        <v>4549249.7236324595</v>
      </c>
      <c r="AF7" s="4">
        <f t="shared" si="5"/>
        <v>454924.97236324596</v>
      </c>
      <c r="AG7">
        <v>10</v>
      </c>
      <c r="AH7">
        <v>48</v>
      </c>
      <c r="AI7" t="b">
        <v>1</v>
      </c>
    </row>
    <row r="8" spans="1:60" x14ac:dyDescent="0.2">
      <c r="A8" t="s">
        <v>81</v>
      </c>
      <c r="B8" s="11" t="s">
        <v>289</v>
      </c>
      <c r="C8">
        <v>128</v>
      </c>
      <c r="D8">
        <v>10</v>
      </c>
      <c r="E8">
        <v>1</v>
      </c>
      <c r="F8">
        <v>3</v>
      </c>
      <c r="G8">
        <v>15</v>
      </c>
      <c r="H8">
        <v>10</v>
      </c>
      <c r="I8">
        <v>45.06</v>
      </c>
      <c r="J8">
        <v>49.35</v>
      </c>
      <c r="K8">
        <v>0.3</v>
      </c>
      <c r="L8">
        <v>75174</v>
      </c>
      <c r="M8">
        <v>54740</v>
      </c>
      <c r="N8">
        <v>34296</v>
      </c>
      <c r="O8">
        <v>10274</v>
      </c>
      <c r="P8" s="4">
        <f t="shared" si="0"/>
        <v>174484</v>
      </c>
      <c r="Q8">
        <v>23076</v>
      </c>
      <c r="R8">
        <v>30364</v>
      </c>
      <c r="S8">
        <v>8421</v>
      </c>
      <c r="T8">
        <v>35526</v>
      </c>
      <c r="U8" s="4">
        <f t="shared" si="1"/>
        <v>97387</v>
      </c>
      <c r="V8" s="4">
        <f t="shared" si="2"/>
        <v>271871</v>
      </c>
      <c r="W8">
        <v>11558084.938363999</v>
      </c>
      <c r="X8">
        <v>6045591.1308348496</v>
      </c>
      <c r="Y8">
        <v>-5512493.8075291999</v>
      </c>
      <c r="Z8">
        <v>6054327.7584039196</v>
      </c>
      <c r="AA8" s="4">
        <f t="shared" si="3"/>
        <v>403621.85056026129</v>
      </c>
      <c r="AB8">
        <v>0</v>
      </c>
      <c r="AC8">
        <v>2674816.3284811401</v>
      </c>
      <c r="AD8">
        <v>1139129.5999999901</v>
      </c>
      <c r="AE8">
        <f t="shared" si="4"/>
        <v>1535686.72848115</v>
      </c>
      <c r="AF8" s="4">
        <f t="shared" si="5"/>
        <v>153568.67284811501</v>
      </c>
      <c r="AG8">
        <v>10</v>
      </c>
      <c r="AH8">
        <v>72</v>
      </c>
      <c r="AI8" t="b">
        <v>1</v>
      </c>
    </row>
    <row r="9" spans="1:60" x14ac:dyDescent="0.2">
      <c r="A9" t="s">
        <v>82</v>
      </c>
      <c r="B9" s="11" t="s">
        <v>289</v>
      </c>
      <c r="C9">
        <v>128</v>
      </c>
      <c r="D9">
        <v>10</v>
      </c>
      <c r="E9">
        <v>1</v>
      </c>
      <c r="F9">
        <v>3</v>
      </c>
      <c r="G9">
        <v>15</v>
      </c>
      <c r="H9">
        <v>10</v>
      </c>
      <c r="I9">
        <v>90.12</v>
      </c>
      <c r="J9">
        <v>98.7</v>
      </c>
      <c r="K9">
        <v>0.3</v>
      </c>
      <c r="L9">
        <v>75174</v>
      </c>
      <c r="M9">
        <v>54740</v>
      </c>
      <c r="N9">
        <v>34296</v>
      </c>
      <c r="O9">
        <v>10274</v>
      </c>
      <c r="P9" s="4">
        <f t="shared" si="0"/>
        <v>174484</v>
      </c>
      <c r="Q9">
        <v>23076</v>
      </c>
      <c r="R9">
        <v>30364</v>
      </c>
      <c r="S9">
        <v>8421</v>
      </c>
      <c r="T9">
        <v>35526</v>
      </c>
      <c r="U9" s="4">
        <f t="shared" si="1"/>
        <v>97387</v>
      </c>
      <c r="V9" s="4">
        <f t="shared" si="2"/>
        <v>271871</v>
      </c>
      <c r="W9">
        <v>11558084.938363999</v>
      </c>
      <c r="X9">
        <v>10952052.661669699</v>
      </c>
      <c r="Y9">
        <v>-606032.27669434994</v>
      </c>
      <c r="Z9">
        <v>6054327.7584039196</v>
      </c>
      <c r="AA9" s="4">
        <f t="shared" si="3"/>
        <v>403621.85056026129</v>
      </c>
      <c r="AB9">
        <v>0</v>
      </c>
      <c r="AC9">
        <v>5349632.6569622802</v>
      </c>
      <c r="AD9">
        <v>1139129.5999999901</v>
      </c>
      <c r="AE9">
        <f t="shared" si="4"/>
        <v>4210503.0569622898</v>
      </c>
      <c r="AF9" s="4">
        <f t="shared" si="5"/>
        <v>421050.30569622898</v>
      </c>
      <c r="AG9">
        <v>10</v>
      </c>
      <c r="AH9">
        <v>72</v>
      </c>
      <c r="AI9" t="b">
        <v>1</v>
      </c>
    </row>
    <row r="10" spans="1:60" x14ac:dyDescent="0.2">
      <c r="A10" t="s">
        <v>83</v>
      </c>
      <c r="B10" s="11" t="s">
        <v>289</v>
      </c>
      <c r="C10">
        <v>128</v>
      </c>
      <c r="D10">
        <v>10</v>
      </c>
      <c r="E10">
        <v>4</v>
      </c>
      <c r="F10">
        <v>1</v>
      </c>
      <c r="G10">
        <v>30</v>
      </c>
      <c r="H10">
        <v>10</v>
      </c>
      <c r="I10">
        <v>45.06</v>
      </c>
      <c r="J10">
        <v>49.35</v>
      </c>
      <c r="K10">
        <v>0.3</v>
      </c>
      <c r="L10">
        <v>75553</v>
      </c>
      <c r="M10">
        <v>54832</v>
      </c>
      <c r="N10">
        <v>34537</v>
      </c>
      <c r="O10">
        <v>10286</v>
      </c>
      <c r="P10" s="4">
        <f t="shared" si="0"/>
        <v>175208</v>
      </c>
      <c r="Q10">
        <v>22973</v>
      </c>
      <c r="R10">
        <v>30551</v>
      </c>
      <c r="S10">
        <v>8332</v>
      </c>
      <c r="T10">
        <v>35535</v>
      </c>
      <c r="U10" s="4">
        <f t="shared" si="1"/>
        <v>97391</v>
      </c>
      <c r="V10" s="4">
        <f t="shared" si="2"/>
        <v>272599</v>
      </c>
      <c r="W10">
        <v>13570644.351327499</v>
      </c>
      <c r="X10">
        <v>7304654.8339994904</v>
      </c>
      <c r="Y10">
        <v>-6265989.51732805</v>
      </c>
      <c r="Z10">
        <v>9424638.1485454906</v>
      </c>
      <c r="AA10" s="4">
        <f t="shared" si="3"/>
        <v>314154.60495151638</v>
      </c>
      <c r="AB10">
        <v>0</v>
      </c>
      <c r="AC10">
        <v>2844189.6618162198</v>
      </c>
      <c r="AD10">
        <v>1139129.5999999901</v>
      </c>
      <c r="AE10">
        <f t="shared" si="4"/>
        <v>1705060.0618162297</v>
      </c>
      <c r="AF10" s="4">
        <f t="shared" si="5"/>
        <v>170506.00618162297</v>
      </c>
      <c r="AG10">
        <v>10</v>
      </c>
      <c r="AH10">
        <v>48</v>
      </c>
      <c r="AI10" t="b">
        <v>1</v>
      </c>
    </row>
    <row r="11" spans="1:60" x14ac:dyDescent="0.2">
      <c r="A11" t="s">
        <v>84</v>
      </c>
      <c r="B11" s="11" t="s">
        <v>289</v>
      </c>
      <c r="C11">
        <v>128</v>
      </c>
      <c r="D11">
        <v>10</v>
      </c>
      <c r="E11">
        <v>4</v>
      </c>
      <c r="F11">
        <v>1</v>
      </c>
      <c r="G11">
        <v>30</v>
      </c>
      <c r="H11">
        <v>10</v>
      </c>
      <c r="I11">
        <v>90.12</v>
      </c>
      <c r="J11">
        <v>98.7</v>
      </c>
      <c r="K11">
        <v>0.3</v>
      </c>
      <c r="L11">
        <v>75553</v>
      </c>
      <c r="M11">
        <v>54832</v>
      </c>
      <c r="N11">
        <v>34537</v>
      </c>
      <c r="O11">
        <v>10286</v>
      </c>
      <c r="P11" s="4">
        <f t="shared" si="0"/>
        <v>175208</v>
      </c>
      <c r="Q11">
        <v>22973</v>
      </c>
      <c r="R11">
        <v>30551</v>
      </c>
      <c r="S11">
        <v>8332</v>
      </c>
      <c r="T11">
        <v>35535</v>
      </c>
      <c r="U11" s="4">
        <f t="shared" si="1"/>
        <v>97391</v>
      </c>
      <c r="V11" s="4">
        <f t="shared" si="2"/>
        <v>272599</v>
      </c>
      <c r="W11">
        <v>13570644.351327499</v>
      </c>
      <c r="X11">
        <v>13470180.067998899</v>
      </c>
      <c r="Y11">
        <v>-100464.283328561</v>
      </c>
      <c r="Z11">
        <v>9424638.1485454906</v>
      </c>
      <c r="AA11" s="4">
        <f t="shared" si="3"/>
        <v>314154.60495151638</v>
      </c>
      <c r="AB11">
        <v>0</v>
      </c>
      <c r="AC11">
        <v>5688379.3236324498</v>
      </c>
      <c r="AD11">
        <v>1139129.5999999901</v>
      </c>
      <c r="AE11">
        <f t="shared" si="4"/>
        <v>4549249.7236324595</v>
      </c>
      <c r="AF11" s="4">
        <f t="shared" si="5"/>
        <v>454924.97236324596</v>
      </c>
      <c r="AG11">
        <v>10</v>
      </c>
      <c r="AH11">
        <v>48</v>
      </c>
      <c r="AI11" t="b">
        <v>1</v>
      </c>
    </row>
    <row r="12" spans="1:60" x14ac:dyDescent="0.2">
      <c r="A12" t="s">
        <v>85</v>
      </c>
      <c r="B12" s="11" t="s">
        <v>289</v>
      </c>
      <c r="C12">
        <v>128</v>
      </c>
      <c r="D12">
        <v>10</v>
      </c>
      <c r="E12">
        <v>4</v>
      </c>
      <c r="F12">
        <v>1</v>
      </c>
      <c r="G12">
        <v>15</v>
      </c>
      <c r="H12">
        <v>10</v>
      </c>
      <c r="I12">
        <v>45.06</v>
      </c>
      <c r="J12">
        <v>49.35</v>
      </c>
      <c r="K12">
        <v>0.3</v>
      </c>
      <c r="L12">
        <v>75571</v>
      </c>
      <c r="M12">
        <v>54698</v>
      </c>
      <c r="N12">
        <v>34285</v>
      </c>
      <c r="O12">
        <v>10299</v>
      </c>
      <c r="P12" s="4">
        <f t="shared" si="0"/>
        <v>174853</v>
      </c>
      <c r="Q12">
        <v>22931</v>
      </c>
      <c r="R12">
        <v>30574</v>
      </c>
      <c r="S12">
        <v>8436</v>
      </c>
      <c r="T12">
        <v>35413</v>
      </c>
      <c r="U12" s="4">
        <f t="shared" si="1"/>
        <v>97354</v>
      </c>
      <c r="V12" s="4">
        <f t="shared" si="2"/>
        <v>272207</v>
      </c>
      <c r="W12">
        <v>13339753.5286483</v>
      </c>
      <c r="X12">
        <v>6281761.8557506502</v>
      </c>
      <c r="Y12">
        <v>-7057991.67289773</v>
      </c>
      <c r="Z12">
        <v>5592588.4661223097</v>
      </c>
      <c r="AA12" s="4">
        <f t="shared" si="3"/>
        <v>372839.23107482062</v>
      </c>
      <c r="AB12">
        <v>0</v>
      </c>
      <c r="AC12">
        <v>2643306.0561247598</v>
      </c>
      <c r="AD12">
        <v>1139129.5999999901</v>
      </c>
      <c r="AE12">
        <f t="shared" si="4"/>
        <v>1504176.4561247698</v>
      </c>
      <c r="AF12" s="4">
        <f t="shared" si="5"/>
        <v>150417.64561247698</v>
      </c>
      <c r="AG12">
        <v>10</v>
      </c>
      <c r="AH12">
        <v>94</v>
      </c>
      <c r="AI12" t="b">
        <v>1</v>
      </c>
    </row>
    <row r="13" spans="1:60" x14ac:dyDescent="0.2">
      <c r="A13" t="s">
        <v>86</v>
      </c>
      <c r="B13" s="11" t="s">
        <v>289</v>
      </c>
      <c r="C13">
        <v>128</v>
      </c>
      <c r="D13">
        <v>10</v>
      </c>
      <c r="E13">
        <v>4</v>
      </c>
      <c r="F13">
        <v>1</v>
      </c>
      <c r="G13">
        <v>15</v>
      </c>
      <c r="H13">
        <v>10</v>
      </c>
      <c r="I13">
        <v>90.12</v>
      </c>
      <c r="J13">
        <v>98.7</v>
      </c>
      <c r="K13">
        <v>0.3</v>
      </c>
      <c r="L13">
        <v>75571</v>
      </c>
      <c r="M13">
        <v>54698</v>
      </c>
      <c r="N13">
        <v>34285</v>
      </c>
      <c r="O13">
        <v>10299</v>
      </c>
      <c r="P13" s="4">
        <f t="shared" si="0"/>
        <v>174853</v>
      </c>
      <c r="Q13">
        <v>22931</v>
      </c>
      <c r="R13">
        <v>30574</v>
      </c>
      <c r="S13">
        <v>8436</v>
      </c>
      <c r="T13">
        <v>35413</v>
      </c>
      <c r="U13" s="4">
        <f t="shared" si="1"/>
        <v>97354</v>
      </c>
      <c r="V13" s="4">
        <f t="shared" si="2"/>
        <v>272207</v>
      </c>
      <c r="W13">
        <v>13339753.5286483</v>
      </c>
      <c r="X13">
        <v>11424394.111501301</v>
      </c>
      <c r="Y13">
        <v>-1915359.4171470699</v>
      </c>
      <c r="Z13">
        <v>5592588.4661223097</v>
      </c>
      <c r="AA13" s="4">
        <f t="shared" si="3"/>
        <v>372839.23107482062</v>
      </c>
      <c r="AB13">
        <v>0</v>
      </c>
      <c r="AC13">
        <v>5286612.1122495197</v>
      </c>
      <c r="AD13">
        <v>1139129.5999999901</v>
      </c>
      <c r="AE13">
        <f t="shared" si="4"/>
        <v>4147482.5122495294</v>
      </c>
      <c r="AF13" s="4">
        <f t="shared" si="5"/>
        <v>414748.25122495292</v>
      </c>
      <c r="AG13">
        <v>10</v>
      </c>
      <c r="AH13">
        <v>94</v>
      </c>
      <c r="AI13" t="b">
        <v>1</v>
      </c>
    </row>
    <row r="14" spans="1:60" x14ac:dyDescent="0.2">
      <c r="A14" t="s">
        <v>87</v>
      </c>
      <c r="B14" s="11" t="s">
        <v>289</v>
      </c>
      <c r="C14">
        <v>128</v>
      </c>
      <c r="D14">
        <v>10</v>
      </c>
      <c r="E14">
        <v>4</v>
      </c>
      <c r="F14">
        <v>3</v>
      </c>
      <c r="G14">
        <v>30</v>
      </c>
      <c r="H14">
        <v>10</v>
      </c>
      <c r="I14">
        <v>45.06</v>
      </c>
      <c r="J14">
        <v>49.35</v>
      </c>
      <c r="K14">
        <v>0.3</v>
      </c>
      <c r="L14">
        <v>75493</v>
      </c>
      <c r="M14">
        <v>55219</v>
      </c>
      <c r="N14">
        <v>34331</v>
      </c>
      <c r="O14">
        <v>10154</v>
      </c>
      <c r="P14" s="4">
        <f t="shared" si="0"/>
        <v>175197</v>
      </c>
      <c r="Q14">
        <v>21750</v>
      </c>
      <c r="R14">
        <v>29987</v>
      </c>
      <c r="S14">
        <v>8492</v>
      </c>
      <c r="T14">
        <v>33956</v>
      </c>
      <c r="U14" s="4">
        <f t="shared" si="1"/>
        <v>94185</v>
      </c>
      <c r="V14" s="4">
        <f t="shared" si="2"/>
        <v>269382</v>
      </c>
      <c r="W14">
        <v>13095029.733591899</v>
      </c>
      <c r="X14">
        <v>7027941.3668295499</v>
      </c>
      <c r="Y14">
        <v>-6067088.3667623997</v>
      </c>
      <c r="Z14">
        <v>8765410.1139568798</v>
      </c>
      <c r="AA14" s="4">
        <f t="shared" si="3"/>
        <v>292180.337131896</v>
      </c>
      <c r="AB14">
        <v>44962883.056708299</v>
      </c>
      <c r="AC14">
        <v>2589676.3558515999</v>
      </c>
      <c r="AD14">
        <v>1139129.5999999901</v>
      </c>
      <c r="AE14">
        <f t="shared" si="4"/>
        <v>1450546.7558516099</v>
      </c>
      <c r="AF14" s="4">
        <f t="shared" si="5"/>
        <v>145054.67558516099</v>
      </c>
      <c r="AG14">
        <v>10</v>
      </c>
      <c r="AH14">
        <v>48</v>
      </c>
      <c r="AI14" t="b">
        <v>1</v>
      </c>
    </row>
    <row r="15" spans="1:60" x14ac:dyDescent="0.2">
      <c r="A15" t="s">
        <v>88</v>
      </c>
      <c r="B15" s="11" t="s">
        <v>289</v>
      </c>
      <c r="C15">
        <v>128</v>
      </c>
      <c r="D15">
        <v>10</v>
      </c>
      <c r="E15">
        <v>4</v>
      </c>
      <c r="F15">
        <v>3</v>
      </c>
      <c r="G15">
        <v>30</v>
      </c>
      <c r="H15">
        <v>10</v>
      </c>
      <c r="I15">
        <v>90.12</v>
      </c>
      <c r="J15">
        <v>98.7</v>
      </c>
      <c r="K15">
        <v>0.3</v>
      </c>
      <c r="L15">
        <v>75493</v>
      </c>
      <c r="M15">
        <v>55219</v>
      </c>
      <c r="N15">
        <v>34331</v>
      </c>
      <c r="O15">
        <v>10154</v>
      </c>
      <c r="P15" s="4">
        <f t="shared" si="0"/>
        <v>175197</v>
      </c>
      <c r="Q15">
        <v>21750</v>
      </c>
      <c r="R15">
        <v>29987</v>
      </c>
      <c r="S15">
        <v>8492</v>
      </c>
      <c r="T15">
        <v>33956</v>
      </c>
      <c r="U15" s="4">
        <f t="shared" si="1"/>
        <v>94185</v>
      </c>
      <c r="V15" s="4">
        <f t="shared" si="2"/>
        <v>269382</v>
      </c>
      <c r="W15">
        <v>13095029.733591899</v>
      </c>
      <c r="X15">
        <v>12916753.1336591</v>
      </c>
      <c r="Y15">
        <v>-178276.599932849</v>
      </c>
      <c r="Z15">
        <v>8765410.1139568798</v>
      </c>
      <c r="AA15" s="4">
        <f t="shared" si="3"/>
        <v>292180.337131896</v>
      </c>
      <c r="AB15">
        <v>89925766.113416597</v>
      </c>
      <c r="AC15">
        <v>5179352.7117031999</v>
      </c>
      <c r="AD15">
        <v>1139129.5999999901</v>
      </c>
      <c r="AE15">
        <f t="shared" si="4"/>
        <v>4040223.1117032096</v>
      </c>
      <c r="AF15" s="4">
        <f t="shared" si="5"/>
        <v>404022.31117032096</v>
      </c>
      <c r="AG15">
        <v>10</v>
      </c>
      <c r="AH15">
        <v>48</v>
      </c>
      <c r="AI15" t="b">
        <v>1</v>
      </c>
    </row>
    <row r="16" spans="1:60" x14ac:dyDescent="0.2">
      <c r="A16" t="s">
        <v>89</v>
      </c>
      <c r="B16" s="11" t="s">
        <v>289</v>
      </c>
      <c r="C16">
        <v>128</v>
      </c>
      <c r="D16">
        <v>10</v>
      </c>
      <c r="E16">
        <v>4</v>
      </c>
      <c r="F16">
        <v>3</v>
      </c>
      <c r="G16">
        <v>15</v>
      </c>
      <c r="H16">
        <v>10</v>
      </c>
      <c r="I16">
        <v>45.06</v>
      </c>
      <c r="J16">
        <v>49.35</v>
      </c>
      <c r="K16">
        <v>0.3</v>
      </c>
      <c r="L16">
        <v>75602</v>
      </c>
      <c r="M16">
        <v>54828</v>
      </c>
      <c r="N16">
        <v>34496</v>
      </c>
      <c r="O16">
        <v>10291</v>
      </c>
      <c r="P16" s="4">
        <f t="shared" si="0"/>
        <v>175217</v>
      </c>
      <c r="Q16">
        <v>22919</v>
      </c>
      <c r="R16">
        <v>30437</v>
      </c>
      <c r="S16">
        <v>8440</v>
      </c>
      <c r="T16">
        <v>35576</v>
      </c>
      <c r="U16" s="4">
        <f t="shared" si="1"/>
        <v>97372</v>
      </c>
      <c r="V16" s="4">
        <f t="shared" si="2"/>
        <v>272589</v>
      </c>
      <c r="W16">
        <v>13278116.6187179</v>
      </c>
      <c r="X16">
        <v>6334613.2035723003</v>
      </c>
      <c r="Y16">
        <v>-6943503.4151456403</v>
      </c>
      <c r="Z16">
        <v>5752403.1106507797</v>
      </c>
      <c r="AA16" s="4">
        <f t="shared" si="3"/>
        <v>383493.54071005195</v>
      </c>
      <c r="AB16">
        <v>0</v>
      </c>
      <c r="AC16">
        <v>2336856.3901531799</v>
      </c>
      <c r="AD16">
        <v>1139129.5999999901</v>
      </c>
      <c r="AE16">
        <f t="shared" si="4"/>
        <v>1197726.7901531898</v>
      </c>
      <c r="AF16" s="4">
        <f t="shared" si="5"/>
        <v>119772.67901531898</v>
      </c>
      <c r="AG16">
        <v>10</v>
      </c>
      <c r="AH16">
        <v>84</v>
      </c>
      <c r="AI16" t="b">
        <v>1</v>
      </c>
    </row>
    <row r="17" spans="1:35" x14ac:dyDescent="0.2">
      <c r="A17" t="s">
        <v>90</v>
      </c>
      <c r="B17" s="11" t="s">
        <v>289</v>
      </c>
      <c r="C17">
        <v>128</v>
      </c>
      <c r="D17">
        <v>10</v>
      </c>
      <c r="E17">
        <v>4</v>
      </c>
      <c r="F17">
        <v>3</v>
      </c>
      <c r="G17">
        <v>15</v>
      </c>
      <c r="H17">
        <v>10</v>
      </c>
      <c r="I17">
        <v>90.12</v>
      </c>
      <c r="J17">
        <v>98.7</v>
      </c>
      <c r="K17">
        <v>0.3</v>
      </c>
      <c r="L17">
        <v>75602</v>
      </c>
      <c r="M17">
        <v>54828</v>
      </c>
      <c r="N17">
        <v>34496</v>
      </c>
      <c r="O17">
        <v>10291</v>
      </c>
      <c r="P17" s="4">
        <f t="shared" si="0"/>
        <v>175217</v>
      </c>
      <c r="Q17">
        <v>22919</v>
      </c>
      <c r="R17">
        <v>30437</v>
      </c>
      <c r="S17">
        <v>8440</v>
      </c>
      <c r="T17">
        <v>35576</v>
      </c>
      <c r="U17" s="4">
        <f t="shared" si="1"/>
        <v>97372</v>
      </c>
      <c r="V17" s="4">
        <f t="shared" si="2"/>
        <v>272589</v>
      </c>
      <c r="W17">
        <v>13278116.6187179</v>
      </c>
      <c r="X17">
        <v>11530096.807144601</v>
      </c>
      <c r="Y17">
        <v>-1748019.8115733301</v>
      </c>
      <c r="Z17">
        <v>5752403.1106507797</v>
      </c>
      <c r="AA17" s="4">
        <f t="shared" si="3"/>
        <v>383493.54071005195</v>
      </c>
      <c r="AB17">
        <v>0</v>
      </c>
      <c r="AC17">
        <v>4673712.7803063598</v>
      </c>
      <c r="AD17">
        <v>1139129.5999999901</v>
      </c>
      <c r="AE17">
        <f t="shared" si="4"/>
        <v>3534583.1803063694</v>
      </c>
      <c r="AF17" s="4">
        <f t="shared" si="5"/>
        <v>353458.31803063693</v>
      </c>
      <c r="AG17">
        <v>10</v>
      </c>
      <c r="AH17">
        <v>84</v>
      </c>
      <c r="AI17" t="b">
        <v>1</v>
      </c>
    </row>
    <row r="18" spans="1:35" x14ac:dyDescent="0.2">
      <c r="A18" t="s">
        <v>91</v>
      </c>
      <c r="B18" s="11" t="s">
        <v>289</v>
      </c>
      <c r="C18">
        <v>143</v>
      </c>
      <c r="D18">
        <v>10</v>
      </c>
      <c r="E18">
        <v>1</v>
      </c>
      <c r="F18">
        <v>1</v>
      </c>
      <c r="G18">
        <v>30</v>
      </c>
      <c r="H18">
        <v>30</v>
      </c>
      <c r="I18">
        <v>45.06</v>
      </c>
      <c r="J18">
        <v>49.35</v>
      </c>
      <c r="K18">
        <v>0.3</v>
      </c>
      <c r="L18">
        <v>66148</v>
      </c>
      <c r="M18">
        <v>69587</v>
      </c>
      <c r="N18">
        <v>33227</v>
      </c>
      <c r="O18">
        <v>10728</v>
      </c>
      <c r="P18" s="4">
        <f t="shared" si="0"/>
        <v>179690</v>
      </c>
      <c r="Q18">
        <v>4972</v>
      </c>
      <c r="R18">
        <v>37760</v>
      </c>
      <c r="S18">
        <v>5937</v>
      </c>
      <c r="T18">
        <v>36991</v>
      </c>
      <c r="U18" s="4">
        <f t="shared" si="1"/>
        <v>85660</v>
      </c>
      <c r="V18" s="4">
        <f t="shared" si="2"/>
        <v>265350</v>
      </c>
      <c r="W18">
        <v>30863336.106968801</v>
      </c>
      <c r="X18">
        <v>15594205.777279699</v>
      </c>
      <c r="Y18">
        <v>-15269130.329689</v>
      </c>
      <c r="Z18">
        <v>16690564.1316438</v>
      </c>
      <c r="AA18" s="4">
        <f t="shared" si="3"/>
        <v>556352.13772145996</v>
      </c>
      <c r="AB18">
        <v>0</v>
      </c>
      <c r="AC18">
        <v>5347139.0120760398</v>
      </c>
      <c r="AD18">
        <v>3417388.79999999</v>
      </c>
      <c r="AE18">
        <f t="shared" si="4"/>
        <v>1929750.2120760498</v>
      </c>
      <c r="AF18" s="4">
        <f t="shared" si="5"/>
        <v>64325.00706920166</v>
      </c>
      <c r="AG18">
        <v>30</v>
      </c>
      <c r="AH18">
        <v>242</v>
      </c>
      <c r="AI18" t="b">
        <v>1</v>
      </c>
    </row>
    <row r="19" spans="1:35" x14ac:dyDescent="0.2">
      <c r="A19" t="s">
        <v>92</v>
      </c>
      <c r="B19" s="11" t="s">
        <v>289</v>
      </c>
      <c r="C19">
        <v>141</v>
      </c>
      <c r="D19">
        <v>10</v>
      </c>
      <c r="E19">
        <v>1</v>
      </c>
      <c r="F19">
        <v>1</v>
      </c>
      <c r="G19">
        <v>30</v>
      </c>
      <c r="H19">
        <v>30</v>
      </c>
      <c r="I19">
        <v>90.12</v>
      </c>
      <c r="J19">
        <v>98.7</v>
      </c>
      <c r="K19">
        <v>0.3</v>
      </c>
      <c r="L19">
        <v>76591</v>
      </c>
      <c r="M19">
        <v>61993</v>
      </c>
      <c r="N19">
        <v>33580</v>
      </c>
      <c r="O19">
        <v>10678</v>
      </c>
      <c r="P19" s="4">
        <f t="shared" si="0"/>
        <v>182842</v>
      </c>
      <c r="Q19">
        <v>5322</v>
      </c>
      <c r="R19">
        <v>39509</v>
      </c>
      <c r="S19">
        <v>6198</v>
      </c>
      <c r="T19">
        <v>36788</v>
      </c>
      <c r="U19" s="4">
        <f t="shared" si="1"/>
        <v>87817</v>
      </c>
      <c r="V19" s="4">
        <f t="shared" si="2"/>
        <v>270659</v>
      </c>
      <c r="W19">
        <v>30486084.650672801</v>
      </c>
      <c r="X19">
        <v>27222292.572851099</v>
      </c>
      <c r="Y19">
        <v>-3263792.0778216901</v>
      </c>
      <c r="Z19">
        <v>16581852.899734801</v>
      </c>
      <c r="AA19" s="4">
        <f t="shared" si="3"/>
        <v>552728.42999116005</v>
      </c>
      <c r="AB19">
        <v>0</v>
      </c>
      <c r="AC19">
        <v>10746061.689101299</v>
      </c>
      <c r="AD19">
        <v>3417388.79999999</v>
      </c>
      <c r="AE19">
        <f t="shared" si="4"/>
        <v>7328672.8891013097</v>
      </c>
      <c r="AF19" s="4">
        <f t="shared" si="5"/>
        <v>244289.09630337698</v>
      </c>
      <c r="AG19">
        <v>30</v>
      </c>
      <c r="AH19">
        <v>257</v>
      </c>
      <c r="AI19" t="b">
        <v>1</v>
      </c>
    </row>
    <row r="20" spans="1:35" x14ac:dyDescent="0.2">
      <c r="A20" t="s">
        <v>93</v>
      </c>
      <c r="B20" s="11" t="s">
        <v>289</v>
      </c>
      <c r="C20">
        <v>139</v>
      </c>
      <c r="D20">
        <v>10</v>
      </c>
      <c r="E20">
        <v>1</v>
      </c>
      <c r="F20">
        <v>1</v>
      </c>
      <c r="G20">
        <v>15</v>
      </c>
      <c r="H20">
        <v>30</v>
      </c>
      <c r="I20">
        <v>45.06</v>
      </c>
      <c r="J20">
        <v>49.35</v>
      </c>
      <c r="K20">
        <v>0.3</v>
      </c>
      <c r="L20">
        <v>78448</v>
      </c>
      <c r="M20">
        <v>62015</v>
      </c>
      <c r="N20">
        <v>33663</v>
      </c>
      <c r="O20">
        <v>10615</v>
      </c>
      <c r="P20" s="4">
        <f t="shared" si="0"/>
        <v>184741</v>
      </c>
      <c r="Q20">
        <v>5657</v>
      </c>
      <c r="R20">
        <v>40597</v>
      </c>
      <c r="S20">
        <v>7140</v>
      </c>
      <c r="T20">
        <v>35964</v>
      </c>
      <c r="U20" s="4">
        <f t="shared" si="1"/>
        <v>89358</v>
      </c>
      <c r="V20" s="4">
        <f t="shared" si="2"/>
        <v>274099</v>
      </c>
      <c r="W20">
        <v>21140953.3390949</v>
      </c>
      <c r="X20">
        <v>13348511.657430001</v>
      </c>
      <c r="Y20">
        <v>-7792441.6816649605</v>
      </c>
      <c r="Z20">
        <v>6637137.1909771496</v>
      </c>
      <c r="AA20" s="4">
        <f t="shared" si="3"/>
        <v>442475.81273180997</v>
      </c>
      <c r="AB20">
        <v>0</v>
      </c>
      <c r="AC20">
        <v>3604915.2270192602</v>
      </c>
      <c r="AD20">
        <v>3417388.79999999</v>
      </c>
      <c r="AE20">
        <f t="shared" si="4"/>
        <v>187526.42701927014</v>
      </c>
      <c r="AF20" s="4">
        <f t="shared" si="5"/>
        <v>6250.880900642338</v>
      </c>
      <c r="AG20">
        <v>30</v>
      </c>
      <c r="AH20">
        <v>322</v>
      </c>
      <c r="AI20" t="b">
        <v>1</v>
      </c>
    </row>
    <row r="21" spans="1:35" x14ac:dyDescent="0.2">
      <c r="A21" t="s">
        <v>94</v>
      </c>
      <c r="B21" s="11" t="s">
        <v>289</v>
      </c>
      <c r="C21">
        <v>138</v>
      </c>
      <c r="D21">
        <v>10</v>
      </c>
      <c r="E21">
        <v>1</v>
      </c>
      <c r="F21">
        <v>1</v>
      </c>
      <c r="G21">
        <v>15</v>
      </c>
      <c r="H21">
        <v>30</v>
      </c>
      <c r="I21">
        <v>90.12</v>
      </c>
      <c r="J21">
        <v>98.7</v>
      </c>
      <c r="K21">
        <v>0.3</v>
      </c>
      <c r="L21">
        <v>72190</v>
      </c>
      <c r="M21">
        <v>62674</v>
      </c>
      <c r="N21">
        <v>33800</v>
      </c>
      <c r="O21">
        <v>10574</v>
      </c>
      <c r="P21" s="4">
        <f t="shared" si="0"/>
        <v>179238</v>
      </c>
      <c r="Q21">
        <v>5836</v>
      </c>
      <c r="R21">
        <v>41723</v>
      </c>
      <c r="S21">
        <v>7723</v>
      </c>
      <c r="T21">
        <v>35437</v>
      </c>
      <c r="U21" s="4">
        <f t="shared" si="1"/>
        <v>90719</v>
      </c>
      <c r="V21" s="4">
        <f t="shared" si="2"/>
        <v>269957</v>
      </c>
      <c r="W21">
        <v>21803546.696291</v>
      </c>
      <c r="X21">
        <v>23565080.115173899</v>
      </c>
      <c r="Y21">
        <v>1761533.41888296</v>
      </c>
      <c r="Z21">
        <v>7177353.0644407095</v>
      </c>
      <c r="AA21" s="4">
        <f t="shared" si="3"/>
        <v>478490.20429604728</v>
      </c>
      <c r="AB21">
        <v>0</v>
      </c>
      <c r="AC21">
        <v>7644703.8896998102</v>
      </c>
      <c r="AD21">
        <v>3417388.79999999</v>
      </c>
      <c r="AE21">
        <f t="shared" si="4"/>
        <v>4227315.0896998197</v>
      </c>
      <c r="AF21" s="4">
        <f t="shared" si="5"/>
        <v>140910.50298999398</v>
      </c>
      <c r="AG21">
        <v>30</v>
      </c>
      <c r="AH21">
        <v>314</v>
      </c>
      <c r="AI21" t="b">
        <v>1</v>
      </c>
    </row>
    <row r="22" spans="1:35" x14ac:dyDescent="0.2">
      <c r="A22" t="s">
        <v>95</v>
      </c>
      <c r="B22" s="11" t="s">
        <v>289</v>
      </c>
      <c r="C22">
        <v>136</v>
      </c>
      <c r="D22">
        <v>10</v>
      </c>
      <c r="E22">
        <v>1</v>
      </c>
      <c r="F22">
        <v>3</v>
      </c>
      <c r="G22">
        <v>30</v>
      </c>
      <c r="H22">
        <v>30</v>
      </c>
      <c r="I22">
        <v>45.06</v>
      </c>
      <c r="J22">
        <v>49.35</v>
      </c>
      <c r="K22">
        <v>0.3</v>
      </c>
      <c r="L22">
        <v>57116</v>
      </c>
      <c r="M22">
        <v>64342</v>
      </c>
      <c r="N22">
        <v>33970</v>
      </c>
      <c r="O22">
        <v>10608</v>
      </c>
      <c r="P22" s="4">
        <f t="shared" si="0"/>
        <v>166036</v>
      </c>
      <c r="Q22">
        <v>6319</v>
      </c>
      <c r="R22">
        <v>44880</v>
      </c>
      <c r="S22">
        <v>7971</v>
      </c>
      <c r="T22">
        <v>35520</v>
      </c>
      <c r="U22" s="4">
        <f t="shared" si="1"/>
        <v>94690</v>
      </c>
      <c r="V22" s="4">
        <f t="shared" si="2"/>
        <v>260726</v>
      </c>
      <c r="W22">
        <v>28855293.352647401</v>
      </c>
      <c r="X22">
        <v>13972361.2932007</v>
      </c>
      <c r="Y22">
        <v>-14882932.0594467</v>
      </c>
      <c r="Z22">
        <v>15506480.812365901</v>
      </c>
      <c r="AA22" s="4">
        <f t="shared" si="3"/>
        <v>516882.69374553004</v>
      </c>
      <c r="AB22">
        <v>0</v>
      </c>
      <c r="AC22">
        <v>5007851.1957908599</v>
      </c>
      <c r="AD22">
        <v>3417388.79999999</v>
      </c>
      <c r="AE22">
        <f t="shared" si="4"/>
        <v>1590462.3957908698</v>
      </c>
      <c r="AF22" s="4">
        <f t="shared" si="5"/>
        <v>53015.413193028995</v>
      </c>
      <c r="AG22">
        <v>30</v>
      </c>
      <c r="AH22">
        <v>313</v>
      </c>
      <c r="AI22" t="b">
        <v>1</v>
      </c>
    </row>
    <row r="23" spans="1:35" x14ac:dyDescent="0.2">
      <c r="A23" t="s">
        <v>96</v>
      </c>
      <c r="B23" s="11" t="s">
        <v>289</v>
      </c>
      <c r="C23">
        <v>136</v>
      </c>
      <c r="D23">
        <v>10</v>
      </c>
      <c r="E23">
        <v>1</v>
      </c>
      <c r="F23">
        <v>3</v>
      </c>
      <c r="G23">
        <v>30</v>
      </c>
      <c r="H23">
        <v>30</v>
      </c>
      <c r="I23">
        <v>90.12</v>
      </c>
      <c r="J23">
        <v>98.7</v>
      </c>
      <c r="K23">
        <v>0.3</v>
      </c>
      <c r="L23">
        <v>57116</v>
      </c>
      <c r="M23">
        <v>64342</v>
      </c>
      <c r="N23">
        <v>33970</v>
      </c>
      <c r="O23">
        <v>10608</v>
      </c>
      <c r="P23" s="4">
        <f t="shared" si="0"/>
        <v>166036</v>
      </c>
      <c r="Q23">
        <v>6319</v>
      </c>
      <c r="R23">
        <v>44880</v>
      </c>
      <c r="S23">
        <v>7971</v>
      </c>
      <c r="T23">
        <v>35520</v>
      </c>
      <c r="U23" s="4">
        <f t="shared" si="1"/>
        <v>94690</v>
      </c>
      <c r="V23" s="4">
        <f t="shared" si="2"/>
        <v>260726</v>
      </c>
      <c r="W23">
        <v>28855293.352647401</v>
      </c>
      <c r="X23">
        <v>24527333.786401398</v>
      </c>
      <c r="Y23">
        <v>-4327959.56624607</v>
      </c>
      <c r="Z23">
        <v>15506480.812365901</v>
      </c>
      <c r="AA23" s="4">
        <f t="shared" si="3"/>
        <v>516882.69374553004</v>
      </c>
      <c r="AB23">
        <v>0</v>
      </c>
      <c r="AC23">
        <v>10015702.391581699</v>
      </c>
      <c r="AD23">
        <v>3417388.79999999</v>
      </c>
      <c r="AE23">
        <f t="shared" si="4"/>
        <v>6598313.5915817097</v>
      </c>
      <c r="AF23" s="4">
        <f t="shared" si="5"/>
        <v>219943.78638605698</v>
      </c>
      <c r="AG23">
        <v>30</v>
      </c>
      <c r="AH23">
        <v>313</v>
      </c>
      <c r="AI23" t="b">
        <v>1</v>
      </c>
    </row>
    <row r="24" spans="1:35" x14ac:dyDescent="0.2">
      <c r="A24" t="s">
        <v>97</v>
      </c>
      <c r="B24" s="11" t="s">
        <v>289</v>
      </c>
      <c r="C24">
        <v>138</v>
      </c>
      <c r="D24">
        <v>10</v>
      </c>
      <c r="E24">
        <v>1</v>
      </c>
      <c r="F24">
        <v>3</v>
      </c>
      <c r="G24">
        <v>15</v>
      </c>
      <c r="H24">
        <v>30</v>
      </c>
      <c r="I24">
        <v>45.06</v>
      </c>
      <c r="J24">
        <v>49.35</v>
      </c>
      <c r="K24">
        <v>0.3</v>
      </c>
      <c r="L24">
        <v>72233</v>
      </c>
      <c r="M24">
        <v>62666</v>
      </c>
      <c r="N24">
        <v>33486</v>
      </c>
      <c r="O24">
        <v>10579</v>
      </c>
      <c r="P24" s="4">
        <f t="shared" si="0"/>
        <v>178964</v>
      </c>
      <c r="Q24">
        <v>5871</v>
      </c>
      <c r="R24">
        <v>42001</v>
      </c>
      <c r="S24">
        <v>7755</v>
      </c>
      <c r="T24">
        <v>35529</v>
      </c>
      <c r="U24" s="4">
        <f t="shared" si="1"/>
        <v>91156</v>
      </c>
      <c r="V24" s="4">
        <f t="shared" si="2"/>
        <v>270120</v>
      </c>
      <c r="W24">
        <v>22054184.745428</v>
      </c>
      <c r="X24">
        <v>12331271.707942801</v>
      </c>
      <c r="Y24">
        <v>-9722913.0374852195</v>
      </c>
      <c r="Z24">
        <v>7472418.3356803302</v>
      </c>
      <c r="AA24" s="4">
        <f t="shared" si="3"/>
        <v>498161.22237868869</v>
      </c>
      <c r="AB24">
        <v>0</v>
      </c>
      <c r="AC24">
        <v>4626557.7033708999</v>
      </c>
      <c r="AD24">
        <v>3417388.79999999</v>
      </c>
      <c r="AE24">
        <f t="shared" si="4"/>
        <v>1209168.9033709099</v>
      </c>
      <c r="AF24" s="4">
        <f t="shared" si="5"/>
        <v>40305.630112363659</v>
      </c>
      <c r="AG24">
        <v>30</v>
      </c>
      <c r="AH24">
        <v>375</v>
      </c>
      <c r="AI24" t="b">
        <v>1</v>
      </c>
    </row>
    <row r="25" spans="1:35" x14ac:dyDescent="0.2">
      <c r="A25" t="s">
        <v>98</v>
      </c>
      <c r="B25" s="11" t="s">
        <v>289</v>
      </c>
      <c r="C25">
        <v>138</v>
      </c>
      <c r="D25">
        <v>10</v>
      </c>
      <c r="E25">
        <v>1</v>
      </c>
      <c r="F25">
        <v>3</v>
      </c>
      <c r="G25">
        <v>15</v>
      </c>
      <c r="H25">
        <v>30</v>
      </c>
      <c r="I25">
        <v>90.12</v>
      </c>
      <c r="J25">
        <v>98.7</v>
      </c>
      <c r="K25">
        <v>0.3</v>
      </c>
      <c r="L25">
        <v>72233</v>
      </c>
      <c r="M25">
        <v>62666</v>
      </c>
      <c r="N25">
        <v>33486</v>
      </c>
      <c r="O25">
        <v>10579</v>
      </c>
      <c r="P25" s="4">
        <f t="shared" si="0"/>
        <v>178964</v>
      </c>
      <c r="Q25">
        <v>5871</v>
      </c>
      <c r="R25">
        <v>42001</v>
      </c>
      <c r="S25">
        <v>7755</v>
      </c>
      <c r="T25">
        <v>35529</v>
      </c>
      <c r="U25" s="4">
        <f t="shared" si="1"/>
        <v>91156</v>
      </c>
      <c r="V25" s="4">
        <f t="shared" si="2"/>
        <v>270120</v>
      </c>
      <c r="W25">
        <v>22054184.745428</v>
      </c>
      <c r="X25">
        <v>21245154.615885701</v>
      </c>
      <c r="Y25">
        <v>-809030.129542373</v>
      </c>
      <c r="Z25">
        <v>7472418.3356803302</v>
      </c>
      <c r="AA25" s="4">
        <f t="shared" si="3"/>
        <v>498161.22237868869</v>
      </c>
      <c r="AB25">
        <v>0</v>
      </c>
      <c r="AC25">
        <v>9253115.4067417998</v>
      </c>
      <c r="AD25">
        <v>3417388.79999999</v>
      </c>
      <c r="AE25">
        <f t="shared" si="4"/>
        <v>5835726.6067418102</v>
      </c>
      <c r="AF25" s="4">
        <f t="shared" si="5"/>
        <v>194524.220224727</v>
      </c>
      <c r="AG25">
        <v>30</v>
      </c>
      <c r="AH25">
        <v>375</v>
      </c>
      <c r="AI25" t="b">
        <v>1</v>
      </c>
    </row>
    <row r="26" spans="1:35" x14ac:dyDescent="0.2">
      <c r="A26" t="s">
        <v>99</v>
      </c>
      <c r="B26" s="11" t="s">
        <v>289</v>
      </c>
      <c r="C26">
        <v>140</v>
      </c>
      <c r="D26">
        <v>10</v>
      </c>
      <c r="E26">
        <v>4</v>
      </c>
      <c r="F26">
        <v>1</v>
      </c>
      <c r="G26">
        <v>30</v>
      </c>
      <c r="H26">
        <v>30</v>
      </c>
      <c r="I26">
        <v>45.06</v>
      </c>
      <c r="J26">
        <v>49.35</v>
      </c>
      <c r="K26">
        <v>0.3</v>
      </c>
      <c r="L26">
        <v>78217</v>
      </c>
      <c r="M26">
        <v>61978</v>
      </c>
      <c r="N26">
        <v>33769</v>
      </c>
      <c r="O26">
        <v>10678</v>
      </c>
      <c r="P26" s="4">
        <f t="shared" si="0"/>
        <v>184642</v>
      </c>
      <c r="Q26">
        <v>5505</v>
      </c>
      <c r="R26">
        <v>40336</v>
      </c>
      <c r="S26">
        <v>6662</v>
      </c>
      <c r="T26">
        <v>36432</v>
      </c>
      <c r="U26" s="4">
        <f t="shared" si="1"/>
        <v>88935</v>
      </c>
      <c r="V26" s="4">
        <f t="shared" si="2"/>
        <v>273577</v>
      </c>
      <c r="W26">
        <v>28656771.1991999</v>
      </c>
      <c r="X26">
        <v>12219765.798786599</v>
      </c>
      <c r="Y26">
        <v>-16437005.400413301</v>
      </c>
      <c r="Z26">
        <v>13658302.605576901</v>
      </c>
      <c r="AA26" s="4">
        <f t="shared" si="3"/>
        <v>455276.75351923</v>
      </c>
      <c r="AB26">
        <v>0</v>
      </c>
      <c r="AC26">
        <v>2285418.1471612402</v>
      </c>
      <c r="AD26">
        <v>3417388.79999999</v>
      </c>
      <c r="AE26">
        <f t="shared" si="4"/>
        <v>-1131970.6528387498</v>
      </c>
      <c r="AF26" s="4">
        <f t="shared" si="5"/>
        <v>-37732.355094624996</v>
      </c>
      <c r="AG26">
        <v>30</v>
      </c>
      <c r="AH26">
        <v>369</v>
      </c>
      <c r="AI26" t="b">
        <v>1</v>
      </c>
    </row>
    <row r="27" spans="1:35" x14ac:dyDescent="0.2">
      <c r="A27" t="s">
        <v>100</v>
      </c>
      <c r="B27" s="11" t="s">
        <v>289</v>
      </c>
      <c r="C27">
        <v>140</v>
      </c>
      <c r="D27">
        <v>10</v>
      </c>
      <c r="E27">
        <v>4</v>
      </c>
      <c r="F27">
        <v>1</v>
      </c>
      <c r="G27">
        <v>30</v>
      </c>
      <c r="H27">
        <v>30</v>
      </c>
      <c r="I27">
        <v>90.12</v>
      </c>
      <c r="J27">
        <v>98.7</v>
      </c>
      <c r="K27">
        <v>0.3</v>
      </c>
      <c r="L27">
        <v>78217</v>
      </c>
      <c r="M27">
        <v>61978</v>
      </c>
      <c r="N27">
        <v>33769</v>
      </c>
      <c r="O27">
        <v>10678</v>
      </c>
      <c r="P27" s="4">
        <f t="shared" si="0"/>
        <v>184642</v>
      </c>
      <c r="Q27">
        <v>5505</v>
      </c>
      <c r="R27">
        <v>40336</v>
      </c>
      <c r="S27">
        <v>6662</v>
      </c>
      <c r="T27">
        <v>36432</v>
      </c>
      <c r="U27" s="4">
        <f t="shared" si="1"/>
        <v>88935</v>
      </c>
      <c r="V27" s="4">
        <f t="shared" si="2"/>
        <v>273577</v>
      </c>
      <c r="W27">
        <v>28656771.1991999</v>
      </c>
      <c r="X27">
        <v>21022142.797573298</v>
      </c>
      <c r="Y27">
        <v>-7634628.40162668</v>
      </c>
      <c r="Z27">
        <v>13658302.605576901</v>
      </c>
      <c r="AA27" s="4">
        <f t="shared" si="3"/>
        <v>455276.75351923</v>
      </c>
      <c r="AB27">
        <v>0</v>
      </c>
      <c r="AC27">
        <v>4570836.2943224898</v>
      </c>
      <c r="AD27">
        <v>3417388.79999999</v>
      </c>
      <c r="AE27">
        <f t="shared" si="4"/>
        <v>1153447.4943224997</v>
      </c>
      <c r="AF27" s="4">
        <f t="shared" si="5"/>
        <v>38448.249810749992</v>
      </c>
      <c r="AG27">
        <v>30</v>
      </c>
      <c r="AH27">
        <v>369</v>
      </c>
      <c r="AI27" t="b">
        <v>1</v>
      </c>
    </row>
    <row r="28" spans="1:35" x14ac:dyDescent="0.2">
      <c r="A28" t="s">
        <v>101</v>
      </c>
      <c r="B28" s="11" t="s">
        <v>289</v>
      </c>
      <c r="C28">
        <v>140</v>
      </c>
      <c r="D28">
        <v>10</v>
      </c>
      <c r="E28">
        <v>4</v>
      </c>
      <c r="F28">
        <v>1</v>
      </c>
      <c r="G28">
        <v>15</v>
      </c>
      <c r="H28">
        <v>30</v>
      </c>
      <c r="I28">
        <v>45.06</v>
      </c>
      <c r="J28">
        <v>49.35</v>
      </c>
      <c r="K28">
        <v>0.3</v>
      </c>
      <c r="L28">
        <v>77806</v>
      </c>
      <c r="M28">
        <v>61397</v>
      </c>
      <c r="N28">
        <v>33240</v>
      </c>
      <c r="O28">
        <v>10612</v>
      </c>
      <c r="P28" s="4">
        <f t="shared" si="0"/>
        <v>183055</v>
      </c>
      <c r="Q28">
        <v>5510</v>
      </c>
      <c r="R28">
        <v>39781</v>
      </c>
      <c r="S28">
        <v>6690</v>
      </c>
      <c r="T28">
        <v>36535</v>
      </c>
      <c r="U28" s="4">
        <f t="shared" si="1"/>
        <v>88516</v>
      </c>
      <c r="V28" s="4">
        <f t="shared" si="2"/>
        <v>271571</v>
      </c>
      <c r="W28">
        <v>21615747.3895192</v>
      </c>
      <c r="X28">
        <v>12664680.9175894</v>
      </c>
      <c r="Y28">
        <v>-8951066.4719297197</v>
      </c>
      <c r="Z28">
        <v>7423973.3819852602</v>
      </c>
      <c r="AA28" s="4">
        <f t="shared" si="3"/>
        <v>494931.55879901734</v>
      </c>
      <c r="AB28">
        <v>0</v>
      </c>
      <c r="AC28">
        <v>3194633.5250221398</v>
      </c>
      <c r="AD28">
        <v>3417388.79999999</v>
      </c>
      <c r="AE28">
        <f t="shared" si="4"/>
        <v>-222755.27497785026</v>
      </c>
      <c r="AF28" s="4">
        <f t="shared" si="5"/>
        <v>-7425.1758325950086</v>
      </c>
      <c r="AG28">
        <v>30</v>
      </c>
      <c r="AH28">
        <v>373</v>
      </c>
      <c r="AI28" t="b">
        <v>1</v>
      </c>
    </row>
    <row r="29" spans="1:35" x14ac:dyDescent="0.2">
      <c r="A29" t="s">
        <v>102</v>
      </c>
      <c r="B29" s="11" t="s">
        <v>289</v>
      </c>
      <c r="C29">
        <v>140</v>
      </c>
      <c r="D29">
        <v>10</v>
      </c>
      <c r="E29">
        <v>4</v>
      </c>
      <c r="F29">
        <v>1</v>
      </c>
      <c r="G29">
        <v>15</v>
      </c>
      <c r="H29">
        <v>30</v>
      </c>
      <c r="I29">
        <v>90.12</v>
      </c>
      <c r="J29">
        <v>98.7</v>
      </c>
      <c r="K29">
        <v>0.3</v>
      </c>
      <c r="L29">
        <v>77806</v>
      </c>
      <c r="M29">
        <v>61397</v>
      </c>
      <c r="N29">
        <v>33240</v>
      </c>
      <c r="O29">
        <v>10612</v>
      </c>
      <c r="P29" s="4">
        <f t="shared" si="0"/>
        <v>183055</v>
      </c>
      <c r="Q29">
        <v>5510</v>
      </c>
      <c r="R29">
        <v>39781</v>
      </c>
      <c r="S29">
        <v>6690</v>
      </c>
      <c r="T29">
        <v>36535</v>
      </c>
      <c r="U29" s="4">
        <f t="shared" si="1"/>
        <v>88516</v>
      </c>
      <c r="V29" s="4">
        <f t="shared" si="2"/>
        <v>271571</v>
      </c>
      <c r="W29">
        <v>21615747.3895192</v>
      </c>
      <c r="X29">
        <v>21911973.0351789</v>
      </c>
      <c r="Y29">
        <v>296225.64565976302</v>
      </c>
      <c r="Z29">
        <v>7423973.3819852602</v>
      </c>
      <c r="AA29" s="4">
        <f t="shared" si="3"/>
        <v>494931.55879901734</v>
      </c>
      <c r="AB29">
        <v>0</v>
      </c>
      <c r="AC29">
        <v>6389267.0500442898</v>
      </c>
      <c r="AD29">
        <v>3417388.79999999</v>
      </c>
      <c r="AE29">
        <f t="shared" si="4"/>
        <v>2971878.2500442998</v>
      </c>
      <c r="AF29" s="4">
        <f t="shared" si="5"/>
        <v>99062.608334809993</v>
      </c>
      <c r="AG29">
        <v>30</v>
      </c>
      <c r="AH29">
        <v>373</v>
      </c>
      <c r="AI29" t="b">
        <v>1</v>
      </c>
    </row>
    <row r="30" spans="1:35" x14ac:dyDescent="0.2">
      <c r="A30" t="s">
        <v>103</v>
      </c>
      <c r="B30" s="11" t="s">
        <v>289</v>
      </c>
      <c r="C30">
        <v>139</v>
      </c>
      <c r="D30">
        <v>10</v>
      </c>
      <c r="E30">
        <v>4</v>
      </c>
      <c r="F30">
        <v>3</v>
      </c>
      <c r="G30">
        <v>30</v>
      </c>
      <c r="H30">
        <v>30</v>
      </c>
      <c r="I30">
        <v>45.06</v>
      </c>
      <c r="J30">
        <v>49.35</v>
      </c>
      <c r="K30">
        <v>0.3</v>
      </c>
      <c r="L30">
        <v>79296</v>
      </c>
      <c r="M30">
        <v>62618</v>
      </c>
      <c r="N30">
        <v>33523</v>
      </c>
      <c r="O30">
        <v>10659</v>
      </c>
      <c r="P30" s="4">
        <f t="shared" si="0"/>
        <v>186096</v>
      </c>
      <c r="Q30">
        <v>5585</v>
      </c>
      <c r="R30">
        <v>41627</v>
      </c>
      <c r="S30">
        <v>7100</v>
      </c>
      <c r="T30">
        <v>35891</v>
      </c>
      <c r="U30" s="4">
        <f t="shared" si="1"/>
        <v>90203</v>
      </c>
      <c r="V30" s="4">
        <f t="shared" si="2"/>
        <v>276299</v>
      </c>
      <c r="W30">
        <v>30478294.012814</v>
      </c>
      <c r="X30">
        <v>13932928.5734626</v>
      </c>
      <c r="Y30">
        <v>-16545365.4393514</v>
      </c>
      <c r="Z30">
        <v>14875022.389474999</v>
      </c>
      <c r="AA30" s="4">
        <f t="shared" si="3"/>
        <v>495834.07964916661</v>
      </c>
      <c r="AB30">
        <v>0</v>
      </c>
      <c r="AC30">
        <v>5384320.8350728601</v>
      </c>
      <c r="AD30">
        <v>3417388.79999999</v>
      </c>
      <c r="AE30">
        <f t="shared" si="4"/>
        <v>1966932.0350728701</v>
      </c>
      <c r="AF30" s="4">
        <f t="shared" si="5"/>
        <v>65564.401169095669</v>
      </c>
      <c r="AG30">
        <v>30</v>
      </c>
      <c r="AH30">
        <v>350</v>
      </c>
      <c r="AI30" t="b">
        <v>1</v>
      </c>
    </row>
    <row r="31" spans="1:35" x14ac:dyDescent="0.2">
      <c r="A31" t="s">
        <v>104</v>
      </c>
      <c r="B31" s="11" t="s">
        <v>289</v>
      </c>
      <c r="C31">
        <v>137</v>
      </c>
      <c r="D31">
        <v>10</v>
      </c>
      <c r="E31">
        <v>4</v>
      </c>
      <c r="F31">
        <v>3</v>
      </c>
      <c r="G31">
        <v>30</v>
      </c>
      <c r="H31">
        <v>30</v>
      </c>
      <c r="I31">
        <v>90.12</v>
      </c>
      <c r="J31">
        <v>98.7</v>
      </c>
      <c r="K31">
        <v>0.3</v>
      </c>
      <c r="L31">
        <v>65208</v>
      </c>
      <c r="M31">
        <v>63930</v>
      </c>
      <c r="N31">
        <v>33687</v>
      </c>
      <c r="O31">
        <v>10629</v>
      </c>
      <c r="P31" s="4">
        <f t="shared" si="0"/>
        <v>173454</v>
      </c>
      <c r="Q31">
        <v>6095</v>
      </c>
      <c r="R31">
        <v>43638</v>
      </c>
      <c r="S31">
        <v>7840</v>
      </c>
      <c r="T31">
        <v>35350</v>
      </c>
      <c r="U31" s="4">
        <f t="shared" si="1"/>
        <v>92923</v>
      </c>
      <c r="V31" s="4">
        <f t="shared" si="2"/>
        <v>266377</v>
      </c>
      <c r="W31">
        <v>29082145.918392502</v>
      </c>
      <c r="X31">
        <v>23486239.528614301</v>
      </c>
      <c r="Y31">
        <v>-5595906.3897781903</v>
      </c>
      <c r="Z31">
        <v>14599251.2050559</v>
      </c>
      <c r="AA31" s="4">
        <f t="shared" si="3"/>
        <v>486641.70683519664</v>
      </c>
      <c r="AB31">
        <v>0</v>
      </c>
      <c r="AC31">
        <v>9853944.2359580901</v>
      </c>
      <c r="AD31">
        <v>3417388.79999999</v>
      </c>
      <c r="AE31">
        <f t="shared" si="4"/>
        <v>6436555.4359581005</v>
      </c>
      <c r="AF31" s="4">
        <f t="shared" si="5"/>
        <v>214551.84786527001</v>
      </c>
      <c r="AG31">
        <v>30</v>
      </c>
      <c r="AH31">
        <v>361</v>
      </c>
      <c r="AI31" t="b">
        <v>1</v>
      </c>
    </row>
    <row r="32" spans="1:35" x14ac:dyDescent="0.2">
      <c r="A32" t="s">
        <v>105</v>
      </c>
      <c r="B32" s="11" t="s">
        <v>289</v>
      </c>
      <c r="C32">
        <v>142</v>
      </c>
      <c r="D32">
        <v>10</v>
      </c>
      <c r="E32">
        <v>4</v>
      </c>
      <c r="F32">
        <v>3</v>
      </c>
      <c r="G32">
        <v>15</v>
      </c>
      <c r="H32">
        <v>30</v>
      </c>
      <c r="I32">
        <v>45.06</v>
      </c>
      <c r="J32">
        <v>49.35</v>
      </c>
      <c r="K32">
        <v>0.3</v>
      </c>
      <c r="L32">
        <v>70144</v>
      </c>
      <c r="M32">
        <v>66030</v>
      </c>
      <c r="N32">
        <v>32932</v>
      </c>
      <c r="O32">
        <v>10625</v>
      </c>
      <c r="P32" s="4">
        <f t="shared" si="0"/>
        <v>179731</v>
      </c>
      <c r="Q32">
        <v>5218</v>
      </c>
      <c r="R32">
        <v>38027</v>
      </c>
      <c r="S32">
        <v>5990</v>
      </c>
      <c r="T32">
        <v>37030</v>
      </c>
      <c r="U32" s="4">
        <f t="shared" si="1"/>
        <v>86265</v>
      </c>
      <c r="V32" s="4">
        <f t="shared" si="2"/>
        <v>265996</v>
      </c>
      <c r="W32">
        <v>22096114.547306299</v>
      </c>
      <c r="X32">
        <v>10209250.331229299</v>
      </c>
      <c r="Y32">
        <v>-11886864.216076899</v>
      </c>
      <c r="Z32">
        <v>7189101.7555912696</v>
      </c>
      <c r="AA32" s="4">
        <f t="shared" si="3"/>
        <v>479273.45037275128</v>
      </c>
      <c r="AB32">
        <v>0</v>
      </c>
      <c r="AC32">
        <v>3104431.65778436</v>
      </c>
      <c r="AD32">
        <v>3417388.79999999</v>
      </c>
      <c r="AE32">
        <f t="shared" si="4"/>
        <v>-312957.14221563004</v>
      </c>
      <c r="AF32" s="4">
        <f t="shared" si="5"/>
        <v>-10431.904740521002</v>
      </c>
      <c r="AG32">
        <v>30</v>
      </c>
      <c r="AH32">
        <v>473</v>
      </c>
      <c r="AI32" t="b">
        <v>1</v>
      </c>
    </row>
    <row r="33" spans="1:35" x14ac:dyDescent="0.2">
      <c r="A33" s="4" t="s">
        <v>106</v>
      </c>
      <c r="B33" s="11" t="s">
        <v>289</v>
      </c>
      <c r="C33">
        <v>142</v>
      </c>
      <c r="D33">
        <v>10</v>
      </c>
      <c r="E33">
        <v>4</v>
      </c>
      <c r="F33">
        <v>3</v>
      </c>
      <c r="G33">
        <v>15</v>
      </c>
      <c r="H33">
        <v>30</v>
      </c>
      <c r="I33">
        <v>90.12</v>
      </c>
      <c r="J33">
        <v>98.7</v>
      </c>
      <c r="K33">
        <v>0.3</v>
      </c>
      <c r="L33">
        <v>69934</v>
      </c>
      <c r="M33">
        <v>65563</v>
      </c>
      <c r="N33">
        <v>32925</v>
      </c>
      <c r="O33">
        <v>10665</v>
      </c>
      <c r="P33" s="4">
        <f t="shared" si="0"/>
        <v>179087</v>
      </c>
      <c r="Q33">
        <v>5281</v>
      </c>
      <c r="R33">
        <v>38290</v>
      </c>
      <c r="S33">
        <v>6035</v>
      </c>
      <c r="T33">
        <v>37137</v>
      </c>
      <c r="U33" s="4">
        <f t="shared" si="1"/>
        <v>86743</v>
      </c>
      <c r="V33" s="4">
        <f t="shared" si="2"/>
        <v>265830</v>
      </c>
      <c r="W33">
        <v>21522453.1005827</v>
      </c>
      <c r="X33">
        <v>17343851.667297602</v>
      </c>
      <c r="Y33">
        <v>-4178601.4332850901</v>
      </c>
      <c r="Z33">
        <v>6945714.53011938</v>
      </c>
      <c r="AA33" s="4">
        <f t="shared" si="3"/>
        <v>463047.63534129201</v>
      </c>
      <c r="AB33">
        <v>0</v>
      </c>
      <c r="AC33">
        <v>5402279.8058483498</v>
      </c>
      <c r="AD33">
        <v>3417388.79999999</v>
      </c>
      <c r="AE33">
        <f t="shared" si="4"/>
        <v>1984891.0058483598</v>
      </c>
      <c r="AF33" s="4">
        <f t="shared" si="5"/>
        <v>66163.033528278655</v>
      </c>
      <c r="AG33">
        <v>30</v>
      </c>
      <c r="AH33">
        <v>462</v>
      </c>
      <c r="AI33" t="b">
        <v>1</v>
      </c>
    </row>
    <row r="34" spans="1:35" x14ac:dyDescent="0.2">
      <c r="A34" t="s">
        <v>107</v>
      </c>
    </row>
    <row r="35" spans="1:35" x14ac:dyDescent="0.2">
      <c r="A35" t="s">
        <v>108</v>
      </c>
    </row>
    <row r="36" spans="1:35" x14ac:dyDescent="0.2">
      <c r="A36" t="s">
        <v>109</v>
      </c>
    </row>
    <row r="37" spans="1:35" x14ac:dyDescent="0.2">
      <c r="A37" t="s">
        <v>110</v>
      </c>
    </row>
    <row r="38" spans="1:35" x14ac:dyDescent="0.2">
      <c r="A38" t="s">
        <v>111</v>
      </c>
    </row>
    <row r="39" spans="1:35" x14ac:dyDescent="0.2">
      <c r="A39" t="s">
        <v>112</v>
      </c>
      <c r="B39" s="10"/>
    </row>
    <row r="40" spans="1:35" x14ac:dyDescent="0.2">
      <c r="A40" t="s">
        <v>113</v>
      </c>
    </row>
    <row r="41" spans="1:35" x14ac:dyDescent="0.2">
      <c r="A41" t="s">
        <v>114</v>
      </c>
    </row>
    <row r="42" spans="1:35" x14ac:dyDescent="0.2">
      <c r="A42" t="s">
        <v>115</v>
      </c>
    </row>
    <row r="43" spans="1:35" x14ac:dyDescent="0.2">
      <c r="A43" t="s">
        <v>116</v>
      </c>
    </row>
    <row r="44" spans="1:35" x14ac:dyDescent="0.2">
      <c r="A44" t="s">
        <v>117</v>
      </c>
    </row>
    <row r="45" spans="1:35" x14ac:dyDescent="0.2">
      <c r="A45" t="s">
        <v>261</v>
      </c>
    </row>
    <row r="46" spans="1:35" x14ac:dyDescent="0.2">
      <c r="A46" t="s">
        <v>262</v>
      </c>
    </row>
    <row r="47" spans="1:35" x14ac:dyDescent="0.2">
      <c r="A47" t="s">
        <v>263</v>
      </c>
    </row>
    <row r="48" spans="1:35" x14ac:dyDescent="0.2">
      <c r="A48" t="s">
        <v>264</v>
      </c>
    </row>
    <row r="49" spans="1:1" x14ac:dyDescent="0.2">
      <c r="A49" t="s">
        <v>265</v>
      </c>
    </row>
    <row r="50" spans="1:1" x14ac:dyDescent="0.2">
      <c r="A50" t="s">
        <v>266</v>
      </c>
    </row>
    <row r="51" spans="1:1" x14ac:dyDescent="0.2">
      <c r="A51" t="s">
        <v>267</v>
      </c>
    </row>
    <row r="52" spans="1:1" x14ac:dyDescent="0.2">
      <c r="A52" t="s">
        <v>268</v>
      </c>
    </row>
    <row r="53" spans="1:1" x14ac:dyDescent="0.2">
      <c r="A53" t="s">
        <v>269</v>
      </c>
    </row>
    <row r="54" spans="1:1" x14ac:dyDescent="0.2">
      <c r="A54" t="s">
        <v>270</v>
      </c>
    </row>
    <row r="55" spans="1:1" x14ac:dyDescent="0.2">
      <c r="A55" t="s">
        <v>271</v>
      </c>
    </row>
    <row r="56" spans="1:1" x14ac:dyDescent="0.2">
      <c r="A56" t="s">
        <v>272</v>
      </c>
    </row>
    <row r="57" spans="1:1" x14ac:dyDescent="0.2">
      <c r="A57" t="s">
        <v>273</v>
      </c>
    </row>
    <row r="58" spans="1:1" x14ac:dyDescent="0.2">
      <c r="A58" t="s">
        <v>274</v>
      </c>
    </row>
    <row r="59" spans="1:1" x14ac:dyDescent="0.2">
      <c r="A59" t="s">
        <v>275</v>
      </c>
    </row>
    <row r="60" spans="1:1" x14ac:dyDescent="0.2">
      <c r="A60" t="s">
        <v>276</v>
      </c>
    </row>
    <row r="61" spans="1:1" x14ac:dyDescent="0.2">
      <c r="A61" t="s">
        <v>277</v>
      </c>
    </row>
    <row r="62" spans="1:1" x14ac:dyDescent="0.2">
      <c r="A62" t="s">
        <v>278</v>
      </c>
    </row>
    <row r="63" spans="1:1" x14ac:dyDescent="0.2">
      <c r="A63" t="s">
        <v>279</v>
      </c>
    </row>
    <row r="64" spans="1:1" x14ac:dyDescent="0.2">
      <c r="A64" t="s">
        <v>280</v>
      </c>
    </row>
    <row r="65" spans="1:1" x14ac:dyDescent="0.2">
      <c r="A65" t="s">
        <v>281</v>
      </c>
    </row>
  </sheetData>
  <sortState xmlns:xlrd2="http://schemas.microsoft.com/office/spreadsheetml/2017/richdata2" ref="A2:AM44">
    <sortCondition ref="A1:A44"/>
  </sortState>
  <pageMargins left="0.75" right="0.75" top="1" bottom="1" header="0.5" footer="0.5"/>
  <ignoredErrors>
    <ignoredError sqref="B2:B33" numberStoredAsText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65"/>
  <sheetViews>
    <sheetView workbookViewId="0">
      <selection activeCell="AC22" sqref="AC22"/>
    </sheetView>
  </sheetViews>
  <sheetFormatPr baseColWidth="10" defaultRowHeight="16" x14ac:dyDescent="0.2"/>
  <cols>
    <col min="8" max="8" width="18.33203125" bestFit="1" customWidth="1"/>
    <col min="9" max="9" width="22.5" bestFit="1" customWidth="1"/>
    <col min="10" max="10" width="17.6640625" bestFit="1" customWidth="1"/>
    <col min="23" max="23" width="23.5" bestFit="1" customWidth="1"/>
  </cols>
  <sheetData>
    <row r="1" spans="1:37" x14ac:dyDescent="0.2">
      <c r="A1" t="s">
        <v>75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19</v>
      </c>
      <c r="K1" t="s">
        <v>282</v>
      </c>
      <c r="L1" t="s">
        <v>60</v>
      </c>
      <c r="P1" t="s">
        <v>19</v>
      </c>
      <c r="Q1" t="s">
        <v>282</v>
      </c>
      <c r="R1" t="s">
        <v>60</v>
      </c>
      <c r="V1" t="s">
        <v>75</v>
      </c>
      <c r="W1" t="s">
        <v>1</v>
      </c>
      <c r="X1" t="s">
        <v>2</v>
      </c>
      <c r="Y1" t="s">
        <v>3</v>
      </c>
      <c r="Z1" t="s">
        <v>4</v>
      </c>
      <c r="AA1" t="s">
        <v>5</v>
      </c>
      <c r="AB1" t="s">
        <v>6</v>
      </c>
      <c r="AC1" t="s">
        <v>7</v>
      </c>
      <c r="AD1" t="s">
        <v>8</v>
      </c>
      <c r="AE1" t="s">
        <v>19</v>
      </c>
      <c r="AF1" t="s">
        <v>284</v>
      </c>
      <c r="AG1" t="s">
        <v>282</v>
      </c>
      <c r="AH1" t="s">
        <v>285</v>
      </c>
      <c r="AI1" t="s">
        <v>60</v>
      </c>
      <c r="AJ1" t="s">
        <v>286</v>
      </c>
    </row>
    <row r="2" spans="1:37" x14ac:dyDescent="0.2">
      <c r="A2" t="s">
        <v>76</v>
      </c>
      <c r="B2">
        <v>10</v>
      </c>
      <c r="C2">
        <v>1</v>
      </c>
      <c r="D2">
        <v>1</v>
      </c>
      <c r="E2">
        <v>15</v>
      </c>
      <c r="F2">
        <v>10</v>
      </c>
      <c r="G2">
        <v>45.06</v>
      </c>
      <c r="H2">
        <v>49.35</v>
      </c>
      <c r="I2">
        <v>0.3</v>
      </c>
      <c r="J2">
        <v>-18344203.504127599</v>
      </c>
      <c r="K2">
        <v>128635.69871115933</v>
      </c>
      <c r="L2">
        <v>-44917.53925808701</v>
      </c>
      <c r="M2" t="b">
        <f t="shared" ref="M2:M33" si="0">AND(J2&gt;0, K2&gt;0, L2&gt;0)</f>
        <v>0</v>
      </c>
      <c r="O2" t="s">
        <v>283</v>
      </c>
      <c r="P2">
        <v>19090546.030836798</v>
      </c>
      <c r="Q2">
        <v>219895.56303168266</v>
      </c>
      <c r="R2">
        <v>770855.04453140101</v>
      </c>
      <c r="V2" s="6" t="s">
        <v>96</v>
      </c>
      <c r="W2" s="6">
        <v>10</v>
      </c>
      <c r="X2" s="6">
        <v>1</v>
      </c>
      <c r="Y2" s="6">
        <v>3</v>
      </c>
      <c r="Z2" s="6">
        <v>15</v>
      </c>
      <c r="AA2" s="6">
        <v>30</v>
      </c>
      <c r="AB2" s="6">
        <v>90.12</v>
      </c>
      <c r="AC2" s="6">
        <v>98.7</v>
      </c>
      <c r="AD2" s="6">
        <v>0.3</v>
      </c>
      <c r="AE2" s="6">
        <v>19090546.030836798</v>
      </c>
      <c r="AF2" s="6">
        <v>1</v>
      </c>
      <c r="AG2" s="6">
        <v>147938.14870926933</v>
      </c>
      <c r="AH2" s="6">
        <v>4</v>
      </c>
      <c r="AI2" s="6">
        <v>36440.199961776656</v>
      </c>
      <c r="AJ2" s="6">
        <v>12</v>
      </c>
      <c r="AK2" s="6" t="b">
        <f t="shared" ref="AK2:AK13" si="1">AND(AE2&gt;0, AG2&gt;0, AI2&gt;0)</f>
        <v>1</v>
      </c>
    </row>
    <row r="3" spans="1:37" x14ac:dyDescent="0.2">
      <c r="A3" t="s">
        <v>77</v>
      </c>
      <c r="B3">
        <v>10</v>
      </c>
      <c r="C3">
        <v>1</v>
      </c>
      <c r="D3">
        <v>1</v>
      </c>
      <c r="E3">
        <v>15</v>
      </c>
      <c r="F3">
        <v>10</v>
      </c>
      <c r="G3">
        <v>90.12</v>
      </c>
      <c r="H3">
        <v>98.7</v>
      </c>
      <c r="I3">
        <v>0.3</v>
      </c>
      <c r="J3">
        <v>-7824259.4077669401</v>
      </c>
      <c r="K3">
        <v>137309.57597981466</v>
      </c>
      <c r="L3">
        <v>229121.20948382499</v>
      </c>
      <c r="M3" t="b">
        <f t="shared" si="0"/>
        <v>0</v>
      </c>
      <c r="V3" s="6" t="s">
        <v>92</v>
      </c>
      <c r="W3" s="6">
        <v>10</v>
      </c>
      <c r="X3" s="6">
        <v>1</v>
      </c>
      <c r="Y3" s="6">
        <v>1</v>
      </c>
      <c r="Z3" s="6">
        <v>15</v>
      </c>
      <c r="AA3" s="6">
        <v>30</v>
      </c>
      <c r="AB3" s="6">
        <v>90.12</v>
      </c>
      <c r="AC3" s="6">
        <v>98.7</v>
      </c>
      <c r="AD3" s="6">
        <v>0.3</v>
      </c>
      <c r="AE3" s="6">
        <v>16087205.5488762</v>
      </c>
      <c r="AF3" s="6">
        <v>2</v>
      </c>
      <c r="AG3" s="6">
        <v>162008.20497532267</v>
      </c>
      <c r="AH3" s="6">
        <v>2</v>
      </c>
      <c r="AI3" s="6">
        <v>64844.372534223337</v>
      </c>
      <c r="AJ3" s="6">
        <v>10</v>
      </c>
      <c r="AK3" s="6" t="b">
        <f t="shared" si="1"/>
        <v>1</v>
      </c>
    </row>
    <row r="4" spans="1:37" x14ac:dyDescent="0.2">
      <c r="A4" t="s">
        <v>78</v>
      </c>
      <c r="B4">
        <v>10</v>
      </c>
      <c r="C4">
        <v>1</v>
      </c>
      <c r="D4">
        <v>1</v>
      </c>
      <c r="E4">
        <v>30</v>
      </c>
      <c r="F4">
        <v>10</v>
      </c>
      <c r="G4">
        <v>45.06</v>
      </c>
      <c r="H4">
        <v>49.35</v>
      </c>
      <c r="I4">
        <v>0.3</v>
      </c>
      <c r="J4">
        <v>-17400718.0542183</v>
      </c>
      <c r="K4">
        <v>63060.020033272333</v>
      </c>
      <c r="L4">
        <v>197267.63140186699</v>
      </c>
      <c r="M4" t="b">
        <f t="shared" si="0"/>
        <v>0</v>
      </c>
      <c r="V4" s="8" t="s">
        <v>269</v>
      </c>
      <c r="W4" s="8">
        <v>20</v>
      </c>
      <c r="X4" s="8">
        <v>1</v>
      </c>
      <c r="Y4" s="8">
        <v>1</v>
      </c>
      <c r="Z4" s="8">
        <v>30</v>
      </c>
      <c r="AA4" s="8">
        <v>30</v>
      </c>
      <c r="AB4" s="8">
        <v>90.12</v>
      </c>
      <c r="AC4" s="8">
        <v>98.7</v>
      </c>
      <c r="AD4" s="8">
        <v>0.3</v>
      </c>
      <c r="AE4" s="8">
        <v>11758454.6214043</v>
      </c>
      <c r="AF4" s="8">
        <v>3</v>
      </c>
      <c r="AG4" s="8">
        <v>192354.87929308033</v>
      </c>
      <c r="AH4" s="8">
        <v>1</v>
      </c>
      <c r="AI4" s="8">
        <v>355103.84085718001</v>
      </c>
      <c r="AJ4" s="8">
        <v>6</v>
      </c>
      <c r="AK4" s="8" t="b">
        <f t="shared" si="1"/>
        <v>1</v>
      </c>
    </row>
    <row r="5" spans="1:37" x14ac:dyDescent="0.2">
      <c r="A5" t="s">
        <v>79</v>
      </c>
      <c r="B5">
        <v>10</v>
      </c>
      <c r="C5">
        <v>1</v>
      </c>
      <c r="D5">
        <v>1</v>
      </c>
      <c r="E5">
        <v>30</v>
      </c>
      <c r="F5">
        <v>10</v>
      </c>
      <c r="G5">
        <v>90.12</v>
      </c>
      <c r="H5">
        <v>98.7</v>
      </c>
      <c r="I5">
        <v>0.3</v>
      </c>
      <c r="J5">
        <v>-1415881.9497326899</v>
      </c>
      <c r="K5">
        <v>73485.876136297331</v>
      </c>
      <c r="L5">
        <v>713491.55080373096</v>
      </c>
      <c r="M5" t="b">
        <f t="shared" si="0"/>
        <v>0</v>
      </c>
      <c r="V5" s="7" t="s">
        <v>106</v>
      </c>
      <c r="W5" s="7">
        <v>10</v>
      </c>
      <c r="X5" s="7">
        <v>4</v>
      </c>
      <c r="Y5" s="7">
        <v>3</v>
      </c>
      <c r="Z5" s="7">
        <v>30</v>
      </c>
      <c r="AA5" s="7">
        <v>30</v>
      </c>
      <c r="AB5" s="7">
        <v>90.12</v>
      </c>
      <c r="AC5" s="7">
        <v>98.7</v>
      </c>
      <c r="AD5" s="7">
        <v>0.3</v>
      </c>
      <c r="AE5" s="7">
        <v>11695457.623707499</v>
      </c>
      <c r="AF5" s="6">
        <v>4</v>
      </c>
      <c r="AG5" s="6">
        <v>158322.13665198401</v>
      </c>
      <c r="AH5" s="6">
        <v>3</v>
      </c>
      <c r="AI5" s="7">
        <v>205744.31965886001</v>
      </c>
      <c r="AJ5" s="6">
        <v>7</v>
      </c>
      <c r="AK5" s="6" t="b">
        <f t="shared" si="1"/>
        <v>1</v>
      </c>
    </row>
    <row r="6" spans="1:37" x14ac:dyDescent="0.2">
      <c r="A6" t="s">
        <v>80</v>
      </c>
      <c r="B6">
        <v>10</v>
      </c>
      <c r="C6">
        <v>1</v>
      </c>
      <c r="D6">
        <v>3</v>
      </c>
      <c r="E6">
        <v>15</v>
      </c>
      <c r="F6">
        <v>10</v>
      </c>
      <c r="G6">
        <v>45.06</v>
      </c>
      <c r="H6">
        <v>49.35</v>
      </c>
      <c r="I6">
        <v>0.3</v>
      </c>
      <c r="J6">
        <v>-17980638.827082999</v>
      </c>
      <c r="K6">
        <v>145554.21915504735</v>
      </c>
      <c r="L6">
        <v>23823.296777059975</v>
      </c>
      <c r="M6" t="b">
        <f t="shared" si="0"/>
        <v>0</v>
      </c>
      <c r="V6" s="6" t="s">
        <v>104</v>
      </c>
      <c r="W6" s="6">
        <v>10</v>
      </c>
      <c r="X6" s="6">
        <v>4</v>
      </c>
      <c r="Y6" s="6">
        <v>3</v>
      </c>
      <c r="Z6" s="6">
        <v>15</v>
      </c>
      <c r="AA6" s="6">
        <v>30</v>
      </c>
      <c r="AB6" s="6">
        <v>90.12</v>
      </c>
      <c r="AC6" s="6">
        <v>98.7</v>
      </c>
      <c r="AD6" s="6">
        <v>0.3</v>
      </c>
      <c r="AE6" s="6">
        <v>11203115.6601393</v>
      </c>
      <c r="AF6" s="6">
        <v>5</v>
      </c>
      <c r="AG6" s="6">
        <v>137501.41859871533</v>
      </c>
      <c r="AH6" s="6">
        <v>5</v>
      </c>
      <c r="AI6" s="6">
        <v>51108.602524846669</v>
      </c>
      <c r="AJ6" s="6">
        <v>11</v>
      </c>
      <c r="AK6" s="6" t="b">
        <f t="shared" si="1"/>
        <v>1</v>
      </c>
    </row>
    <row r="7" spans="1:37" x14ac:dyDescent="0.2">
      <c r="A7" t="s">
        <v>42</v>
      </c>
      <c r="B7">
        <v>10</v>
      </c>
      <c r="C7">
        <v>1</v>
      </c>
      <c r="D7">
        <v>3</v>
      </c>
      <c r="E7">
        <v>15</v>
      </c>
      <c r="F7">
        <v>10</v>
      </c>
      <c r="G7">
        <v>90.12</v>
      </c>
      <c r="H7">
        <v>98.7</v>
      </c>
      <c r="I7">
        <v>0.3</v>
      </c>
      <c r="J7">
        <v>-6696047.13591504</v>
      </c>
      <c r="K7">
        <v>145274.651892714</v>
      </c>
      <c r="L7">
        <v>366602.88155411999</v>
      </c>
      <c r="M7" t="b">
        <f t="shared" si="0"/>
        <v>0</v>
      </c>
      <c r="V7" s="6" t="s">
        <v>98</v>
      </c>
      <c r="W7" s="6">
        <v>10</v>
      </c>
      <c r="X7" s="6">
        <v>1</v>
      </c>
      <c r="Y7" s="6">
        <v>3</v>
      </c>
      <c r="Z7" s="6">
        <v>30</v>
      </c>
      <c r="AA7" s="6">
        <v>30</v>
      </c>
      <c r="AB7" s="6">
        <v>90.12</v>
      </c>
      <c r="AC7" s="6">
        <v>98.7</v>
      </c>
      <c r="AD7" s="6">
        <v>0.3</v>
      </c>
      <c r="AE7" s="6">
        <v>8001819.4625559598</v>
      </c>
      <c r="AF7" s="6">
        <v>6</v>
      </c>
      <c r="AG7" s="6">
        <v>117116.00745286167</v>
      </c>
      <c r="AH7" s="6">
        <v>6</v>
      </c>
      <c r="AI7" s="6">
        <v>80236.996887393354</v>
      </c>
      <c r="AJ7" s="6">
        <v>9</v>
      </c>
      <c r="AK7" s="6" t="b">
        <f t="shared" si="1"/>
        <v>1</v>
      </c>
    </row>
    <row r="8" spans="1:37" x14ac:dyDescent="0.2">
      <c r="A8" t="s">
        <v>81</v>
      </c>
      <c r="B8">
        <v>10</v>
      </c>
      <c r="C8">
        <v>1</v>
      </c>
      <c r="D8">
        <v>3</v>
      </c>
      <c r="E8">
        <v>30</v>
      </c>
      <c r="F8">
        <v>10</v>
      </c>
      <c r="G8">
        <v>45.06</v>
      </c>
      <c r="H8">
        <v>49.35</v>
      </c>
      <c r="I8">
        <v>0.3</v>
      </c>
      <c r="J8">
        <v>-17933897.217544898</v>
      </c>
      <c r="K8">
        <v>91646.246555128659</v>
      </c>
      <c r="L8">
        <v>225194.33005721797</v>
      </c>
      <c r="M8" t="b">
        <f t="shared" si="0"/>
        <v>0</v>
      </c>
      <c r="V8" s="6" t="s">
        <v>94</v>
      </c>
      <c r="W8" s="6">
        <v>10</v>
      </c>
      <c r="X8" s="6">
        <v>1</v>
      </c>
      <c r="Y8" s="6">
        <v>1</v>
      </c>
      <c r="Z8" s="6">
        <v>30</v>
      </c>
      <c r="AA8" s="6">
        <v>30</v>
      </c>
      <c r="AB8" s="6">
        <v>90.12</v>
      </c>
      <c r="AC8" s="6">
        <v>98.7</v>
      </c>
      <c r="AD8" s="6">
        <v>0.3</v>
      </c>
      <c r="AE8" s="6">
        <v>7829271.27338407</v>
      </c>
      <c r="AF8" s="6">
        <v>7</v>
      </c>
      <c r="AG8" s="6">
        <v>85057.363871949667</v>
      </c>
      <c r="AH8" s="6">
        <v>10</v>
      </c>
      <c r="AI8" s="6">
        <v>108071.31856762333</v>
      </c>
      <c r="AJ8" s="6">
        <v>8</v>
      </c>
      <c r="AK8" s="6" t="b">
        <f t="shared" si="1"/>
        <v>1</v>
      </c>
    </row>
    <row r="9" spans="1:37" x14ac:dyDescent="0.2">
      <c r="A9" t="s">
        <v>82</v>
      </c>
      <c r="B9">
        <v>10</v>
      </c>
      <c r="C9">
        <v>1</v>
      </c>
      <c r="D9">
        <v>3</v>
      </c>
      <c r="E9">
        <v>30</v>
      </c>
      <c r="F9">
        <v>10</v>
      </c>
      <c r="G9">
        <v>90.12</v>
      </c>
      <c r="H9">
        <v>98.7</v>
      </c>
      <c r="I9">
        <v>0.3</v>
      </c>
      <c r="J9">
        <v>-3430173.6580720502</v>
      </c>
      <c r="K9">
        <v>100289.59137442401</v>
      </c>
      <c r="L9">
        <v>769344.94811443111</v>
      </c>
      <c r="M9" t="b">
        <f t="shared" si="0"/>
        <v>0</v>
      </c>
      <c r="V9" s="6" t="s">
        <v>114</v>
      </c>
      <c r="W9" s="6">
        <v>20</v>
      </c>
      <c r="X9" s="6">
        <v>1</v>
      </c>
      <c r="Y9" s="6">
        <v>3</v>
      </c>
      <c r="Z9" s="6">
        <v>30</v>
      </c>
      <c r="AA9" s="6">
        <v>10</v>
      </c>
      <c r="AB9" s="6">
        <v>90.12</v>
      </c>
      <c r="AC9" s="6">
        <v>98.7</v>
      </c>
      <c r="AD9" s="6">
        <v>0.3</v>
      </c>
      <c r="AE9" s="6">
        <v>2917235.6496432601</v>
      </c>
      <c r="AF9" s="6">
        <v>8</v>
      </c>
      <c r="AG9" s="6">
        <v>113705.55760996933</v>
      </c>
      <c r="AH9" s="6">
        <v>7</v>
      </c>
      <c r="AI9" s="6">
        <v>695491.04580451106</v>
      </c>
      <c r="AJ9" s="6">
        <v>2</v>
      </c>
      <c r="AK9" s="6" t="b">
        <f t="shared" si="1"/>
        <v>1</v>
      </c>
    </row>
    <row r="10" spans="1:37" x14ac:dyDescent="0.2">
      <c r="A10" t="s">
        <v>83</v>
      </c>
      <c r="B10">
        <v>10</v>
      </c>
      <c r="C10">
        <v>4</v>
      </c>
      <c r="D10">
        <v>1</v>
      </c>
      <c r="E10">
        <v>15</v>
      </c>
      <c r="F10">
        <v>10</v>
      </c>
      <c r="G10">
        <v>45.06</v>
      </c>
      <c r="H10">
        <v>49.35</v>
      </c>
      <c r="I10">
        <v>0.3</v>
      </c>
      <c r="J10">
        <v>-18475187.509085301</v>
      </c>
      <c r="K10">
        <v>159574.76673925732</v>
      </c>
      <c r="L10">
        <v>43560.153597672979</v>
      </c>
      <c r="M10" t="b">
        <f t="shared" si="0"/>
        <v>0</v>
      </c>
      <c r="V10" s="6" t="s">
        <v>110</v>
      </c>
      <c r="W10" s="6">
        <v>20</v>
      </c>
      <c r="X10" s="6">
        <v>1</v>
      </c>
      <c r="Y10" s="6">
        <v>1</v>
      </c>
      <c r="Z10" s="6">
        <v>30</v>
      </c>
      <c r="AA10" s="6">
        <v>10</v>
      </c>
      <c r="AB10" s="6">
        <v>90.12</v>
      </c>
      <c r="AC10" s="6">
        <v>98.7</v>
      </c>
      <c r="AD10" s="6">
        <v>0.3</v>
      </c>
      <c r="AE10" s="6">
        <v>2140895.61597201</v>
      </c>
      <c r="AF10" s="6">
        <v>9</v>
      </c>
      <c r="AG10" s="6">
        <v>45927.017847999668</v>
      </c>
      <c r="AH10" s="6">
        <v>12</v>
      </c>
      <c r="AI10" s="6">
        <v>586293.3360830911</v>
      </c>
      <c r="AJ10" s="6">
        <v>4</v>
      </c>
      <c r="AK10" s="6" t="b">
        <f t="shared" si="1"/>
        <v>1</v>
      </c>
    </row>
    <row r="11" spans="1:37" x14ac:dyDescent="0.2">
      <c r="A11" t="s">
        <v>84</v>
      </c>
      <c r="B11">
        <v>10</v>
      </c>
      <c r="C11">
        <v>4</v>
      </c>
      <c r="D11">
        <v>1</v>
      </c>
      <c r="E11">
        <v>15</v>
      </c>
      <c r="F11">
        <v>10</v>
      </c>
      <c r="G11">
        <v>90.12</v>
      </c>
      <c r="H11">
        <v>98.7</v>
      </c>
      <c r="I11">
        <v>0.3</v>
      </c>
      <c r="J11">
        <v>-6325848.0947655402</v>
      </c>
      <c r="K11">
        <v>159574.76673925732</v>
      </c>
      <c r="L11">
        <v>406076.59519534599</v>
      </c>
      <c r="M11" t="b">
        <f t="shared" si="0"/>
        <v>0</v>
      </c>
      <c r="V11" s="6" t="s">
        <v>261</v>
      </c>
      <c r="W11" s="6">
        <v>20</v>
      </c>
      <c r="X11" s="6">
        <v>4</v>
      </c>
      <c r="Y11" s="6">
        <v>1</v>
      </c>
      <c r="Z11" s="6">
        <v>30</v>
      </c>
      <c r="AA11" s="6">
        <v>10</v>
      </c>
      <c r="AB11" s="6">
        <v>90.12</v>
      </c>
      <c r="AC11" s="6">
        <v>98.7</v>
      </c>
      <c r="AD11" s="6">
        <v>0.3</v>
      </c>
      <c r="AE11" s="6">
        <v>2039707.14753238</v>
      </c>
      <c r="AF11" s="6">
        <v>10</v>
      </c>
      <c r="AG11" s="6">
        <v>99064.038199855</v>
      </c>
      <c r="AH11" s="6">
        <v>8</v>
      </c>
      <c r="AI11" s="6">
        <v>620080.85733771103</v>
      </c>
      <c r="AJ11" s="6">
        <v>3</v>
      </c>
      <c r="AK11" s="6" t="b">
        <f t="shared" si="1"/>
        <v>1</v>
      </c>
    </row>
    <row r="12" spans="1:37" x14ac:dyDescent="0.2">
      <c r="A12" t="s">
        <v>85</v>
      </c>
      <c r="B12">
        <v>10</v>
      </c>
      <c r="C12">
        <v>4</v>
      </c>
      <c r="D12">
        <v>1</v>
      </c>
      <c r="E12">
        <v>30</v>
      </c>
      <c r="F12">
        <v>10</v>
      </c>
      <c r="G12">
        <v>45.06</v>
      </c>
      <c r="H12">
        <v>49.35</v>
      </c>
      <c r="I12">
        <v>0.3</v>
      </c>
      <c r="J12">
        <v>-19846921.689263899</v>
      </c>
      <c r="K12">
        <v>86020.359148990334</v>
      </c>
      <c r="L12">
        <v>233350.60665412195</v>
      </c>
      <c r="M12" t="b">
        <f t="shared" si="0"/>
        <v>0</v>
      </c>
      <c r="V12" s="6" t="s">
        <v>265</v>
      </c>
      <c r="W12" s="6">
        <v>20</v>
      </c>
      <c r="X12" s="6">
        <v>4</v>
      </c>
      <c r="Y12" s="6">
        <v>3</v>
      </c>
      <c r="Z12" s="6">
        <v>30</v>
      </c>
      <c r="AA12" s="6">
        <v>10</v>
      </c>
      <c r="AB12" s="6">
        <v>90.12</v>
      </c>
      <c r="AC12" s="6">
        <v>98.7</v>
      </c>
      <c r="AD12" s="6">
        <v>0.3</v>
      </c>
      <c r="AE12" s="6">
        <v>1538952.67080183</v>
      </c>
      <c r="AF12" s="6">
        <v>11</v>
      </c>
      <c r="AG12" s="6">
        <v>74287.572360074657</v>
      </c>
      <c r="AH12" s="6">
        <v>11</v>
      </c>
      <c r="AI12" s="6">
        <v>546190.68025862495</v>
      </c>
      <c r="AJ12" s="6">
        <v>5</v>
      </c>
      <c r="AK12" s="6" t="b">
        <f t="shared" si="1"/>
        <v>1</v>
      </c>
    </row>
    <row r="13" spans="1:37" x14ac:dyDescent="0.2">
      <c r="A13" t="s">
        <v>86</v>
      </c>
      <c r="B13">
        <v>10</v>
      </c>
      <c r="C13">
        <v>4</v>
      </c>
      <c r="D13">
        <v>1</v>
      </c>
      <c r="E13">
        <v>30</v>
      </c>
      <c r="F13">
        <v>10</v>
      </c>
      <c r="G13">
        <v>90.12</v>
      </c>
      <c r="H13">
        <v>98.7</v>
      </c>
      <c r="I13">
        <v>0.3</v>
      </c>
      <c r="J13">
        <v>-4281703.1739495499</v>
      </c>
      <c r="K13">
        <v>91299.257006580665</v>
      </c>
      <c r="L13">
        <v>762874.9093082411</v>
      </c>
      <c r="M13" t="b">
        <f t="shared" si="0"/>
        <v>0</v>
      </c>
      <c r="V13" s="6" t="s">
        <v>90</v>
      </c>
      <c r="W13" s="6">
        <v>10</v>
      </c>
      <c r="X13" s="6">
        <v>4</v>
      </c>
      <c r="Y13" s="6">
        <v>3</v>
      </c>
      <c r="Z13" s="6">
        <v>30</v>
      </c>
      <c r="AA13" s="6">
        <v>10</v>
      </c>
      <c r="AB13" s="6">
        <v>90.12</v>
      </c>
      <c r="AC13" s="6">
        <v>98.7</v>
      </c>
      <c r="AD13" s="6">
        <v>0.3</v>
      </c>
      <c r="AE13" s="6">
        <v>998441.51873332204</v>
      </c>
      <c r="AF13" s="6">
        <v>12</v>
      </c>
      <c r="AG13" s="6">
        <v>95631.468611435994</v>
      </c>
      <c r="AH13" s="6">
        <v>9</v>
      </c>
      <c r="AI13" s="6">
        <v>770855.04453140101</v>
      </c>
      <c r="AJ13" s="6">
        <v>1</v>
      </c>
      <c r="AK13" s="6" t="b">
        <f t="shared" si="1"/>
        <v>1</v>
      </c>
    </row>
    <row r="14" spans="1:37" x14ac:dyDescent="0.2">
      <c r="A14" t="s">
        <v>87</v>
      </c>
      <c r="B14">
        <v>10</v>
      </c>
      <c r="C14">
        <v>4</v>
      </c>
      <c r="D14">
        <v>3</v>
      </c>
      <c r="E14">
        <v>15</v>
      </c>
      <c r="F14">
        <v>10</v>
      </c>
      <c r="G14">
        <v>45.06</v>
      </c>
      <c r="H14">
        <v>49.35</v>
      </c>
      <c r="I14">
        <v>0.3</v>
      </c>
      <c r="J14">
        <v>-18224713.245310701</v>
      </c>
      <c r="K14">
        <v>168735.11548630733</v>
      </c>
      <c r="L14">
        <v>13498.223852550984</v>
      </c>
      <c r="M14" t="b">
        <f t="shared" si="0"/>
        <v>0</v>
      </c>
    </row>
    <row r="15" spans="1:37" x14ac:dyDescent="0.2">
      <c r="A15" t="s">
        <v>88</v>
      </c>
      <c r="B15">
        <v>10</v>
      </c>
      <c r="C15">
        <v>4</v>
      </c>
      <c r="D15">
        <v>3</v>
      </c>
      <c r="E15">
        <v>15</v>
      </c>
      <c r="F15">
        <v>10</v>
      </c>
      <c r="G15">
        <v>90.12</v>
      </c>
      <c r="H15">
        <v>98.7</v>
      </c>
      <c r="I15">
        <v>0.3</v>
      </c>
      <c r="J15">
        <v>-5713233.9113545902</v>
      </c>
      <c r="K15">
        <v>172963.38054390598</v>
      </c>
      <c r="L15">
        <v>323170.14370510203</v>
      </c>
      <c r="M15" t="b">
        <f t="shared" si="0"/>
        <v>0</v>
      </c>
    </row>
    <row r="16" spans="1:37" x14ac:dyDescent="0.2">
      <c r="A16" t="s">
        <v>89</v>
      </c>
      <c r="B16">
        <v>10</v>
      </c>
      <c r="C16">
        <v>4</v>
      </c>
      <c r="D16">
        <v>3</v>
      </c>
      <c r="E16">
        <v>30</v>
      </c>
      <c r="F16">
        <v>10</v>
      </c>
      <c r="G16">
        <v>45.06</v>
      </c>
      <c r="H16">
        <v>49.35</v>
      </c>
      <c r="I16">
        <v>0.3</v>
      </c>
      <c r="J16">
        <v>-15464605.880899699</v>
      </c>
      <c r="K16">
        <v>85876.374447771334</v>
      </c>
      <c r="L16">
        <v>214558.08226570502</v>
      </c>
      <c r="M16" t="b">
        <f t="shared" si="0"/>
        <v>0</v>
      </c>
      <c r="V16" t="s">
        <v>75</v>
      </c>
      <c r="W16" t="s">
        <v>284</v>
      </c>
      <c r="X16" t="s">
        <v>285</v>
      </c>
      <c r="Y16" t="s">
        <v>286</v>
      </c>
      <c r="Z16" t="s">
        <v>35</v>
      </c>
    </row>
    <row r="17" spans="1:26" x14ac:dyDescent="0.2">
      <c r="A17" t="s">
        <v>91</v>
      </c>
      <c r="B17">
        <v>10</v>
      </c>
      <c r="C17">
        <v>1</v>
      </c>
      <c r="D17">
        <v>1</v>
      </c>
      <c r="E17">
        <v>15</v>
      </c>
      <c r="F17">
        <v>30</v>
      </c>
      <c r="G17">
        <v>45.06</v>
      </c>
      <c r="H17">
        <v>49.35</v>
      </c>
      <c r="I17">
        <v>0.3</v>
      </c>
      <c r="J17">
        <v>-9995948.2531276699</v>
      </c>
      <c r="K17">
        <v>164181.46455519466</v>
      </c>
      <c r="L17">
        <v>-131216.66957200269</v>
      </c>
      <c r="M17" t="b">
        <f t="shared" si="0"/>
        <v>0</v>
      </c>
      <c r="V17" s="6" t="s">
        <v>96</v>
      </c>
      <c r="W17" s="6">
        <v>1</v>
      </c>
      <c r="X17" s="6">
        <v>4</v>
      </c>
      <c r="Y17" s="6">
        <v>12</v>
      </c>
      <c r="Z17">
        <f>AVERAGE(W17:Y17)</f>
        <v>5.666666666666667</v>
      </c>
    </row>
    <row r="18" spans="1:26" x14ac:dyDescent="0.2">
      <c r="A18" t="s">
        <v>93</v>
      </c>
      <c r="B18">
        <v>10</v>
      </c>
      <c r="C18">
        <v>1</v>
      </c>
      <c r="D18">
        <v>1</v>
      </c>
      <c r="E18">
        <v>30</v>
      </c>
      <c r="F18">
        <v>30</v>
      </c>
      <c r="G18">
        <v>45.06</v>
      </c>
      <c r="H18">
        <v>49.35</v>
      </c>
      <c r="I18">
        <v>0.3</v>
      </c>
      <c r="J18">
        <v>-21271591.610757701</v>
      </c>
      <c r="K18">
        <v>91536.582479840668</v>
      </c>
      <c r="L18">
        <v>-93058.082330487669</v>
      </c>
      <c r="M18" t="b">
        <f t="shared" si="0"/>
        <v>0</v>
      </c>
      <c r="V18" s="6" t="s">
        <v>92</v>
      </c>
      <c r="W18" s="6">
        <v>2</v>
      </c>
      <c r="X18" s="6">
        <v>2</v>
      </c>
      <c r="Y18" s="6">
        <v>10</v>
      </c>
      <c r="Z18">
        <f t="shared" ref="Z18:Z28" si="2">AVERAGE(W18:Y18)</f>
        <v>4.666666666666667</v>
      </c>
    </row>
    <row r="19" spans="1:26" x14ac:dyDescent="0.2">
      <c r="A19" t="s">
        <v>95</v>
      </c>
      <c r="B19">
        <v>10</v>
      </c>
      <c r="C19">
        <v>1</v>
      </c>
      <c r="D19">
        <v>3</v>
      </c>
      <c r="E19">
        <v>15</v>
      </c>
      <c r="F19">
        <v>30</v>
      </c>
      <c r="G19">
        <v>45.06</v>
      </c>
      <c r="H19">
        <v>49.35</v>
      </c>
      <c r="I19">
        <v>0.3</v>
      </c>
      <c r="J19">
        <v>-8739379.7214922309</v>
      </c>
      <c r="K19">
        <v>162939.30905820001</v>
      </c>
      <c r="L19">
        <v>-140439.81744984034</v>
      </c>
      <c r="M19" t="b">
        <f t="shared" si="0"/>
        <v>0</v>
      </c>
      <c r="V19" s="8" t="s">
        <v>269</v>
      </c>
      <c r="W19" s="8">
        <v>3</v>
      </c>
      <c r="X19" s="8">
        <v>1</v>
      </c>
      <c r="Y19" s="8">
        <v>6</v>
      </c>
      <c r="Z19" s="9">
        <f t="shared" si="2"/>
        <v>3.3333333333333335</v>
      </c>
    </row>
    <row r="20" spans="1:26" x14ac:dyDescent="0.2">
      <c r="A20" t="s">
        <v>97</v>
      </c>
      <c r="B20">
        <v>10</v>
      </c>
      <c r="C20">
        <v>1</v>
      </c>
      <c r="D20">
        <v>3</v>
      </c>
      <c r="E20">
        <v>30</v>
      </c>
      <c r="F20">
        <v>30</v>
      </c>
      <c r="G20">
        <v>45.06</v>
      </c>
      <c r="H20">
        <v>49.35</v>
      </c>
      <c r="I20">
        <v>0.3</v>
      </c>
      <c r="J20">
        <v>-20088610.378621601</v>
      </c>
      <c r="K20">
        <v>139789.42503649366</v>
      </c>
      <c r="L20">
        <v>-101113.89040273335</v>
      </c>
      <c r="M20" t="b">
        <f t="shared" si="0"/>
        <v>0</v>
      </c>
      <c r="V20" s="7" t="s">
        <v>106</v>
      </c>
      <c r="W20" s="6">
        <v>4</v>
      </c>
      <c r="X20" s="6">
        <v>3</v>
      </c>
      <c r="Y20" s="6">
        <v>7</v>
      </c>
      <c r="Z20">
        <f t="shared" si="2"/>
        <v>4.666666666666667</v>
      </c>
    </row>
    <row r="21" spans="1:26" x14ac:dyDescent="0.2">
      <c r="A21" t="s">
        <v>99</v>
      </c>
      <c r="B21">
        <v>10</v>
      </c>
      <c r="C21">
        <v>4</v>
      </c>
      <c r="D21">
        <v>1</v>
      </c>
      <c r="E21">
        <v>15</v>
      </c>
      <c r="F21">
        <v>30</v>
      </c>
      <c r="G21">
        <v>45.06</v>
      </c>
      <c r="H21">
        <v>49.35</v>
      </c>
      <c r="I21">
        <v>0.3</v>
      </c>
      <c r="J21">
        <v>-10957125.6567099</v>
      </c>
      <c r="K21">
        <v>107071.21644525467</v>
      </c>
      <c r="L21">
        <v>-145349.38692581063</v>
      </c>
      <c r="M21" t="b">
        <f t="shared" si="0"/>
        <v>0</v>
      </c>
      <c r="V21" s="6" t="s">
        <v>104</v>
      </c>
      <c r="W21" s="6">
        <v>5</v>
      </c>
      <c r="X21" s="6">
        <v>5</v>
      </c>
      <c r="Y21" s="6">
        <v>11</v>
      </c>
      <c r="Z21">
        <f t="shared" si="2"/>
        <v>7</v>
      </c>
    </row>
    <row r="22" spans="1:26" x14ac:dyDescent="0.2">
      <c r="A22" t="s">
        <v>100</v>
      </c>
      <c r="B22">
        <v>10</v>
      </c>
      <c r="C22">
        <v>4</v>
      </c>
      <c r="D22">
        <v>1</v>
      </c>
      <c r="E22">
        <v>15</v>
      </c>
      <c r="F22">
        <v>30</v>
      </c>
      <c r="G22">
        <v>90.12</v>
      </c>
      <c r="H22">
        <v>98.7</v>
      </c>
      <c r="I22">
        <v>0.3</v>
      </c>
      <c r="J22">
        <v>8876119.7743770704</v>
      </c>
      <c r="K22">
        <v>108369.05075124934</v>
      </c>
      <c r="L22">
        <v>-56318.264368901342</v>
      </c>
      <c r="M22" t="b">
        <f t="shared" si="0"/>
        <v>0</v>
      </c>
      <c r="V22" s="6" t="s">
        <v>98</v>
      </c>
      <c r="W22" s="6">
        <v>6</v>
      </c>
      <c r="X22" s="6">
        <v>6</v>
      </c>
      <c r="Y22" s="6">
        <v>9</v>
      </c>
      <c r="Z22">
        <f t="shared" si="2"/>
        <v>7</v>
      </c>
    </row>
    <row r="23" spans="1:26" x14ac:dyDescent="0.2">
      <c r="A23" t="s">
        <v>101</v>
      </c>
      <c r="B23">
        <v>10</v>
      </c>
      <c r="C23">
        <v>4</v>
      </c>
      <c r="D23">
        <v>1</v>
      </c>
      <c r="E23">
        <v>30</v>
      </c>
      <c r="F23">
        <v>30</v>
      </c>
      <c r="G23">
        <v>45.06</v>
      </c>
      <c r="H23">
        <v>49.35</v>
      </c>
      <c r="I23">
        <v>0.3</v>
      </c>
      <c r="J23">
        <v>-19298058.711867299</v>
      </c>
      <c r="K23">
        <v>163161.93156995432</v>
      </c>
      <c r="L23">
        <v>-22521.027944005655</v>
      </c>
      <c r="M23" t="b">
        <f t="shared" si="0"/>
        <v>0</v>
      </c>
      <c r="V23" s="6" t="s">
        <v>94</v>
      </c>
      <c r="W23" s="6">
        <v>7</v>
      </c>
      <c r="X23" s="6">
        <v>10</v>
      </c>
      <c r="Y23" s="6">
        <v>8</v>
      </c>
      <c r="Z23">
        <f t="shared" si="2"/>
        <v>8.3333333333333339</v>
      </c>
    </row>
    <row r="24" spans="1:26" x14ac:dyDescent="0.2">
      <c r="A24" t="s">
        <v>102</v>
      </c>
      <c r="B24">
        <v>10</v>
      </c>
      <c r="C24">
        <v>4</v>
      </c>
      <c r="D24">
        <v>1</v>
      </c>
      <c r="E24">
        <v>30</v>
      </c>
      <c r="F24">
        <v>30</v>
      </c>
      <c r="G24">
        <v>90.12</v>
      </c>
      <c r="H24">
        <v>98.7</v>
      </c>
      <c r="I24">
        <v>0.3</v>
      </c>
      <c r="J24">
        <v>7478490.4531686101</v>
      </c>
      <c r="K24">
        <v>63059.595452224334</v>
      </c>
      <c r="L24">
        <v>-3800.0394051047042</v>
      </c>
      <c r="M24" t="b">
        <f t="shared" si="0"/>
        <v>0</v>
      </c>
      <c r="V24" s="6" t="s">
        <v>114</v>
      </c>
      <c r="W24" s="6">
        <v>8</v>
      </c>
      <c r="X24" s="6">
        <v>7</v>
      </c>
      <c r="Y24" s="6">
        <v>2</v>
      </c>
      <c r="Z24">
        <f t="shared" si="2"/>
        <v>5.666666666666667</v>
      </c>
    </row>
    <row r="25" spans="1:26" x14ac:dyDescent="0.2">
      <c r="A25" t="s">
        <v>103</v>
      </c>
      <c r="B25">
        <v>10</v>
      </c>
      <c r="C25">
        <v>4</v>
      </c>
      <c r="D25">
        <v>3</v>
      </c>
      <c r="E25">
        <v>15</v>
      </c>
      <c r="F25">
        <v>30</v>
      </c>
      <c r="G25">
        <v>45.06</v>
      </c>
      <c r="H25">
        <v>49.35</v>
      </c>
      <c r="I25">
        <v>0.3</v>
      </c>
      <c r="J25">
        <v>-13623563.6931441</v>
      </c>
      <c r="K25">
        <v>162179.59360580801</v>
      </c>
      <c r="L25">
        <v>-134792.96939857129</v>
      </c>
      <c r="M25" t="b">
        <f t="shared" si="0"/>
        <v>0</v>
      </c>
      <c r="V25" s="6" t="s">
        <v>110</v>
      </c>
      <c r="W25" s="6">
        <v>9</v>
      </c>
      <c r="X25" s="6">
        <v>12</v>
      </c>
      <c r="Y25" s="6">
        <v>4</v>
      </c>
      <c r="Z25">
        <f t="shared" si="2"/>
        <v>8.3333333333333339</v>
      </c>
    </row>
    <row r="26" spans="1:26" x14ac:dyDescent="0.2">
      <c r="A26" t="s">
        <v>105</v>
      </c>
      <c r="B26">
        <v>10</v>
      </c>
      <c r="C26">
        <v>4</v>
      </c>
      <c r="D26">
        <v>3</v>
      </c>
      <c r="E26">
        <v>30</v>
      </c>
      <c r="F26">
        <v>30</v>
      </c>
      <c r="G26">
        <v>45.06</v>
      </c>
      <c r="H26">
        <v>49.35</v>
      </c>
      <c r="I26">
        <v>0.3</v>
      </c>
      <c r="J26">
        <v>-20695413.004154898</v>
      </c>
      <c r="K26">
        <v>114420.706916836</v>
      </c>
      <c r="L26">
        <v>-133714.59136770933</v>
      </c>
      <c r="M26" t="b">
        <f t="shared" si="0"/>
        <v>0</v>
      </c>
      <c r="V26" s="6" t="s">
        <v>261</v>
      </c>
      <c r="W26" s="6">
        <v>10</v>
      </c>
      <c r="X26" s="6">
        <v>8</v>
      </c>
      <c r="Y26" s="6">
        <v>3</v>
      </c>
      <c r="Z26">
        <f t="shared" si="2"/>
        <v>7</v>
      </c>
    </row>
    <row r="27" spans="1:26" x14ac:dyDescent="0.2">
      <c r="A27" t="s">
        <v>107</v>
      </c>
      <c r="B27">
        <v>20</v>
      </c>
      <c r="C27">
        <v>1</v>
      </c>
      <c r="D27">
        <v>1</v>
      </c>
      <c r="E27">
        <v>15</v>
      </c>
      <c r="F27">
        <v>10</v>
      </c>
      <c r="G27">
        <v>45.06</v>
      </c>
      <c r="H27">
        <v>49.35</v>
      </c>
      <c r="I27">
        <v>0.3</v>
      </c>
      <c r="J27">
        <v>-9974524.3655612096</v>
      </c>
      <c r="K27">
        <v>37005.713513599731</v>
      </c>
      <c r="L27">
        <v>-54399.08588461201</v>
      </c>
      <c r="M27" t="b">
        <f t="shared" si="0"/>
        <v>0</v>
      </c>
      <c r="V27" s="6" t="s">
        <v>265</v>
      </c>
      <c r="W27" s="6">
        <v>11</v>
      </c>
      <c r="X27" s="6">
        <v>11</v>
      </c>
      <c r="Y27" s="6">
        <v>5</v>
      </c>
      <c r="Z27">
        <f t="shared" si="2"/>
        <v>9</v>
      </c>
    </row>
    <row r="28" spans="1:26" x14ac:dyDescent="0.2">
      <c r="A28" t="s">
        <v>108</v>
      </c>
      <c r="B28">
        <v>20</v>
      </c>
      <c r="C28">
        <v>1</v>
      </c>
      <c r="D28">
        <v>1</v>
      </c>
      <c r="E28">
        <v>15</v>
      </c>
      <c r="F28">
        <v>10</v>
      </c>
      <c r="G28">
        <v>90.12</v>
      </c>
      <c r="H28">
        <v>98.7</v>
      </c>
      <c r="I28">
        <v>0.3</v>
      </c>
      <c r="J28">
        <v>-2814700.8762633</v>
      </c>
      <c r="K28">
        <v>35064.564979829003</v>
      </c>
      <c r="L28">
        <v>264417.11000202998</v>
      </c>
      <c r="M28" t="b">
        <f t="shared" si="0"/>
        <v>0</v>
      </c>
      <c r="V28" s="6" t="s">
        <v>90</v>
      </c>
      <c r="W28" s="6">
        <v>12</v>
      </c>
      <c r="X28" s="6">
        <v>9</v>
      </c>
      <c r="Y28" s="6">
        <v>1</v>
      </c>
      <c r="Z28">
        <f t="shared" si="2"/>
        <v>7.333333333333333</v>
      </c>
    </row>
    <row r="29" spans="1:26" x14ac:dyDescent="0.2">
      <c r="A29" t="s">
        <v>109</v>
      </c>
      <c r="B29">
        <v>20</v>
      </c>
      <c r="C29">
        <v>1</v>
      </c>
      <c r="D29">
        <v>1</v>
      </c>
      <c r="E29">
        <v>30</v>
      </c>
      <c r="F29">
        <v>10</v>
      </c>
      <c r="G29">
        <v>45.06</v>
      </c>
      <c r="H29">
        <v>49.35</v>
      </c>
      <c r="I29">
        <v>0.3</v>
      </c>
      <c r="J29">
        <v>-8724081.6805444993</v>
      </c>
      <c r="K29">
        <v>50943.688942816669</v>
      </c>
      <c r="L29">
        <v>164388.12275233399</v>
      </c>
      <c r="M29" t="b">
        <f t="shared" si="0"/>
        <v>0</v>
      </c>
    </row>
    <row r="30" spans="1:26" x14ac:dyDescent="0.2">
      <c r="A30" t="s">
        <v>111</v>
      </c>
      <c r="B30">
        <v>20</v>
      </c>
      <c r="C30">
        <v>1</v>
      </c>
      <c r="D30">
        <v>3</v>
      </c>
      <c r="E30">
        <v>15</v>
      </c>
      <c r="F30">
        <v>10</v>
      </c>
      <c r="G30">
        <v>45.06</v>
      </c>
      <c r="H30">
        <v>49.35</v>
      </c>
      <c r="I30">
        <v>0.3</v>
      </c>
      <c r="J30">
        <v>-10224372.6192447</v>
      </c>
      <c r="K30">
        <v>27051.586941221136</v>
      </c>
      <c r="L30">
        <v>-48560.631516717003</v>
      </c>
      <c r="M30" t="b">
        <f t="shared" si="0"/>
        <v>0</v>
      </c>
    </row>
    <row r="31" spans="1:26" x14ac:dyDescent="0.2">
      <c r="A31" t="s">
        <v>112</v>
      </c>
      <c r="B31">
        <v>20</v>
      </c>
      <c r="C31">
        <v>1</v>
      </c>
      <c r="D31">
        <v>3</v>
      </c>
      <c r="E31">
        <v>15</v>
      </c>
      <c r="F31">
        <v>10</v>
      </c>
      <c r="G31">
        <v>90.12</v>
      </c>
      <c r="H31">
        <v>98.7</v>
      </c>
      <c r="I31">
        <v>0.3</v>
      </c>
      <c r="J31">
        <v>-3672801.90529245</v>
      </c>
      <c r="K31">
        <v>35064.564979829003</v>
      </c>
      <c r="L31">
        <v>148900.45625976101</v>
      </c>
      <c r="M31" t="b">
        <f t="shared" si="0"/>
        <v>0</v>
      </c>
    </row>
    <row r="32" spans="1:26" x14ac:dyDescent="0.2">
      <c r="A32" t="s">
        <v>113</v>
      </c>
      <c r="B32">
        <v>20</v>
      </c>
      <c r="C32">
        <v>1</v>
      </c>
      <c r="D32">
        <v>3</v>
      </c>
      <c r="E32">
        <v>30</v>
      </c>
      <c r="F32">
        <v>10</v>
      </c>
      <c r="G32">
        <v>45.06</v>
      </c>
      <c r="H32">
        <v>49.35</v>
      </c>
      <c r="I32">
        <v>0.3</v>
      </c>
      <c r="J32">
        <v>-7209509.57838606</v>
      </c>
      <c r="K32">
        <v>51469.905827520328</v>
      </c>
      <c r="L32">
        <v>143385.83940210502</v>
      </c>
      <c r="M32" t="b">
        <f t="shared" si="0"/>
        <v>0</v>
      </c>
    </row>
    <row r="33" spans="1:13" x14ac:dyDescent="0.2">
      <c r="A33" t="s">
        <v>115</v>
      </c>
      <c r="B33">
        <v>20</v>
      </c>
      <c r="C33">
        <v>4</v>
      </c>
      <c r="D33">
        <v>1</v>
      </c>
      <c r="E33">
        <v>15</v>
      </c>
      <c r="F33">
        <v>10</v>
      </c>
      <c r="G33">
        <v>45.06</v>
      </c>
      <c r="H33">
        <v>49.35</v>
      </c>
      <c r="I33">
        <v>0.3</v>
      </c>
      <c r="J33">
        <v>-12680207.569932001</v>
      </c>
      <c r="K33">
        <v>39024.978513045266</v>
      </c>
      <c r="L33">
        <v>-51528.26832115501</v>
      </c>
      <c r="M33" t="b">
        <f t="shared" si="0"/>
        <v>0</v>
      </c>
    </row>
    <row r="34" spans="1:13" x14ac:dyDescent="0.2">
      <c r="A34" t="s">
        <v>116</v>
      </c>
      <c r="B34">
        <v>20</v>
      </c>
      <c r="C34">
        <v>4</v>
      </c>
      <c r="D34">
        <v>1</v>
      </c>
      <c r="E34">
        <v>15</v>
      </c>
      <c r="F34">
        <v>10</v>
      </c>
      <c r="G34">
        <v>90.12</v>
      </c>
      <c r="H34">
        <v>98.7</v>
      </c>
      <c r="I34">
        <v>0.3</v>
      </c>
      <c r="J34">
        <v>-7812554.0346577903</v>
      </c>
      <c r="K34">
        <v>40623.313960450396</v>
      </c>
      <c r="L34">
        <v>-1535.7869529490358</v>
      </c>
      <c r="M34" t="b">
        <f t="shared" ref="M34:M65" si="3">AND(J34&gt;0, K34&gt;0, L34&gt;0)</f>
        <v>0</v>
      </c>
    </row>
    <row r="35" spans="1:13" x14ac:dyDescent="0.2">
      <c r="A35" t="s">
        <v>117</v>
      </c>
      <c r="B35">
        <v>20</v>
      </c>
      <c r="C35">
        <v>4</v>
      </c>
      <c r="D35">
        <v>1</v>
      </c>
      <c r="E35">
        <v>30</v>
      </c>
      <c r="F35">
        <v>10</v>
      </c>
      <c r="G35">
        <v>45.06</v>
      </c>
      <c r="H35">
        <v>49.35</v>
      </c>
      <c r="I35">
        <v>0.3</v>
      </c>
      <c r="J35">
        <v>-11289952.688961901</v>
      </c>
      <c r="K35">
        <v>44703.457461836668</v>
      </c>
      <c r="L35">
        <v>140681.94632259299</v>
      </c>
      <c r="M35" t="b">
        <f t="shared" si="3"/>
        <v>0</v>
      </c>
    </row>
    <row r="36" spans="1:13" x14ac:dyDescent="0.2">
      <c r="A36" t="s">
        <v>262</v>
      </c>
      <c r="B36">
        <v>20</v>
      </c>
      <c r="C36">
        <v>4</v>
      </c>
      <c r="D36">
        <v>3</v>
      </c>
      <c r="E36">
        <v>15</v>
      </c>
      <c r="F36">
        <v>10</v>
      </c>
      <c r="G36">
        <v>45.06</v>
      </c>
      <c r="H36">
        <v>49.35</v>
      </c>
      <c r="I36">
        <v>0.3</v>
      </c>
      <c r="J36">
        <v>-12648716.7417781</v>
      </c>
      <c r="K36">
        <v>42284.8952318878</v>
      </c>
      <c r="L36">
        <v>-46534.037328423001</v>
      </c>
      <c r="M36" t="b">
        <f t="shared" si="3"/>
        <v>0</v>
      </c>
    </row>
    <row r="37" spans="1:13" x14ac:dyDescent="0.2">
      <c r="A37" t="s">
        <v>263</v>
      </c>
      <c r="B37">
        <v>20</v>
      </c>
      <c r="C37">
        <v>4</v>
      </c>
      <c r="D37">
        <v>3</v>
      </c>
      <c r="E37">
        <v>15</v>
      </c>
      <c r="F37">
        <v>10</v>
      </c>
      <c r="G37">
        <v>90.12</v>
      </c>
      <c r="H37">
        <v>98.7</v>
      </c>
      <c r="I37">
        <v>0.3</v>
      </c>
      <c r="J37">
        <v>-8420835.0624525808</v>
      </c>
      <c r="K37">
        <v>50297.873270495598</v>
      </c>
      <c r="L37">
        <v>12048.50759242503</v>
      </c>
      <c r="M37" t="b">
        <f t="shared" si="3"/>
        <v>0</v>
      </c>
    </row>
    <row r="38" spans="1:13" x14ac:dyDescent="0.2">
      <c r="A38" t="s">
        <v>264</v>
      </c>
      <c r="B38">
        <v>20</v>
      </c>
      <c r="C38">
        <v>4</v>
      </c>
      <c r="D38">
        <v>3</v>
      </c>
      <c r="E38">
        <v>30</v>
      </c>
      <c r="F38">
        <v>10</v>
      </c>
      <c r="G38">
        <v>45.06</v>
      </c>
      <c r="H38">
        <v>49.35</v>
      </c>
      <c r="I38">
        <v>0.3</v>
      </c>
      <c r="J38">
        <v>-11201534.594255799</v>
      </c>
      <c r="K38">
        <v>43448.035897535337</v>
      </c>
      <c r="L38">
        <v>144488.65429894402</v>
      </c>
      <c r="M38" t="b">
        <f t="shared" si="3"/>
        <v>0</v>
      </c>
    </row>
    <row r="39" spans="1:13" x14ac:dyDescent="0.2">
      <c r="A39" t="s">
        <v>266</v>
      </c>
      <c r="B39">
        <v>20</v>
      </c>
      <c r="C39">
        <v>1</v>
      </c>
      <c r="D39">
        <v>1</v>
      </c>
      <c r="E39">
        <v>15</v>
      </c>
      <c r="F39">
        <v>30</v>
      </c>
      <c r="G39">
        <v>45.06</v>
      </c>
      <c r="H39">
        <v>49.35</v>
      </c>
      <c r="I39">
        <v>0.3</v>
      </c>
      <c r="J39">
        <v>-9983842.5361318402</v>
      </c>
      <c r="K39">
        <v>56891.418013625</v>
      </c>
      <c r="L39">
        <v>-207165.17586593566</v>
      </c>
      <c r="M39" t="b">
        <f t="shared" si="3"/>
        <v>0</v>
      </c>
    </row>
    <row r="40" spans="1:13" x14ac:dyDescent="0.2">
      <c r="A40" t="s">
        <v>267</v>
      </c>
      <c r="B40">
        <v>20</v>
      </c>
      <c r="C40">
        <v>1</v>
      </c>
      <c r="D40">
        <v>1</v>
      </c>
      <c r="E40">
        <v>15</v>
      </c>
      <c r="F40">
        <v>30</v>
      </c>
      <c r="G40">
        <v>90.12</v>
      </c>
      <c r="H40">
        <v>98.7</v>
      </c>
      <c r="I40">
        <v>0.3</v>
      </c>
      <c r="J40">
        <v>1170780.35995139</v>
      </c>
      <c r="K40">
        <v>215057.80898604466</v>
      </c>
      <c r="L40">
        <v>-143889.28184559935</v>
      </c>
      <c r="M40" t="b">
        <f t="shared" si="3"/>
        <v>0</v>
      </c>
    </row>
    <row r="41" spans="1:13" x14ac:dyDescent="0.2">
      <c r="A41" t="s">
        <v>268</v>
      </c>
      <c r="B41">
        <v>20</v>
      </c>
      <c r="C41">
        <v>1</v>
      </c>
      <c r="D41">
        <v>1</v>
      </c>
      <c r="E41">
        <v>30</v>
      </c>
      <c r="F41">
        <v>30</v>
      </c>
      <c r="G41">
        <v>45.06</v>
      </c>
      <c r="H41">
        <v>49.35</v>
      </c>
      <c r="I41">
        <v>0.3</v>
      </c>
      <c r="J41">
        <v>-20483693.002895702</v>
      </c>
      <c r="K41">
        <v>53722.638657076663</v>
      </c>
      <c r="L41">
        <v>-178375.61762462431</v>
      </c>
      <c r="M41" t="b">
        <f t="shared" si="3"/>
        <v>0</v>
      </c>
    </row>
    <row r="42" spans="1:13" x14ac:dyDescent="0.2">
      <c r="A42" t="s">
        <v>270</v>
      </c>
      <c r="B42">
        <v>20</v>
      </c>
      <c r="C42">
        <v>1</v>
      </c>
      <c r="D42">
        <v>3</v>
      </c>
      <c r="E42">
        <v>15</v>
      </c>
      <c r="F42">
        <v>30</v>
      </c>
      <c r="G42">
        <v>45.06</v>
      </c>
      <c r="H42">
        <v>49.35</v>
      </c>
      <c r="I42">
        <v>0.3</v>
      </c>
      <c r="J42">
        <v>-7683374.8453778001</v>
      </c>
      <c r="K42">
        <v>219895.56303168266</v>
      </c>
      <c r="L42">
        <v>-158490.38150381029</v>
      </c>
      <c r="M42" t="b">
        <f t="shared" si="3"/>
        <v>0</v>
      </c>
    </row>
    <row r="43" spans="1:13" x14ac:dyDescent="0.2">
      <c r="A43" t="s">
        <v>271</v>
      </c>
      <c r="B43">
        <v>20</v>
      </c>
      <c r="C43">
        <v>1</v>
      </c>
      <c r="D43">
        <v>3</v>
      </c>
      <c r="E43">
        <v>15</v>
      </c>
      <c r="F43">
        <v>30</v>
      </c>
      <c r="G43">
        <v>90.12</v>
      </c>
      <c r="H43">
        <v>98.7</v>
      </c>
      <c r="I43">
        <v>0.3</v>
      </c>
      <c r="J43">
        <v>3478334.4546847399</v>
      </c>
      <c r="K43">
        <v>46139.205869627665</v>
      </c>
      <c r="L43">
        <v>-247468.28973867599</v>
      </c>
      <c r="M43" t="b">
        <f t="shared" si="3"/>
        <v>0</v>
      </c>
    </row>
    <row r="44" spans="1:13" x14ac:dyDescent="0.2">
      <c r="A44" t="s">
        <v>272</v>
      </c>
      <c r="B44">
        <v>20</v>
      </c>
      <c r="C44">
        <v>1</v>
      </c>
      <c r="D44">
        <v>3</v>
      </c>
      <c r="E44">
        <v>30</v>
      </c>
      <c r="F44">
        <v>30</v>
      </c>
      <c r="G44">
        <v>45.06</v>
      </c>
      <c r="H44">
        <v>49.35</v>
      </c>
      <c r="I44">
        <v>0.3</v>
      </c>
      <c r="J44">
        <v>-16829417.698238999</v>
      </c>
      <c r="K44">
        <v>160458.37859792367</v>
      </c>
      <c r="L44">
        <v>-7615.0313893799985</v>
      </c>
      <c r="M44" t="b">
        <f t="shared" si="3"/>
        <v>0</v>
      </c>
    </row>
    <row r="45" spans="1:13" x14ac:dyDescent="0.2">
      <c r="A45" t="s">
        <v>273</v>
      </c>
      <c r="B45">
        <v>20</v>
      </c>
      <c r="C45">
        <v>1</v>
      </c>
      <c r="D45">
        <v>3</v>
      </c>
      <c r="E45">
        <v>30</v>
      </c>
      <c r="F45">
        <v>30</v>
      </c>
      <c r="G45">
        <v>90.12</v>
      </c>
      <c r="H45">
        <v>98.7</v>
      </c>
      <c r="I45">
        <v>0.3</v>
      </c>
      <c r="J45">
        <v>-1077171.78978102</v>
      </c>
      <c r="K45">
        <v>107468.75539175233</v>
      </c>
      <c r="L45">
        <v>-17882.174409356652</v>
      </c>
      <c r="M45" t="b">
        <f t="shared" si="3"/>
        <v>0</v>
      </c>
    </row>
    <row r="46" spans="1:13" x14ac:dyDescent="0.2">
      <c r="A46" t="s">
        <v>274</v>
      </c>
      <c r="B46">
        <v>20</v>
      </c>
      <c r="C46">
        <v>4</v>
      </c>
      <c r="D46">
        <v>1</v>
      </c>
      <c r="E46">
        <v>15</v>
      </c>
      <c r="F46">
        <v>30</v>
      </c>
      <c r="G46">
        <v>45.06</v>
      </c>
      <c r="H46">
        <v>49.35</v>
      </c>
      <c r="I46">
        <v>0.3</v>
      </c>
      <c r="J46">
        <v>-10723942.3936905</v>
      </c>
      <c r="K46">
        <v>74997.907405891994</v>
      </c>
      <c r="L46">
        <v>-248438.10835499797</v>
      </c>
      <c r="M46" t="b">
        <f t="shared" si="3"/>
        <v>0</v>
      </c>
    </row>
    <row r="47" spans="1:13" x14ac:dyDescent="0.2">
      <c r="A47" t="s">
        <v>275</v>
      </c>
      <c r="B47">
        <v>20</v>
      </c>
      <c r="C47">
        <v>4</v>
      </c>
      <c r="D47">
        <v>1</v>
      </c>
      <c r="E47">
        <v>15</v>
      </c>
      <c r="F47">
        <v>30</v>
      </c>
      <c r="G47">
        <v>90.12</v>
      </c>
      <c r="H47">
        <v>98.7</v>
      </c>
      <c r="I47">
        <v>0.3</v>
      </c>
      <c r="J47">
        <v>12256345.286451301</v>
      </c>
      <c r="K47">
        <v>144582.07918664668</v>
      </c>
      <c r="L47">
        <v>-50061.175659729975</v>
      </c>
      <c r="M47" t="b">
        <f t="shared" si="3"/>
        <v>0</v>
      </c>
    </row>
    <row r="48" spans="1:13" x14ac:dyDescent="0.2">
      <c r="A48" t="s">
        <v>276</v>
      </c>
      <c r="B48">
        <v>20</v>
      </c>
      <c r="C48">
        <v>4</v>
      </c>
      <c r="D48">
        <v>1</v>
      </c>
      <c r="E48">
        <v>30</v>
      </c>
      <c r="F48">
        <v>30</v>
      </c>
      <c r="G48">
        <v>45.06</v>
      </c>
      <c r="H48">
        <v>49.35</v>
      </c>
      <c r="I48">
        <v>0.3</v>
      </c>
      <c r="J48">
        <v>-23178729.2627629</v>
      </c>
      <c r="K48">
        <v>57514.595959827668</v>
      </c>
      <c r="L48">
        <v>-341921.40327716997</v>
      </c>
      <c r="M48" t="b">
        <f t="shared" si="3"/>
        <v>0</v>
      </c>
    </row>
    <row r="49" spans="1:13" x14ac:dyDescent="0.2">
      <c r="A49" t="s">
        <v>277</v>
      </c>
      <c r="B49">
        <v>20</v>
      </c>
      <c r="C49">
        <v>4</v>
      </c>
      <c r="D49">
        <v>1</v>
      </c>
      <c r="E49">
        <v>30</v>
      </c>
      <c r="F49">
        <v>30</v>
      </c>
      <c r="G49">
        <v>90.12</v>
      </c>
      <c r="H49">
        <v>98.7</v>
      </c>
      <c r="I49">
        <v>0.3</v>
      </c>
      <c r="J49">
        <v>-2353240.6413170602</v>
      </c>
      <c r="K49">
        <v>44835.363819890328</v>
      </c>
      <c r="L49">
        <v>-43505.718286609961</v>
      </c>
      <c r="M49" t="b">
        <f t="shared" si="3"/>
        <v>0</v>
      </c>
    </row>
    <row r="50" spans="1:13" x14ac:dyDescent="0.2">
      <c r="A50" t="s">
        <v>278</v>
      </c>
      <c r="B50">
        <v>20</v>
      </c>
      <c r="C50">
        <v>4</v>
      </c>
      <c r="D50">
        <v>3</v>
      </c>
      <c r="E50">
        <v>15</v>
      </c>
      <c r="F50">
        <v>30</v>
      </c>
      <c r="G50">
        <v>45.06</v>
      </c>
      <c r="H50">
        <v>49.35</v>
      </c>
      <c r="I50">
        <v>0.3</v>
      </c>
      <c r="J50">
        <v>-5900207.2414889103</v>
      </c>
      <c r="K50">
        <v>201768.58307319466</v>
      </c>
      <c r="L50">
        <v>-55692.743159160018</v>
      </c>
      <c r="M50" t="b">
        <f t="shared" si="3"/>
        <v>0</v>
      </c>
    </row>
    <row r="51" spans="1:13" x14ac:dyDescent="0.2">
      <c r="A51" t="s">
        <v>279</v>
      </c>
      <c r="B51">
        <v>20</v>
      </c>
      <c r="C51">
        <v>4</v>
      </c>
      <c r="D51">
        <v>3</v>
      </c>
      <c r="E51">
        <v>15</v>
      </c>
      <c r="F51">
        <v>30</v>
      </c>
      <c r="G51">
        <v>90.12</v>
      </c>
      <c r="H51">
        <v>98.7</v>
      </c>
      <c r="I51">
        <v>0.3</v>
      </c>
      <c r="J51">
        <v>1686153.21789441</v>
      </c>
      <c r="K51">
        <v>140836.37836563733</v>
      </c>
      <c r="L51">
        <v>-142806.55963010565</v>
      </c>
      <c r="M51" t="b">
        <f t="shared" si="3"/>
        <v>0</v>
      </c>
    </row>
    <row r="52" spans="1:13" x14ac:dyDescent="0.2">
      <c r="A52" t="s">
        <v>280</v>
      </c>
      <c r="B52">
        <v>20</v>
      </c>
      <c r="C52">
        <v>4</v>
      </c>
      <c r="D52">
        <v>3</v>
      </c>
      <c r="E52">
        <v>30</v>
      </c>
      <c r="F52">
        <v>30</v>
      </c>
      <c r="G52">
        <v>45.06</v>
      </c>
      <c r="H52">
        <v>49.35</v>
      </c>
      <c r="I52">
        <v>0.3</v>
      </c>
      <c r="J52">
        <v>-20579586.367209699</v>
      </c>
      <c r="K52">
        <v>141057.95521548935</v>
      </c>
      <c r="L52">
        <v>-271734.13210251933</v>
      </c>
      <c r="M52" t="b">
        <f t="shared" si="3"/>
        <v>0</v>
      </c>
    </row>
    <row r="53" spans="1:13" x14ac:dyDescent="0.2">
      <c r="A53" t="s">
        <v>281</v>
      </c>
      <c r="B53">
        <v>20</v>
      </c>
      <c r="C53">
        <v>4</v>
      </c>
      <c r="D53">
        <v>3</v>
      </c>
      <c r="E53">
        <v>30</v>
      </c>
      <c r="F53">
        <v>30</v>
      </c>
      <c r="G53">
        <v>90.12</v>
      </c>
      <c r="H53">
        <v>98.7</v>
      </c>
      <c r="I53">
        <v>0.3</v>
      </c>
      <c r="J53">
        <v>-1666732.7696102499</v>
      </c>
      <c r="K53">
        <v>89367.29785202333</v>
      </c>
      <c r="L53">
        <v>-111927.179356059</v>
      </c>
      <c r="M53" t="b">
        <f t="shared" si="3"/>
        <v>0</v>
      </c>
    </row>
    <row r="54" spans="1:13" x14ac:dyDescent="0.2">
      <c r="A54" s="6" t="s">
        <v>90</v>
      </c>
      <c r="B54" s="6">
        <v>10</v>
      </c>
      <c r="C54" s="6">
        <v>4</v>
      </c>
      <c r="D54" s="6">
        <v>3</v>
      </c>
      <c r="E54" s="6">
        <v>30</v>
      </c>
      <c r="F54" s="6">
        <v>10</v>
      </c>
      <c r="G54" s="6">
        <v>90.12</v>
      </c>
      <c r="H54" s="6">
        <v>98.7</v>
      </c>
      <c r="I54" s="6">
        <v>0.3</v>
      </c>
      <c r="J54" s="6">
        <v>998441.51873332204</v>
      </c>
      <c r="K54" s="6">
        <v>95631.468611435994</v>
      </c>
      <c r="L54" s="6">
        <v>770855.04453140101</v>
      </c>
      <c r="M54" s="6" t="b">
        <f t="shared" si="3"/>
        <v>1</v>
      </c>
    </row>
    <row r="55" spans="1:13" x14ac:dyDescent="0.2">
      <c r="A55" s="6" t="s">
        <v>92</v>
      </c>
      <c r="B55" s="6">
        <v>10</v>
      </c>
      <c r="C55" s="6">
        <v>1</v>
      </c>
      <c r="D55" s="6">
        <v>1</v>
      </c>
      <c r="E55" s="6">
        <v>15</v>
      </c>
      <c r="F55" s="6">
        <v>30</v>
      </c>
      <c r="G55" s="6">
        <v>90.12</v>
      </c>
      <c r="H55" s="6">
        <v>98.7</v>
      </c>
      <c r="I55" s="6">
        <v>0.3</v>
      </c>
      <c r="J55" s="6">
        <v>16087205.5488762</v>
      </c>
      <c r="K55" s="6">
        <v>162008.20497532267</v>
      </c>
      <c r="L55" s="6">
        <v>64844.372534223337</v>
      </c>
      <c r="M55" s="6" t="b">
        <f t="shared" si="3"/>
        <v>1</v>
      </c>
    </row>
    <row r="56" spans="1:13" x14ac:dyDescent="0.2">
      <c r="A56" s="6" t="s">
        <v>94</v>
      </c>
      <c r="B56" s="6">
        <v>10</v>
      </c>
      <c r="C56" s="6">
        <v>1</v>
      </c>
      <c r="D56" s="6">
        <v>1</v>
      </c>
      <c r="E56" s="6">
        <v>30</v>
      </c>
      <c r="F56" s="6">
        <v>30</v>
      </c>
      <c r="G56" s="6">
        <v>90.12</v>
      </c>
      <c r="H56" s="6">
        <v>98.7</v>
      </c>
      <c r="I56" s="6">
        <v>0.3</v>
      </c>
      <c r="J56" s="6">
        <v>7829271.27338407</v>
      </c>
      <c r="K56" s="6">
        <v>85057.363871949667</v>
      </c>
      <c r="L56" s="6">
        <v>108071.31856762333</v>
      </c>
      <c r="M56" s="6" t="b">
        <f t="shared" si="3"/>
        <v>1</v>
      </c>
    </row>
    <row r="57" spans="1:13" x14ac:dyDescent="0.2">
      <c r="A57" s="6" t="s">
        <v>96</v>
      </c>
      <c r="B57" s="6">
        <v>10</v>
      </c>
      <c r="C57" s="6">
        <v>1</v>
      </c>
      <c r="D57" s="6">
        <v>3</v>
      </c>
      <c r="E57" s="6">
        <v>15</v>
      </c>
      <c r="F57" s="6">
        <v>30</v>
      </c>
      <c r="G57" s="6">
        <v>90.12</v>
      </c>
      <c r="H57" s="6">
        <v>98.7</v>
      </c>
      <c r="I57" s="6">
        <v>0.3</v>
      </c>
      <c r="J57" s="6">
        <v>19090546.030836798</v>
      </c>
      <c r="K57" s="6">
        <v>147938.14870926933</v>
      </c>
      <c r="L57" s="6">
        <v>36440.199961776656</v>
      </c>
      <c r="M57" s="6" t="b">
        <f t="shared" si="3"/>
        <v>1</v>
      </c>
    </row>
    <row r="58" spans="1:13" x14ac:dyDescent="0.2">
      <c r="A58" s="6" t="s">
        <v>98</v>
      </c>
      <c r="B58" s="6">
        <v>10</v>
      </c>
      <c r="C58" s="6">
        <v>1</v>
      </c>
      <c r="D58" s="6">
        <v>3</v>
      </c>
      <c r="E58" s="6">
        <v>30</v>
      </c>
      <c r="F58" s="6">
        <v>30</v>
      </c>
      <c r="G58" s="6">
        <v>90.12</v>
      </c>
      <c r="H58" s="6">
        <v>98.7</v>
      </c>
      <c r="I58" s="6">
        <v>0.3</v>
      </c>
      <c r="J58" s="6">
        <v>8001819.4625559598</v>
      </c>
      <c r="K58" s="6">
        <v>117116.00745286167</v>
      </c>
      <c r="L58" s="6">
        <v>80236.996887393354</v>
      </c>
      <c r="M58" s="6" t="b">
        <f t="shared" si="3"/>
        <v>1</v>
      </c>
    </row>
    <row r="59" spans="1:13" x14ac:dyDescent="0.2">
      <c r="A59" s="6" t="s">
        <v>104</v>
      </c>
      <c r="B59" s="6">
        <v>10</v>
      </c>
      <c r="C59" s="6">
        <v>4</v>
      </c>
      <c r="D59" s="6">
        <v>3</v>
      </c>
      <c r="E59" s="6">
        <v>15</v>
      </c>
      <c r="F59" s="6">
        <v>30</v>
      </c>
      <c r="G59" s="6">
        <v>90.12</v>
      </c>
      <c r="H59" s="6">
        <v>98.7</v>
      </c>
      <c r="I59" s="6">
        <v>0.3</v>
      </c>
      <c r="J59" s="6">
        <v>11203115.6601393</v>
      </c>
      <c r="K59" s="6">
        <v>137501.41859871533</v>
      </c>
      <c r="L59" s="6">
        <v>51108.602524846669</v>
      </c>
      <c r="M59" s="6" t="b">
        <f t="shared" si="3"/>
        <v>1</v>
      </c>
    </row>
    <row r="60" spans="1:13" x14ac:dyDescent="0.2">
      <c r="A60" s="7" t="s">
        <v>106</v>
      </c>
      <c r="B60" s="7">
        <v>10</v>
      </c>
      <c r="C60" s="7">
        <v>4</v>
      </c>
      <c r="D60" s="7">
        <v>3</v>
      </c>
      <c r="E60" s="7">
        <v>30</v>
      </c>
      <c r="F60" s="7">
        <v>30</v>
      </c>
      <c r="G60" s="7">
        <v>90.12</v>
      </c>
      <c r="H60" s="7">
        <v>98.7</v>
      </c>
      <c r="I60" s="7">
        <v>0.3</v>
      </c>
      <c r="J60" s="7">
        <v>11695457.623707499</v>
      </c>
      <c r="K60" s="6">
        <v>158322.13665198401</v>
      </c>
      <c r="L60" s="7">
        <v>205744.31965886001</v>
      </c>
      <c r="M60" s="6" t="b">
        <f t="shared" si="3"/>
        <v>1</v>
      </c>
    </row>
    <row r="61" spans="1:13" x14ac:dyDescent="0.2">
      <c r="A61" s="6" t="s">
        <v>110</v>
      </c>
      <c r="B61" s="6">
        <v>20</v>
      </c>
      <c r="C61" s="6">
        <v>1</v>
      </c>
      <c r="D61" s="6">
        <v>1</v>
      </c>
      <c r="E61" s="6">
        <v>30</v>
      </c>
      <c r="F61" s="6">
        <v>10</v>
      </c>
      <c r="G61" s="6">
        <v>90.12</v>
      </c>
      <c r="H61" s="6">
        <v>98.7</v>
      </c>
      <c r="I61" s="6">
        <v>0.3</v>
      </c>
      <c r="J61" s="6">
        <v>2140895.61597201</v>
      </c>
      <c r="K61" s="6">
        <v>45927.017847999668</v>
      </c>
      <c r="L61" s="6">
        <v>586293.3360830911</v>
      </c>
      <c r="M61" s="6" t="b">
        <f t="shared" si="3"/>
        <v>1</v>
      </c>
    </row>
    <row r="62" spans="1:13" x14ac:dyDescent="0.2">
      <c r="A62" s="6" t="s">
        <v>114</v>
      </c>
      <c r="B62" s="6">
        <v>20</v>
      </c>
      <c r="C62" s="6">
        <v>1</v>
      </c>
      <c r="D62" s="6">
        <v>3</v>
      </c>
      <c r="E62" s="6">
        <v>30</v>
      </c>
      <c r="F62" s="6">
        <v>10</v>
      </c>
      <c r="G62" s="6">
        <v>90.12</v>
      </c>
      <c r="H62" s="6">
        <v>98.7</v>
      </c>
      <c r="I62" s="6">
        <v>0.3</v>
      </c>
      <c r="J62" s="6">
        <v>2917235.6496432601</v>
      </c>
      <c r="K62" s="6">
        <v>113705.55760996933</v>
      </c>
      <c r="L62" s="6">
        <v>695491.04580451106</v>
      </c>
      <c r="M62" s="6" t="b">
        <f t="shared" si="3"/>
        <v>1</v>
      </c>
    </row>
    <row r="63" spans="1:13" x14ac:dyDescent="0.2">
      <c r="A63" s="6" t="s">
        <v>261</v>
      </c>
      <c r="B63" s="6">
        <v>20</v>
      </c>
      <c r="C63" s="6">
        <v>4</v>
      </c>
      <c r="D63" s="6">
        <v>1</v>
      </c>
      <c r="E63" s="6">
        <v>30</v>
      </c>
      <c r="F63" s="6">
        <v>10</v>
      </c>
      <c r="G63" s="6">
        <v>90.12</v>
      </c>
      <c r="H63" s="6">
        <v>98.7</v>
      </c>
      <c r="I63" s="6">
        <v>0.3</v>
      </c>
      <c r="J63" s="6">
        <v>2039707.14753238</v>
      </c>
      <c r="K63" s="6">
        <v>99064.038199855</v>
      </c>
      <c r="L63" s="6">
        <v>620080.85733771103</v>
      </c>
      <c r="M63" s="6" t="b">
        <f t="shared" si="3"/>
        <v>1</v>
      </c>
    </row>
    <row r="64" spans="1:13" x14ac:dyDescent="0.2">
      <c r="A64" s="6" t="s">
        <v>265</v>
      </c>
      <c r="B64" s="6">
        <v>20</v>
      </c>
      <c r="C64" s="6">
        <v>4</v>
      </c>
      <c r="D64" s="6">
        <v>3</v>
      </c>
      <c r="E64" s="6">
        <v>30</v>
      </c>
      <c r="F64" s="6">
        <v>10</v>
      </c>
      <c r="G64" s="6">
        <v>90.12</v>
      </c>
      <c r="H64" s="6">
        <v>98.7</v>
      </c>
      <c r="I64" s="6">
        <v>0.3</v>
      </c>
      <c r="J64" s="6">
        <v>1538952.67080183</v>
      </c>
      <c r="K64" s="6">
        <v>74287.572360074657</v>
      </c>
      <c r="L64" s="6">
        <v>546190.68025862495</v>
      </c>
      <c r="M64" s="6" t="b">
        <f t="shared" si="3"/>
        <v>1</v>
      </c>
    </row>
    <row r="65" spans="1:13" x14ac:dyDescent="0.2">
      <c r="A65" s="6" t="s">
        <v>269</v>
      </c>
      <c r="B65" s="6">
        <v>20</v>
      </c>
      <c r="C65" s="6">
        <v>1</v>
      </c>
      <c r="D65" s="6">
        <v>1</v>
      </c>
      <c r="E65" s="6">
        <v>30</v>
      </c>
      <c r="F65" s="6">
        <v>30</v>
      </c>
      <c r="G65" s="6">
        <v>90.12</v>
      </c>
      <c r="H65" s="6">
        <v>98.7</v>
      </c>
      <c r="I65" s="6">
        <v>0.3</v>
      </c>
      <c r="J65" s="6">
        <v>11758454.6214043</v>
      </c>
      <c r="K65" s="6">
        <v>192354.87929308033</v>
      </c>
      <c r="L65" s="6">
        <v>355103.84085718001</v>
      </c>
      <c r="M65" s="6" t="b">
        <f t="shared" si="3"/>
        <v>1</v>
      </c>
    </row>
  </sheetData>
  <sortState xmlns:xlrd2="http://schemas.microsoft.com/office/spreadsheetml/2017/richdata2" ref="V2:AK66">
    <sortCondition ref="AF1:AF6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3"/>
  <sheetViews>
    <sheetView workbookViewId="0">
      <selection activeCell="F29" sqref="F29"/>
    </sheetView>
  </sheetViews>
  <sheetFormatPr baseColWidth="10" defaultRowHeight="16" x14ac:dyDescent="0.2"/>
  <sheetData>
    <row r="1" spans="1:5" x14ac:dyDescent="0.2">
      <c r="A1" t="s">
        <v>75</v>
      </c>
      <c r="B1" t="s">
        <v>27</v>
      </c>
      <c r="C1" t="s">
        <v>28</v>
      </c>
      <c r="D1" t="s">
        <v>29</v>
      </c>
      <c r="E1" t="s">
        <v>25</v>
      </c>
    </row>
    <row r="2" spans="1:5" x14ac:dyDescent="0.2">
      <c r="A2" t="s">
        <v>76</v>
      </c>
      <c r="B2">
        <v>233027</v>
      </c>
      <c r="C2">
        <v>116922</v>
      </c>
      <c r="D2">
        <v>349949</v>
      </c>
      <c r="E2">
        <v>242</v>
      </c>
    </row>
    <row r="3" spans="1:5" x14ac:dyDescent="0.2">
      <c r="A3" t="s">
        <v>78</v>
      </c>
      <c r="B3">
        <v>230505</v>
      </c>
      <c r="C3">
        <v>111447</v>
      </c>
      <c r="D3">
        <v>341952</v>
      </c>
      <c r="E3">
        <v>57</v>
      </c>
    </row>
    <row r="4" spans="1:5" x14ac:dyDescent="0.2">
      <c r="A4" t="s">
        <v>80</v>
      </c>
      <c r="B4">
        <v>232202</v>
      </c>
      <c r="C4">
        <v>117211</v>
      </c>
      <c r="D4">
        <v>349413</v>
      </c>
      <c r="E4">
        <v>224</v>
      </c>
    </row>
    <row r="5" spans="1:5" x14ac:dyDescent="0.2">
      <c r="A5" t="s">
        <v>81</v>
      </c>
      <c r="B5">
        <v>230508</v>
      </c>
      <c r="C5">
        <v>108966</v>
      </c>
      <c r="D5">
        <v>339474</v>
      </c>
      <c r="E5">
        <v>89</v>
      </c>
    </row>
    <row r="6" spans="1:5" x14ac:dyDescent="0.2">
      <c r="A6" t="s">
        <v>83</v>
      </c>
      <c r="B6">
        <v>232684</v>
      </c>
      <c r="C6">
        <v>116330</v>
      </c>
      <c r="D6">
        <v>349014</v>
      </c>
      <c r="E6">
        <v>250</v>
      </c>
    </row>
    <row r="7" spans="1:5" x14ac:dyDescent="0.2">
      <c r="A7" t="s">
        <v>85</v>
      </c>
      <c r="B7">
        <v>235124</v>
      </c>
      <c r="C7">
        <v>116581</v>
      </c>
      <c r="D7">
        <v>351705</v>
      </c>
      <c r="E7">
        <v>64</v>
      </c>
    </row>
    <row r="8" spans="1:5" x14ac:dyDescent="0.2">
      <c r="A8" t="s">
        <v>87</v>
      </c>
      <c r="B8">
        <v>234120</v>
      </c>
      <c r="C8">
        <v>116241</v>
      </c>
      <c r="D8">
        <v>350361</v>
      </c>
      <c r="E8">
        <v>195</v>
      </c>
    </row>
    <row r="9" spans="1:5" x14ac:dyDescent="0.2">
      <c r="A9" t="s">
        <v>89</v>
      </c>
      <c r="B9">
        <v>228801</v>
      </c>
      <c r="C9">
        <v>108583</v>
      </c>
      <c r="D9">
        <v>337384</v>
      </c>
      <c r="E9">
        <v>70</v>
      </c>
    </row>
    <row r="10" spans="1:5" x14ac:dyDescent="0.2">
      <c r="A10" t="s">
        <v>91</v>
      </c>
      <c r="B10">
        <v>235900</v>
      </c>
      <c r="C10">
        <v>116393</v>
      </c>
      <c r="D10">
        <v>352293</v>
      </c>
      <c r="E10">
        <v>882</v>
      </c>
    </row>
    <row r="11" spans="1:5" x14ac:dyDescent="0.2">
      <c r="A11" t="s">
        <v>93</v>
      </c>
      <c r="B11">
        <v>237872</v>
      </c>
      <c r="C11">
        <v>116866</v>
      </c>
      <c r="D11">
        <v>354738</v>
      </c>
      <c r="E11">
        <v>805</v>
      </c>
    </row>
    <row r="12" spans="1:5" x14ac:dyDescent="0.2">
      <c r="A12" t="s">
        <v>95</v>
      </c>
      <c r="B12">
        <v>235802</v>
      </c>
      <c r="C12">
        <v>116378</v>
      </c>
      <c r="D12">
        <v>352180</v>
      </c>
      <c r="E12">
        <v>831</v>
      </c>
    </row>
    <row r="13" spans="1:5" x14ac:dyDescent="0.2">
      <c r="A13" t="s">
        <v>97</v>
      </c>
      <c r="B13">
        <v>237158</v>
      </c>
      <c r="C13">
        <v>116600</v>
      </c>
      <c r="D13">
        <v>353758</v>
      </c>
      <c r="E13">
        <v>754</v>
      </c>
    </row>
    <row r="14" spans="1:5" x14ac:dyDescent="0.2">
      <c r="A14" t="s">
        <v>99</v>
      </c>
      <c r="B14">
        <v>236342</v>
      </c>
      <c r="C14">
        <v>116480</v>
      </c>
      <c r="D14">
        <v>352822</v>
      </c>
      <c r="E14">
        <v>914</v>
      </c>
    </row>
    <row r="15" spans="1:5" x14ac:dyDescent="0.2">
      <c r="A15" t="s">
        <v>101</v>
      </c>
      <c r="B15">
        <v>237304</v>
      </c>
      <c r="C15">
        <v>116167</v>
      </c>
      <c r="D15">
        <v>353471</v>
      </c>
      <c r="E15">
        <v>623</v>
      </c>
    </row>
    <row r="16" spans="1:5" x14ac:dyDescent="0.2">
      <c r="A16" t="s">
        <v>103</v>
      </c>
      <c r="B16">
        <v>235732</v>
      </c>
      <c r="C16">
        <v>116966</v>
      </c>
      <c r="D16">
        <v>352698</v>
      </c>
      <c r="E16">
        <v>1032</v>
      </c>
    </row>
    <row r="17" spans="1:5" x14ac:dyDescent="0.2">
      <c r="A17" t="s">
        <v>105</v>
      </c>
      <c r="B17">
        <v>237501</v>
      </c>
      <c r="C17">
        <v>116380</v>
      </c>
      <c r="D17">
        <v>353881</v>
      </c>
      <c r="E17">
        <v>795</v>
      </c>
    </row>
    <row r="18" spans="1:5" x14ac:dyDescent="0.2">
      <c r="A18" t="s">
        <v>77</v>
      </c>
      <c r="B18">
        <v>233093</v>
      </c>
      <c r="C18">
        <v>116761</v>
      </c>
      <c r="D18">
        <v>349854</v>
      </c>
      <c r="E18">
        <v>242</v>
      </c>
    </row>
    <row r="19" spans="1:5" x14ac:dyDescent="0.2">
      <c r="A19" t="s">
        <v>79</v>
      </c>
      <c r="B19">
        <v>230671</v>
      </c>
      <c r="C19">
        <v>111431</v>
      </c>
      <c r="D19">
        <v>342102</v>
      </c>
      <c r="E19">
        <v>57</v>
      </c>
    </row>
    <row r="20" spans="1:5" x14ac:dyDescent="0.2">
      <c r="A20" t="s">
        <v>42</v>
      </c>
      <c r="B20">
        <v>232147</v>
      </c>
      <c r="C20">
        <v>117210</v>
      </c>
      <c r="D20">
        <v>349357</v>
      </c>
      <c r="E20">
        <v>224</v>
      </c>
    </row>
    <row r="21" spans="1:5" x14ac:dyDescent="0.2">
      <c r="A21" t="s">
        <v>82</v>
      </c>
      <c r="B21">
        <v>230425</v>
      </c>
      <c r="C21">
        <v>108962</v>
      </c>
      <c r="D21">
        <v>339387</v>
      </c>
      <c r="E21">
        <v>91</v>
      </c>
    </row>
    <row r="22" spans="1:5" x14ac:dyDescent="0.2">
      <c r="A22" t="s">
        <v>84</v>
      </c>
      <c r="B22">
        <v>232916</v>
      </c>
      <c r="C22">
        <v>116280</v>
      </c>
      <c r="D22">
        <v>349196</v>
      </c>
      <c r="E22">
        <v>250</v>
      </c>
    </row>
    <row r="23" spans="1:5" x14ac:dyDescent="0.2">
      <c r="A23" t="s">
        <v>86</v>
      </c>
      <c r="B23">
        <v>235202</v>
      </c>
      <c r="C23">
        <v>116550</v>
      </c>
      <c r="D23">
        <v>351752</v>
      </c>
      <c r="E23">
        <v>64</v>
      </c>
    </row>
    <row r="24" spans="1:5" x14ac:dyDescent="0.2">
      <c r="A24" t="s">
        <v>88</v>
      </c>
      <c r="B24">
        <v>234251</v>
      </c>
      <c r="C24">
        <v>116296</v>
      </c>
      <c r="D24">
        <v>350547</v>
      </c>
      <c r="E24">
        <v>202</v>
      </c>
    </row>
    <row r="25" spans="1:5" x14ac:dyDescent="0.2">
      <c r="A25" t="s">
        <v>90</v>
      </c>
      <c r="B25">
        <v>228871</v>
      </c>
      <c r="C25">
        <v>108558</v>
      </c>
      <c r="D25">
        <v>337429</v>
      </c>
      <c r="E25">
        <v>77</v>
      </c>
    </row>
    <row r="26" spans="1:5" x14ac:dyDescent="0.2">
      <c r="A26" t="s">
        <v>92</v>
      </c>
      <c r="B26">
        <v>236996</v>
      </c>
      <c r="C26">
        <v>116400</v>
      </c>
      <c r="D26">
        <v>353396</v>
      </c>
      <c r="E26">
        <v>887</v>
      </c>
    </row>
    <row r="27" spans="1:5" x14ac:dyDescent="0.2">
      <c r="A27" t="s">
        <v>94</v>
      </c>
      <c r="B27">
        <v>238054</v>
      </c>
      <c r="C27">
        <v>116794</v>
      </c>
      <c r="D27">
        <v>354848</v>
      </c>
      <c r="E27">
        <v>808</v>
      </c>
    </row>
    <row r="28" spans="1:5" x14ac:dyDescent="0.2">
      <c r="A28" t="s">
        <v>96</v>
      </c>
      <c r="B28">
        <v>237187</v>
      </c>
      <c r="C28">
        <v>116558</v>
      </c>
      <c r="D28">
        <v>353745</v>
      </c>
      <c r="E28">
        <v>847</v>
      </c>
    </row>
    <row r="29" spans="1:5" x14ac:dyDescent="0.2">
      <c r="A29" t="s">
        <v>98</v>
      </c>
      <c r="B29">
        <v>238752</v>
      </c>
      <c r="C29">
        <v>116347</v>
      </c>
      <c r="D29">
        <v>355099</v>
      </c>
      <c r="E29">
        <v>761</v>
      </c>
    </row>
    <row r="30" spans="1:5" x14ac:dyDescent="0.2">
      <c r="A30" t="s">
        <v>100</v>
      </c>
      <c r="B30">
        <v>236800</v>
      </c>
      <c r="C30">
        <v>116898</v>
      </c>
      <c r="D30">
        <v>353698</v>
      </c>
      <c r="E30">
        <v>1006</v>
      </c>
    </row>
    <row r="31" spans="1:5" x14ac:dyDescent="0.2">
      <c r="A31" t="s">
        <v>102</v>
      </c>
      <c r="B31">
        <v>237992</v>
      </c>
      <c r="C31">
        <v>116533</v>
      </c>
      <c r="D31">
        <v>354525</v>
      </c>
      <c r="E31">
        <v>804</v>
      </c>
    </row>
    <row r="32" spans="1:5" x14ac:dyDescent="0.2">
      <c r="A32" t="s">
        <v>104</v>
      </c>
      <c r="B32">
        <v>236638</v>
      </c>
      <c r="C32">
        <v>116218</v>
      </c>
      <c r="D32">
        <v>352856</v>
      </c>
      <c r="E32">
        <v>930</v>
      </c>
    </row>
    <row r="33" spans="1:5" x14ac:dyDescent="0.2">
      <c r="A33" s="4" t="s">
        <v>106</v>
      </c>
      <c r="B33">
        <v>236705</v>
      </c>
      <c r="C33">
        <v>116326</v>
      </c>
      <c r="D33">
        <v>353031</v>
      </c>
      <c r="E33" s="4">
        <v>725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33"/>
  <sheetViews>
    <sheetView workbookViewId="0">
      <selection activeCell="E35" sqref="E35"/>
    </sheetView>
  </sheetViews>
  <sheetFormatPr baseColWidth="10" defaultRowHeight="16" x14ac:dyDescent="0.2"/>
  <cols>
    <col min="36" max="36" width="6.1640625" customWidth="1"/>
    <col min="37" max="37" width="12.6640625" bestFit="1" customWidth="1"/>
    <col min="39" max="39" width="13.6640625" bestFit="1" customWidth="1"/>
    <col min="40" max="40" width="13.1640625" bestFit="1" customWidth="1"/>
    <col min="41" max="41" width="13.6640625" bestFit="1" customWidth="1"/>
  </cols>
  <sheetData>
    <row r="1" spans="1:41" x14ac:dyDescent="0.2">
      <c r="A1" t="s">
        <v>75</v>
      </c>
      <c r="B1" t="s">
        <v>17</v>
      </c>
      <c r="C1" t="s">
        <v>18</v>
      </c>
      <c r="D1" t="s">
        <v>120</v>
      </c>
      <c r="E1" t="s">
        <v>22</v>
      </c>
      <c r="F1" t="s">
        <v>23</v>
      </c>
      <c r="G1" t="s">
        <v>119</v>
      </c>
      <c r="H1" t="s">
        <v>60</v>
      </c>
      <c r="I1" t="s">
        <v>6</v>
      </c>
    </row>
    <row r="2" spans="1:41" x14ac:dyDescent="0.2">
      <c r="A2" t="s">
        <v>76</v>
      </c>
      <c r="B2">
        <v>32013291.439649198</v>
      </c>
      <c r="C2">
        <v>13669087.935521601</v>
      </c>
      <c r="D2">
        <v>-18344203.504127599</v>
      </c>
      <c r="E2">
        <v>2854300.44741912</v>
      </c>
      <c r="F2">
        <v>3303475.8399999901</v>
      </c>
      <c r="G2">
        <v>-449175.39258087007</v>
      </c>
      <c r="H2">
        <v>-44917.53925808701</v>
      </c>
      <c r="I2">
        <v>45.06</v>
      </c>
    </row>
    <row r="3" spans="1:41" x14ac:dyDescent="0.2">
      <c r="A3" t="s">
        <v>78</v>
      </c>
      <c r="B3">
        <v>36017986.831419297</v>
      </c>
      <c r="C3">
        <v>18617268.7772009</v>
      </c>
      <c r="D3">
        <v>-17400718.0542183</v>
      </c>
      <c r="E3">
        <v>5276152.1540186601</v>
      </c>
      <c r="F3">
        <v>3303475.8399999901</v>
      </c>
      <c r="G3">
        <v>1972676.31401867</v>
      </c>
      <c r="H3">
        <v>197267.63140186699</v>
      </c>
      <c r="I3">
        <v>45.06</v>
      </c>
    </row>
    <row r="4" spans="1:41" x14ac:dyDescent="0.2">
      <c r="A4" t="s">
        <v>80</v>
      </c>
      <c r="B4">
        <v>32261388.9861346</v>
      </c>
      <c r="C4">
        <v>14280750.159051601</v>
      </c>
      <c r="D4">
        <v>-17980638.827082999</v>
      </c>
      <c r="E4">
        <v>3541708.8077705898</v>
      </c>
      <c r="F4">
        <v>3303475.8399999901</v>
      </c>
      <c r="G4">
        <v>238232.96777059976</v>
      </c>
      <c r="H4">
        <v>23823.296777059975</v>
      </c>
      <c r="I4">
        <v>45.06</v>
      </c>
    </row>
    <row r="5" spans="1:41" x14ac:dyDescent="0.2">
      <c r="A5" t="s">
        <v>81</v>
      </c>
      <c r="B5">
        <v>35208089.766689397</v>
      </c>
      <c r="C5">
        <v>17274192.549144398</v>
      </c>
      <c r="D5">
        <v>-17933897.217544898</v>
      </c>
      <c r="E5">
        <v>5555419.1405721698</v>
      </c>
      <c r="F5">
        <v>3303475.8399999901</v>
      </c>
      <c r="G5">
        <v>2251943.3005721797</v>
      </c>
      <c r="H5">
        <v>225194.33005721797</v>
      </c>
      <c r="I5">
        <v>45.06</v>
      </c>
    </row>
    <row r="6" spans="1:41" x14ac:dyDescent="0.2">
      <c r="A6" t="s">
        <v>83</v>
      </c>
      <c r="B6">
        <v>33502289.924249001</v>
      </c>
      <c r="C6">
        <v>15027102.4151637</v>
      </c>
      <c r="D6">
        <v>-18475187.509085301</v>
      </c>
      <c r="E6">
        <v>3739077.3759767199</v>
      </c>
      <c r="F6">
        <v>3303475.8399999901</v>
      </c>
      <c r="G6">
        <v>435601.53597672982</v>
      </c>
      <c r="H6">
        <v>43560.153597672979</v>
      </c>
      <c r="I6">
        <v>45.06</v>
      </c>
    </row>
    <row r="7" spans="1:41" x14ac:dyDescent="0.2">
      <c r="A7" t="s">
        <v>85</v>
      </c>
      <c r="B7">
        <v>38035410.462154403</v>
      </c>
      <c r="C7">
        <v>18188488.7728904</v>
      </c>
      <c r="D7">
        <v>-19846921.689263899</v>
      </c>
      <c r="E7">
        <v>5523068.9465412097</v>
      </c>
      <c r="F7">
        <v>3189562.8799999901</v>
      </c>
      <c r="G7">
        <v>2333506.0665412196</v>
      </c>
      <c r="H7">
        <v>233350.60665412195</v>
      </c>
      <c r="I7">
        <v>45.06</v>
      </c>
    </row>
    <row r="8" spans="1:41" x14ac:dyDescent="0.2">
      <c r="A8" t="s">
        <v>87</v>
      </c>
      <c r="B8">
        <v>33621428.798318103</v>
      </c>
      <c r="C8">
        <v>15396715.5530074</v>
      </c>
      <c r="D8">
        <v>-18224713.245310701</v>
      </c>
      <c r="E8">
        <v>3324545.1185254999</v>
      </c>
      <c r="F8">
        <v>3189562.8799999901</v>
      </c>
      <c r="G8">
        <v>134982.23852550983</v>
      </c>
      <c r="H8">
        <v>13498.223852550984</v>
      </c>
      <c r="I8">
        <v>45.06</v>
      </c>
    </row>
    <row r="9" spans="1:41" x14ac:dyDescent="0.2">
      <c r="A9" t="s">
        <v>89</v>
      </c>
      <c r="B9">
        <v>35753828.272347897</v>
      </c>
      <c r="C9">
        <v>20289222.3914482</v>
      </c>
      <c r="D9">
        <v>-15464605.880899699</v>
      </c>
      <c r="E9">
        <v>5562969.6226570401</v>
      </c>
      <c r="F9">
        <v>3417388.79999999</v>
      </c>
      <c r="G9">
        <v>2145580.8226570501</v>
      </c>
      <c r="H9">
        <v>214558.08226570502</v>
      </c>
      <c r="I9">
        <v>45.06</v>
      </c>
    </row>
    <row r="10" spans="1:41" x14ac:dyDescent="0.2">
      <c r="A10" t="s">
        <v>91</v>
      </c>
      <c r="B10">
        <v>44440757.1488363</v>
      </c>
      <c r="C10">
        <v>34444808.895708598</v>
      </c>
      <c r="D10">
        <v>-9995948.2531276699</v>
      </c>
      <c r="E10">
        <v>5860014.4728399199</v>
      </c>
      <c r="F10">
        <v>9796514.5600000005</v>
      </c>
      <c r="G10">
        <v>-3936500.0871600807</v>
      </c>
      <c r="H10">
        <v>-131216.66957200269</v>
      </c>
      <c r="I10">
        <v>45.06</v>
      </c>
      <c r="AK10" t="s">
        <v>122</v>
      </c>
      <c r="AL10" t="s">
        <v>122</v>
      </c>
      <c r="AM10" t="s">
        <v>122</v>
      </c>
      <c r="AN10" t="s">
        <v>121</v>
      </c>
      <c r="AO10" t="s">
        <v>121</v>
      </c>
    </row>
    <row r="11" spans="1:41" x14ac:dyDescent="0.2">
      <c r="A11" t="s">
        <v>93</v>
      </c>
      <c r="B11">
        <v>58553148.090120301</v>
      </c>
      <c r="C11">
        <v>37281556.479362503</v>
      </c>
      <c r="D11">
        <v>-21271591.610757701</v>
      </c>
      <c r="E11">
        <v>6890859.1300853696</v>
      </c>
      <c r="F11">
        <v>9682601.5999999996</v>
      </c>
      <c r="G11">
        <v>-2791742.4699146301</v>
      </c>
      <c r="H11">
        <v>-93058.082330487669</v>
      </c>
      <c r="I11">
        <v>45.06</v>
      </c>
      <c r="AJ11" t="s">
        <v>75</v>
      </c>
      <c r="AK11" t="s">
        <v>2</v>
      </c>
      <c r="AL11" t="s">
        <v>3</v>
      </c>
      <c r="AM11" t="s">
        <v>4</v>
      </c>
      <c r="AN11" t="s">
        <v>5</v>
      </c>
      <c r="AO11" t="s">
        <v>118</v>
      </c>
    </row>
    <row r="12" spans="1:41" x14ac:dyDescent="0.2">
      <c r="A12" t="s">
        <v>95</v>
      </c>
      <c r="B12">
        <v>44997606.2187014</v>
      </c>
      <c r="C12">
        <v>36258226.497209102</v>
      </c>
      <c r="D12">
        <v>-8739379.7214922309</v>
      </c>
      <c r="E12">
        <v>5583320.0365047902</v>
      </c>
      <c r="F12">
        <v>9796514.5600000005</v>
      </c>
      <c r="G12">
        <v>-4213194.5234952103</v>
      </c>
      <c r="H12">
        <v>-140439.81744984034</v>
      </c>
      <c r="I12">
        <v>45.06</v>
      </c>
      <c r="AJ12" t="s">
        <v>92</v>
      </c>
      <c r="AK12">
        <v>1</v>
      </c>
      <c r="AL12">
        <v>1</v>
      </c>
      <c r="AM12">
        <v>15</v>
      </c>
      <c r="AN12">
        <v>30</v>
      </c>
      <c r="AO12">
        <v>2</v>
      </c>
    </row>
    <row r="13" spans="1:41" x14ac:dyDescent="0.2">
      <c r="A13" t="s">
        <v>97</v>
      </c>
      <c r="B13">
        <v>58051610.443007402</v>
      </c>
      <c r="C13">
        <v>37963000.064385802</v>
      </c>
      <c r="D13">
        <v>-20088610.378621601</v>
      </c>
      <c r="E13">
        <v>6763097.8479180001</v>
      </c>
      <c r="F13">
        <v>9796514.5600000005</v>
      </c>
      <c r="G13">
        <v>-3033416.7120820004</v>
      </c>
      <c r="H13">
        <v>-101113.89040273335</v>
      </c>
      <c r="I13">
        <v>45.06</v>
      </c>
      <c r="AJ13" t="s">
        <v>94</v>
      </c>
      <c r="AK13">
        <v>1</v>
      </c>
      <c r="AL13">
        <v>1</v>
      </c>
      <c r="AM13">
        <v>30</v>
      </c>
      <c r="AN13">
        <v>30</v>
      </c>
      <c r="AO13">
        <v>2</v>
      </c>
    </row>
    <row r="14" spans="1:41" x14ac:dyDescent="0.2">
      <c r="A14" t="s">
        <v>99</v>
      </c>
      <c r="B14">
        <v>44198633.007532097</v>
      </c>
      <c r="C14">
        <v>33241507.350822099</v>
      </c>
      <c r="D14">
        <v>-10957125.6567099</v>
      </c>
      <c r="E14">
        <v>5208207.0322256703</v>
      </c>
      <c r="F14">
        <v>9568688.6399999894</v>
      </c>
      <c r="G14">
        <v>-4360481.6077743191</v>
      </c>
      <c r="H14">
        <v>-145349.38692581063</v>
      </c>
      <c r="I14">
        <v>45.06</v>
      </c>
      <c r="AJ14" t="s">
        <v>96</v>
      </c>
      <c r="AK14">
        <v>1</v>
      </c>
      <c r="AL14">
        <v>3</v>
      </c>
      <c r="AM14">
        <v>15</v>
      </c>
      <c r="AN14">
        <v>30</v>
      </c>
      <c r="AO14">
        <v>2</v>
      </c>
    </row>
    <row r="15" spans="1:41" x14ac:dyDescent="0.2">
      <c r="A15" t="s">
        <v>101</v>
      </c>
      <c r="B15">
        <v>59845621.974735603</v>
      </c>
      <c r="C15">
        <v>40547563.2628683</v>
      </c>
      <c r="D15">
        <v>-19298058.711867299</v>
      </c>
      <c r="E15">
        <v>9006970.76167983</v>
      </c>
      <c r="F15">
        <v>9682601.5999999996</v>
      </c>
      <c r="G15">
        <v>-675630.8383201696</v>
      </c>
      <c r="H15">
        <v>-22521.027944005655</v>
      </c>
      <c r="I15">
        <v>45.06</v>
      </c>
      <c r="AJ15" t="s">
        <v>98</v>
      </c>
      <c r="AK15">
        <v>1</v>
      </c>
      <c r="AL15">
        <v>3</v>
      </c>
      <c r="AM15">
        <v>30</v>
      </c>
      <c r="AN15">
        <v>30</v>
      </c>
      <c r="AO15">
        <v>2</v>
      </c>
    </row>
    <row r="16" spans="1:41" x14ac:dyDescent="0.2">
      <c r="A16" t="s">
        <v>103</v>
      </c>
      <c r="B16">
        <v>43443059.379594199</v>
      </c>
      <c r="C16">
        <v>29819495.686450001</v>
      </c>
      <c r="D16">
        <v>-13623563.6931441</v>
      </c>
      <c r="E16">
        <v>5524899.5580428503</v>
      </c>
      <c r="F16">
        <v>9568688.6399999894</v>
      </c>
      <c r="G16">
        <v>-4043789.0819571391</v>
      </c>
      <c r="H16">
        <v>-134792.96939857129</v>
      </c>
      <c r="I16">
        <v>45.06</v>
      </c>
      <c r="AJ16" t="s">
        <v>104</v>
      </c>
      <c r="AK16">
        <v>4</v>
      </c>
      <c r="AL16">
        <v>3</v>
      </c>
      <c r="AM16">
        <v>15</v>
      </c>
      <c r="AN16">
        <v>30</v>
      </c>
      <c r="AO16">
        <v>2</v>
      </c>
    </row>
    <row r="17" spans="1:41" x14ac:dyDescent="0.2">
      <c r="A17" t="s">
        <v>105</v>
      </c>
      <c r="B17">
        <v>58497245.573351704</v>
      </c>
      <c r="C17">
        <v>37801832.569196701</v>
      </c>
      <c r="D17">
        <v>-20695413.004154898</v>
      </c>
      <c r="E17">
        <v>5671163.8589687198</v>
      </c>
      <c r="F17">
        <v>9682601.5999999996</v>
      </c>
      <c r="G17">
        <v>-4011437.7410312798</v>
      </c>
      <c r="H17">
        <v>-133714.59136770933</v>
      </c>
      <c r="I17">
        <v>45.06</v>
      </c>
      <c r="AJ17" t="s">
        <v>106</v>
      </c>
      <c r="AK17">
        <v>4</v>
      </c>
      <c r="AL17">
        <v>3</v>
      </c>
      <c r="AM17">
        <v>30</v>
      </c>
      <c r="AN17">
        <v>30</v>
      </c>
      <c r="AO17">
        <v>2</v>
      </c>
    </row>
    <row r="18" spans="1:41" x14ac:dyDescent="0.2">
      <c r="A18" t="s">
        <v>77</v>
      </c>
      <c r="B18">
        <v>32158330.651666999</v>
      </c>
      <c r="C18">
        <v>24334071.243900001</v>
      </c>
      <c r="D18">
        <v>-7824259.4077669401</v>
      </c>
      <c r="E18">
        <v>5708600.89483824</v>
      </c>
      <c r="F18">
        <v>3417388.79999999</v>
      </c>
      <c r="G18">
        <v>2291212.09483825</v>
      </c>
      <c r="H18">
        <v>229121.20948382499</v>
      </c>
      <c r="I18">
        <v>90.12</v>
      </c>
    </row>
    <row r="19" spans="1:41" x14ac:dyDescent="0.2">
      <c r="A19" t="s">
        <v>79</v>
      </c>
      <c r="B19">
        <v>35968086.221370302</v>
      </c>
      <c r="C19">
        <v>34552204.271637604</v>
      </c>
      <c r="D19">
        <v>-1415881.9497326899</v>
      </c>
      <c r="E19">
        <v>10552304.3080373</v>
      </c>
      <c r="F19">
        <v>3417388.79999999</v>
      </c>
      <c r="G19">
        <v>7134915.5080373101</v>
      </c>
      <c r="H19">
        <v>713491.55080373096</v>
      </c>
      <c r="I19">
        <v>90.12</v>
      </c>
    </row>
    <row r="20" spans="1:41" x14ac:dyDescent="0.2">
      <c r="A20" t="s">
        <v>42</v>
      </c>
      <c r="B20">
        <v>32270993.364936799</v>
      </c>
      <c r="C20">
        <v>25574946.229021698</v>
      </c>
      <c r="D20">
        <v>-6696047.13591504</v>
      </c>
      <c r="E20">
        <v>7083417.6155411899</v>
      </c>
      <c r="F20">
        <v>3417388.79999999</v>
      </c>
      <c r="G20">
        <v>3666028.8155411999</v>
      </c>
      <c r="H20">
        <v>366602.88155411999</v>
      </c>
      <c r="I20">
        <v>90.12</v>
      </c>
    </row>
    <row r="21" spans="1:41" x14ac:dyDescent="0.2">
      <c r="A21" t="s">
        <v>82</v>
      </c>
      <c r="B21">
        <v>35181414.376074404</v>
      </c>
      <c r="C21">
        <v>31751240.718002301</v>
      </c>
      <c r="D21">
        <v>-3430173.6580720502</v>
      </c>
      <c r="E21">
        <v>11110838.2811443</v>
      </c>
      <c r="F21">
        <v>3417388.79999999</v>
      </c>
      <c r="G21">
        <v>7693449.4811443109</v>
      </c>
      <c r="H21">
        <v>769344.94811443111</v>
      </c>
      <c r="I21">
        <v>90.12</v>
      </c>
    </row>
    <row r="22" spans="1:41" x14ac:dyDescent="0.2">
      <c r="A22" t="s">
        <v>84</v>
      </c>
      <c r="B22">
        <v>33580032.230374299</v>
      </c>
      <c r="C22">
        <v>27254184.135608699</v>
      </c>
      <c r="D22">
        <v>-6325848.0947655402</v>
      </c>
      <c r="E22">
        <v>7478154.75195345</v>
      </c>
      <c r="F22">
        <v>3417388.79999999</v>
      </c>
      <c r="G22">
        <v>4060765.95195346</v>
      </c>
      <c r="H22">
        <v>406076.59519534599</v>
      </c>
      <c r="I22">
        <v>90.12</v>
      </c>
    </row>
    <row r="23" spans="1:41" x14ac:dyDescent="0.2">
      <c r="A23" t="s">
        <v>86</v>
      </c>
      <c r="B23">
        <v>38101942.795548201</v>
      </c>
      <c r="C23">
        <v>33820239.621598698</v>
      </c>
      <c r="D23">
        <v>-4281703.1739495499</v>
      </c>
      <c r="E23">
        <v>11046137.893082401</v>
      </c>
      <c r="F23">
        <v>3417388.79999999</v>
      </c>
      <c r="G23">
        <v>7628749.0930824112</v>
      </c>
      <c r="H23">
        <v>762874.9093082411</v>
      </c>
      <c r="I23">
        <v>90.12</v>
      </c>
    </row>
    <row r="24" spans="1:41" x14ac:dyDescent="0.2">
      <c r="A24" t="s">
        <v>88</v>
      </c>
      <c r="B24">
        <v>33635657.664458998</v>
      </c>
      <c r="C24">
        <v>27922423.7531044</v>
      </c>
      <c r="D24">
        <v>-5713233.9113545902</v>
      </c>
      <c r="E24">
        <v>6649090.2370510101</v>
      </c>
      <c r="F24">
        <v>3417388.79999999</v>
      </c>
      <c r="G24">
        <v>3231701.4370510201</v>
      </c>
      <c r="H24">
        <v>323170.14370510203</v>
      </c>
      <c r="I24">
        <v>90.12</v>
      </c>
    </row>
    <row r="25" spans="1:41" x14ac:dyDescent="0.2">
      <c r="A25" t="s">
        <v>90</v>
      </c>
      <c r="B25">
        <v>35679512.108589202</v>
      </c>
      <c r="C25">
        <v>36677953.627322502</v>
      </c>
      <c r="D25">
        <v>998441.51873332204</v>
      </c>
      <c r="E25">
        <v>11125939.245314</v>
      </c>
      <c r="F25">
        <v>3417388.79999999</v>
      </c>
      <c r="G25">
        <v>7708550.4453140106</v>
      </c>
      <c r="H25">
        <v>770855.04453140101</v>
      </c>
      <c r="I25">
        <v>90.12</v>
      </c>
    </row>
    <row r="26" spans="1:41" x14ac:dyDescent="0.2">
      <c r="A26" t="s">
        <v>92</v>
      </c>
      <c r="B26">
        <v>44319108.751037501</v>
      </c>
      <c r="C26">
        <v>60406314.299913697</v>
      </c>
      <c r="D26">
        <v>16087205.5488762</v>
      </c>
      <c r="E26">
        <v>12197497.5760267</v>
      </c>
      <c r="F26">
        <v>10252166.4</v>
      </c>
      <c r="G26">
        <v>1945331.1760267001</v>
      </c>
      <c r="H26">
        <v>64844.372534223337</v>
      </c>
      <c r="I26">
        <v>90.12</v>
      </c>
    </row>
    <row r="27" spans="1:41" x14ac:dyDescent="0.2">
      <c r="A27" t="s">
        <v>94</v>
      </c>
      <c r="B27">
        <v>58611864.474740699</v>
      </c>
      <c r="C27">
        <v>66441135.748124801</v>
      </c>
      <c r="D27">
        <v>7829271.27338407</v>
      </c>
      <c r="E27">
        <v>13380392.997028699</v>
      </c>
      <c r="F27">
        <v>10138253.439999999</v>
      </c>
      <c r="G27">
        <v>3242139.5570286997</v>
      </c>
      <c r="H27">
        <v>108071.31856762333</v>
      </c>
      <c r="I27">
        <v>90.12</v>
      </c>
    </row>
    <row r="28" spans="1:41" x14ac:dyDescent="0.2">
      <c r="A28" t="s">
        <v>96</v>
      </c>
      <c r="B28">
        <v>44827668.225665703</v>
      </c>
      <c r="C28">
        <v>63918214.256502599</v>
      </c>
      <c r="D28">
        <v>19090546.030836798</v>
      </c>
      <c r="E28">
        <v>11345372.3988533</v>
      </c>
      <c r="F28">
        <v>10252166.4</v>
      </c>
      <c r="G28">
        <v>1093205.9988532998</v>
      </c>
      <c r="H28">
        <v>36440.199961776656</v>
      </c>
      <c r="I28">
        <v>90.12</v>
      </c>
    </row>
    <row r="29" spans="1:41" x14ac:dyDescent="0.2">
      <c r="A29" t="s">
        <v>98</v>
      </c>
      <c r="B29">
        <v>58774761.059560299</v>
      </c>
      <c r="C29">
        <v>66776580.522116199</v>
      </c>
      <c r="D29">
        <v>8001819.4625559598</v>
      </c>
      <c r="E29">
        <v>12545363.3466218</v>
      </c>
      <c r="F29">
        <v>10138253.439999999</v>
      </c>
      <c r="G29">
        <v>2407109.9066218007</v>
      </c>
      <c r="H29">
        <v>80236.996887393354</v>
      </c>
      <c r="I29">
        <v>90.12</v>
      </c>
    </row>
    <row r="30" spans="1:41" x14ac:dyDescent="0.2">
      <c r="A30" t="s">
        <v>100</v>
      </c>
      <c r="B30">
        <v>43133139.885631099</v>
      </c>
      <c r="C30">
        <v>52009259.660008103</v>
      </c>
      <c r="D30">
        <v>8876119.7743770704</v>
      </c>
      <c r="E30">
        <v>8448705.5089329593</v>
      </c>
      <c r="F30">
        <v>10138253.439999999</v>
      </c>
      <c r="G30">
        <v>-1689547.9310670402</v>
      </c>
      <c r="H30">
        <v>-56318.264368901342</v>
      </c>
      <c r="I30">
        <v>90.12</v>
      </c>
    </row>
    <row r="31" spans="1:41" x14ac:dyDescent="0.2">
      <c r="A31" t="s">
        <v>102</v>
      </c>
      <c r="B31">
        <v>57800714.602525301</v>
      </c>
      <c r="C31">
        <v>65279205.055693902</v>
      </c>
      <c r="D31">
        <v>7478490.4531686101</v>
      </c>
      <c r="E31">
        <v>9910339.2978468593</v>
      </c>
      <c r="F31">
        <v>10024340.48</v>
      </c>
      <c r="G31">
        <v>-114001.18215314113</v>
      </c>
      <c r="H31">
        <v>-3800.0394051047042</v>
      </c>
      <c r="I31">
        <v>90.12</v>
      </c>
    </row>
    <row r="32" spans="1:41" x14ac:dyDescent="0.2">
      <c r="A32" t="s">
        <v>104</v>
      </c>
      <c r="B32">
        <v>44093599.091592498</v>
      </c>
      <c r="C32">
        <v>55296714.751731902</v>
      </c>
      <c r="D32">
        <v>11203115.6601393</v>
      </c>
      <c r="E32">
        <v>11557598.5557454</v>
      </c>
      <c r="F32">
        <v>10024340.48</v>
      </c>
      <c r="G32">
        <v>1533258.0757454</v>
      </c>
      <c r="H32">
        <v>51108.602524846669</v>
      </c>
      <c r="I32">
        <v>90.12</v>
      </c>
    </row>
    <row r="33" spans="1:9" x14ac:dyDescent="0.2">
      <c r="A33" t="s">
        <v>106</v>
      </c>
      <c r="B33">
        <v>59739184.075714603</v>
      </c>
      <c r="C33">
        <v>71434641.699422106</v>
      </c>
      <c r="D33">
        <v>11695457.623707499</v>
      </c>
      <c r="E33">
        <v>16310583.0297658</v>
      </c>
      <c r="F33">
        <v>10138253.439999999</v>
      </c>
      <c r="G33">
        <v>6172329.5897658002</v>
      </c>
      <c r="H33">
        <v>205744.31965886001</v>
      </c>
      <c r="I33" s="4">
        <v>90.12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9"/>
  <sheetViews>
    <sheetView topLeftCell="E1" workbookViewId="0">
      <selection activeCell="I1" sqref="A1:I1"/>
    </sheetView>
  </sheetViews>
  <sheetFormatPr baseColWidth="10" defaultRowHeight="16" x14ac:dyDescent="0.2"/>
  <sheetData>
    <row r="1" spans="1:9" x14ac:dyDescent="0.2">
      <c r="A1" t="s">
        <v>75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118</v>
      </c>
      <c r="H1" t="s">
        <v>6</v>
      </c>
      <c r="I1" t="s">
        <v>7</v>
      </c>
    </row>
    <row r="2" spans="1:9" x14ac:dyDescent="0.2">
      <c r="A2" t="s">
        <v>76</v>
      </c>
      <c r="B2">
        <v>265</v>
      </c>
      <c r="C2">
        <v>1</v>
      </c>
      <c r="D2">
        <v>1</v>
      </c>
      <c r="E2">
        <v>15</v>
      </c>
      <c r="F2">
        <v>10</v>
      </c>
      <c r="G2">
        <v>1</v>
      </c>
      <c r="H2">
        <v>45.06</v>
      </c>
      <c r="I2">
        <v>49.35</v>
      </c>
    </row>
    <row r="3" spans="1:9" x14ac:dyDescent="0.2">
      <c r="A3" t="s">
        <v>78</v>
      </c>
      <c r="B3">
        <v>265</v>
      </c>
      <c r="C3">
        <v>1</v>
      </c>
      <c r="D3">
        <v>1</v>
      </c>
      <c r="E3">
        <v>30</v>
      </c>
      <c r="F3">
        <v>10</v>
      </c>
      <c r="G3">
        <v>1</v>
      </c>
      <c r="H3">
        <v>45.06</v>
      </c>
      <c r="I3">
        <v>49.35</v>
      </c>
    </row>
    <row r="4" spans="1:9" x14ac:dyDescent="0.2">
      <c r="A4" t="s">
        <v>80</v>
      </c>
      <c r="B4">
        <v>265</v>
      </c>
      <c r="C4">
        <v>1</v>
      </c>
      <c r="D4">
        <v>3</v>
      </c>
      <c r="E4">
        <v>15</v>
      </c>
      <c r="F4">
        <v>10</v>
      </c>
      <c r="G4">
        <v>1</v>
      </c>
      <c r="H4">
        <v>45.06</v>
      </c>
      <c r="I4">
        <v>49.35</v>
      </c>
    </row>
    <row r="5" spans="1:9" x14ac:dyDescent="0.2">
      <c r="A5" t="s">
        <v>81</v>
      </c>
      <c r="B5">
        <v>265</v>
      </c>
      <c r="C5">
        <v>1</v>
      </c>
      <c r="D5">
        <v>3</v>
      </c>
      <c r="E5">
        <v>30</v>
      </c>
      <c r="F5">
        <v>10</v>
      </c>
      <c r="G5">
        <v>1</v>
      </c>
      <c r="H5">
        <v>45.06</v>
      </c>
      <c r="I5">
        <v>49.35</v>
      </c>
    </row>
    <row r="6" spans="1:9" x14ac:dyDescent="0.2">
      <c r="A6" t="s">
        <v>83</v>
      </c>
      <c r="B6">
        <v>265</v>
      </c>
      <c r="C6">
        <v>4</v>
      </c>
      <c r="D6">
        <v>1</v>
      </c>
      <c r="E6">
        <v>15</v>
      </c>
      <c r="F6">
        <v>10</v>
      </c>
      <c r="G6">
        <v>1</v>
      </c>
      <c r="H6">
        <v>45.06</v>
      </c>
      <c r="I6">
        <v>49.35</v>
      </c>
    </row>
    <row r="7" spans="1:9" x14ac:dyDescent="0.2">
      <c r="A7" t="s">
        <v>85</v>
      </c>
      <c r="B7">
        <v>265</v>
      </c>
      <c r="C7">
        <v>4</v>
      </c>
      <c r="D7">
        <v>1</v>
      </c>
      <c r="E7">
        <v>30</v>
      </c>
      <c r="F7">
        <v>10</v>
      </c>
      <c r="G7">
        <v>1</v>
      </c>
      <c r="H7">
        <v>45.06</v>
      </c>
      <c r="I7">
        <v>49.35</v>
      </c>
    </row>
    <row r="8" spans="1:9" x14ac:dyDescent="0.2">
      <c r="A8" t="s">
        <v>87</v>
      </c>
      <c r="B8">
        <v>265</v>
      </c>
      <c r="C8">
        <v>4</v>
      </c>
      <c r="D8">
        <v>3</v>
      </c>
      <c r="E8">
        <v>15</v>
      </c>
      <c r="F8">
        <v>10</v>
      </c>
      <c r="G8">
        <v>1</v>
      </c>
      <c r="H8">
        <v>45.06</v>
      </c>
      <c r="I8">
        <v>49.35</v>
      </c>
    </row>
    <row r="9" spans="1:9" x14ac:dyDescent="0.2">
      <c r="A9" t="s">
        <v>89</v>
      </c>
      <c r="B9">
        <v>265</v>
      </c>
      <c r="C9">
        <v>4</v>
      </c>
      <c r="D9">
        <v>3</v>
      </c>
      <c r="E9">
        <v>30</v>
      </c>
      <c r="F9">
        <v>10</v>
      </c>
      <c r="G9">
        <v>1</v>
      </c>
      <c r="H9">
        <v>45.06</v>
      </c>
      <c r="I9">
        <v>49.35</v>
      </c>
    </row>
    <row r="10" spans="1:9" x14ac:dyDescent="0.2">
      <c r="A10" t="s">
        <v>91</v>
      </c>
      <c r="B10">
        <v>265</v>
      </c>
      <c r="C10">
        <v>1</v>
      </c>
      <c r="D10">
        <v>1</v>
      </c>
      <c r="E10">
        <v>15</v>
      </c>
      <c r="F10">
        <v>30</v>
      </c>
      <c r="G10">
        <v>1</v>
      </c>
      <c r="H10">
        <v>45.06</v>
      </c>
      <c r="I10">
        <v>49.35</v>
      </c>
    </row>
    <row r="11" spans="1:9" x14ac:dyDescent="0.2">
      <c r="A11" t="s">
        <v>93</v>
      </c>
      <c r="B11">
        <v>265</v>
      </c>
      <c r="C11">
        <v>1</v>
      </c>
      <c r="D11">
        <v>1</v>
      </c>
      <c r="E11">
        <v>30</v>
      </c>
      <c r="F11">
        <v>30</v>
      </c>
      <c r="G11">
        <v>1</v>
      </c>
      <c r="H11">
        <v>45.06</v>
      </c>
      <c r="I11">
        <v>49.35</v>
      </c>
    </row>
    <row r="12" spans="1:9" x14ac:dyDescent="0.2">
      <c r="A12" t="s">
        <v>95</v>
      </c>
      <c r="B12">
        <v>265</v>
      </c>
      <c r="C12">
        <v>1</v>
      </c>
      <c r="D12">
        <v>3</v>
      </c>
      <c r="E12">
        <v>15</v>
      </c>
      <c r="F12">
        <v>30</v>
      </c>
      <c r="G12">
        <v>1</v>
      </c>
      <c r="H12">
        <v>45.06</v>
      </c>
      <c r="I12">
        <v>49.35</v>
      </c>
    </row>
    <row r="13" spans="1:9" x14ac:dyDescent="0.2">
      <c r="A13" t="s">
        <v>97</v>
      </c>
      <c r="B13">
        <v>265</v>
      </c>
      <c r="C13">
        <v>1</v>
      </c>
      <c r="D13">
        <v>3</v>
      </c>
      <c r="E13">
        <v>30</v>
      </c>
      <c r="F13">
        <v>30</v>
      </c>
      <c r="G13">
        <v>1</v>
      </c>
      <c r="H13">
        <v>45.06</v>
      </c>
      <c r="I13">
        <v>49.35</v>
      </c>
    </row>
    <row r="14" spans="1:9" x14ac:dyDescent="0.2">
      <c r="A14" t="s">
        <v>99</v>
      </c>
      <c r="B14">
        <v>265</v>
      </c>
      <c r="C14">
        <v>4</v>
      </c>
      <c r="D14">
        <v>1</v>
      </c>
      <c r="E14">
        <v>15</v>
      </c>
      <c r="F14">
        <v>30</v>
      </c>
      <c r="G14">
        <v>1</v>
      </c>
      <c r="H14">
        <v>45.06</v>
      </c>
      <c r="I14">
        <v>49.35</v>
      </c>
    </row>
    <row r="15" spans="1:9" x14ac:dyDescent="0.2">
      <c r="A15" t="s">
        <v>101</v>
      </c>
      <c r="B15">
        <v>265</v>
      </c>
      <c r="C15">
        <v>4</v>
      </c>
      <c r="D15">
        <v>1</v>
      </c>
      <c r="E15">
        <v>30</v>
      </c>
      <c r="F15">
        <v>30</v>
      </c>
      <c r="G15">
        <v>1</v>
      </c>
      <c r="H15">
        <v>45.06</v>
      </c>
      <c r="I15">
        <v>49.35</v>
      </c>
    </row>
    <row r="16" spans="1:9" x14ac:dyDescent="0.2">
      <c r="A16" t="s">
        <v>103</v>
      </c>
      <c r="B16">
        <v>265</v>
      </c>
      <c r="C16">
        <v>4</v>
      </c>
      <c r="D16">
        <v>3</v>
      </c>
      <c r="E16">
        <v>15</v>
      </c>
      <c r="F16">
        <v>30</v>
      </c>
      <c r="G16">
        <v>1</v>
      </c>
      <c r="H16">
        <v>45.06</v>
      </c>
      <c r="I16">
        <v>49.35</v>
      </c>
    </row>
    <row r="17" spans="1:9" x14ac:dyDescent="0.2">
      <c r="A17" t="s">
        <v>105</v>
      </c>
      <c r="B17">
        <v>265</v>
      </c>
      <c r="C17">
        <v>4</v>
      </c>
      <c r="D17">
        <v>3</v>
      </c>
      <c r="E17">
        <v>30</v>
      </c>
      <c r="F17">
        <v>30</v>
      </c>
      <c r="G17">
        <v>1</v>
      </c>
      <c r="H17">
        <v>45.06</v>
      </c>
      <c r="I17">
        <v>49.35</v>
      </c>
    </row>
    <row r="18" spans="1:9" x14ac:dyDescent="0.2">
      <c r="A18" t="s">
        <v>107</v>
      </c>
      <c r="B18">
        <v>265</v>
      </c>
      <c r="C18">
        <v>1</v>
      </c>
      <c r="D18">
        <v>1</v>
      </c>
      <c r="E18">
        <v>15</v>
      </c>
      <c r="F18">
        <v>10</v>
      </c>
      <c r="G18">
        <v>1</v>
      </c>
      <c r="H18">
        <v>45.06</v>
      </c>
      <c r="I18">
        <v>49.35</v>
      </c>
    </row>
    <row r="19" spans="1:9" x14ac:dyDescent="0.2">
      <c r="A19" t="s">
        <v>109</v>
      </c>
      <c r="B19">
        <v>265</v>
      </c>
      <c r="C19">
        <v>1</v>
      </c>
      <c r="D19">
        <v>1</v>
      </c>
      <c r="E19">
        <v>30</v>
      </c>
      <c r="F19">
        <v>10</v>
      </c>
      <c r="G19">
        <v>1</v>
      </c>
      <c r="H19">
        <v>45.06</v>
      </c>
      <c r="I19">
        <v>49.35</v>
      </c>
    </row>
    <row r="20" spans="1:9" x14ac:dyDescent="0.2">
      <c r="A20" t="s">
        <v>111</v>
      </c>
      <c r="B20">
        <v>265</v>
      </c>
      <c r="C20">
        <v>1</v>
      </c>
      <c r="D20">
        <v>3</v>
      </c>
      <c r="E20">
        <v>15</v>
      </c>
      <c r="F20">
        <v>10</v>
      </c>
      <c r="G20">
        <v>1</v>
      </c>
      <c r="H20">
        <v>45.06</v>
      </c>
      <c r="I20">
        <v>49.35</v>
      </c>
    </row>
    <row r="21" spans="1:9" x14ac:dyDescent="0.2">
      <c r="A21" t="s">
        <v>113</v>
      </c>
      <c r="B21">
        <v>265</v>
      </c>
      <c r="C21">
        <v>1</v>
      </c>
      <c r="D21">
        <v>3</v>
      </c>
      <c r="E21">
        <v>30</v>
      </c>
      <c r="F21">
        <v>10</v>
      </c>
      <c r="G21">
        <v>1</v>
      </c>
      <c r="H21">
        <v>45.06</v>
      </c>
      <c r="I21">
        <v>49.35</v>
      </c>
    </row>
    <row r="22" spans="1:9" x14ac:dyDescent="0.2">
      <c r="A22" t="s">
        <v>115</v>
      </c>
      <c r="B22">
        <v>265</v>
      </c>
      <c r="C22">
        <v>4</v>
      </c>
      <c r="D22">
        <v>1</v>
      </c>
      <c r="E22">
        <v>15</v>
      </c>
      <c r="F22">
        <v>10</v>
      </c>
      <c r="G22">
        <v>1</v>
      </c>
      <c r="H22">
        <v>45.06</v>
      </c>
      <c r="I22">
        <v>49.35</v>
      </c>
    </row>
    <row r="23" spans="1:9" x14ac:dyDescent="0.2">
      <c r="A23" t="s">
        <v>117</v>
      </c>
      <c r="B23">
        <v>265</v>
      </c>
      <c r="C23">
        <v>4</v>
      </c>
      <c r="D23">
        <v>1</v>
      </c>
      <c r="E23">
        <v>30</v>
      </c>
      <c r="F23">
        <v>10</v>
      </c>
      <c r="G23">
        <v>1</v>
      </c>
      <c r="H23">
        <v>45.06</v>
      </c>
      <c r="I23">
        <v>49.35</v>
      </c>
    </row>
    <row r="24" spans="1:9" x14ac:dyDescent="0.2">
      <c r="A24" t="s">
        <v>77</v>
      </c>
      <c r="B24">
        <v>265</v>
      </c>
      <c r="C24">
        <v>1</v>
      </c>
      <c r="D24">
        <v>1</v>
      </c>
      <c r="E24">
        <v>15</v>
      </c>
      <c r="F24">
        <v>10</v>
      </c>
      <c r="G24">
        <v>2</v>
      </c>
      <c r="H24">
        <v>90.12</v>
      </c>
      <c r="I24">
        <v>98.7</v>
      </c>
    </row>
    <row r="25" spans="1:9" x14ac:dyDescent="0.2">
      <c r="A25" t="s">
        <v>79</v>
      </c>
      <c r="B25">
        <v>265</v>
      </c>
      <c r="C25">
        <v>1</v>
      </c>
      <c r="D25">
        <v>1</v>
      </c>
      <c r="E25">
        <v>30</v>
      </c>
      <c r="F25">
        <v>10</v>
      </c>
      <c r="G25">
        <v>2</v>
      </c>
      <c r="H25">
        <v>90.12</v>
      </c>
      <c r="I25">
        <v>98.7</v>
      </c>
    </row>
    <row r="26" spans="1:9" x14ac:dyDescent="0.2">
      <c r="A26" t="s">
        <v>42</v>
      </c>
      <c r="B26">
        <v>265</v>
      </c>
      <c r="C26">
        <v>1</v>
      </c>
      <c r="D26">
        <v>3</v>
      </c>
      <c r="E26">
        <v>15</v>
      </c>
      <c r="F26">
        <v>10</v>
      </c>
      <c r="G26">
        <v>2</v>
      </c>
      <c r="H26">
        <v>90.12</v>
      </c>
      <c r="I26">
        <v>98.7</v>
      </c>
    </row>
    <row r="27" spans="1:9" x14ac:dyDescent="0.2">
      <c r="A27" t="s">
        <v>82</v>
      </c>
      <c r="B27">
        <v>265</v>
      </c>
      <c r="C27">
        <v>1</v>
      </c>
      <c r="D27">
        <v>3</v>
      </c>
      <c r="E27">
        <v>30</v>
      </c>
      <c r="F27">
        <v>10</v>
      </c>
      <c r="G27">
        <v>2</v>
      </c>
      <c r="H27">
        <v>90.12</v>
      </c>
      <c r="I27">
        <v>98.7</v>
      </c>
    </row>
    <row r="28" spans="1:9" x14ac:dyDescent="0.2">
      <c r="A28" t="s">
        <v>84</v>
      </c>
      <c r="B28">
        <v>265</v>
      </c>
      <c r="C28">
        <v>4</v>
      </c>
      <c r="D28">
        <v>1</v>
      </c>
      <c r="E28">
        <v>15</v>
      </c>
      <c r="F28">
        <v>10</v>
      </c>
      <c r="G28">
        <v>2</v>
      </c>
      <c r="H28">
        <v>90.12</v>
      </c>
      <c r="I28">
        <v>98.7</v>
      </c>
    </row>
    <row r="29" spans="1:9" x14ac:dyDescent="0.2">
      <c r="A29" t="s">
        <v>86</v>
      </c>
      <c r="B29">
        <v>265</v>
      </c>
      <c r="C29">
        <v>4</v>
      </c>
      <c r="D29">
        <v>1</v>
      </c>
      <c r="E29">
        <v>30</v>
      </c>
      <c r="F29">
        <v>10</v>
      </c>
      <c r="G29">
        <v>2</v>
      </c>
      <c r="H29">
        <v>90.12</v>
      </c>
      <c r="I29">
        <v>98.7</v>
      </c>
    </row>
    <row r="30" spans="1:9" x14ac:dyDescent="0.2">
      <c r="A30" t="s">
        <v>88</v>
      </c>
      <c r="B30">
        <v>265</v>
      </c>
      <c r="C30">
        <v>4</v>
      </c>
      <c r="D30">
        <v>3</v>
      </c>
      <c r="E30">
        <v>15</v>
      </c>
      <c r="F30">
        <v>10</v>
      </c>
      <c r="G30">
        <v>2</v>
      </c>
      <c r="H30">
        <v>90.12</v>
      </c>
      <c r="I30">
        <v>98.7</v>
      </c>
    </row>
    <row r="31" spans="1:9" x14ac:dyDescent="0.2">
      <c r="A31" t="s">
        <v>90</v>
      </c>
      <c r="B31">
        <v>265</v>
      </c>
      <c r="C31">
        <v>4</v>
      </c>
      <c r="D31">
        <v>3</v>
      </c>
      <c r="E31">
        <v>30</v>
      </c>
      <c r="F31">
        <v>10</v>
      </c>
      <c r="G31">
        <v>2</v>
      </c>
      <c r="H31">
        <v>90.12</v>
      </c>
      <c r="I31">
        <v>98.7</v>
      </c>
    </row>
    <row r="32" spans="1:9" x14ac:dyDescent="0.2">
      <c r="A32" t="s">
        <v>92</v>
      </c>
      <c r="B32">
        <v>265</v>
      </c>
      <c r="C32">
        <v>1</v>
      </c>
      <c r="D32">
        <v>1</v>
      </c>
      <c r="E32">
        <v>15</v>
      </c>
      <c r="F32">
        <v>30</v>
      </c>
      <c r="G32">
        <v>2</v>
      </c>
      <c r="H32">
        <v>90.12</v>
      </c>
      <c r="I32">
        <v>98.7</v>
      </c>
    </row>
    <row r="33" spans="1:9" x14ac:dyDescent="0.2">
      <c r="A33" t="s">
        <v>94</v>
      </c>
      <c r="B33">
        <v>265</v>
      </c>
      <c r="C33">
        <v>1</v>
      </c>
      <c r="D33">
        <v>1</v>
      </c>
      <c r="E33">
        <v>30</v>
      </c>
      <c r="F33">
        <v>30</v>
      </c>
      <c r="G33">
        <v>2</v>
      </c>
      <c r="H33">
        <v>90.12</v>
      </c>
      <c r="I33">
        <v>98.7</v>
      </c>
    </row>
    <row r="34" spans="1:9" x14ac:dyDescent="0.2">
      <c r="A34" t="s">
        <v>96</v>
      </c>
      <c r="B34">
        <v>265</v>
      </c>
      <c r="C34">
        <v>1</v>
      </c>
      <c r="D34">
        <v>3</v>
      </c>
      <c r="E34">
        <v>15</v>
      </c>
      <c r="F34">
        <v>30</v>
      </c>
      <c r="G34">
        <v>2</v>
      </c>
      <c r="H34">
        <v>90.12</v>
      </c>
      <c r="I34">
        <v>98.7</v>
      </c>
    </row>
    <row r="35" spans="1:9" x14ac:dyDescent="0.2">
      <c r="A35" t="s">
        <v>98</v>
      </c>
      <c r="B35">
        <v>265</v>
      </c>
      <c r="C35">
        <v>1</v>
      </c>
      <c r="D35">
        <v>3</v>
      </c>
      <c r="E35">
        <v>30</v>
      </c>
      <c r="F35">
        <v>30</v>
      </c>
      <c r="G35">
        <v>2</v>
      </c>
      <c r="H35">
        <v>90.12</v>
      </c>
      <c r="I35">
        <v>98.7</v>
      </c>
    </row>
    <row r="36" spans="1:9" x14ac:dyDescent="0.2">
      <c r="A36" t="s">
        <v>100</v>
      </c>
      <c r="B36">
        <v>265</v>
      </c>
      <c r="C36">
        <v>4</v>
      </c>
      <c r="D36">
        <v>1</v>
      </c>
      <c r="E36">
        <v>15</v>
      </c>
      <c r="F36">
        <v>30</v>
      </c>
      <c r="G36">
        <v>2</v>
      </c>
      <c r="H36">
        <v>90.12</v>
      </c>
      <c r="I36">
        <v>98.7</v>
      </c>
    </row>
    <row r="37" spans="1:9" x14ac:dyDescent="0.2">
      <c r="A37" t="s">
        <v>102</v>
      </c>
      <c r="B37">
        <v>265</v>
      </c>
      <c r="C37">
        <v>4</v>
      </c>
      <c r="D37">
        <v>1</v>
      </c>
      <c r="E37">
        <v>30</v>
      </c>
      <c r="F37">
        <v>30</v>
      </c>
      <c r="G37">
        <v>2</v>
      </c>
      <c r="H37">
        <v>90.12</v>
      </c>
      <c r="I37">
        <v>98.7</v>
      </c>
    </row>
    <row r="38" spans="1:9" x14ac:dyDescent="0.2">
      <c r="A38" t="s">
        <v>104</v>
      </c>
      <c r="B38">
        <v>265</v>
      </c>
      <c r="C38">
        <v>4</v>
      </c>
      <c r="D38">
        <v>3</v>
      </c>
      <c r="E38">
        <v>15</v>
      </c>
      <c r="F38">
        <v>30</v>
      </c>
      <c r="G38">
        <v>2</v>
      </c>
      <c r="H38">
        <v>90.12</v>
      </c>
      <c r="I38">
        <v>98.7</v>
      </c>
    </row>
    <row r="39" spans="1:9" x14ac:dyDescent="0.2">
      <c r="A39" t="s">
        <v>106</v>
      </c>
      <c r="B39">
        <v>265</v>
      </c>
      <c r="C39">
        <v>4</v>
      </c>
      <c r="D39">
        <v>3</v>
      </c>
      <c r="E39">
        <v>30</v>
      </c>
      <c r="F39">
        <v>30</v>
      </c>
      <c r="G39">
        <v>2</v>
      </c>
      <c r="H39">
        <v>90.12</v>
      </c>
      <c r="I39">
        <v>98.7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28"/>
  <sheetViews>
    <sheetView topLeftCell="Z1" workbookViewId="0">
      <selection activeCell="K179" sqref="K179"/>
    </sheetView>
  </sheetViews>
  <sheetFormatPr baseColWidth="10" defaultRowHeight="16" x14ac:dyDescent="0.2"/>
  <cols>
    <col min="2" max="2" width="23.5" bestFit="1" customWidth="1"/>
    <col min="3" max="3" width="12.6640625" bestFit="1" customWidth="1"/>
    <col min="4" max="4" width="18" bestFit="1" customWidth="1"/>
    <col min="5" max="5" width="13.6640625" bestFit="1" customWidth="1"/>
    <col min="6" max="6" width="13.1640625" bestFit="1" customWidth="1"/>
    <col min="9" max="9" width="28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27</v>
      </c>
      <c r="K1" t="s">
        <v>28</v>
      </c>
      <c r="L1" t="s">
        <v>29</v>
      </c>
      <c r="M1" t="s">
        <v>17</v>
      </c>
      <c r="N1" t="s">
        <v>18</v>
      </c>
      <c r="O1" t="s">
        <v>19</v>
      </c>
      <c r="P1" t="s">
        <v>20</v>
      </c>
      <c r="Q1" t="s">
        <v>59</v>
      </c>
      <c r="R1" t="s">
        <v>21</v>
      </c>
      <c r="S1" t="s">
        <v>22</v>
      </c>
      <c r="T1" t="s">
        <v>23</v>
      </c>
      <c r="U1" t="s">
        <v>26</v>
      </c>
      <c r="V1" t="s">
        <v>60</v>
      </c>
      <c r="W1" t="s">
        <v>24</v>
      </c>
      <c r="X1" t="s">
        <v>25</v>
      </c>
    </row>
    <row r="2" spans="1:24" x14ac:dyDescent="0.2">
      <c r="A2">
        <v>265</v>
      </c>
      <c r="B2">
        <v>10</v>
      </c>
      <c r="C2">
        <v>1</v>
      </c>
      <c r="D2">
        <v>1</v>
      </c>
      <c r="E2">
        <v>15</v>
      </c>
      <c r="F2">
        <v>10</v>
      </c>
      <c r="G2">
        <v>45.06</v>
      </c>
      <c r="H2">
        <v>49.35</v>
      </c>
      <c r="I2">
        <v>0.3</v>
      </c>
      <c r="J2">
        <v>233027</v>
      </c>
      <c r="K2">
        <v>116922</v>
      </c>
      <c r="L2">
        <f>SUM(J2:K2)</f>
        <v>349949</v>
      </c>
      <c r="M2">
        <v>32013291.439649198</v>
      </c>
      <c r="N2">
        <v>13669087.935521601</v>
      </c>
      <c r="O2">
        <v>-18344203.504127599</v>
      </c>
      <c r="P2">
        <v>1929535.4806673899</v>
      </c>
      <c r="Q2">
        <f>P2/E2</f>
        <v>128635.69871115933</v>
      </c>
      <c r="R2">
        <v>0</v>
      </c>
      <c r="S2">
        <v>2854300.44741912</v>
      </c>
      <c r="T2">
        <v>3303475.8399999901</v>
      </c>
      <c r="U2">
        <f>S2-T2</f>
        <v>-449175.39258087007</v>
      </c>
      <c r="V2">
        <f>U2/F2</f>
        <v>-44917.53925808701</v>
      </c>
      <c r="W2">
        <v>29</v>
      </c>
      <c r="X2">
        <v>242</v>
      </c>
    </row>
    <row r="3" spans="1:24" x14ac:dyDescent="0.2">
      <c r="A3">
        <v>265</v>
      </c>
      <c r="B3">
        <v>10</v>
      </c>
      <c r="C3">
        <v>1</v>
      </c>
      <c r="D3">
        <v>1</v>
      </c>
      <c r="E3">
        <v>15</v>
      </c>
      <c r="F3">
        <v>10</v>
      </c>
      <c r="G3">
        <v>90.12</v>
      </c>
      <c r="H3">
        <v>98.7</v>
      </c>
      <c r="I3">
        <v>0.3</v>
      </c>
      <c r="J3">
        <v>233093</v>
      </c>
      <c r="K3">
        <v>116761</v>
      </c>
      <c r="L3">
        <f t="shared" ref="L3:L33" si="0">SUM(J3:K3)</f>
        <v>349854</v>
      </c>
      <c r="M3">
        <v>32158330.651666999</v>
      </c>
      <c r="N3">
        <v>24334071.243900001</v>
      </c>
      <c r="O3">
        <v>-7824259.4077669401</v>
      </c>
      <c r="P3">
        <v>2059643.6396972199</v>
      </c>
      <c r="Q3">
        <f t="shared" ref="Q3:Q33" si="1">P3/E3</f>
        <v>137309.57597981466</v>
      </c>
      <c r="R3">
        <v>0</v>
      </c>
      <c r="S3">
        <v>5708600.89483824</v>
      </c>
      <c r="T3">
        <v>3417388.79999999</v>
      </c>
      <c r="U3">
        <f t="shared" ref="U3:U33" si="2">S3-T3</f>
        <v>2291212.09483825</v>
      </c>
      <c r="V3">
        <f t="shared" ref="V3:V33" si="3">U3/F3</f>
        <v>229121.20948382499</v>
      </c>
      <c r="W3">
        <v>30</v>
      </c>
      <c r="X3">
        <v>242</v>
      </c>
    </row>
    <row r="4" spans="1:24" x14ac:dyDescent="0.2">
      <c r="A4">
        <v>265</v>
      </c>
      <c r="B4">
        <v>10</v>
      </c>
      <c r="C4">
        <v>1</v>
      </c>
      <c r="D4">
        <v>1</v>
      </c>
      <c r="E4">
        <v>30</v>
      </c>
      <c r="F4">
        <v>10</v>
      </c>
      <c r="G4">
        <v>45.06</v>
      </c>
      <c r="H4">
        <v>49.35</v>
      </c>
      <c r="I4">
        <v>0.3</v>
      </c>
      <c r="J4">
        <v>230505</v>
      </c>
      <c r="K4">
        <v>111447</v>
      </c>
      <c r="L4">
        <f t="shared" si="0"/>
        <v>341952</v>
      </c>
      <c r="M4">
        <v>36017986.831419297</v>
      </c>
      <c r="N4">
        <v>18617268.7772009</v>
      </c>
      <c r="O4">
        <v>-17400718.0542183</v>
      </c>
      <c r="P4">
        <v>1891800.60099817</v>
      </c>
      <c r="Q4">
        <f t="shared" si="1"/>
        <v>63060.020033272333</v>
      </c>
      <c r="R4">
        <v>58709.1250899999</v>
      </c>
      <c r="S4">
        <v>5276152.1540186601</v>
      </c>
      <c r="T4">
        <v>3303475.8399999901</v>
      </c>
      <c r="U4">
        <f t="shared" si="2"/>
        <v>1972676.31401867</v>
      </c>
      <c r="V4">
        <f t="shared" si="3"/>
        <v>197267.63140186699</v>
      </c>
      <c r="W4">
        <v>29</v>
      </c>
      <c r="X4">
        <v>57</v>
      </c>
    </row>
    <row r="5" spans="1:24" x14ac:dyDescent="0.2">
      <c r="A5">
        <v>265</v>
      </c>
      <c r="B5">
        <v>10</v>
      </c>
      <c r="C5">
        <v>1</v>
      </c>
      <c r="D5">
        <v>1</v>
      </c>
      <c r="E5">
        <v>30</v>
      </c>
      <c r="F5">
        <v>10</v>
      </c>
      <c r="G5">
        <v>90.12</v>
      </c>
      <c r="H5">
        <v>98.7</v>
      </c>
      <c r="I5">
        <v>0.3</v>
      </c>
      <c r="J5">
        <v>230671</v>
      </c>
      <c r="K5">
        <v>111431</v>
      </c>
      <c r="L5">
        <f t="shared" si="0"/>
        <v>342102</v>
      </c>
      <c r="M5">
        <v>35968086.221370302</v>
      </c>
      <c r="N5">
        <v>34552204.271637604</v>
      </c>
      <c r="O5">
        <v>-1415881.9497326899</v>
      </c>
      <c r="P5">
        <v>2204576.2840889199</v>
      </c>
      <c r="Q5">
        <f t="shared" si="1"/>
        <v>73485.876136297331</v>
      </c>
      <c r="R5">
        <v>58709.1250899999</v>
      </c>
      <c r="S5">
        <v>10552304.3080373</v>
      </c>
      <c r="T5">
        <v>3417388.79999999</v>
      </c>
      <c r="U5">
        <f t="shared" si="2"/>
        <v>7134915.5080373101</v>
      </c>
      <c r="V5">
        <f t="shared" si="3"/>
        <v>713491.55080373096</v>
      </c>
      <c r="W5">
        <v>30</v>
      </c>
      <c r="X5">
        <v>57</v>
      </c>
    </row>
    <row r="6" spans="1:24" x14ac:dyDescent="0.2">
      <c r="A6">
        <v>265</v>
      </c>
      <c r="B6">
        <v>10</v>
      </c>
      <c r="C6">
        <v>1</v>
      </c>
      <c r="D6">
        <v>3</v>
      </c>
      <c r="E6">
        <v>15</v>
      </c>
      <c r="F6">
        <v>10</v>
      </c>
      <c r="G6">
        <v>45.06</v>
      </c>
      <c r="H6">
        <v>49.35</v>
      </c>
      <c r="I6">
        <v>0.3</v>
      </c>
      <c r="J6">
        <v>232202</v>
      </c>
      <c r="K6">
        <v>117211</v>
      </c>
      <c r="L6">
        <f t="shared" si="0"/>
        <v>349413</v>
      </c>
      <c r="M6">
        <v>32261388.9861346</v>
      </c>
      <c r="N6">
        <v>14280750.159051601</v>
      </c>
      <c r="O6">
        <v>-17980638.827082999</v>
      </c>
      <c r="P6">
        <v>2183313.2873257101</v>
      </c>
      <c r="Q6">
        <f t="shared" si="1"/>
        <v>145554.21915504735</v>
      </c>
      <c r="R6">
        <v>0</v>
      </c>
      <c r="S6">
        <v>3541708.8077705898</v>
      </c>
      <c r="T6">
        <v>3303475.8399999901</v>
      </c>
      <c r="U6">
        <f t="shared" si="2"/>
        <v>238232.96777059976</v>
      </c>
      <c r="V6">
        <f t="shared" si="3"/>
        <v>23823.296777059975</v>
      </c>
      <c r="W6">
        <v>29</v>
      </c>
      <c r="X6">
        <v>224</v>
      </c>
    </row>
    <row r="7" spans="1:24" x14ac:dyDescent="0.2">
      <c r="A7">
        <v>265</v>
      </c>
      <c r="B7">
        <v>10</v>
      </c>
      <c r="C7">
        <v>1</v>
      </c>
      <c r="D7">
        <v>3</v>
      </c>
      <c r="E7">
        <v>15</v>
      </c>
      <c r="F7">
        <v>10</v>
      </c>
      <c r="G7">
        <v>90.12</v>
      </c>
      <c r="H7">
        <v>98.7</v>
      </c>
      <c r="I7">
        <v>0.3</v>
      </c>
      <c r="J7">
        <v>232147</v>
      </c>
      <c r="K7">
        <v>117210</v>
      </c>
      <c r="L7">
        <f t="shared" si="0"/>
        <v>349357</v>
      </c>
      <c r="M7">
        <v>32270993.364936799</v>
      </c>
      <c r="N7">
        <v>25574946.229021698</v>
      </c>
      <c r="O7">
        <v>-6696047.13591504</v>
      </c>
      <c r="P7">
        <v>2179119.7783907098</v>
      </c>
      <c r="Q7">
        <f t="shared" si="1"/>
        <v>145274.651892714</v>
      </c>
      <c r="R7">
        <v>0</v>
      </c>
      <c r="S7">
        <v>7083417.6155411899</v>
      </c>
      <c r="T7">
        <v>3417388.79999999</v>
      </c>
      <c r="U7">
        <f t="shared" si="2"/>
        <v>3666028.8155411999</v>
      </c>
      <c r="V7">
        <f t="shared" si="3"/>
        <v>366602.88155411999</v>
      </c>
      <c r="W7">
        <v>30</v>
      </c>
      <c r="X7">
        <v>224</v>
      </c>
    </row>
    <row r="8" spans="1:24" x14ac:dyDescent="0.2">
      <c r="A8">
        <v>265</v>
      </c>
      <c r="B8">
        <v>10</v>
      </c>
      <c r="C8">
        <v>1</v>
      </c>
      <c r="D8">
        <v>3</v>
      </c>
      <c r="E8">
        <v>30</v>
      </c>
      <c r="F8">
        <v>10</v>
      </c>
      <c r="G8">
        <v>45.06</v>
      </c>
      <c r="H8">
        <v>49.35</v>
      </c>
      <c r="I8">
        <v>0.3</v>
      </c>
      <c r="J8">
        <v>230508</v>
      </c>
      <c r="K8">
        <v>108966</v>
      </c>
      <c r="L8">
        <f t="shared" si="0"/>
        <v>339474</v>
      </c>
      <c r="M8">
        <v>35208089.766689397</v>
      </c>
      <c r="N8">
        <v>17274192.549144398</v>
      </c>
      <c r="O8">
        <v>-17933897.217544898</v>
      </c>
      <c r="P8">
        <v>2749387.3966538599</v>
      </c>
      <c r="Q8">
        <f t="shared" si="1"/>
        <v>91646.246555128659</v>
      </c>
      <c r="R8">
        <v>58709.125090000001</v>
      </c>
      <c r="S8">
        <v>5555419.1405721698</v>
      </c>
      <c r="T8">
        <v>3303475.8399999901</v>
      </c>
      <c r="U8">
        <f t="shared" si="2"/>
        <v>2251943.3005721797</v>
      </c>
      <c r="V8">
        <f t="shared" si="3"/>
        <v>225194.33005721797</v>
      </c>
      <c r="W8">
        <v>29</v>
      </c>
      <c r="X8">
        <v>89</v>
      </c>
    </row>
    <row r="9" spans="1:24" x14ac:dyDescent="0.2">
      <c r="A9">
        <v>265</v>
      </c>
      <c r="B9">
        <v>10</v>
      </c>
      <c r="C9">
        <v>1</v>
      </c>
      <c r="D9">
        <v>3</v>
      </c>
      <c r="E9">
        <v>30</v>
      </c>
      <c r="F9">
        <v>10</v>
      </c>
      <c r="G9">
        <v>90.12</v>
      </c>
      <c r="H9">
        <v>98.7</v>
      </c>
      <c r="I9">
        <v>0.3</v>
      </c>
      <c r="J9">
        <v>230425</v>
      </c>
      <c r="K9">
        <v>108962</v>
      </c>
      <c r="L9">
        <f t="shared" si="0"/>
        <v>339387</v>
      </c>
      <c r="M9">
        <v>35181414.376074404</v>
      </c>
      <c r="N9">
        <v>31751240.718002301</v>
      </c>
      <c r="O9">
        <v>-3430173.6580720502</v>
      </c>
      <c r="P9">
        <v>3008687.7412327202</v>
      </c>
      <c r="Q9">
        <f t="shared" si="1"/>
        <v>100289.59137442401</v>
      </c>
      <c r="R9">
        <v>58709.125090000001</v>
      </c>
      <c r="S9">
        <v>11110838.2811443</v>
      </c>
      <c r="T9">
        <v>3417388.79999999</v>
      </c>
      <c r="U9">
        <f t="shared" si="2"/>
        <v>7693449.4811443109</v>
      </c>
      <c r="V9">
        <f t="shared" si="3"/>
        <v>769344.94811443111</v>
      </c>
      <c r="W9">
        <v>30</v>
      </c>
      <c r="X9">
        <v>91</v>
      </c>
    </row>
    <row r="10" spans="1:24" x14ac:dyDescent="0.2">
      <c r="A10">
        <v>265</v>
      </c>
      <c r="B10">
        <v>10</v>
      </c>
      <c r="C10">
        <v>4</v>
      </c>
      <c r="D10">
        <v>1</v>
      </c>
      <c r="E10">
        <v>15</v>
      </c>
      <c r="F10">
        <v>10</v>
      </c>
      <c r="G10">
        <v>45.06</v>
      </c>
      <c r="H10">
        <v>49.35</v>
      </c>
      <c r="I10">
        <v>0.3</v>
      </c>
      <c r="J10">
        <v>232684</v>
      </c>
      <c r="K10">
        <v>116330</v>
      </c>
      <c r="L10">
        <f t="shared" si="0"/>
        <v>349014</v>
      </c>
      <c r="M10">
        <v>33502289.924249001</v>
      </c>
      <c r="N10">
        <v>15027102.4151637</v>
      </c>
      <c r="O10">
        <v>-18475187.509085301</v>
      </c>
      <c r="P10">
        <v>2393621.50108886</v>
      </c>
      <c r="Q10">
        <f t="shared" si="1"/>
        <v>159574.76673925732</v>
      </c>
      <c r="R10">
        <v>0</v>
      </c>
      <c r="S10">
        <v>3739077.3759767199</v>
      </c>
      <c r="T10">
        <v>3303475.8399999901</v>
      </c>
      <c r="U10">
        <f t="shared" si="2"/>
        <v>435601.53597672982</v>
      </c>
      <c r="V10">
        <f t="shared" si="3"/>
        <v>43560.153597672979</v>
      </c>
      <c r="W10">
        <v>29</v>
      </c>
      <c r="X10">
        <v>250</v>
      </c>
    </row>
    <row r="11" spans="1:24" x14ac:dyDescent="0.2">
      <c r="A11">
        <v>265</v>
      </c>
      <c r="B11">
        <v>10</v>
      </c>
      <c r="C11">
        <v>4</v>
      </c>
      <c r="D11">
        <v>1</v>
      </c>
      <c r="E11">
        <v>15</v>
      </c>
      <c r="F11">
        <v>10</v>
      </c>
      <c r="G11">
        <v>90.12</v>
      </c>
      <c r="H11">
        <v>98.7</v>
      </c>
      <c r="I11">
        <v>0.3</v>
      </c>
      <c r="J11">
        <v>232916</v>
      </c>
      <c r="K11">
        <v>116280</v>
      </c>
      <c r="L11">
        <f t="shared" si="0"/>
        <v>349196</v>
      </c>
      <c r="M11">
        <v>33580032.230374299</v>
      </c>
      <c r="N11">
        <v>27254184.135608699</v>
      </c>
      <c r="O11">
        <v>-6325848.0947655402</v>
      </c>
      <c r="P11">
        <v>2393621.50108886</v>
      </c>
      <c r="Q11">
        <f t="shared" si="1"/>
        <v>159574.76673925732</v>
      </c>
      <c r="R11">
        <v>0</v>
      </c>
      <c r="S11">
        <v>7478154.75195345</v>
      </c>
      <c r="T11">
        <v>3417388.79999999</v>
      </c>
      <c r="U11">
        <f t="shared" si="2"/>
        <v>4060765.95195346</v>
      </c>
      <c r="V11">
        <f t="shared" si="3"/>
        <v>406076.59519534599</v>
      </c>
      <c r="W11">
        <v>30</v>
      </c>
      <c r="X11">
        <v>250</v>
      </c>
    </row>
    <row r="12" spans="1:24" x14ac:dyDescent="0.2">
      <c r="A12">
        <v>265</v>
      </c>
      <c r="B12">
        <v>10</v>
      </c>
      <c r="C12">
        <v>4</v>
      </c>
      <c r="D12">
        <v>1</v>
      </c>
      <c r="E12">
        <v>30</v>
      </c>
      <c r="F12">
        <v>10</v>
      </c>
      <c r="G12">
        <v>45.06</v>
      </c>
      <c r="H12">
        <v>49.35</v>
      </c>
      <c r="I12">
        <v>0.3</v>
      </c>
      <c r="J12">
        <v>235124</v>
      </c>
      <c r="K12">
        <v>116581</v>
      </c>
      <c r="L12">
        <f t="shared" si="0"/>
        <v>351705</v>
      </c>
      <c r="M12">
        <v>38035410.462154403</v>
      </c>
      <c r="N12">
        <v>18188488.7728904</v>
      </c>
      <c r="O12">
        <v>-19846921.689263899</v>
      </c>
      <c r="P12">
        <v>2580610.77446971</v>
      </c>
      <c r="Q12">
        <f t="shared" si="1"/>
        <v>86020.359148990334</v>
      </c>
      <c r="R12">
        <v>0</v>
      </c>
      <c r="S12">
        <v>5523068.9465412097</v>
      </c>
      <c r="T12">
        <v>3189562.8799999901</v>
      </c>
      <c r="U12">
        <f t="shared" si="2"/>
        <v>2333506.0665412196</v>
      </c>
      <c r="V12">
        <f t="shared" si="3"/>
        <v>233350.60665412195</v>
      </c>
      <c r="W12">
        <v>28</v>
      </c>
      <c r="X12">
        <v>64</v>
      </c>
    </row>
    <row r="13" spans="1:24" x14ac:dyDescent="0.2">
      <c r="A13">
        <v>265</v>
      </c>
      <c r="B13">
        <v>10</v>
      </c>
      <c r="C13">
        <v>4</v>
      </c>
      <c r="D13">
        <v>1</v>
      </c>
      <c r="E13">
        <v>30</v>
      </c>
      <c r="F13">
        <v>10</v>
      </c>
      <c r="G13">
        <v>90.12</v>
      </c>
      <c r="H13">
        <v>98.7</v>
      </c>
      <c r="I13">
        <v>0.3</v>
      </c>
      <c r="J13">
        <v>235202</v>
      </c>
      <c r="K13">
        <v>116550</v>
      </c>
      <c r="L13">
        <f t="shared" si="0"/>
        <v>351752</v>
      </c>
      <c r="M13">
        <v>38101942.795548201</v>
      </c>
      <c r="N13">
        <v>33820239.621598698</v>
      </c>
      <c r="O13">
        <v>-4281703.1739495499</v>
      </c>
      <c r="P13">
        <v>2738977.7101974199</v>
      </c>
      <c r="Q13">
        <f t="shared" si="1"/>
        <v>91299.257006580665</v>
      </c>
      <c r="R13">
        <v>0</v>
      </c>
      <c r="S13">
        <v>11046137.893082401</v>
      </c>
      <c r="T13">
        <v>3417388.79999999</v>
      </c>
      <c r="U13">
        <f t="shared" si="2"/>
        <v>7628749.0930824112</v>
      </c>
      <c r="V13">
        <f t="shared" si="3"/>
        <v>762874.9093082411</v>
      </c>
      <c r="W13">
        <v>30</v>
      </c>
      <c r="X13">
        <v>64</v>
      </c>
    </row>
    <row r="14" spans="1:24" x14ac:dyDescent="0.2">
      <c r="A14">
        <v>265</v>
      </c>
      <c r="B14">
        <v>10</v>
      </c>
      <c r="C14">
        <v>4</v>
      </c>
      <c r="D14">
        <v>3</v>
      </c>
      <c r="E14">
        <v>15</v>
      </c>
      <c r="F14">
        <v>10</v>
      </c>
      <c r="G14">
        <v>45.06</v>
      </c>
      <c r="H14">
        <v>49.35</v>
      </c>
      <c r="I14">
        <v>0.3</v>
      </c>
      <c r="J14">
        <v>234120</v>
      </c>
      <c r="K14">
        <v>116241</v>
      </c>
      <c r="L14">
        <f t="shared" si="0"/>
        <v>350361</v>
      </c>
      <c r="M14">
        <v>33621428.798318103</v>
      </c>
      <c r="N14">
        <v>15396715.5530074</v>
      </c>
      <c r="O14">
        <v>-18224713.245310701</v>
      </c>
      <c r="P14">
        <v>2531026.7322946098</v>
      </c>
      <c r="Q14">
        <f t="shared" si="1"/>
        <v>168735.11548630733</v>
      </c>
      <c r="R14">
        <v>0</v>
      </c>
      <c r="S14">
        <v>3324545.1185254999</v>
      </c>
      <c r="T14">
        <v>3189562.8799999901</v>
      </c>
      <c r="U14">
        <f t="shared" si="2"/>
        <v>134982.23852550983</v>
      </c>
      <c r="V14">
        <f t="shared" si="3"/>
        <v>13498.223852550984</v>
      </c>
      <c r="W14">
        <v>28</v>
      </c>
      <c r="X14">
        <v>195</v>
      </c>
    </row>
    <row r="15" spans="1:24" x14ac:dyDescent="0.2">
      <c r="A15">
        <v>265</v>
      </c>
      <c r="B15">
        <v>10</v>
      </c>
      <c r="C15">
        <v>4</v>
      </c>
      <c r="D15">
        <v>3</v>
      </c>
      <c r="E15">
        <v>15</v>
      </c>
      <c r="F15">
        <v>10</v>
      </c>
      <c r="G15">
        <v>90.12</v>
      </c>
      <c r="H15">
        <v>98.7</v>
      </c>
      <c r="I15">
        <v>0.3</v>
      </c>
      <c r="J15">
        <v>234251</v>
      </c>
      <c r="K15">
        <v>116296</v>
      </c>
      <c r="L15">
        <f t="shared" si="0"/>
        <v>350547</v>
      </c>
      <c r="M15">
        <v>33635657.664458998</v>
      </c>
      <c r="N15">
        <v>27922423.7531044</v>
      </c>
      <c r="O15">
        <v>-5713233.9113545902</v>
      </c>
      <c r="P15">
        <v>2594450.7081585899</v>
      </c>
      <c r="Q15">
        <f t="shared" si="1"/>
        <v>172963.38054390598</v>
      </c>
      <c r="R15">
        <v>0</v>
      </c>
      <c r="S15">
        <v>6649090.2370510101</v>
      </c>
      <c r="T15">
        <v>3417388.79999999</v>
      </c>
      <c r="U15">
        <f t="shared" si="2"/>
        <v>3231701.4370510201</v>
      </c>
      <c r="V15">
        <f t="shared" si="3"/>
        <v>323170.14370510203</v>
      </c>
      <c r="W15">
        <v>30</v>
      </c>
      <c r="X15">
        <v>202</v>
      </c>
    </row>
    <row r="16" spans="1:24" x14ac:dyDescent="0.2">
      <c r="A16">
        <v>265</v>
      </c>
      <c r="B16">
        <v>10</v>
      </c>
      <c r="C16">
        <v>4</v>
      </c>
      <c r="D16">
        <v>3</v>
      </c>
      <c r="E16">
        <v>30</v>
      </c>
      <c r="F16">
        <v>10</v>
      </c>
      <c r="G16">
        <v>45.06</v>
      </c>
      <c r="H16">
        <v>49.35</v>
      </c>
      <c r="I16">
        <v>0.3</v>
      </c>
      <c r="J16">
        <v>228801</v>
      </c>
      <c r="K16">
        <v>108583</v>
      </c>
      <c r="L16">
        <f t="shared" si="0"/>
        <v>337384</v>
      </c>
      <c r="M16">
        <v>35753828.272347897</v>
      </c>
      <c r="N16">
        <v>20289222.3914482</v>
      </c>
      <c r="O16">
        <v>-15464605.880899699</v>
      </c>
      <c r="P16">
        <v>2576291.23343314</v>
      </c>
      <c r="Q16">
        <f t="shared" si="1"/>
        <v>85876.374447771334</v>
      </c>
      <c r="R16">
        <v>8387.0178699999997</v>
      </c>
      <c r="S16">
        <v>5562969.6226570401</v>
      </c>
      <c r="T16">
        <v>3417388.79999999</v>
      </c>
      <c r="U16">
        <f t="shared" si="2"/>
        <v>2145580.8226570501</v>
      </c>
      <c r="V16">
        <f t="shared" si="3"/>
        <v>214558.08226570502</v>
      </c>
      <c r="W16">
        <v>30</v>
      </c>
      <c r="X16">
        <v>70</v>
      </c>
    </row>
    <row r="17" spans="1:24" x14ac:dyDescent="0.2">
      <c r="A17">
        <v>265</v>
      </c>
      <c r="B17">
        <v>10</v>
      </c>
      <c r="C17">
        <v>4</v>
      </c>
      <c r="D17">
        <v>3</v>
      </c>
      <c r="E17">
        <v>30</v>
      </c>
      <c r="F17">
        <v>10</v>
      </c>
      <c r="G17">
        <v>90.12</v>
      </c>
      <c r="H17">
        <v>98.7</v>
      </c>
      <c r="I17">
        <v>0.3</v>
      </c>
      <c r="J17">
        <v>228871</v>
      </c>
      <c r="K17">
        <v>108558</v>
      </c>
      <c r="L17">
        <f t="shared" si="0"/>
        <v>337429</v>
      </c>
      <c r="M17">
        <v>35679512.108589202</v>
      </c>
      <c r="N17">
        <v>36677953.627322502</v>
      </c>
      <c r="O17">
        <v>998441.51873332204</v>
      </c>
      <c r="P17">
        <v>2868944.0583430799</v>
      </c>
      <c r="Q17">
        <f t="shared" si="1"/>
        <v>95631.468611435994</v>
      </c>
      <c r="R17">
        <v>8387.0178699999997</v>
      </c>
      <c r="S17">
        <v>11125939.245314</v>
      </c>
      <c r="T17">
        <v>3417388.79999999</v>
      </c>
      <c r="U17">
        <f t="shared" si="2"/>
        <v>7708550.4453140106</v>
      </c>
      <c r="V17">
        <f t="shared" si="3"/>
        <v>770855.04453140101</v>
      </c>
      <c r="W17">
        <v>30</v>
      </c>
      <c r="X17">
        <v>77</v>
      </c>
    </row>
    <row r="18" spans="1:24" x14ac:dyDescent="0.2">
      <c r="A18">
        <v>265</v>
      </c>
      <c r="B18">
        <v>10</v>
      </c>
      <c r="C18">
        <v>1</v>
      </c>
      <c r="D18">
        <v>1</v>
      </c>
      <c r="E18">
        <v>15</v>
      </c>
      <c r="F18">
        <v>30</v>
      </c>
      <c r="G18">
        <v>45.06</v>
      </c>
      <c r="H18">
        <v>49.35</v>
      </c>
      <c r="I18">
        <v>0.3</v>
      </c>
      <c r="J18">
        <v>235900</v>
      </c>
      <c r="K18">
        <v>116393</v>
      </c>
      <c r="L18">
        <f t="shared" si="0"/>
        <v>352293</v>
      </c>
      <c r="M18">
        <v>44440757.1488363</v>
      </c>
      <c r="N18">
        <v>34444808.895708598</v>
      </c>
      <c r="O18">
        <v>-9995948.2531276699</v>
      </c>
      <c r="P18">
        <v>2462721.96832792</v>
      </c>
      <c r="Q18">
        <f t="shared" si="1"/>
        <v>164181.46455519466</v>
      </c>
      <c r="R18">
        <v>0</v>
      </c>
      <c r="S18">
        <v>5860014.4728399199</v>
      </c>
      <c r="T18">
        <v>9796514.5600000005</v>
      </c>
      <c r="U18">
        <f t="shared" si="2"/>
        <v>-3936500.0871600807</v>
      </c>
      <c r="V18">
        <f t="shared" si="3"/>
        <v>-131216.66957200269</v>
      </c>
      <c r="W18">
        <v>86</v>
      </c>
      <c r="X18">
        <v>882</v>
      </c>
    </row>
    <row r="19" spans="1:24" x14ac:dyDescent="0.2">
      <c r="A19">
        <v>265</v>
      </c>
      <c r="B19">
        <v>10</v>
      </c>
      <c r="C19">
        <v>1</v>
      </c>
      <c r="D19">
        <v>1</v>
      </c>
      <c r="E19">
        <v>15</v>
      </c>
      <c r="F19">
        <v>30</v>
      </c>
      <c r="G19">
        <v>90.12</v>
      </c>
      <c r="H19">
        <v>98.7</v>
      </c>
      <c r="I19">
        <v>0.3</v>
      </c>
      <c r="J19">
        <v>236996</v>
      </c>
      <c r="K19">
        <v>116400</v>
      </c>
      <c r="L19">
        <f t="shared" si="0"/>
        <v>353396</v>
      </c>
      <c r="M19">
        <v>44319108.751037501</v>
      </c>
      <c r="N19">
        <v>60406314.299913697</v>
      </c>
      <c r="O19">
        <v>16087205.5488762</v>
      </c>
      <c r="P19">
        <v>2430123.07462984</v>
      </c>
      <c r="Q19">
        <f t="shared" si="1"/>
        <v>162008.20497532267</v>
      </c>
      <c r="R19">
        <v>0</v>
      </c>
      <c r="S19">
        <v>12197497.5760267</v>
      </c>
      <c r="T19">
        <v>10252166.4</v>
      </c>
      <c r="U19">
        <f t="shared" si="2"/>
        <v>1945331.1760267001</v>
      </c>
      <c r="V19">
        <f t="shared" si="3"/>
        <v>64844.372534223337</v>
      </c>
      <c r="W19">
        <v>90</v>
      </c>
      <c r="X19">
        <v>887</v>
      </c>
    </row>
    <row r="20" spans="1:24" x14ac:dyDescent="0.2">
      <c r="A20">
        <v>265</v>
      </c>
      <c r="B20">
        <v>10</v>
      </c>
      <c r="C20">
        <v>1</v>
      </c>
      <c r="D20">
        <v>1</v>
      </c>
      <c r="E20">
        <v>30</v>
      </c>
      <c r="F20">
        <v>30</v>
      </c>
      <c r="G20">
        <v>45.06</v>
      </c>
      <c r="H20">
        <v>49.35</v>
      </c>
      <c r="I20">
        <v>0.3</v>
      </c>
      <c r="J20">
        <v>237872</v>
      </c>
      <c r="K20">
        <v>116866</v>
      </c>
      <c r="L20">
        <f t="shared" si="0"/>
        <v>354738</v>
      </c>
      <c r="M20">
        <v>58553148.090120301</v>
      </c>
      <c r="N20">
        <v>37281556.479362503</v>
      </c>
      <c r="O20">
        <v>-21271591.610757701</v>
      </c>
      <c r="P20">
        <v>2746097.4743952202</v>
      </c>
      <c r="Q20">
        <f t="shared" si="1"/>
        <v>91536.582479840668</v>
      </c>
      <c r="R20">
        <v>0</v>
      </c>
      <c r="S20">
        <v>6890859.1300853696</v>
      </c>
      <c r="T20">
        <v>9682601.5999999996</v>
      </c>
      <c r="U20">
        <f t="shared" si="2"/>
        <v>-2791742.4699146301</v>
      </c>
      <c r="V20">
        <f t="shared" si="3"/>
        <v>-93058.082330487669</v>
      </c>
      <c r="W20">
        <v>86</v>
      </c>
      <c r="X20">
        <v>805</v>
      </c>
    </row>
    <row r="21" spans="1:24" x14ac:dyDescent="0.2">
      <c r="A21">
        <v>265</v>
      </c>
      <c r="B21">
        <v>10</v>
      </c>
      <c r="C21">
        <v>1</v>
      </c>
      <c r="D21">
        <v>1</v>
      </c>
      <c r="E21">
        <v>30</v>
      </c>
      <c r="F21">
        <v>30</v>
      </c>
      <c r="G21">
        <v>90.12</v>
      </c>
      <c r="H21">
        <v>98.7</v>
      </c>
      <c r="I21">
        <v>0.3</v>
      </c>
      <c r="J21">
        <v>238054</v>
      </c>
      <c r="K21">
        <v>116794</v>
      </c>
      <c r="L21">
        <f t="shared" si="0"/>
        <v>354848</v>
      </c>
      <c r="M21">
        <v>58611864.474740699</v>
      </c>
      <c r="N21">
        <v>66441135.748124801</v>
      </c>
      <c r="O21">
        <v>7829271.27338407</v>
      </c>
      <c r="P21">
        <v>2551720.9161584899</v>
      </c>
      <c r="Q21">
        <f t="shared" si="1"/>
        <v>85057.363871949667</v>
      </c>
      <c r="R21">
        <v>0</v>
      </c>
      <c r="S21">
        <v>13380392.997028699</v>
      </c>
      <c r="T21">
        <v>10138253.439999999</v>
      </c>
      <c r="U21">
        <f t="shared" si="2"/>
        <v>3242139.5570286997</v>
      </c>
      <c r="V21">
        <f t="shared" si="3"/>
        <v>108071.31856762333</v>
      </c>
      <c r="W21">
        <v>90</v>
      </c>
      <c r="X21">
        <v>808</v>
      </c>
    </row>
    <row r="22" spans="1:24" x14ac:dyDescent="0.2">
      <c r="A22">
        <v>265</v>
      </c>
      <c r="B22">
        <v>10</v>
      </c>
      <c r="C22">
        <v>1</v>
      </c>
      <c r="D22">
        <v>3</v>
      </c>
      <c r="E22">
        <v>15</v>
      </c>
      <c r="F22">
        <v>30</v>
      </c>
      <c r="G22">
        <v>45.06</v>
      </c>
      <c r="H22">
        <v>49.35</v>
      </c>
      <c r="I22">
        <v>0.3</v>
      </c>
      <c r="J22">
        <v>235802</v>
      </c>
      <c r="K22">
        <v>116378</v>
      </c>
      <c r="L22">
        <f t="shared" si="0"/>
        <v>352180</v>
      </c>
      <c r="M22">
        <v>44997606.2187014</v>
      </c>
      <c r="N22">
        <v>36258226.497209102</v>
      </c>
      <c r="O22">
        <v>-8739379.7214922309</v>
      </c>
      <c r="P22">
        <v>2444089.6358730001</v>
      </c>
      <c r="Q22">
        <f t="shared" si="1"/>
        <v>162939.30905820001</v>
      </c>
      <c r="R22">
        <v>0</v>
      </c>
      <c r="S22">
        <v>5583320.0365047902</v>
      </c>
      <c r="T22">
        <v>9796514.5600000005</v>
      </c>
      <c r="U22">
        <f t="shared" si="2"/>
        <v>-4213194.5234952103</v>
      </c>
      <c r="V22">
        <f t="shared" si="3"/>
        <v>-140439.81744984034</v>
      </c>
      <c r="W22">
        <v>87</v>
      </c>
      <c r="X22">
        <v>831</v>
      </c>
    </row>
    <row r="23" spans="1:24" x14ac:dyDescent="0.2">
      <c r="A23">
        <v>265</v>
      </c>
      <c r="B23">
        <v>10</v>
      </c>
      <c r="C23">
        <v>1</v>
      </c>
      <c r="D23">
        <v>3</v>
      </c>
      <c r="E23">
        <v>15</v>
      </c>
      <c r="F23">
        <v>30</v>
      </c>
      <c r="G23">
        <v>90.12</v>
      </c>
      <c r="H23">
        <v>98.7</v>
      </c>
      <c r="I23">
        <v>0.3</v>
      </c>
      <c r="J23">
        <v>237187</v>
      </c>
      <c r="K23">
        <v>116558</v>
      </c>
      <c r="L23">
        <f t="shared" si="0"/>
        <v>353745</v>
      </c>
      <c r="M23">
        <v>44827668.225665703</v>
      </c>
      <c r="N23">
        <v>63918214.256502599</v>
      </c>
      <c r="O23">
        <v>19090546.030836798</v>
      </c>
      <c r="P23">
        <v>2219072.23063904</v>
      </c>
      <c r="Q23">
        <f t="shared" si="1"/>
        <v>147938.14870926933</v>
      </c>
      <c r="R23">
        <v>0</v>
      </c>
      <c r="S23">
        <v>11345372.3988533</v>
      </c>
      <c r="T23">
        <v>10252166.4</v>
      </c>
      <c r="U23">
        <f t="shared" si="2"/>
        <v>1093205.9988532998</v>
      </c>
      <c r="V23">
        <f t="shared" si="3"/>
        <v>36440.199961776656</v>
      </c>
      <c r="W23">
        <v>90</v>
      </c>
      <c r="X23">
        <v>847</v>
      </c>
    </row>
    <row r="24" spans="1:24" x14ac:dyDescent="0.2">
      <c r="A24">
        <v>265</v>
      </c>
      <c r="B24">
        <v>10</v>
      </c>
      <c r="C24">
        <v>1</v>
      </c>
      <c r="D24">
        <v>3</v>
      </c>
      <c r="E24">
        <v>30</v>
      </c>
      <c r="F24">
        <v>30</v>
      </c>
      <c r="G24">
        <v>45.06</v>
      </c>
      <c r="H24">
        <v>49.35</v>
      </c>
      <c r="I24">
        <v>0.3</v>
      </c>
      <c r="J24">
        <v>237158</v>
      </c>
      <c r="K24">
        <v>116600</v>
      </c>
      <c r="L24">
        <f t="shared" si="0"/>
        <v>353758</v>
      </c>
      <c r="M24">
        <v>58051610.443007402</v>
      </c>
      <c r="N24">
        <v>37963000.064385802</v>
      </c>
      <c r="O24">
        <v>-20088610.378621601</v>
      </c>
      <c r="P24">
        <v>4193682.7510948102</v>
      </c>
      <c r="Q24">
        <f t="shared" si="1"/>
        <v>139789.42503649366</v>
      </c>
      <c r="R24">
        <v>0</v>
      </c>
      <c r="S24">
        <v>6763097.8479180001</v>
      </c>
      <c r="T24">
        <v>9796514.5600000005</v>
      </c>
      <c r="U24">
        <f t="shared" si="2"/>
        <v>-3033416.7120820004</v>
      </c>
      <c r="V24">
        <f t="shared" si="3"/>
        <v>-101113.89040273335</v>
      </c>
      <c r="W24">
        <v>87</v>
      </c>
      <c r="X24">
        <v>754</v>
      </c>
    </row>
    <row r="25" spans="1:24" x14ac:dyDescent="0.2">
      <c r="A25">
        <v>265</v>
      </c>
      <c r="B25">
        <v>10</v>
      </c>
      <c r="C25">
        <v>1</v>
      </c>
      <c r="D25">
        <v>3</v>
      </c>
      <c r="E25">
        <v>30</v>
      </c>
      <c r="F25">
        <v>30</v>
      </c>
      <c r="G25">
        <v>90.12</v>
      </c>
      <c r="H25">
        <v>98.7</v>
      </c>
      <c r="I25">
        <v>0.3</v>
      </c>
      <c r="J25">
        <v>238752</v>
      </c>
      <c r="K25">
        <v>116347</v>
      </c>
      <c r="L25">
        <f t="shared" si="0"/>
        <v>355099</v>
      </c>
      <c r="M25">
        <v>58774761.059560299</v>
      </c>
      <c r="N25">
        <v>66776580.522116199</v>
      </c>
      <c r="O25">
        <v>8001819.4625559598</v>
      </c>
      <c r="P25">
        <v>3513480.2235858501</v>
      </c>
      <c r="Q25">
        <f t="shared" si="1"/>
        <v>117116.00745286167</v>
      </c>
      <c r="R25">
        <v>0</v>
      </c>
      <c r="S25">
        <v>12545363.3466218</v>
      </c>
      <c r="T25">
        <v>10138253.439999999</v>
      </c>
      <c r="U25">
        <f t="shared" si="2"/>
        <v>2407109.9066218007</v>
      </c>
      <c r="V25">
        <f t="shared" si="3"/>
        <v>80236.996887393354</v>
      </c>
      <c r="W25">
        <v>90</v>
      </c>
      <c r="X25">
        <v>761</v>
      </c>
    </row>
    <row r="26" spans="1:24" x14ac:dyDescent="0.2">
      <c r="A26">
        <v>265</v>
      </c>
      <c r="B26">
        <v>10</v>
      </c>
      <c r="C26">
        <v>4</v>
      </c>
      <c r="D26">
        <v>1</v>
      </c>
      <c r="E26">
        <v>15</v>
      </c>
      <c r="F26">
        <v>30</v>
      </c>
      <c r="G26">
        <v>45.06</v>
      </c>
      <c r="H26">
        <v>49.35</v>
      </c>
      <c r="I26">
        <v>0.3</v>
      </c>
      <c r="J26">
        <v>236342</v>
      </c>
      <c r="K26">
        <v>116480</v>
      </c>
      <c r="L26">
        <f t="shared" si="0"/>
        <v>352822</v>
      </c>
      <c r="M26">
        <v>44198633.007532097</v>
      </c>
      <c r="N26">
        <v>33241507.350822099</v>
      </c>
      <c r="O26">
        <v>-10957125.6567099</v>
      </c>
      <c r="P26">
        <v>1606068.2466788201</v>
      </c>
      <c r="Q26">
        <f t="shared" si="1"/>
        <v>107071.21644525467</v>
      </c>
      <c r="R26">
        <v>0</v>
      </c>
      <c r="S26">
        <v>5208207.0322256703</v>
      </c>
      <c r="T26">
        <v>9568688.6399999894</v>
      </c>
      <c r="U26">
        <f t="shared" si="2"/>
        <v>-4360481.6077743191</v>
      </c>
      <c r="V26">
        <f t="shared" si="3"/>
        <v>-145349.38692581063</v>
      </c>
      <c r="W26">
        <v>85</v>
      </c>
      <c r="X26">
        <v>914</v>
      </c>
    </row>
    <row r="27" spans="1:24" x14ac:dyDescent="0.2">
      <c r="A27">
        <v>265</v>
      </c>
      <c r="B27">
        <v>10</v>
      </c>
      <c r="C27">
        <v>4</v>
      </c>
      <c r="D27">
        <v>1</v>
      </c>
      <c r="E27">
        <v>15</v>
      </c>
      <c r="F27">
        <v>30</v>
      </c>
      <c r="G27">
        <v>90.12</v>
      </c>
      <c r="H27">
        <v>98.7</v>
      </c>
      <c r="I27">
        <v>0.3</v>
      </c>
      <c r="J27">
        <v>236800</v>
      </c>
      <c r="K27">
        <v>116898</v>
      </c>
      <c r="L27">
        <f t="shared" si="0"/>
        <v>353698</v>
      </c>
      <c r="M27">
        <v>43133139.885631099</v>
      </c>
      <c r="N27">
        <v>52009259.660008103</v>
      </c>
      <c r="O27">
        <v>8876119.7743770704</v>
      </c>
      <c r="P27">
        <v>1625535.7612687401</v>
      </c>
      <c r="Q27">
        <f t="shared" si="1"/>
        <v>108369.05075124934</v>
      </c>
      <c r="R27">
        <v>0</v>
      </c>
      <c r="S27">
        <v>8448705.5089329593</v>
      </c>
      <c r="T27">
        <v>10138253.439999999</v>
      </c>
      <c r="U27">
        <f t="shared" si="2"/>
        <v>-1689547.9310670402</v>
      </c>
      <c r="V27">
        <f t="shared" si="3"/>
        <v>-56318.264368901342</v>
      </c>
      <c r="W27">
        <v>89</v>
      </c>
      <c r="X27">
        <v>1006</v>
      </c>
    </row>
    <row r="28" spans="1:24" x14ac:dyDescent="0.2">
      <c r="A28">
        <v>265</v>
      </c>
      <c r="B28">
        <v>10</v>
      </c>
      <c r="C28">
        <v>4</v>
      </c>
      <c r="D28">
        <v>1</v>
      </c>
      <c r="E28">
        <v>30</v>
      </c>
      <c r="F28">
        <v>30</v>
      </c>
      <c r="G28">
        <v>45.06</v>
      </c>
      <c r="H28">
        <v>49.35</v>
      </c>
      <c r="I28">
        <v>0.3</v>
      </c>
      <c r="J28">
        <v>237304</v>
      </c>
      <c r="K28">
        <v>116167</v>
      </c>
      <c r="L28">
        <f t="shared" si="0"/>
        <v>353471</v>
      </c>
      <c r="M28">
        <v>59845621.974735603</v>
      </c>
      <c r="N28">
        <v>40547563.2628683</v>
      </c>
      <c r="O28">
        <v>-19298058.711867299</v>
      </c>
      <c r="P28">
        <v>4894857.9470986295</v>
      </c>
      <c r="Q28">
        <f t="shared" si="1"/>
        <v>163161.93156995432</v>
      </c>
      <c r="R28">
        <v>0</v>
      </c>
      <c r="S28">
        <v>9006970.76167983</v>
      </c>
      <c r="T28">
        <v>9682601.5999999996</v>
      </c>
      <c r="U28">
        <f t="shared" si="2"/>
        <v>-675630.8383201696</v>
      </c>
      <c r="V28">
        <f t="shared" si="3"/>
        <v>-22521.027944005655</v>
      </c>
      <c r="W28">
        <v>86</v>
      </c>
      <c r="X28">
        <v>623</v>
      </c>
    </row>
    <row r="29" spans="1:24" x14ac:dyDescent="0.2">
      <c r="A29">
        <v>265</v>
      </c>
      <c r="B29">
        <v>10</v>
      </c>
      <c r="C29">
        <v>4</v>
      </c>
      <c r="D29">
        <v>1</v>
      </c>
      <c r="E29">
        <v>30</v>
      </c>
      <c r="F29">
        <v>30</v>
      </c>
      <c r="G29">
        <v>90.12</v>
      </c>
      <c r="H29">
        <v>98.7</v>
      </c>
      <c r="I29">
        <v>0.3</v>
      </c>
      <c r="J29">
        <v>237992</v>
      </c>
      <c r="K29">
        <v>116533</v>
      </c>
      <c r="L29">
        <f t="shared" si="0"/>
        <v>354525</v>
      </c>
      <c r="M29">
        <v>57800714.602525301</v>
      </c>
      <c r="N29">
        <v>65279205.055693902</v>
      </c>
      <c r="O29">
        <v>7478490.4531686101</v>
      </c>
      <c r="P29">
        <v>1891787.8635667299</v>
      </c>
      <c r="Q29">
        <f t="shared" si="1"/>
        <v>63059.595452224334</v>
      </c>
      <c r="R29">
        <v>0</v>
      </c>
      <c r="S29">
        <v>9910339.2978468593</v>
      </c>
      <c r="T29">
        <v>10024340.48</v>
      </c>
      <c r="U29">
        <f t="shared" si="2"/>
        <v>-114001.18215314113</v>
      </c>
      <c r="V29">
        <f t="shared" si="3"/>
        <v>-3800.0394051047042</v>
      </c>
      <c r="W29">
        <v>90</v>
      </c>
      <c r="X29">
        <v>804</v>
      </c>
    </row>
    <row r="30" spans="1:24" x14ac:dyDescent="0.2">
      <c r="A30">
        <v>265</v>
      </c>
      <c r="B30">
        <v>10</v>
      </c>
      <c r="C30">
        <v>4</v>
      </c>
      <c r="D30">
        <v>3</v>
      </c>
      <c r="E30">
        <v>15</v>
      </c>
      <c r="F30">
        <v>30</v>
      </c>
      <c r="G30">
        <v>45.06</v>
      </c>
      <c r="H30">
        <v>49.35</v>
      </c>
      <c r="I30">
        <v>0.3</v>
      </c>
      <c r="J30">
        <v>235732</v>
      </c>
      <c r="K30">
        <v>116966</v>
      </c>
      <c r="L30">
        <f t="shared" si="0"/>
        <v>352698</v>
      </c>
      <c r="M30">
        <v>43443059.379594199</v>
      </c>
      <c r="N30">
        <v>29819495.686450001</v>
      </c>
      <c r="O30">
        <v>-13623563.6931441</v>
      </c>
      <c r="P30">
        <v>2432693.9040871202</v>
      </c>
      <c r="Q30">
        <f t="shared" si="1"/>
        <v>162179.59360580801</v>
      </c>
      <c r="R30">
        <v>0</v>
      </c>
      <c r="S30">
        <v>5524899.5580428503</v>
      </c>
      <c r="T30">
        <v>9568688.6399999894</v>
      </c>
      <c r="U30">
        <f t="shared" si="2"/>
        <v>-4043789.0819571391</v>
      </c>
      <c r="V30">
        <f t="shared" si="3"/>
        <v>-134792.96939857129</v>
      </c>
      <c r="W30">
        <v>85</v>
      </c>
      <c r="X30">
        <v>1032</v>
      </c>
    </row>
    <row r="31" spans="1:24" x14ac:dyDescent="0.2">
      <c r="A31">
        <v>265</v>
      </c>
      <c r="B31">
        <v>10</v>
      </c>
      <c r="C31">
        <v>4</v>
      </c>
      <c r="D31">
        <v>3</v>
      </c>
      <c r="E31">
        <v>15</v>
      </c>
      <c r="F31">
        <v>30</v>
      </c>
      <c r="G31">
        <v>90.12</v>
      </c>
      <c r="H31">
        <v>98.7</v>
      </c>
      <c r="I31">
        <v>0.3</v>
      </c>
      <c r="J31">
        <v>236638</v>
      </c>
      <c r="K31">
        <v>116218</v>
      </c>
      <c r="L31">
        <f t="shared" si="0"/>
        <v>352856</v>
      </c>
      <c r="M31">
        <v>44093599.091592498</v>
      </c>
      <c r="N31">
        <v>55296714.751731902</v>
      </c>
      <c r="O31">
        <v>11203115.6601393</v>
      </c>
      <c r="P31">
        <v>2062521.2789807301</v>
      </c>
      <c r="Q31">
        <f t="shared" si="1"/>
        <v>137501.41859871533</v>
      </c>
      <c r="R31">
        <v>0</v>
      </c>
      <c r="S31">
        <v>11557598.5557454</v>
      </c>
      <c r="T31">
        <v>10024340.48</v>
      </c>
      <c r="U31">
        <f t="shared" si="2"/>
        <v>1533258.0757454</v>
      </c>
      <c r="V31">
        <f t="shared" si="3"/>
        <v>51108.602524846669</v>
      </c>
      <c r="W31">
        <v>88</v>
      </c>
      <c r="X31">
        <v>930</v>
      </c>
    </row>
    <row r="32" spans="1:24" x14ac:dyDescent="0.2">
      <c r="A32">
        <v>265</v>
      </c>
      <c r="B32">
        <v>10</v>
      </c>
      <c r="C32">
        <v>4</v>
      </c>
      <c r="D32">
        <v>3</v>
      </c>
      <c r="E32">
        <v>30</v>
      </c>
      <c r="F32">
        <v>30</v>
      </c>
      <c r="G32">
        <v>45.06</v>
      </c>
      <c r="H32">
        <v>49.35</v>
      </c>
      <c r="I32">
        <v>0.3</v>
      </c>
      <c r="J32">
        <v>237501</v>
      </c>
      <c r="K32">
        <v>116380</v>
      </c>
      <c r="L32">
        <f t="shared" si="0"/>
        <v>353881</v>
      </c>
      <c r="M32">
        <v>58497245.573351704</v>
      </c>
      <c r="N32">
        <v>37801832.569196701</v>
      </c>
      <c r="O32">
        <v>-20695413.004154898</v>
      </c>
      <c r="P32">
        <v>3432621.2075050799</v>
      </c>
      <c r="Q32">
        <f t="shared" si="1"/>
        <v>114420.706916836</v>
      </c>
      <c r="R32">
        <v>0</v>
      </c>
      <c r="S32">
        <v>5671163.8589687198</v>
      </c>
      <c r="T32">
        <v>9682601.5999999996</v>
      </c>
      <c r="U32">
        <f t="shared" si="2"/>
        <v>-4011437.7410312798</v>
      </c>
      <c r="V32">
        <f t="shared" si="3"/>
        <v>-133714.59136770933</v>
      </c>
      <c r="W32">
        <v>87</v>
      </c>
      <c r="X32">
        <v>795</v>
      </c>
    </row>
    <row r="33" spans="1:24" x14ac:dyDescent="0.2">
      <c r="A33">
        <v>265</v>
      </c>
      <c r="B33">
        <v>10</v>
      </c>
      <c r="C33">
        <v>4</v>
      </c>
      <c r="D33">
        <v>3</v>
      </c>
      <c r="E33">
        <v>30</v>
      </c>
      <c r="F33">
        <v>30</v>
      </c>
      <c r="G33">
        <v>90.12</v>
      </c>
      <c r="H33">
        <v>98.7</v>
      </c>
      <c r="I33">
        <v>0.3</v>
      </c>
      <c r="J33">
        <v>236705</v>
      </c>
      <c r="K33">
        <v>116326</v>
      </c>
      <c r="L33">
        <f t="shared" si="0"/>
        <v>353031</v>
      </c>
      <c r="M33">
        <v>59739184.075714603</v>
      </c>
      <c r="N33">
        <v>71434641.699422106</v>
      </c>
      <c r="O33">
        <v>11695457.623707499</v>
      </c>
      <c r="P33">
        <v>4749664.0995595204</v>
      </c>
      <c r="Q33">
        <f t="shared" si="1"/>
        <v>158322.13665198401</v>
      </c>
      <c r="R33">
        <v>0</v>
      </c>
      <c r="S33">
        <v>16310583.0297658</v>
      </c>
      <c r="T33">
        <v>10138253.439999999</v>
      </c>
      <c r="U33">
        <f t="shared" si="2"/>
        <v>6172329.5897658002</v>
      </c>
      <c r="V33">
        <f t="shared" si="3"/>
        <v>205744.31965886001</v>
      </c>
      <c r="W33">
        <v>89</v>
      </c>
      <c r="X33">
        <v>725</v>
      </c>
    </row>
    <row r="35" spans="1:24" x14ac:dyDescent="0.2">
      <c r="A35" t="s">
        <v>62</v>
      </c>
    </row>
    <row r="36" spans="1:24" x14ac:dyDescent="0.2">
      <c r="A36">
        <v>1</v>
      </c>
      <c r="B36">
        <v>4</v>
      </c>
      <c r="D36" t="s">
        <v>30</v>
      </c>
    </row>
    <row r="37" spans="1:24" x14ac:dyDescent="0.2">
      <c r="A37">
        <v>233027</v>
      </c>
      <c r="B37">
        <v>232684</v>
      </c>
    </row>
    <row r="38" spans="1:24" ht="17" thickBot="1" x14ac:dyDescent="0.25">
      <c r="A38">
        <v>233093</v>
      </c>
      <c r="B38">
        <v>232916</v>
      </c>
      <c r="D38" t="s">
        <v>31</v>
      </c>
    </row>
    <row r="39" spans="1:24" x14ac:dyDescent="0.2">
      <c r="A39">
        <v>230505</v>
      </c>
      <c r="B39">
        <v>235124</v>
      </c>
      <c r="D39" s="2" t="s">
        <v>32</v>
      </c>
      <c r="E39" s="2" t="s">
        <v>33</v>
      </c>
      <c r="F39" s="2" t="s">
        <v>34</v>
      </c>
      <c r="G39" s="2" t="s">
        <v>35</v>
      </c>
      <c r="H39" s="2" t="s">
        <v>36</v>
      </c>
    </row>
    <row r="40" spans="1:24" x14ac:dyDescent="0.2">
      <c r="A40">
        <v>230671</v>
      </c>
      <c r="B40">
        <v>235202</v>
      </c>
      <c r="D40">
        <v>1</v>
      </c>
      <c r="E40">
        <v>16</v>
      </c>
      <c r="F40">
        <v>3750299</v>
      </c>
      <c r="G40">
        <v>234393.6875</v>
      </c>
      <c r="H40">
        <v>9613324.3625000007</v>
      </c>
    </row>
    <row r="41" spans="1:24" ht="17" thickBot="1" x14ac:dyDescent="0.25">
      <c r="A41">
        <v>232202</v>
      </c>
      <c r="B41">
        <v>234120</v>
      </c>
      <c r="D41" s="1">
        <v>4</v>
      </c>
      <c r="E41" s="1">
        <v>16</v>
      </c>
      <c r="F41" s="1">
        <v>3756983</v>
      </c>
      <c r="G41" s="1">
        <v>234811.4375</v>
      </c>
      <c r="H41" s="1">
        <v>7880278.6624999996</v>
      </c>
    </row>
    <row r="42" spans="1:24" x14ac:dyDescent="0.2">
      <c r="A42">
        <v>232147</v>
      </c>
      <c r="B42">
        <v>234251</v>
      </c>
    </row>
    <row r="43" spans="1:24" x14ac:dyDescent="0.2">
      <c r="A43">
        <v>230508</v>
      </c>
      <c r="B43">
        <v>228801</v>
      </c>
    </row>
    <row r="44" spans="1:24" ht="17" thickBot="1" x14ac:dyDescent="0.25">
      <c r="A44">
        <v>230425</v>
      </c>
      <c r="B44">
        <v>228871</v>
      </c>
      <c r="D44" t="s">
        <v>37</v>
      </c>
    </row>
    <row r="45" spans="1:24" x14ac:dyDescent="0.2">
      <c r="A45">
        <v>235900</v>
      </c>
      <c r="B45">
        <v>236342</v>
      </c>
      <c r="D45" s="2" t="s">
        <v>38</v>
      </c>
      <c r="E45" s="2" t="s">
        <v>39</v>
      </c>
      <c r="F45" s="2" t="s">
        <v>40</v>
      </c>
      <c r="G45" s="2" t="s">
        <v>41</v>
      </c>
      <c r="H45" s="2" t="s">
        <v>42</v>
      </c>
      <c r="I45" s="2" t="s">
        <v>43</v>
      </c>
      <c r="J45" s="2" t="s">
        <v>44</v>
      </c>
    </row>
    <row r="46" spans="1:24" x14ac:dyDescent="0.2">
      <c r="A46">
        <v>236996</v>
      </c>
      <c r="B46">
        <v>236800</v>
      </c>
      <c r="D46" t="s">
        <v>45</v>
      </c>
      <c r="E46">
        <v>1396120.5</v>
      </c>
      <c r="F46">
        <v>1</v>
      </c>
      <c r="G46">
        <v>1396120.5</v>
      </c>
      <c r="H46">
        <v>0.15961497445721307</v>
      </c>
      <c r="I46">
        <v>0.69234144560613098</v>
      </c>
      <c r="J46">
        <v>4.1708767857666915</v>
      </c>
    </row>
    <row r="47" spans="1:24" x14ac:dyDescent="0.2">
      <c r="A47">
        <v>237872</v>
      </c>
      <c r="B47">
        <v>237304</v>
      </c>
      <c r="D47" t="s">
        <v>46</v>
      </c>
      <c r="E47">
        <v>262404045.375</v>
      </c>
      <c r="F47">
        <v>30</v>
      </c>
      <c r="G47">
        <v>8746801.5124999993</v>
      </c>
    </row>
    <row r="48" spans="1:24" x14ac:dyDescent="0.2">
      <c r="A48">
        <v>238054</v>
      </c>
      <c r="B48">
        <v>237992</v>
      </c>
    </row>
    <row r="49" spans="1:20" ht="17" thickBot="1" x14ac:dyDescent="0.25">
      <c r="A49">
        <v>235802</v>
      </c>
      <c r="B49">
        <v>235732</v>
      </c>
      <c r="D49" s="1" t="s">
        <v>29</v>
      </c>
      <c r="E49" s="1">
        <v>263800165.875</v>
      </c>
      <c r="F49" s="1">
        <v>31</v>
      </c>
      <c r="G49" s="1"/>
      <c r="H49" s="1"/>
      <c r="I49" s="1"/>
      <c r="J49" s="1"/>
    </row>
    <row r="50" spans="1:20" x14ac:dyDescent="0.2">
      <c r="A50">
        <v>237187</v>
      </c>
      <c r="B50">
        <v>236638</v>
      </c>
    </row>
    <row r="51" spans="1:20" x14ac:dyDescent="0.2">
      <c r="A51">
        <v>237158</v>
      </c>
      <c r="B51">
        <v>237501</v>
      </c>
    </row>
    <row r="52" spans="1:20" x14ac:dyDescent="0.2">
      <c r="A52">
        <v>238752</v>
      </c>
      <c r="B52">
        <v>236705</v>
      </c>
    </row>
    <row r="53" spans="1:20" x14ac:dyDescent="0.2">
      <c r="A53" t="s">
        <v>58</v>
      </c>
    </row>
    <row r="54" spans="1:20" x14ac:dyDescent="0.2">
      <c r="A54" t="s">
        <v>47</v>
      </c>
      <c r="B54">
        <v>15</v>
      </c>
      <c r="C54">
        <v>30</v>
      </c>
      <c r="E54" t="s">
        <v>48</v>
      </c>
    </row>
    <row r="55" spans="1:20" x14ac:dyDescent="0.2">
      <c r="A55">
        <v>1</v>
      </c>
      <c r="B55">
        <v>0</v>
      </c>
      <c r="C55">
        <v>58709.1250899999</v>
      </c>
      <c r="M55" t="s">
        <v>161</v>
      </c>
      <c r="Q55" t="s">
        <v>48</v>
      </c>
    </row>
    <row r="56" spans="1:20" x14ac:dyDescent="0.2">
      <c r="B56">
        <v>0</v>
      </c>
      <c r="C56">
        <v>58709.1250899999</v>
      </c>
      <c r="E56" t="s">
        <v>31</v>
      </c>
      <c r="F56">
        <v>15</v>
      </c>
      <c r="G56">
        <v>30</v>
      </c>
      <c r="H56" t="s">
        <v>29</v>
      </c>
      <c r="M56" t="s">
        <v>68</v>
      </c>
      <c r="N56">
        <v>10</v>
      </c>
      <c r="O56">
        <v>30</v>
      </c>
    </row>
    <row r="57" spans="1:20" ht="17" thickBot="1" x14ac:dyDescent="0.25">
      <c r="B57">
        <v>0</v>
      </c>
      <c r="C57">
        <v>0</v>
      </c>
      <c r="E57" s="3">
        <v>1</v>
      </c>
      <c r="F57" s="3"/>
      <c r="G57" s="3"/>
      <c r="H57" s="3"/>
      <c r="M57">
        <v>15</v>
      </c>
      <c r="N57">
        <v>0</v>
      </c>
      <c r="O57">
        <v>0</v>
      </c>
      <c r="Q57" t="s">
        <v>31</v>
      </c>
      <c r="R57">
        <v>10</v>
      </c>
      <c r="S57">
        <v>30</v>
      </c>
      <c r="T57" t="s">
        <v>29</v>
      </c>
    </row>
    <row r="58" spans="1:20" ht="17" thickBot="1" x14ac:dyDescent="0.25">
      <c r="B58">
        <v>0</v>
      </c>
      <c r="C58">
        <v>0</v>
      </c>
      <c r="E58" t="s">
        <v>33</v>
      </c>
      <c r="F58">
        <v>8</v>
      </c>
      <c r="G58">
        <v>8</v>
      </c>
      <c r="H58">
        <v>16</v>
      </c>
      <c r="N58">
        <v>0</v>
      </c>
      <c r="O58">
        <v>0</v>
      </c>
      <c r="Q58" s="3">
        <v>15</v>
      </c>
      <c r="R58" s="3"/>
      <c r="S58" s="3"/>
      <c r="T58" s="3"/>
    </row>
    <row r="59" spans="1:20" x14ac:dyDescent="0.2">
      <c r="B59">
        <v>0</v>
      </c>
      <c r="C59">
        <v>0</v>
      </c>
      <c r="E59" t="s">
        <v>34</v>
      </c>
      <c r="F59">
        <v>0</v>
      </c>
      <c r="G59">
        <v>117418.2501799998</v>
      </c>
      <c r="H59">
        <v>117418.2501799998</v>
      </c>
      <c r="N59">
        <v>0</v>
      </c>
      <c r="O59">
        <v>0</v>
      </c>
      <c r="Q59" t="s">
        <v>33</v>
      </c>
      <c r="R59">
        <v>8</v>
      </c>
      <c r="S59">
        <v>8</v>
      </c>
      <c r="T59">
        <v>16</v>
      </c>
    </row>
    <row r="60" spans="1:20" x14ac:dyDescent="0.2">
      <c r="B60">
        <v>0</v>
      </c>
      <c r="C60">
        <v>0</v>
      </c>
      <c r="E60" t="s">
        <v>35</v>
      </c>
      <c r="F60">
        <v>0</v>
      </c>
      <c r="G60">
        <v>14677.281272499975</v>
      </c>
      <c r="H60">
        <v>7338.6406362499874</v>
      </c>
      <c r="N60">
        <v>0</v>
      </c>
      <c r="O60">
        <v>0</v>
      </c>
      <c r="Q60" t="s">
        <v>34</v>
      </c>
      <c r="R60">
        <v>0</v>
      </c>
      <c r="S60">
        <v>0</v>
      </c>
      <c r="T60">
        <v>0</v>
      </c>
    </row>
    <row r="61" spans="1:20" x14ac:dyDescent="0.2">
      <c r="B61">
        <v>0</v>
      </c>
      <c r="C61">
        <v>0</v>
      </c>
      <c r="E61" t="s">
        <v>36</v>
      </c>
      <c r="F61">
        <v>0</v>
      </c>
      <c r="G61">
        <v>738591721.8928405</v>
      </c>
      <c r="H61">
        <v>402122159.69721317</v>
      </c>
      <c r="N61">
        <v>0</v>
      </c>
      <c r="O61">
        <v>0</v>
      </c>
      <c r="Q61" t="s">
        <v>35</v>
      </c>
      <c r="R61">
        <v>0</v>
      </c>
      <c r="S61">
        <v>0</v>
      </c>
      <c r="T61">
        <v>0</v>
      </c>
    </row>
    <row r="62" spans="1:20" x14ac:dyDescent="0.2">
      <c r="B62">
        <v>0</v>
      </c>
      <c r="C62">
        <v>0</v>
      </c>
      <c r="N62">
        <v>0</v>
      </c>
      <c r="O62">
        <v>0</v>
      </c>
      <c r="Q62" t="s">
        <v>36</v>
      </c>
      <c r="R62">
        <v>0</v>
      </c>
      <c r="S62">
        <v>0</v>
      </c>
      <c r="T62">
        <v>0</v>
      </c>
    </row>
    <row r="63" spans="1:20" ht="17" thickBot="1" x14ac:dyDescent="0.25">
      <c r="A63">
        <v>3</v>
      </c>
      <c r="B63">
        <v>0</v>
      </c>
      <c r="C63">
        <v>58709.125090000001</v>
      </c>
      <c r="E63" s="3">
        <v>3</v>
      </c>
      <c r="F63" s="3"/>
      <c r="G63" s="3"/>
      <c r="H63" s="3"/>
      <c r="N63">
        <v>0</v>
      </c>
      <c r="O63">
        <v>0</v>
      </c>
    </row>
    <row r="64" spans="1:20" ht="17" thickBot="1" x14ac:dyDescent="0.25">
      <c r="B64">
        <v>0</v>
      </c>
      <c r="C64">
        <v>58709.125090000001</v>
      </c>
      <c r="E64" t="s">
        <v>33</v>
      </c>
      <c r="F64">
        <v>8</v>
      </c>
      <c r="G64">
        <v>8</v>
      </c>
      <c r="H64">
        <v>16</v>
      </c>
      <c r="N64">
        <v>0</v>
      </c>
      <c r="O64">
        <v>0</v>
      </c>
      <c r="Q64" s="3">
        <v>30</v>
      </c>
      <c r="R64" s="3"/>
      <c r="S64" s="3"/>
      <c r="T64" s="3"/>
    </row>
    <row r="65" spans="2:23" x14ac:dyDescent="0.2">
      <c r="B65">
        <v>0</v>
      </c>
      <c r="C65">
        <v>8387.0178699999997</v>
      </c>
      <c r="E65" t="s">
        <v>34</v>
      </c>
      <c r="F65">
        <v>0</v>
      </c>
      <c r="G65">
        <v>134192.28591999999</v>
      </c>
      <c r="H65">
        <v>134192.28591999999</v>
      </c>
      <c r="M65">
        <v>30</v>
      </c>
      <c r="N65">
        <v>58709.1250899999</v>
      </c>
      <c r="O65">
        <v>0</v>
      </c>
      <c r="Q65" t="s">
        <v>33</v>
      </c>
      <c r="R65">
        <v>8</v>
      </c>
      <c r="S65">
        <v>8</v>
      </c>
      <c r="T65">
        <v>16</v>
      </c>
    </row>
    <row r="66" spans="2:23" x14ac:dyDescent="0.2">
      <c r="B66">
        <v>0</v>
      </c>
      <c r="C66">
        <v>8387.0178699999997</v>
      </c>
      <c r="E66" t="s">
        <v>35</v>
      </c>
      <c r="F66">
        <v>0</v>
      </c>
      <c r="G66">
        <v>16774.035739999999</v>
      </c>
      <c r="H66">
        <v>8387.0178699999997</v>
      </c>
      <c r="N66">
        <v>58709.1250899999</v>
      </c>
      <c r="O66">
        <v>0</v>
      </c>
      <c r="Q66" t="s">
        <v>34</v>
      </c>
      <c r="R66">
        <v>251610.53609999979</v>
      </c>
      <c r="S66">
        <v>0</v>
      </c>
      <c r="T66">
        <v>251610.53609999979</v>
      </c>
    </row>
    <row r="67" spans="2:23" x14ac:dyDescent="0.2">
      <c r="B67">
        <v>0</v>
      </c>
      <c r="C67">
        <v>0</v>
      </c>
      <c r="E67" t="s">
        <v>36</v>
      </c>
      <c r="F67">
        <v>0</v>
      </c>
      <c r="G67">
        <v>683322953.58793652</v>
      </c>
      <c r="H67">
        <v>393915585.00951636</v>
      </c>
      <c r="N67">
        <v>58709.125090000001</v>
      </c>
      <c r="O67">
        <v>0</v>
      </c>
      <c r="Q67" t="s">
        <v>35</v>
      </c>
      <c r="R67">
        <v>31451.317012499974</v>
      </c>
      <c r="S67">
        <v>0</v>
      </c>
      <c r="T67">
        <v>15725.658506249987</v>
      </c>
    </row>
    <row r="68" spans="2:23" x14ac:dyDescent="0.2">
      <c r="B68">
        <v>0</v>
      </c>
      <c r="C68">
        <v>0</v>
      </c>
      <c r="N68">
        <v>58709.125090000001</v>
      </c>
      <c r="O68">
        <v>0</v>
      </c>
      <c r="Q68" t="s">
        <v>36</v>
      </c>
      <c r="R68">
        <v>859178125.46718323</v>
      </c>
      <c r="S68">
        <v>0</v>
      </c>
      <c r="T68">
        <v>664732549.70355761</v>
      </c>
    </row>
    <row r="69" spans="2:23" ht="17" thickBot="1" x14ac:dyDescent="0.25">
      <c r="B69">
        <v>0</v>
      </c>
      <c r="C69">
        <v>0</v>
      </c>
      <c r="E69" s="3" t="s">
        <v>29</v>
      </c>
      <c r="F69" s="3"/>
      <c r="G69" s="3"/>
      <c r="H69" s="3"/>
      <c r="N69">
        <v>0</v>
      </c>
      <c r="O69">
        <v>0</v>
      </c>
    </row>
    <row r="70" spans="2:23" ht="17" thickBot="1" x14ac:dyDescent="0.25">
      <c r="B70">
        <v>0</v>
      </c>
      <c r="C70">
        <v>0</v>
      </c>
      <c r="E70" t="s">
        <v>33</v>
      </c>
      <c r="F70">
        <v>16</v>
      </c>
      <c r="G70">
        <v>16</v>
      </c>
      <c r="N70">
        <v>0</v>
      </c>
      <c r="O70">
        <v>0</v>
      </c>
      <c r="Q70" s="3" t="s">
        <v>29</v>
      </c>
      <c r="R70" s="3"/>
      <c r="S70" s="3"/>
      <c r="T70" s="3"/>
    </row>
    <row r="71" spans="2:23" x14ac:dyDescent="0.2">
      <c r="E71" t="s">
        <v>34</v>
      </c>
      <c r="F71">
        <v>0</v>
      </c>
      <c r="G71">
        <v>251610.53609999979</v>
      </c>
      <c r="N71">
        <v>8387.0178699999997</v>
      </c>
      <c r="O71">
        <v>0</v>
      </c>
      <c r="Q71" t="s">
        <v>33</v>
      </c>
      <c r="R71">
        <v>16</v>
      </c>
      <c r="S71">
        <v>16</v>
      </c>
    </row>
    <row r="72" spans="2:23" x14ac:dyDescent="0.2">
      <c r="E72" t="s">
        <v>35</v>
      </c>
      <c r="F72">
        <v>0</v>
      </c>
      <c r="G72">
        <v>15725.658506249987</v>
      </c>
      <c r="N72">
        <v>8387.0178699999997</v>
      </c>
      <c r="O72">
        <v>0</v>
      </c>
      <c r="Q72" t="s">
        <v>34</v>
      </c>
      <c r="R72">
        <v>251610.53609999979</v>
      </c>
      <c r="S72">
        <v>0</v>
      </c>
    </row>
    <row r="73" spans="2:23" x14ac:dyDescent="0.2">
      <c r="E73" t="s">
        <v>36</v>
      </c>
      <c r="F73">
        <v>0</v>
      </c>
      <c r="G73">
        <v>664732549.70355761</v>
      </c>
      <c r="Q73" t="s">
        <v>35</v>
      </c>
      <c r="R73">
        <v>15725.658506249987</v>
      </c>
      <c r="S73">
        <v>0</v>
      </c>
    </row>
    <row r="74" spans="2:23" x14ac:dyDescent="0.2">
      <c r="Q74" t="s">
        <v>36</v>
      </c>
      <c r="R74">
        <v>664732549.70355761</v>
      </c>
      <c r="S74">
        <v>0</v>
      </c>
    </row>
    <row r="76" spans="2:23" ht="17" thickBot="1" x14ac:dyDescent="0.25">
      <c r="E76" t="s">
        <v>37</v>
      </c>
    </row>
    <row r="77" spans="2:23" ht="17" thickBot="1" x14ac:dyDescent="0.25">
      <c r="E77" s="2" t="s">
        <v>38</v>
      </c>
      <c r="F77" s="2" t="s">
        <v>39</v>
      </c>
      <c r="G77" s="2" t="s">
        <v>40</v>
      </c>
      <c r="H77" s="2" t="s">
        <v>41</v>
      </c>
      <c r="I77" s="2" t="s">
        <v>42</v>
      </c>
      <c r="J77" s="2" t="s">
        <v>43</v>
      </c>
      <c r="K77" s="2" t="s">
        <v>44</v>
      </c>
      <c r="Q77" t="s">
        <v>37</v>
      </c>
    </row>
    <row r="78" spans="2:23" x14ac:dyDescent="0.2">
      <c r="E78" t="s">
        <v>53</v>
      </c>
      <c r="F78">
        <v>8792758.5939598083</v>
      </c>
      <c r="G78">
        <v>1</v>
      </c>
      <c r="H78">
        <v>8792758.5939598083</v>
      </c>
      <c r="I78">
        <v>2.473498233214819E-2</v>
      </c>
      <c r="J78">
        <v>0.87615787628272135</v>
      </c>
      <c r="K78">
        <v>4.195971818557763</v>
      </c>
      <c r="Q78" s="2" t="s">
        <v>38</v>
      </c>
      <c r="R78" s="2" t="s">
        <v>39</v>
      </c>
      <c r="S78" s="2" t="s">
        <v>40</v>
      </c>
      <c r="T78" s="2" t="s">
        <v>41</v>
      </c>
      <c r="U78" s="2" t="s">
        <v>42</v>
      </c>
      <c r="V78" s="2" t="s">
        <v>43</v>
      </c>
      <c r="W78" s="2" t="s">
        <v>44</v>
      </c>
    </row>
    <row r="79" spans="2:23" x14ac:dyDescent="0.2">
      <c r="E79" t="s">
        <v>54</v>
      </c>
      <c r="F79">
        <v>1978370683.6415405</v>
      </c>
      <c r="G79">
        <v>1</v>
      </c>
      <c r="H79">
        <v>1978370683.6415405</v>
      </c>
      <c r="I79">
        <v>5.5653710247349846</v>
      </c>
      <c r="J79">
        <v>2.5528454718139519E-2</v>
      </c>
      <c r="K79">
        <v>4.195971818557763</v>
      </c>
      <c r="Q79" t="s">
        <v>162</v>
      </c>
      <c r="R79">
        <v>1978370683.6415405</v>
      </c>
      <c r="S79">
        <v>1</v>
      </c>
      <c r="T79">
        <v>1978370683.6415405</v>
      </c>
      <c r="U79">
        <v>9.2105263157894761</v>
      </c>
      <c r="V79">
        <v>5.1519818422453957E-3</v>
      </c>
      <c r="W79">
        <v>4.195971818557763</v>
      </c>
    </row>
    <row r="80" spans="2:23" x14ac:dyDescent="0.2">
      <c r="E80" t="s">
        <v>51</v>
      </c>
      <c r="F80">
        <v>8792758.5939674377</v>
      </c>
      <c r="G80">
        <v>1</v>
      </c>
      <c r="H80">
        <v>8792758.5939674377</v>
      </c>
      <c r="I80">
        <v>2.4734982332169652E-2</v>
      </c>
      <c r="J80">
        <v>0.87615787628266806</v>
      </c>
      <c r="K80">
        <v>4.195971818557763</v>
      </c>
      <c r="Q80" t="s">
        <v>73</v>
      </c>
      <c r="R80">
        <v>1978370683.6415405</v>
      </c>
      <c r="S80">
        <v>1</v>
      </c>
      <c r="T80">
        <v>1978370683.6415405</v>
      </c>
      <c r="U80">
        <v>9.2105263157894761</v>
      </c>
      <c r="V80">
        <v>5.1519818422453957E-3</v>
      </c>
      <c r="W80">
        <v>4.195971818557763</v>
      </c>
    </row>
    <row r="81" spans="1:26" x14ac:dyDescent="0.2">
      <c r="E81" t="s">
        <v>52</v>
      </c>
      <c r="F81">
        <v>9953402728.3654366</v>
      </c>
      <c r="G81">
        <v>28</v>
      </c>
      <c r="H81">
        <v>355478668.87019414</v>
      </c>
      <c r="Q81" t="s">
        <v>51</v>
      </c>
      <c r="R81">
        <v>1978370683.6415415</v>
      </c>
      <c r="S81">
        <v>1</v>
      </c>
      <c r="T81">
        <v>1978370683.6415415</v>
      </c>
      <c r="U81">
        <v>9.2105263157894797</v>
      </c>
      <c r="V81">
        <v>5.1519818422453975E-3</v>
      </c>
      <c r="W81">
        <v>4.195971818557763</v>
      </c>
    </row>
    <row r="82" spans="1:26" x14ac:dyDescent="0.2">
      <c r="Q82" t="s">
        <v>52</v>
      </c>
      <c r="R82">
        <v>6014246878.2702818</v>
      </c>
      <c r="S82">
        <v>28</v>
      </c>
      <c r="T82">
        <v>214794531.36679578</v>
      </c>
    </row>
    <row r="83" spans="1:26" ht="17" thickBot="1" x14ac:dyDescent="0.25">
      <c r="E83" s="1" t="s">
        <v>29</v>
      </c>
      <c r="F83" s="1">
        <v>11949358929.194904</v>
      </c>
      <c r="G83" s="1">
        <v>31</v>
      </c>
      <c r="H83" s="1"/>
      <c r="I83" s="1"/>
      <c r="J83" s="1"/>
      <c r="K83" s="1"/>
    </row>
    <row r="84" spans="1:26" ht="17" thickBot="1" x14ac:dyDescent="0.25">
      <c r="A84" t="s">
        <v>61</v>
      </c>
      <c r="Q84" s="1" t="s">
        <v>29</v>
      </c>
      <c r="R84" s="1">
        <v>11949358929.194904</v>
      </c>
      <c r="S84" s="1">
        <v>31</v>
      </c>
      <c r="T84" s="1"/>
      <c r="U84" s="1"/>
      <c r="V84" s="1"/>
      <c r="W84" s="1"/>
    </row>
    <row r="85" spans="1:26" x14ac:dyDescent="0.2">
      <c r="A85" t="s">
        <v>55</v>
      </c>
      <c r="B85">
        <v>10</v>
      </c>
      <c r="C85">
        <v>30</v>
      </c>
      <c r="E85" t="s">
        <v>48</v>
      </c>
    </row>
    <row r="86" spans="1:26" x14ac:dyDescent="0.2">
      <c r="A86">
        <v>1</v>
      </c>
      <c r="B86">
        <v>-18344203.504127599</v>
      </c>
      <c r="C86">
        <v>-9995948.2531276699</v>
      </c>
    </row>
    <row r="87" spans="1:26" x14ac:dyDescent="0.2">
      <c r="B87">
        <v>-7824259.4077669401</v>
      </c>
      <c r="C87">
        <v>16087205.5488762</v>
      </c>
      <c r="E87" t="s">
        <v>31</v>
      </c>
      <c r="F87">
        <v>10</v>
      </c>
      <c r="G87">
        <v>30</v>
      </c>
      <c r="H87" t="s">
        <v>29</v>
      </c>
      <c r="M87" t="s">
        <v>5</v>
      </c>
      <c r="N87" t="s">
        <v>6</v>
      </c>
      <c r="O87" t="s">
        <v>7</v>
      </c>
      <c r="P87" t="s">
        <v>19</v>
      </c>
      <c r="S87" t="s">
        <v>227</v>
      </c>
      <c r="T87">
        <v>1</v>
      </c>
      <c r="U87">
        <v>2</v>
      </c>
      <c r="W87" t="s">
        <v>48</v>
      </c>
    </row>
    <row r="88" spans="1:26" ht="17" thickBot="1" x14ac:dyDescent="0.25">
      <c r="B88">
        <v>-17400718.0542183</v>
      </c>
      <c r="C88">
        <v>-21271591.610757701</v>
      </c>
      <c r="E88" s="3">
        <v>1</v>
      </c>
      <c r="F88" s="3"/>
      <c r="G88" s="3"/>
      <c r="H88" s="3"/>
      <c r="M88">
        <v>10</v>
      </c>
      <c r="N88">
        <v>45.06</v>
      </c>
      <c r="O88">
        <v>49.35</v>
      </c>
      <c r="S88">
        <v>10</v>
      </c>
      <c r="T88">
        <v>-18344203.504127599</v>
      </c>
      <c r="U88">
        <v>-7824259.4077669401</v>
      </c>
    </row>
    <row r="89" spans="1:26" x14ac:dyDescent="0.2">
      <c r="B89">
        <v>-1415881.9497326899</v>
      </c>
      <c r="C89">
        <v>7829271.27338407</v>
      </c>
      <c r="E89" t="s">
        <v>33</v>
      </c>
      <c r="F89">
        <v>8</v>
      </c>
      <c r="G89">
        <v>8</v>
      </c>
      <c r="H89">
        <v>16</v>
      </c>
      <c r="M89">
        <v>10</v>
      </c>
      <c r="N89">
        <v>45.06</v>
      </c>
      <c r="O89">
        <v>49.35</v>
      </c>
      <c r="T89">
        <v>-17400718.0542183</v>
      </c>
      <c r="U89">
        <v>-1415881.9497326899</v>
      </c>
      <c r="W89" t="s">
        <v>31</v>
      </c>
      <c r="X89">
        <v>1</v>
      </c>
      <c r="Y89">
        <v>2</v>
      </c>
      <c r="Z89" t="s">
        <v>29</v>
      </c>
    </row>
    <row r="90" spans="1:26" ht="17" thickBot="1" x14ac:dyDescent="0.25">
      <c r="B90">
        <v>-17980638.827082999</v>
      </c>
      <c r="C90">
        <v>-8739379.7214922309</v>
      </c>
      <c r="E90" t="s">
        <v>34</v>
      </c>
      <c r="F90">
        <v>-91025819.754460514</v>
      </c>
      <c r="G90">
        <v>-9086687.6483461745</v>
      </c>
      <c r="H90">
        <v>-100112507.40280668</v>
      </c>
      <c r="M90">
        <v>10</v>
      </c>
      <c r="N90">
        <v>45.06</v>
      </c>
      <c r="O90">
        <v>49.35</v>
      </c>
      <c r="T90">
        <v>-17980638.827082999</v>
      </c>
      <c r="U90">
        <v>-6696047.13591504</v>
      </c>
      <c r="W90" s="3">
        <v>10</v>
      </c>
      <c r="X90" s="3"/>
      <c r="Y90" s="3"/>
      <c r="Z90" s="3"/>
    </row>
    <row r="91" spans="1:26" x14ac:dyDescent="0.2">
      <c r="B91">
        <v>-6696047.13591504</v>
      </c>
      <c r="C91">
        <v>19090546.030836798</v>
      </c>
      <c r="E91" t="s">
        <v>35</v>
      </c>
      <c r="F91">
        <v>-11378227.469307564</v>
      </c>
      <c r="G91">
        <v>-1135835.9560432718</v>
      </c>
      <c r="H91">
        <v>-6257031.7126754178</v>
      </c>
      <c r="M91">
        <v>10</v>
      </c>
      <c r="N91">
        <v>45.06</v>
      </c>
      <c r="O91">
        <v>49.35</v>
      </c>
      <c r="T91">
        <v>-17933897.217544898</v>
      </c>
      <c r="U91">
        <v>-3430173.6580720502</v>
      </c>
      <c r="W91" t="s">
        <v>33</v>
      </c>
      <c r="X91">
        <v>8</v>
      </c>
      <c r="Y91">
        <v>8</v>
      </c>
      <c r="Z91">
        <v>16</v>
      </c>
    </row>
    <row r="92" spans="1:26" x14ac:dyDescent="0.2">
      <c r="B92">
        <v>-17933897.217544898</v>
      </c>
      <c r="C92">
        <v>-20088610.378621601</v>
      </c>
      <c r="E92" t="s">
        <v>36</v>
      </c>
      <c r="F92">
        <v>52619606548972.75</v>
      </c>
      <c r="G92">
        <v>252940194707585.56</v>
      </c>
      <c r="H92">
        <v>170569662962657.47</v>
      </c>
      <c r="M92">
        <v>10</v>
      </c>
      <c r="N92">
        <v>45.06</v>
      </c>
      <c r="O92">
        <v>49.35</v>
      </c>
      <c r="T92">
        <v>-18475187.509085301</v>
      </c>
      <c r="U92">
        <v>-6325848.0947655402</v>
      </c>
      <c r="W92" t="s">
        <v>34</v>
      </c>
      <c r="X92">
        <v>-143670885.92753339</v>
      </c>
      <c r="Y92">
        <v>-34688705.81282308</v>
      </c>
      <c r="Z92">
        <v>-178359591.74035648</v>
      </c>
    </row>
    <row r="93" spans="1:26" x14ac:dyDescent="0.2">
      <c r="B93">
        <v>-3430173.6580720502</v>
      </c>
      <c r="C93">
        <v>8001819.4625559598</v>
      </c>
      <c r="M93">
        <v>10</v>
      </c>
      <c r="N93">
        <v>45.06</v>
      </c>
      <c r="O93">
        <v>49.35</v>
      </c>
      <c r="T93">
        <v>-19846921.689263899</v>
      </c>
      <c r="U93">
        <v>-4281703.1739495499</v>
      </c>
      <c r="W93" t="s">
        <v>35</v>
      </c>
      <c r="X93">
        <v>-17958860.740941674</v>
      </c>
      <c r="Y93">
        <v>-4336088.2266028849</v>
      </c>
      <c r="Z93">
        <v>-11147474.48377228</v>
      </c>
    </row>
    <row r="94" spans="1:26" ht="17" thickBot="1" x14ac:dyDescent="0.25">
      <c r="A94">
        <v>4</v>
      </c>
      <c r="B94">
        <v>-18475187.509085301</v>
      </c>
      <c r="C94">
        <v>-10957125.6567099</v>
      </c>
      <c r="E94" s="3">
        <v>4</v>
      </c>
      <c r="F94" s="3"/>
      <c r="G94" s="3"/>
      <c r="H94" s="3"/>
      <c r="M94">
        <v>10</v>
      </c>
      <c r="N94">
        <v>45.06</v>
      </c>
      <c r="O94">
        <v>49.35</v>
      </c>
      <c r="T94">
        <v>-18224713.245310701</v>
      </c>
      <c r="U94">
        <v>-5713233.9113545902</v>
      </c>
      <c r="W94" t="s">
        <v>36</v>
      </c>
      <c r="X94">
        <v>1512066014774.6096</v>
      </c>
      <c r="Y94">
        <v>8771552865071.9287</v>
      </c>
      <c r="Z94">
        <v>54287003737908.219</v>
      </c>
    </row>
    <row r="95" spans="1:26" x14ac:dyDescent="0.2">
      <c r="B95">
        <v>-6325848.0947655402</v>
      </c>
      <c r="C95">
        <v>8876119.7743770704</v>
      </c>
      <c r="E95" t="s">
        <v>33</v>
      </c>
      <c r="F95">
        <v>8</v>
      </c>
      <c r="G95">
        <v>8</v>
      </c>
      <c r="H95">
        <v>16</v>
      </c>
      <c r="M95">
        <v>10</v>
      </c>
      <c r="N95">
        <v>45.06</v>
      </c>
      <c r="O95">
        <v>49.35</v>
      </c>
      <c r="T95">
        <v>-15464605.880899699</v>
      </c>
      <c r="U95">
        <v>998441.51873332204</v>
      </c>
    </row>
    <row r="96" spans="1:26" ht="17" thickBot="1" x14ac:dyDescent="0.25">
      <c r="B96">
        <v>-19846921.689263899</v>
      </c>
      <c r="C96">
        <v>-19298058.711867299</v>
      </c>
      <c r="E96" t="s">
        <v>34</v>
      </c>
      <c r="F96">
        <v>-87333771.985895947</v>
      </c>
      <c r="G96">
        <v>-25320977.554483715</v>
      </c>
      <c r="H96">
        <v>-112654749.54037967</v>
      </c>
      <c r="M96">
        <v>30</v>
      </c>
      <c r="N96">
        <v>45.06</v>
      </c>
      <c r="O96">
        <v>49.35</v>
      </c>
      <c r="S96">
        <v>30</v>
      </c>
      <c r="T96">
        <v>-9995948.2531276699</v>
      </c>
      <c r="U96">
        <v>16087205.5488762</v>
      </c>
      <c r="W96" s="3">
        <v>30</v>
      </c>
      <c r="X96" s="3"/>
      <c r="Y96" s="3"/>
      <c r="Z96" s="3"/>
    </row>
    <row r="97" spans="2:29" x14ac:dyDescent="0.2">
      <c r="B97">
        <v>-4281703.1739495499</v>
      </c>
      <c r="C97">
        <v>7478490.4531686101</v>
      </c>
      <c r="E97" t="s">
        <v>35</v>
      </c>
      <c r="F97">
        <v>-10916721.498236993</v>
      </c>
      <c r="G97">
        <v>-3165122.1943104644</v>
      </c>
      <c r="H97">
        <v>-7040921.8462737296</v>
      </c>
      <c r="M97">
        <v>30</v>
      </c>
      <c r="N97">
        <v>45.06</v>
      </c>
      <c r="O97">
        <v>49.35</v>
      </c>
      <c r="T97">
        <v>-21271591.610757701</v>
      </c>
      <c r="U97">
        <v>7829271.27338407</v>
      </c>
      <c r="W97" t="s">
        <v>33</v>
      </c>
      <c r="X97">
        <v>8</v>
      </c>
      <c r="Y97">
        <v>8</v>
      </c>
      <c r="Z97">
        <v>16</v>
      </c>
    </row>
    <row r="98" spans="2:29" x14ac:dyDescent="0.2">
      <c r="B98">
        <v>-18224713.245310701</v>
      </c>
      <c r="C98">
        <v>-13623563.6931441</v>
      </c>
      <c r="E98" t="s">
        <v>36</v>
      </c>
      <c r="F98">
        <v>63587979882925.57</v>
      </c>
      <c r="G98">
        <v>203319734715370</v>
      </c>
      <c r="H98">
        <v>140580211284173.73</v>
      </c>
      <c r="M98">
        <v>30</v>
      </c>
      <c r="N98">
        <v>45.06</v>
      </c>
      <c r="O98">
        <v>49.35</v>
      </c>
      <c r="T98">
        <v>-8739379.7214922309</v>
      </c>
      <c r="U98">
        <v>19090546.030836798</v>
      </c>
      <c r="W98" t="s">
        <v>34</v>
      </c>
      <c r="X98">
        <v>-124669691.0298754</v>
      </c>
      <c r="Y98">
        <v>90262025.8270455</v>
      </c>
      <c r="Z98">
        <v>-34407665.202829883</v>
      </c>
    </row>
    <row r="99" spans="2:29" x14ac:dyDescent="0.2">
      <c r="B99">
        <v>-5713233.9113545902</v>
      </c>
      <c r="C99">
        <v>11203115.6601393</v>
      </c>
      <c r="M99">
        <v>30</v>
      </c>
      <c r="N99">
        <v>45.06</v>
      </c>
      <c r="O99">
        <v>49.35</v>
      </c>
      <c r="T99">
        <v>-20088610.378621601</v>
      </c>
      <c r="U99">
        <v>8001819.4625559598</v>
      </c>
      <c r="W99" t="s">
        <v>35</v>
      </c>
      <c r="X99">
        <v>-15583711.378734425</v>
      </c>
      <c r="Y99">
        <v>11282753.228380688</v>
      </c>
      <c r="Z99">
        <v>-2150479.0751768677</v>
      </c>
    </row>
    <row r="100" spans="2:29" ht="17" thickBot="1" x14ac:dyDescent="0.25">
      <c r="B100">
        <v>-15464605.880899699</v>
      </c>
      <c r="C100">
        <v>-20695413.004154898</v>
      </c>
      <c r="E100" s="3" t="s">
        <v>29</v>
      </c>
      <c r="F100" s="3"/>
      <c r="G100" s="3"/>
      <c r="H100" s="3"/>
      <c r="M100">
        <v>30</v>
      </c>
      <c r="N100">
        <v>45.06</v>
      </c>
      <c r="O100">
        <v>49.35</v>
      </c>
      <c r="T100">
        <v>-10957125.6567099</v>
      </c>
      <c r="U100">
        <v>8876119.7743770704</v>
      </c>
      <c r="W100" t="s">
        <v>36</v>
      </c>
      <c r="X100">
        <v>27983916160898.285</v>
      </c>
      <c r="Y100">
        <v>18168060205743.91</v>
      </c>
      <c r="Z100">
        <v>214019434433864.72</v>
      </c>
    </row>
    <row r="101" spans="2:29" x14ac:dyDescent="0.2">
      <c r="B101">
        <v>998441.51873332204</v>
      </c>
      <c r="C101">
        <v>11695457.623707499</v>
      </c>
      <c r="E101" t="s">
        <v>33</v>
      </c>
      <c r="F101">
        <v>16</v>
      </c>
      <c r="G101">
        <v>16</v>
      </c>
      <c r="M101">
        <v>30</v>
      </c>
      <c r="N101">
        <v>45.06</v>
      </c>
      <c r="O101">
        <v>49.35</v>
      </c>
      <c r="T101">
        <v>-19298058.711867299</v>
      </c>
      <c r="U101">
        <v>7478490.4531686101</v>
      </c>
    </row>
    <row r="102" spans="2:29" ht="17" thickBot="1" x14ac:dyDescent="0.25">
      <c r="E102" t="s">
        <v>34</v>
      </c>
      <c r="F102">
        <v>-178359591.74035645</v>
      </c>
      <c r="G102">
        <v>-34407665.20282989</v>
      </c>
      <c r="M102">
        <v>30</v>
      </c>
      <c r="N102">
        <v>45.06</v>
      </c>
      <c r="O102">
        <v>49.35</v>
      </c>
      <c r="T102">
        <v>-13623563.6931441</v>
      </c>
      <c r="U102">
        <v>11203115.6601393</v>
      </c>
      <c r="W102" s="3" t="s">
        <v>29</v>
      </c>
      <c r="X102" s="3"/>
      <c r="Y102" s="3"/>
      <c r="Z102" s="3"/>
    </row>
    <row r="103" spans="2:29" x14ac:dyDescent="0.2">
      <c r="E103" t="s">
        <v>35</v>
      </c>
      <c r="F103">
        <v>-11147474.48377228</v>
      </c>
      <c r="G103">
        <v>-2150479.0751768677</v>
      </c>
      <c r="M103">
        <v>30</v>
      </c>
      <c r="N103">
        <v>45.06</v>
      </c>
      <c r="O103">
        <v>49.35</v>
      </c>
      <c r="T103">
        <v>-20695413.004154898</v>
      </c>
      <c r="U103" s="4">
        <v>11695457.623707499</v>
      </c>
      <c r="W103" t="s">
        <v>33</v>
      </c>
      <c r="X103">
        <v>16</v>
      </c>
      <c r="Y103">
        <v>16</v>
      </c>
    </row>
    <row r="104" spans="2:29" x14ac:dyDescent="0.2">
      <c r="E104" t="s">
        <v>36</v>
      </c>
      <c r="F104">
        <v>54287003737908.219</v>
      </c>
      <c r="G104">
        <v>214019434433864.72</v>
      </c>
      <c r="M104">
        <v>10</v>
      </c>
      <c r="N104">
        <v>90.12</v>
      </c>
      <c r="O104">
        <v>98.7</v>
      </c>
      <c r="W104" t="s">
        <v>34</v>
      </c>
      <c r="X104">
        <v>-268340576.95740879</v>
      </c>
      <c r="Y104">
        <v>55573320.014222421</v>
      </c>
    </row>
    <row r="105" spans="2:29" x14ac:dyDescent="0.2">
      <c r="M105">
        <v>10</v>
      </c>
      <c r="N105">
        <v>90.12</v>
      </c>
      <c r="O105">
        <v>98.7</v>
      </c>
      <c r="W105" t="s">
        <v>35</v>
      </c>
      <c r="X105">
        <v>-16771286.059838051</v>
      </c>
      <c r="Y105">
        <v>3473332.5008889018</v>
      </c>
    </row>
    <row r="106" spans="2:29" x14ac:dyDescent="0.2">
      <c r="M106">
        <v>10</v>
      </c>
      <c r="N106">
        <v>90.12</v>
      </c>
      <c r="O106">
        <v>98.7</v>
      </c>
      <c r="W106" t="s">
        <v>36</v>
      </c>
      <c r="X106">
        <v>15269147546725.6</v>
      </c>
      <c r="Y106">
        <v>77624675005290.969</v>
      </c>
    </row>
    <row r="107" spans="2:29" ht="17" thickBot="1" x14ac:dyDescent="0.25">
      <c r="E107" t="s">
        <v>37</v>
      </c>
      <c r="M107">
        <v>10</v>
      </c>
      <c r="N107">
        <v>90.12</v>
      </c>
      <c r="O107">
        <v>98.7</v>
      </c>
    </row>
    <row r="108" spans="2:29" x14ac:dyDescent="0.2">
      <c r="E108" s="2" t="s">
        <v>38</v>
      </c>
      <c r="F108" s="2" t="s">
        <v>39</v>
      </c>
      <c r="G108" s="2" t="s">
        <v>40</v>
      </c>
      <c r="H108" s="2" t="s">
        <v>41</v>
      </c>
      <c r="I108" s="2" t="s">
        <v>42</v>
      </c>
      <c r="J108" s="2" t="s">
        <v>43</v>
      </c>
      <c r="K108" s="2" t="s">
        <v>44</v>
      </c>
      <c r="M108">
        <v>10</v>
      </c>
      <c r="N108">
        <v>90.12</v>
      </c>
      <c r="O108">
        <v>98.7</v>
      </c>
    </row>
    <row r="109" spans="2:29" ht="17" thickBot="1" x14ac:dyDescent="0.25">
      <c r="E109" t="s">
        <v>56</v>
      </c>
      <c r="F109">
        <v>4915869932423</v>
      </c>
      <c r="G109">
        <v>1</v>
      </c>
      <c r="H109">
        <v>4915869932423</v>
      </c>
      <c r="I109">
        <v>3.4348638455631728E-2</v>
      </c>
      <c r="J109">
        <v>0.85430319504110652</v>
      </c>
      <c r="K109">
        <v>4.195971818557763</v>
      </c>
      <c r="M109">
        <v>10</v>
      </c>
      <c r="N109">
        <v>90.12</v>
      </c>
      <c r="O109">
        <v>98.7</v>
      </c>
      <c r="W109" t="s">
        <v>37</v>
      </c>
    </row>
    <row r="110" spans="2:29" x14ac:dyDescent="0.2">
      <c r="E110" t="s">
        <v>57</v>
      </c>
      <c r="F110">
        <v>647567411058296.5</v>
      </c>
      <c r="G110">
        <v>1</v>
      </c>
      <c r="H110">
        <v>647567411058296.5</v>
      </c>
      <c r="I110">
        <v>4.5247451994986827</v>
      </c>
      <c r="J110">
        <v>4.2353458784392992E-2</v>
      </c>
      <c r="K110">
        <v>4.195971818557763</v>
      </c>
      <c r="M110">
        <v>10</v>
      </c>
      <c r="N110">
        <v>90.12</v>
      </c>
      <c r="O110">
        <v>98.7</v>
      </c>
      <c r="W110" s="2" t="s">
        <v>38</v>
      </c>
      <c r="X110" s="2" t="s">
        <v>39</v>
      </c>
      <c r="Y110" s="2" t="s">
        <v>40</v>
      </c>
      <c r="Z110" s="2" t="s">
        <v>41</v>
      </c>
      <c r="AA110" s="2" t="s">
        <v>42</v>
      </c>
      <c r="AB110" s="2" t="s">
        <v>43</v>
      </c>
      <c r="AC110" s="2" t="s">
        <v>44</v>
      </c>
    </row>
    <row r="111" spans="2:29" x14ac:dyDescent="0.2">
      <c r="E111" t="s">
        <v>51</v>
      </c>
      <c r="F111">
        <v>12408091660194.5</v>
      </c>
      <c r="G111">
        <v>1</v>
      </c>
      <c r="H111">
        <v>12408091660194.5</v>
      </c>
      <c r="I111">
        <v>8.6699009579020422E-2</v>
      </c>
      <c r="J111">
        <v>0.7705883654239587</v>
      </c>
      <c r="K111">
        <v>4.195971818557763</v>
      </c>
      <c r="M111">
        <v>10</v>
      </c>
      <c r="N111">
        <v>90.12</v>
      </c>
      <c r="O111">
        <v>98.7</v>
      </c>
      <c r="W111" t="s">
        <v>49</v>
      </c>
      <c r="X111">
        <v>647567411058295.5</v>
      </c>
      <c r="Y111">
        <v>1</v>
      </c>
      <c r="Z111">
        <v>647567411058295.5</v>
      </c>
      <c r="AA111">
        <v>45.897799658529209</v>
      </c>
      <c r="AB111">
        <v>2.3379048938767881E-7</v>
      </c>
      <c r="AC111">
        <v>4.195971818557763</v>
      </c>
    </row>
    <row r="112" spans="2:29" x14ac:dyDescent="0.2">
      <c r="E112" t="s">
        <v>52</v>
      </c>
      <c r="F112">
        <v>4007272610983977</v>
      </c>
      <c r="G112">
        <v>28</v>
      </c>
      <c r="H112">
        <v>143116878963713.47</v>
      </c>
      <c r="M112">
        <v>30</v>
      </c>
      <c r="N112">
        <v>90.12</v>
      </c>
      <c r="O112">
        <v>98.7</v>
      </c>
      <c r="W112" t="s">
        <v>50</v>
      </c>
      <c r="X112">
        <v>3278756645354641.5</v>
      </c>
      <c r="Y112">
        <v>1</v>
      </c>
      <c r="Z112">
        <v>3278756645354641.5</v>
      </c>
      <c r="AA112">
        <v>232.38926645740577</v>
      </c>
      <c r="AB112">
        <v>4.354605156282609E-15</v>
      </c>
      <c r="AC112">
        <v>4.195971818557763</v>
      </c>
    </row>
    <row r="113" spans="1:29" x14ac:dyDescent="0.2">
      <c r="M113">
        <v>30</v>
      </c>
      <c r="N113">
        <v>90.12</v>
      </c>
      <c r="O113">
        <v>98.7</v>
      </c>
      <c r="W113" t="s">
        <v>51</v>
      </c>
      <c r="X113">
        <v>350790760496532.06</v>
      </c>
      <c r="Y113">
        <v>1</v>
      </c>
      <c r="Z113">
        <v>350790760496532.06</v>
      </c>
      <c r="AA113">
        <v>24.863085714922622</v>
      </c>
      <c r="AB113">
        <v>2.8792837582710212E-5</v>
      </c>
      <c r="AC113">
        <v>4.195971818557763</v>
      </c>
    </row>
    <row r="114" spans="1:29" ht="17" thickBot="1" x14ac:dyDescent="0.25">
      <c r="E114" s="1" t="s">
        <v>29</v>
      </c>
      <c r="F114" s="1">
        <v>4672163983634891</v>
      </c>
      <c r="G114" s="1">
        <v>31</v>
      </c>
      <c r="H114" s="1"/>
      <c r="I114" s="1"/>
      <c r="J114" s="1"/>
      <c r="K114" s="1"/>
      <c r="M114">
        <v>30</v>
      </c>
      <c r="N114">
        <v>90.12</v>
      </c>
      <c r="O114">
        <v>98.7</v>
      </c>
      <c r="W114" t="s">
        <v>52</v>
      </c>
      <c r="X114">
        <v>395049166725420.94</v>
      </c>
      <c r="Y114">
        <v>28</v>
      </c>
      <c r="Z114">
        <v>14108898811622.176</v>
      </c>
    </row>
    <row r="115" spans="1:29" x14ac:dyDescent="0.2">
      <c r="M115">
        <v>30</v>
      </c>
      <c r="N115">
        <v>90.12</v>
      </c>
      <c r="O115">
        <v>98.7</v>
      </c>
    </row>
    <row r="116" spans="1:29" ht="17" thickBot="1" x14ac:dyDescent="0.25">
      <c r="M116">
        <v>30</v>
      </c>
      <c r="N116">
        <v>90.12</v>
      </c>
      <c r="O116">
        <v>98.7</v>
      </c>
      <c r="W116" s="1" t="s">
        <v>29</v>
      </c>
      <c r="X116" s="1">
        <v>4672163983634890</v>
      </c>
      <c r="Y116" s="1">
        <v>31</v>
      </c>
      <c r="Z116" s="1"/>
      <c r="AA116" s="1"/>
      <c r="AB116" s="1"/>
      <c r="AC116" s="1"/>
    </row>
    <row r="117" spans="1:29" x14ac:dyDescent="0.2">
      <c r="M117">
        <v>30</v>
      </c>
      <c r="N117">
        <v>90.12</v>
      </c>
      <c r="O117">
        <v>98.7</v>
      </c>
    </row>
    <row r="118" spans="1:29" x14ac:dyDescent="0.2">
      <c r="A118" t="s">
        <v>63</v>
      </c>
      <c r="E118" t="s">
        <v>30</v>
      </c>
      <c r="M118">
        <v>30</v>
      </c>
      <c r="N118">
        <v>90.12</v>
      </c>
      <c r="O118">
        <v>98.7</v>
      </c>
    </row>
    <row r="119" spans="1:29" x14ac:dyDescent="0.2">
      <c r="A119" t="s">
        <v>64</v>
      </c>
      <c r="B119" t="s">
        <v>65</v>
      </c>
      <c r="C119" t="s">
        <v>66</v>
      </c>
      <c r="M119" s="4">
        <v>30</v>
      </c>
      <c r="N119" s="4">
        <v>90.12</v>
      </c>
      <c r="O119" s="4">
        <v>98.7</v>
      </c>
    </row>
    <row r="120" spans="1:29" ht="17" thickBot="1" x14ac:dyDescent="0.25">
      <c r="B120">
        <v>-18344203.504127599</v>
      </c>
      <c r="C120">
        <v>-7824259.4077669401</v>
      </c>
      <c r="E120" t="s">
        <v>31</v>
      </c>
    </row>
    <row r="121" spans="1:29" x14ac:dyDescent="0.2">
      <c r="B121">
        <v>-17400718.0542183</v>
      </c>
      <c r="C121">
        <v>-1415881.9497326899</v>
      </c>
      <c r="E121" s="2" t="s">
        <v>32</v>
      </c>
      <c r="F121" s="2" t="s">
        <v>33</v>
      </c>
      <c r="G121" s="2" t="s">
        <v>34</v>
      </c>
      <c r="H121" s="2" t="s">
        <v>35</v>
      </c>
      <c r="I121" s="2" t="s">
        <v>36</v>
      </c>
    </row>
    <row r="122" spans="1:29" x14ac:dyDescent="0.2">
      <c r="B122">
        <v>-17980638.827082999</v>
      </c>
      <c r="C122">
        <v>-6696047.13591504</v>
      </c>
      <c r="E122" t="s">
        <v>65</v>
      </c>
      <c r="F122">
        <v>16</v>
      </c>
      <c r="G122">
        <v>-268340576.95740882</v>
      </c>
      <c r="H122">
        <v>-16771286.059838051</v>
      </c>
      <c r="I122">
        <v>15269147546725.6</v>
      </c>
    </row>
    <row r="123" spans="1:29" ht="17" thickBot="1" x14ac:dyDescent="0.25">
      <c r="B123">
        <v>-17933897.217544898</v>
      </c>
      <c r="C123">
        <v>-3430173.6580720502</v>
      </c>
      <c r="E123" s="1" t="s">
        <v>66</v>
      </c>
      <c r="F123" s="1">
        <v>16</v>
      </c>
      <c r="G123" s="1">
        <v>55573320.014222428</v>
      </c>
      <c r="H123" s="1">
        <v>3473332.5008889018</v>
      </c>
      <c r="I123" s="1">
        <v>77624675005290.969</v>
      </c>
    </row>
    <row r="124" spans="1:29" x14ac:dyDescent="0.2">
      <c r="B124">
        <v>-18475187.509085301</v>
      </c>
      <c r="C124">
        <v>-6325848.0947655402</v>
      </c>
    </row>
    <row r="125" spans="1:29" x14ac:dyDescent="0.2">
      <c r="B125">
        <v>-19846921.689263899</v>
      </c>
      <c r="C125">
        <v>-4281703.1739495499</v>
      </c>
      <c r="M125" s="4"/>
      <c r="N125" s="4"/>
      <c r="O125" s="4"/>
    </row>
    <row r="126" spans="1:29" ht="17" thickBot="1" x14ac:dyDescent="0.25">
      <c r="B126">
        <v>-18224713.245310701</v>
      </c>
      <c r="C126">
        <v>-5713233.9113545902</v>
      </c>
      <c r="E126" t="s">
        <v>37</v>
      </c>
    </row>
    <row r="127" spans="1:29" x14ac:dyDescent="0.2">
      <c r="B127">
        <v>-15464605.880899699</v>
      </c>
      <c r="C127">
        <v>998441.51873332204</v>
      </c>
      <c r="E127" s="2" t="s">
        <v>38</v>
      </c>
      <c r="F127" s="2" t="s">
        <v>39</v>
      </c>
      <c r="G127" s="2" t="s">
        <v>40</v>
      </c>
      <c r="H127" s="2" t="s">
        <v>41</v>
      </c>
      <c r="I127" s="2" t="s">
        <v>42</v>
      </c>
      <c r="J127" s="2" t="s">
        <v>43</v>
      </c>
      <c r="K127" s="2" t="s">
        <v>44</v>
      </c>
    </row>
    <row r="128" spans="1:29" x14ac:dyDescent="0.2">
      <c r="B128">
        <v>-9995948.2531276699</v>
      </c>
      <c r="C128">
        <v>16087205.5488762</v>
      </c>
      <c r="E128" t="s">
        <v>45</v>
      </c>
      <c r="F128">
        <v>3278756645354641.5</v>
      </c>
      <c r="G128">
        <v>1</v>
      </c>
      <c r="H128">
        <v>3278756645354641.5</v>
      </c>
      <c r="I128">
        <v>70.591489407569128</v>
      </c>
      <c r="J128">
        <v>2.2359724620267322E-9</v>
      </c>
      <c r="K128">
        <v>4.1708767857666915</v>
      </c>
    </row>
    <row r="129" spans="1:11" x14ac:dyDescent="0.2">
      <c r="B129">
        <v>-21271591.610757701</v>
      </c>
      <c r="C129">
        <v>7829271.27338407</v>
      </c>
      <c r="E129" t="s">
        <v>46</v>
      </c>
      <c r="F129">
        <v>1393407338280248.5</v>
      </c>
      <c r="G129">
        <v>30</v>
      </c>
      <c r="H129">
        <v>46446911276008.281</v>
      </c>
    </row>
    <row r="130" spans="1:11" x14ac:dyDescent="0.2">
      <c r="B130">
        <v>-8739379.7214922309</v>
      </c>
      <c r="C130">
        <v>19090546.030836798</v>
      </c>
    </row>
    <row r="131" spans="1:11" ht="17" thickBot="1" x14ac:dyDescent="0.25">
      <c r="B131">
        <v>-20088610.378621601</v>
      </c>
      <c r="C131">
        <v>8001819.4625559598</v>
      </c>
      <c r="E131" s="1" t="s">
        <v>29</v>
      </c>
      <c r="F131" s="1">
        <v>4672163983634890</v>
      </c>
      <c r="G131" s="1">
        <v>31</v>
      </c>
      <c r="H131" s="1"/>
      <c r="I131" s="1"/>
      <c r="J131" s="1"/>
      <c r="K131" s="1"/>
    </row>
    <row r="132" spans="1:11" x14ac:dyDescent="0.2">
      <c r="B132">
        <v>-10957125.6567099</v>
      </c>
      <c r="C132">
        <v>8876119.7743770704</v>
      </c>
    </row>
    <row r="133" spans="1:11" x14ac:dyDescent="0.2">
      <c r="B133">
        <v>-19298058.711867299</v>
      </c>
      <c r="C133">
        <v>7478490.4531686101</v>
      </c>
    </row>
    <row r="134" spans="1:11" x14ac:dyDescent="0.2">
      <c r="B134">
        <v>-13623563.6931441</v>
      </c>
      <c r="C134">
        <v>11203115.6601393</v>
      </c>
    </row>
    <row r="135" spans="1:11" x14ac:dyDescent="0.2">
      <c r="B135">
        <v>-20695413.004154898</v>
      </c>
      <c r="C135">
        <v>11695457.623707499</v>
      </c>
    </row>
    <row r="136" spans="1:11" x14ac:dyDescent="0.2">
      <c r="A136" t="s">
        <v>260</v>
      </c>
      <c r="E136" t="s">
        <v>48</v>
      </c>
    </row>
    <row r="137" spans="1:11" x14ac:dyDescent="0.2">
      <c r="A137" t="s">
        <v>68</v>
      </c>
      <c r="B137">
        <v>10</v>
      </c>
      <c r="C137">
        <v>30</v>
      </c>
    </row>
    <row r="138" spans="1:11" x14ac:dyDescent="0.2">
      <c r="A138">
        <v>15</v>
      </c>
      <c r="B138">
        <v>128635.698711159</v>
      </c>
      <c r="C138">
        <v>164181.46455519466</v>
      </c>
      <c r="E138" t="s">
        <v>31</v>
      </c>
      <c r="F138">
        <v>10</v>
      </c>
      <c r="G138">
        <v>30</v>
      </c>
      <c r="H138" t="s">
        <v>29</v>
      </c>
    </row>
    <row r="139" spans="1:11" ht="17" thickBot="1" x14ac:dyDescent="0.25">
      <c r="B139">
        <v>137309.57597981466</v>
      </c>
      <c r="C139">
        <v>162008.20497532267</v>
      </c>
      <c r="E139" s="3">
        <v>15</v>
      </c>
      <c r="F139" s="3"/>
      <c r="G139" s="3"/>
      <c r="H139" s="3"/>
    </row>
    <row r="140" spans="1:11" x14ac:dyDescent="0.2">
      <c r="B140">
        <v>145554.21915504735</v>
      </c>
      <c r="C140">
        <v>162939.30905820001</v>
      </c>
      <c r="E140" t="s">
        <v>33</v>
      </c>
      <c r="F140">
        <v>8</v>
      </c>
      <c r="G140">
        <v>8</v>
      </c>
      <c r="H140">
        <v>16</v>
      </c>
    </row>
    <row r="141" spans="1:11" x14ac:dyDescent="0.2">
      <c r="B141">
        <v>145274.651892714</v>
      </c>
      <c r="C141">
        <v>147938.14870926933</v>
      </c>
      <c r="E141" t="s">
        <v>34</v>
      </c>
      <c r="F141">
        <v>1217622.1752474634</v>
      </c>
      <c r="G141">
        <v>1152188.4066990139</v>
      </c>
      <c r="H141">
        <v>2369810.5819464768</v>
      </c>
    </row>
    <row r="142" spans="1:11" x14ac:dyDescent="0.2">
      <c r="B142">
        <v>159574.76673925732</v>
      </c>
      <c r="C142">
        <v>107071.21644525467</v>
      </c>
      <c r="E142" t="s">
        <v>35</v>
      </c>
      <c r="F142">
        <v>152202.77190593292</v>
      </c>
      <c r="G142">
        <v>144023.55083737674</v>
      </c>
      <c r="H142">
        <v>148113.1613716548</v>
      </c>
    </row>
    <row r="143" spans="1:11" x14ac:dyDescent="0.2">
      <c r="B143">
        <v>159574.76673925732</v>
      </c>
      <c r="C143">
        <v>108369.05075124934</v>
      </c>
      <c r="E143" t="s">
        <v>36</v>
      </c>
      <c r="F143">
        <v>240347170.76916939</v>
      </c>
      <c r="G143">
        <v>587402535.26434326</v>
      </c>
      <c r="H143">
        <v>404123104.75919598</v>
      </c>
    </row>
    <row r="144" spans="1:11" x14ac:dyDescent="0.2">
      <c r="B144">
        <v>168735.11548630733</v>
      </c>
      <c r="C144">
        <v>162179.59360580801</v>
      </c>
    </row>
    <row r="145" spans="1:11" ht="17" thickBot="1" x14ac:dyDescent="0.25">
      <c r="B145">
        <v>172963.38054390598</v>
      </c>
      <c r="C145">
        <v>137501.41859871533</v>
      </c>
      <c r="E145" s="3">
        <v>30</v>
      </c>
      <c r="F145" s="3"/>
      <c r="G145" s="3"/>
      <c r="H145" s="3"/>
    </row>
    <row r="146" spans="1:11" x14ac:dyDescent="0.2">
      <c r="A146">
        <v>30</v>
      </c>
      <c r="B146">
        <v>63060.020033272333</v>
      </c>
      <c r="C146">
        <v>91536.582479840668</v>
      </c>
      <c r="E146" t="s">
        <v>33</v>
      </c>
      <c r="F146">
        <v>8</v>
      </c>
      <c r="G146">
        <v>8</v>
      </c>
      <c r="H146">
        <v>16</v>
      </c>
    </row>
    <row r="147" spans="1:11" x14ac:dyDescent="0.2">
      <c r="B147">
        <v>73485.876136297331</v>
      </c>
      <c r="C147">
        <v>85057.363871949667</v>
      </c>
      <c r="E147" t="s">
        <v>34</v>
      </c>
      <c r="F147">
        <v>687309.19331390061</v>
      </c>
      <c r="G147">
        <v>932463.74943214445</v>
      </c>
      <c r="H147">
        <v>1619772.9427460451</v>
      </c>
    </row>
    <row r="148" spans="1:11" x14ac:dyDescent="0.2">
      <c r="B148">
        <v>91646.246555128659</v>
      </c>
      <c r="C148">
        <v>139789.42503649366</v>
      </c>
      <c r="E148" t="s">
        <v>35</v>
      </c>
      <c r="F148">
        <v>85913.649164237577</v>
      </c>
      <c r="G148">
        <v>116557.96867901806</v>
      </c>
      <c r="H148">
        <v>101235.80892162782</v>
      </c>
    </row>
    <row r="149" spans="1:11" x14ac:dyDescent="0.2">
      <c r="B149">
        <v>100289.59137442401</v>
      </c>
      <c r="C149">
        <v>117116.00745286167</v>
      </c>
      <c r="E149" t="s">
        <v>36</v>
      </c>
      <c r="F149">
        <v>148531693.89022392</v>
      </c>
      <c r="G149">
        <v>1277312678.8098776</v>
      </c>
      <c r="H149">
        <v>915813858.86643672</v>
      </c>
    </row>
    <row r="150" spans="1:11" x14ac:dyDescent="0.2">
      <c r="B150">
        <v>86020.359148990334</v>
      </c>
      <c r="C150">
        <v>163161.93156995432</v>
      </c>
    </row>
    <row r="151" spans="1:11" ht="17" thickBot="1" x14ac:dyDescent="0.25">
      <c r="B151">
        <v>91299.257006580665</v>
      </c>
      <c r="C151">
        <v>63059.595452224334</v>
      </c>
      <c r="E151" s="3" t="s">
        <v>29</v>
      </c>
      <c r="F151" s="3"/>
      <c r="G151" s="3"/>
      <c r="H151" s="3"/>
    </row>
    <row r="152" spans="1:11" x14ac:dyDescent="0.2">
      <c r="B152">
        <v>85876.374447771334</v>
      </c>
      <c r="C152">
        <v>114420.706916836</v>
      </c>
      <c r="E152" t="s">
        <v>33</v>
      </c>
      <c r="F152">
        <v>16</v>
      </c>
      <c r="G152">
        <v>16</v>
      </c>
    </row>
    <row r="153" spans="1:11" x14ac:dyDescent="0.2">
      <c r="B153">
        <v>95631.468611435994</v>
      </c>
      <c r="C153">
        <v>158322.13665198401</v>
      </c>
      <c r="E153" t="s">
        <v>34</v>
      </c>
      <c r="F153">
        <v>1904931.368561364</v>
      </c>
      <c r="G153">
        <v>2084652.1561311584</v>
      </c>
    </row>
    <row r="154" spans="1:11" x14ac:dyDescent="0.2">
      <c r="E154" t="s">
        <v>35</v>
      </c>
      <c r="F154">
        <v>119058.21053508527</v>
      </c>
      <c r="G154">
        <v>130290.7597581974</v>
      </c>
    </row>
    <row r="155" spans="1:11" x14ac:dyDescent="0.2">
      <c r="E155" t="s">
        <v>36</v>
      </c>
      <c r="F155">
        <v>1353276215.2046549</v>
      </c>
      <c r="G155">
        <v>1071362620.7806538</v>
      </c>
    </row>
    <row r="158" spans="1:11" ht="17" thickBot="1" x14ac:dyDescent="0.25">
      <c r="E158" t="s">
        <v>37</v>
      </c>
    </row>
    <row r="159" spans="1:11" x14ac:dyDescent="0.2">
      <c r="E159" s="2" t="s">
        <v>38</v>
      </c>
      <c r="F159" s="2" t="s">
        <v>39</v>
      </c>
      <c r="G159" s="2" t="s">
        <v>40</v>
      </c>
      <c r="H159" s="2" t="s">
        <v>41</v>
      </c>
      <c r="I159" s="2" t="s">
        <v>42</v>
      </c>
      <c r="J159" s="2" t="s">
        <v>43</v>
      </c>
      <c r="K159" s="2" t="s">
        <v>44</v>
      </c>
    </row>
    <row r="160" spans="1:11" x14ac:dyDescent="0.2">
      <c r="E160" t="s">
        <v>69</v>
      </c>
      <c r="F160">
        <v>17579889381.792431</v>
      </c>
      <c r="G160">
        <v>1</v>
      </c>
      <c r="H160">
        <v>17579889381.792431</v>
      </c>
      <c r="I160">
        <v>31.203293525995253</v>
      </c>
      <c r="J160">
        <v>5.6070815087987626E-6</v>
      </c>
      <c r="K160">
        <v>4.195971818557763</v>
      </c>
    </row>
    <row r="161" spans="1:11" x14ac:dyDescent="0.2">
      <c r="E161" t="s">
        <v>57</v>
      </c>
      <c r="F161">
        <v>1009361296.3970947</v>
      </c>
      <c r="G161">
        <v>1</v>
      </c>
      <c r="H161">
        <v>1009361296.3970947</v>
      </c>
      <c r="I161">
        <v>1.7915583039946521</v>
      </c>
      <c r="J161">
        <v>0.19150421182700592</v>
      </c>
      <c r="K161">
        <v>4.195971818557763</v>
      </c>
    </row>
    <row r="162" spans="1:11" x14ac:dyDescent="0.2">
      <c r="E162" t="s">
        <v>51</v>
      </c>
      <c r="F162">
        <v>3014534606.8519764</v>
      </c>
      <c r="G162">
        <v>1</v>
      </c>
      <c r="H162">
        <v>3014534606.8519764</v>
      </c>
      <c r="I162">
        <v>5.3506257143628453</v>
      </c>
      <c r="J162">
        <v>2.8277849794886456E-2</v>
      </c>
      <c r="K162">
        <v>4.195971818557763</v>
      </c>
    </row>
    <row r="163" spans="1:11" x14ac:dyDescent="0.2">
      <c r="E163" t="s">
        <v>52</v>
      </c>
      <c r="F163">
        <v>15775158551.135279</v>
      </c>
      <c r="G163">
        <v>28</v>
      </c>
      <c r="H163">
        <v>563398519.68340278</v>
      </c>
    </row>
    <row r="165" spans="1:11" ht="17" thickBot="1" x14ac:dyDescent="0.25">
      <c r="E165" s="1" t="s">
        <v>29</v>
      </c>
      <c r="F165" s="1">
        <v>37378943836.176781</v>
      </c>
      <c r="G165" s="1">
        <v>31</v>
      </c>
      <c r="H165" s="1"/>
      <c r="I165" s="1"/>
      <c r="J165" s="1"/>
      <c r="K165" s="1"/>
    </row>
    <row r="166" spans="1:11" x14ac:dyDescent="0.2">
      <c r="A166" t="s">
        <v>67</v>
      </c>
    </row>
    <row r="167" spans="1:11" x14ac:dyDescent="0.2">
      <c r="A167" t="s">
        <v>68</v>
      </c>
      <c r="B167">
        <v>10</v>
      </c>
      <c r="C167">
        <v>30</v>
      </c>
      <c r="E167" t="s">
        <v>48</v>
      </c>
    </row>
    <row r="168" spans="1:11" x14ac:dyDescent="0.2">
      <c r="A168">
        <v>15</v>
      </c>
      <c r="B168">
        <v>-44917.53925808701</v>
      </c>
      <c r="C168">
        <v>-131216.66957200269</v>
      </c>
    </row>
    <row r="169" spans="1:11" x14ac:dyDescent="0.2">
      <c r="B169">
        <v>229121.20948382499</v>
      </c>
      <c r="C169">
        <v>64844.372534223337</v>
      </c>
      <c r="E169" t="s">
        <v>31</v>
      </c>
      <c r="F169">
        <v>10</v>
      </c>
      <c r="G169">
        <v>30</v>
      </c>
      <c r="H169" t="s">
        <v>29</v>
      </c>
    </row>
    <row r="170" spans="1:11" ht="17" thickBot="1" x14ac:dyDescent="0.25">
      <c r="B170">
        <v>23823.296777059975</v>
      </c>
      <c r="C170">
        <v>-140439.81744984034</v>
      </c>
      <c r="E170" s="3">
        <v>15</v>
      </c>
      <c r="F170" s="3"/>
      <c r="G170" s="3"/>
      <c r="H170" s="3"/>
    </row>
    <row r="171" spans="1:11" x14ac:dyDescent="0.2">
      <c r="B171">
        <v>366602.88155411999</v>
      </c>
      <c r="C171">
        <v>36440.199961776656</v>
      </c>
      <c r="E171" t="s">
        <v>33</v>
      </c>
      <c r="F171">
        <v>8</v>
      </c>
      <c r="G171">
        <v>8</v>
      </c>
      <c r="H171">
        <v>16</v>
      </c>
    </row>
    <row r="172" spans="1:11" x14ac:dyDescent="0.2">
      <c r="B172">
        <v>43560.153597672979</v>
      </c>
      <c r="C172">
        <v>-145349.38692581063</v>
      </c>
      <c r="E172" t="s">
        <v>34</v>
      </c>
      <c r="F172">
        <v>1360934.9649075898</v>
      </c>
      <c r="G172">
        <v>-455723.93269427965</v>
      </c>
      <c r="H172">
        <v>905211.03221331036</v>
      </c>
    </row>
    <row r="173" spans="1:11" x14ac:dyDescent="0.2">
      <c r="B173">
        <v>406076.59519534599</v>
      </c>
      <c r="C173">
        <v>-56318.264368901342</v>
      </c>
      <c r="E173" t="s">
        <v>35</v>
      </c>
      <c r="F173">
        <v>170116.87061344873</v>
      </c>
      <c r="G173">
        <v>-56965.491586784956</v>
      </c>
      <c r="H173">
        <v>56575.689513331898</v>
      </c>
    </row>
    <row r="174" spans="1:11" x14ac:dyDescent="0.2">
      <c r="B174">
        <v>13498.223852550984</v>
      </c>
      <c r="C174">
        <v>-134792.96939857129</v>
      </c>
      <c r="E174" t="s">
        <v>36</v>
      </c>
      <c r="F174">
        <v>32768310119.912769</v>
      </c>
      <c r="G174">
        <v>8798960671.4704132</v>
      </c>
      <c r="H174">
        <v>33149099495.29565</v>
      </c>
    </row>
    <row r="175" spans="1:11" x14ac:dyDescent="0.2">
      <c r="B175">
        <v>323170.14370510203</v>
      </c>
      <c r="C175">
        <v>51108.602524846669</v>
      </c>
    </row>
    <row r="176" spans="1:11" ht="17" thickBot="1" x14ac:dyDescent="0.25">
      <c r="A176">
        <v>30</v>
      </c>
      <c r="B176">
        <v>197267.63140186699</v>
      </c>
      <c r="C176">
        <v>-93058.082330487669</v>
      </c>
      <c r="E176" s="3">
        <v>30</v>
      </c>
      <c r="F176" s="3"/>
      <c r="G176" s="3"/>
      <c r="H176" s="3"/>
    </row>
    <row r="177" spans="2:11" x14ac:dyDescent="0.2">
      <c r="B177">
        <v>713491.55080373096</v>
      </c>
      <c r="C177">
        <v>108071.31856762333</v>
      </c>
      <c r="E177" t="s">
        <v>33</v>
      </c>
      <c r="F177">
        <v>8</v>
      </c>
      <c r="G177">
        <v>8</v>
      </c>
      <c r="H177">
        <v>16</v>
      </c>
    </row>
    <row r="178" spans="2:11" x14ac:dyDescent="0.2">
      <c r="B178">
        <v>225194.33005721797</v>
      </c>
      <c r="C178">
        <v>-101113.89040273335</v>
      </c>
      <c r="E178" t="s">
        <v>34</v>
      </c>
      <c r="F178">
        <v>3886937.1031367164</v>
      </c>
      <c r="G178">
        <v>39845.003663835989</v>
      </c>
      <c r="H178">
        <v>3926782.106800552</v>
      </c>
    </row>
    <row r="179" spans="2:11" x14ac:dyDescent="0.2">
      <c r="B179">
        <v>769344.94811443111</v>
      </c>
      <c r="C179">
        <v>80236.996887393354</v>
      </c>
      <c r="E179" t="s">
        <v>35</v>
      </c>
      <c r="F179">
        <v>485867.13789208955</v>
      </c>
      <c r="G179">
        <v>4980.6254579794986</v>
      </c>
      <c r="H179">
        <v>245423.8816750345</v>
      </c>
    </row>
    <row r="180" spans="2:11" x14ac:dyDescent="0.2">
      <c r="B180">
        <v>233350.60665412195</v>
      </c>
      <c r="C180">
        <v>-22521.027944005655</v>
      </c>
      <c r="E180" t="s">
        <v>36</v>
      </c>
      <c r="F180">
        <v>82676734957.38208</v>
      </c>
      <c r="G180">
        <v>13933530294.555771</v>
      </c>
      <c r="H180">
        <v>106751947208.51543</v>
      </c>
    </row>
    <row r="181" spans="2:11" x14ac:dyDescent="0.2">
      <c r="B181">
        <v>762874.9093082411</v>
      </c>
      <c r="C181">
        <v>-3800.0394051047042</v>
      </c>
    </row>
    <row r="182" spans="2:11" ht="17" thickBot="1" x14ac:dyDescent="0.25">
      <c r="B182">
        <v>214558.08226570502</v>
      </c>
      <c r="C182">
        <v>-133714.59136770933</v>
      </c>
      <c r="E182" s="3" t="s">
        <v>29</v>
      </c>
      <c r="F182" s="3"/>
      <c r="G182" s="3"/>
      <c r="H182" s="3"/>
    </row>
    <row r="183" spans="2:11" x14ac:dyDescent="0.2">
      <c r="B183">
        <v>770855.04453140101</v>
      </c>
      <c r="C183">
        <v>205744.31965886001</v>
      </c>
      <c r="E183" t="s">
        <v>33</v>
      </c>
      <c r="F183">
        <v>16</v>
      </c>
      <c r="G183">
        <v>16</v>
      </c>
    </row>
    <row r="184" spans="2:11" x14ac:dyDescent="0.2">
      <c r="E184" t="s">
        <v>34</v>
      </c>
      <c r="F184">
        <v>5247872.0680443067</v>
      </c>
      <c r="G184">
        <v>-415878.92903044366</v>
      </c>
    </row>
    <row r="185" spans="2:11" x14ac:dyDescent="0.2">
      <c r="E185" t="s">
        <v>35</v>
      </c>
      <c r="F185">
        <v>327992.00425276911</v>
      </c>
      <c r="G185">
        <v>-25992.433064402729</v>
      </c>
    </row>
    <row r="186" spans="2:11" x14ac:dyDescent="0.2">
      <c r="E186" t="s">
        <v>36</v>
      </c>
      <c r="F186">
        <v>80460549379.146484</v>
      </c>
      <c r="G186">
        <v>11631781495.325195</v>
      </c>
    </row>
    <row r="189" spans="2:11" ht="17" thickBot="1" x14ac:dyDescent="0.25">
      <c r="E189" t="s">
        <v>37</v>
      </c>
    </row>
    <row r="190" spans="2:11" x14ac:dyDescent="0.2">
      <c r="E190" s="2" t="s">
        <v>38</v>
      </c>
      <c r="F190" s="2" t="s">
        <v>39</v>
      </c>
      <c r="G190" s="2" t="s">
        <v>40</v>
      </c>
      <c r="H190" s="2" t="s">
        <v>41</v>
      </c>
      <c r="I190" s="2" t="s">
        <v>42</v>
      </c>
      <c r="J190" s="2" t="s">
        <v>43</v>
      </c>
      <c r="K190" s="2" t="s">
        <v>44</v>
      </c>
    </row>
    <row r="191" spans="2:11" x14ac:dyDescent="0.2">
      <c r="E191" t="s">
        <v>70</v>
      </c>
      <c r="F191">
        <v>285309117461.94629</v>
      </c>
      <c r="G191">
        <v>1</v>
      </c>
      <c r="H191">
        <v>285309117461.94629</v>
      </c>
      <c r="I191">
        <v>8.2592040828545912</v>
      </c>
      <c r="J191">
        <v>7.6552811269727334E-3</v>
      </c>
      <c r="K191">
        <v>4.195971818557763</v>
      </c>
    </row>
    <row r="192" spans="2:11" x14ac:dyDescent="0.2">
      <c r="E192" t="s">
        <v>57</v>
      </c>
      <c r="F192">
        <v>1002439854902.0376</v>
      </c>
      <c r="G192">
        <v>1</v>
      </c>
      <c r="H192">
        <v>1002439854902.0376</v>
      </c>
      <c r="I192">
        <v>29.018895070983316</v>
      </c>
      <c r="J192">
        <v>9.6394428155525437E-6</v>
      </c>
      <c r="K192">
        <v>4.195971818557763</v>
      </c>
    </row>
    <row r="193" spans="1:11" x14ac:dyDescent="0.2">
      <c r="E193" t="s">
        <v>51</v>
      </c>
      <c r="F193">
        <v>128833093351.88074</v>
      </c>
      <c r="G193">
        <v>1</v>
      </c>
      <c r="H193">
        <v>128833093351.88074</v>
      </c>
      <c r="I193">
        <v>3.7294945919860454</v>
      </c>
      <c r="J193">
        <v>6.3640376852231839E-2</v>
      </c>
      <c r="K193">
        <v>4.195971818557763</v>
      </c>
    </row>
    <row r="194" spans="1:11" x14ac:dyDescent="0.2">
      <c r="E194" t="s">
        <v>52</v>
      </c>
      <c r="F194">
        <v>967242752303.24768</v>
      </c>
      <c r="G194">
        <v>28</v>
      </c>
      <c r="H194">
        <v>34544384010.830276</v>
      </c>
    </row>
    <row r="196" spans="1:11" ht="17" thickBot="1" x14ac:dyDescent="0.25">
      <c r="E196" s="1" t="s">
        <v>29</v>
      </c>
      <c r="F196" s="1">
        <v>2383824818019.1123</v>
      </c>
      <c r="G196" s="1">
        <v>31</v>
      </c>
      <c r="H196" s="1"/>
      <c r="I196" s="1"/>
      <c r="J196" s="1"/>
      <c r="K196" s="1"/>
    </row>
    <row r="197" spans="1:11" x14ac:dyDescent="0.2">
      <c r="A197" t="s">
        <v>72</v>
      </c>
    </row>
    <row r="198" spans="1:11" x14ac:dyDescent="0.2">
      <c r="A198" t="s">
        <v>71</v>
      </c>
      <c r="B198" t="s">
        <v>65</v>
      </c>
      <c r="C198" t="s">
        <v>66</v>
      </c>
    </row>
    <row r="199" spans="1:11" x14ac:dyDescent="0.2">
      <c r="A199">
        <v>10</v>
      </c>
      <c r="B199">
        <v>-44917.53925808701</v>
      </c>
      <c r="C199">
        <v>229121.20948382499</v>
      </c>
      <c r="E199" t="s">
        <v>48</v>
      </c>
    </row>
    <row r="200" spans="1:11" x14ac:dyDescent="0.2">
      <c r="B200">
        <v>197267.63140186699</v>
      </c>
      <c r="C200">
        <v>713491.55080373096</v>
      </c>
    </row>
    <row r="201" spans="1:11" x14ac:dyDescent="0.2">
      <c r="B201">
        <v>23823.296777059975</v>
      </c>
      <c r="C201">
        <v>366602.88155411999</v>
      </c>
      <c r="E201" t="s">
        <v>31</v>
      </c>
      <c r="F201" t="s">
        <v>65</v>
      </c>
      <c r="G201" t="s">
        <v>66</v>
      </c>
      <c r="H201" t="s">
        <v>29</v>
      </c>
    </row>
    <row r="202" spans="1:11" ht="17" thickBot="1" x14ac:dyDescent="0.25">
      <c r="B202">
        <v>225194.33005721797</v>
      </c>
      <c r="C202">
        <v>769344.94811443111</v>
      </c>
      <c r="E202" s="3">
        <v>10</v>
      </c>
      <c r="F202" s="3"/>
      <c r="G202" s="3"/>
      <c r="H202" s="3"/>
    </row>
    <row r="203" spans="1:11" x14ac:dyDescent="0.2">
      <c r="B203">
        <v>43560.153597672979</v>
      </c>
      <c r="C203">
        <v>406076.59519534599</v>
      </c>
      <c r="E203" t="s">
        <v>33</v>
      </c>
      <c r="F203">
        <v>8</v>
      </c>
      <c r="G203">
        <v>8</v>
      </c>
      <c r="H203">
        <v>16</v>
      </c>
    </row>
    <row r="204" spans="1:11" x14ac:dyDescent="0.2">
      <c r="B204">
        <v>233350.60665412195</v>
      </c>
      <c r="C204">
        <v>762874.9093082411</v>
      </c>
      <c r="E204" t="s">
        <v>34</v>
      </c>
      <c r="F204">
        <v>906334.78534810874</v>
      </c>
      <c r="G204">
        <v>4341537.2826961977</v>
      </c>
      <c r="H204">
        <v>5247872.0680443067</v>
      </c>
    </row>
    <row r="205" spans="1:11" x14ac:dyDescent="0.2">
      <c r="B205">
        <v>13498.223852550984</v>
      </c>
      <c r="C205">
        <v>323170.14370510203</v>
      </c>
      <c r="E205" t="s">
        <v>35</v>
      </c>
      <c r="F205">
        <v>113291.84816851359</v>
      </c>
      <c r="G205">
        <v>542692.16033702472</v>
      </c>
      <c r="H205">
        <v>327992.00425276917</v>
      </c>
    </row>
    <row r="206" spans="1:11" x14ac:dyDescent="0.2">
      <c r="B206">
        <v>214558.08226570502</v>
      </c>
      <c r="C206">
        <v>770855.04453140101</v>
      </c>
      <c r="E206" t="s">
        <v>36</v>
      </c>
      <c r="F206">
        <v>13157023131.380243</v>
      </c>
      <c r="G206">
        <v>53895795200.839287</v>
      </c>
      <c r="H206">
        <v>80460549379.146439</v>
      </c>
    </row>
    <row r="207" spans="1:11" x14ac:dyDescent="0.2">
      <c r="A207">
        <v>30</v>
      </c>
      <c r="B207">
        <v>-131216.66957200269</v>
      </c>
      <c r="C207">
        <v>64844.372534223337</v>
      </c>
    </row>
    <row r="208" spans="1:11" ht="17" thickBot="1" x14ac:dyDescent="0.25">
      <c r="B208">
        <v>-93058.082330487669</v>
      </c>
      <c r="C208">
        <v>108071.31856762333</v>
      </c>
      <c r="E208" s="3">
        <v>30</v>
      </c>
      <c r="F208" s="3"/>
      <c r="G208" s="3"/>
      <c r="H208" s="3"/>
    </row>
    <row r="209" spans="2:11" x14ac:dyDescent="0.2">
      <c r="B209">
        <v>-140439.81744984034</v>
      </c>
      <c r="C209">
        <v>36440.199961776656</v>
      </c>
      <c r="E209" t="s">
        <v>33</v>
      </c>
      <c r="F209">
        <v>8</v>
      </c>
      <c r="G209">
        <v>8</v>
      </c>
      <c r="H209">
        <v>16</v>
      </c>
    </row>
    <row r="210" spans="2:11" x14ac:dyDescent="0.2">
      <c r="B210">
        <v>-101113.89040273335</v>
      </c>
      <c r="C210">
        <v>80236.996887393354</v>
      </c>
      <c r="E210" t="s">
        <v>34</v>
      </c>
      <c r="F210">
        <v>-902206.43539116101</v>
      </c>
      <c r="G210">
        <v>486327.50636071723</v>
      </c>
      <c r="H210">
        <v>-415878.92903044366</v>
      </c>
    </row>
    <row r="211" spans="2:11" x14ac:dyDescent="0.2">
      <c r="B211">
        <v>-145349.38692581063</v>
      </c>
      <c r="C211">
        <v>-56318.264368901342</v>
      </c>
      <c r="E211" t="s">
        <v>35</v>
      </c>
      <c r="F211">
        <v>-112775.80442389513</v>
      </c>
      <c r="G211">
        <v>60790.938295089654</v>
      </c>
      <c r="H211">
        <v>-25992.433064402729</v>
      </c>
    </row>
    <row r="212" spans="2:11" x14ac:dyDescent="0.2">
      <c r="B212">
        <v>-22521.027944005655</v>
      </c>
      <c r="C212">
        <v>-3800.0394051047042</v>
      </c>
      <c r="E212" t="s">
        <v>36</v>
      </c>
      <c r="F212">
        <v>1680043319.1349444</v>
      </c>
      <c r="G212">
        <v>6030680354.8028955</v>
      </c>
      <c r="H212">
        <v>11631781495.325195</v>
      </c>
    </row>
    <row r="213" spans="2:11" x14ac:dyDescent="0.2">
      <c r="B213">
        <v>-134792.96939857129</v>
      </c>
      <c r="C213">
        <v>51108.602524846669</v>
      </c>
    </row>
    <row r="214" spans="2:11" ht="17" thickBot="1" x14ac:dyDescent="0.25">
      <c r="B214">
        <v>-133714.59136770933</v>
      </c>
      <c r="C214">
        <v>205744.31965886001</v>
      </c>
      <c r="E214" s="3" t="s">
        <v>29</v>
      </c>
      <c r="F214" s="3"/>
      <c r="G214" s="3"/>
      <c r="H214" s="3"/>
    </row>
    <row r="215" spans="2:11" x14ac:dyDescent="0.2">
      <c r="E215" t="s">
        <v>33</v>
      </c>
      <c r="F215">
        <v>16</v>
      </c>
      <c r="G215">
        <v>16</v>
      </c>
    </row>
    <row r="216" spans="2:11" x14ac:dyDescent="0.2">
      <c r="E216" t="s">
        <v>34</v>
      </c>
      <c r="F216">
        <v>4128.3499569477281</v>
      </c>
      <c r="G216">
        <v>4827864.7890569149</v>
      </c>
    </row>
    <row r="217" spans="2:11" x14ac:dyDescent="0.2">
      <c r="E217" t="s">
        <v>35</v>
      </c>
      <c r="F217">
        <v>258.021872309233</v>
      </c>
      <c r="G217">
        <v>301741.54931605718</v>
      </c>
    </row>
    <row r="218" spans="2:11" x14ac:dyDescent="0.2">
      <c r="E218" t="s">
        <v>36</v>
      </c>
      <c r="F218">
        <v>20552386623.21162</v>
      </c>
      <c r="G218">
        <v>89893365340.76918</v>
      </c>
    </row>
    <row r="221" spans="2:11" ht="17" thickBot="1" x14ac:dyDescent="0.25">
      <c r="E221" t="s">
        <v>37</v>
      </c>
    </row>
    <row r="222" spans="2:11" x14ac:dyDescent="0.2">
      <c r="E222" s="2" t="s">
        <v>38</v>
      </c>
      <c r="F222" s="2" t="s">
        <v>39</v>
      </c>
      <c r="G222" s="2" t="s">
        <v>40</v>
      </c>
      <c r="H222" s="2" t="s">
        <v>41</v>
      </c>
      <c r="I222" s="2" t="s">
        <v>42</v>
      </c>
      <c r="J222" s="2" t="s">
        <v>43</v>
      </c>
      <c r="K222" s="2" t="s">
        <v>44</v>
      </c>
    </row>
    <row r="223" spans="2:11" x14ac:dyDescent="0.2">
      <c r="E223" t="s">
        <v>73</v>
      </c>
      <c r="F223">
        <v>1002439854902.0388</v>
      </c>
      <c r="G223">
        <v>1</v>
      </c>
      <c r="H223">
        <v>1002439854902.0388</v>
      </c>
      <c r="I223">
        <v>53.632550197767678</v>
      </c>
      <c r="J223">
        <v>5.6565650345736395E-8</v>
      </c>
      <c r="K223">
        <v>4.195971818557763</v>
      </c>
    </row>
    <row r="224" spans="2:11" x14ac:dyDescent="0.2">
      <c r="E224" t="s">
        <v>74</v>
      </c>
      <c r="F224">
        <v>727138538559.40063</v>
      </c>
      <c r="G224">
        <v>1</v>
      </c>
      <c r="H224">
        <v>727138538559.40063</v>
      </c>
      <c r="I224">
        <v>38.903375578407648</v>
      </c>
      <c r="J224">
        <v>9.6886027270944498E-7</v>
      </c>
      <c r="K224">
        <v>4.195971818557763</v>
      </c>
    </row>
    <row r="225" spans="5:11" x14ac:dyDescent="0.2">
      <c r="E225" t="s">
        <v>51</v>
      </c>
      <c r="F225">
        <v>130901630514.57117</v>
      </c>
      <c r="G225">
        <v>1</v>
      </c>
      <c r="H225">
        <v>130901630514.57117</v>
      </c>
      <c r="I225">
        <v>7.0035007439208874</v>
      </c>
      <c r="J225">
        <v>1.3198660298072434E-2</v>
      </c>
      <c r="K225">
        <v>4.195971818557763</v>
      </c>
    </row>
    <row r="226" spans="5:11" x14ac:dyDescent="0.2">
      <c r="E226" t="s">
        <v>52</v>
      </c>
      <c r="F226">
        <v>523344794043.10266</v>
      </c>
      <c r="G226">
        <v>28</v>
      </c>
      <c r="H226">
        <v>18690885501.539379</v>
      </c>
    </row>
    <row r="228" spans="5:11" ht="17" thickBot="1" x14ac:dyDescent="0.25">
      <c r="E228" s="1" t="s">
        <v>29</v>
      </c>
      <c r="F228" s="1">
        <v>2383824818019.1133</v>
      </c>
      <c r="G228" s="1">
        <v>31</v>
      </c>
      <c r="H228" s="1"/>
      <c r="I228" s="1"/>
      <c r="J228" s="1"/>
      <c r="K22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9"/>
  <sheetViews>
    <sheetView topLeftCell="A22" workbookViewId="0">
      <selection activeCell="AL10" sqref="AL10"/>
    </sheetView>
  </sheetViews>
  <sheetFormatPr baseColWidth="10" defaultRowHeight="16" x14ac:dyDescent="0.2"/>
  <cols>
    <col min="16" max="16" width="13.1640625" bestFit="1" customWidth="1"/>
  </cols>
  <sheetData>
    <row r="1" spans="1:30" x14ac:dyDescent="0.2">
      <c r="A1" t="s">
        <v>75</v>
      </c>
      <c r="B1" t="s">
        <v>21</v>
      </c>
      <c r="C1" t="s">
        <v>4</v>
      </c>
      <c r="E1" t="s">
        <v>75</v>
      </c>
      <c r="F1" t="s">
        <v>4</v>
      </c>
      <c r="G1" t="s">
        <v>5</v>
      </c>
      <c r="H1" t="s">
        <v>21</v>
      </c>
      <c r="O1" t="s">
        <v>75</v>
      </c>
      <c r="P1" t="s">
        <v>5</v>
      </c>
      <c r="Q1" t="s">
        <v>19</v>
      </c>
      <c r="Z1" t="s">
        <v>75</v>
      </c>
      <c r="AA1" t="s">
        <v>5</v>
      </c>
      <c r="AB1" t="s">
        <v>6</v>
      </c>
      <c r="AC1" t="s">
        <v>7</v>
      </c>
      <c r="AD1" t="s">
        <v>19</v>
      </c>
    </row>
    <row r="2" spans="1:30" x14ac:dyDescent="0.2">
      <c r="A2" t="s">
        <v>123</v>
      </c>
      <c r="B2">
        <v>0</v>
      </c>
      <c r="C2">
        <v>15</v>
      </c>
      <c r="E2" t="s">
        <v>171</v>
      </c>
      <c r="F2">
        <v>30</v>
      </c>
      <c r="G2">
        <v>30</v>
      </c>
      <c r="H2">
        <v>0</v>
      </c>
      <c r="O2" t="s">
        <v>195</v>
      </c>
      <c r="P2">
        <v>10</v>
      </c>
      <c r="Q2">
        <v>-18344203.504127599</v>
      </c>
      <c r="Z2" t="s">
        <v>252</v>
      </c>
      <c r="AA2">
        <v>30</v>
      </c>
      <c r="AB2">
        <v>90.12</v>
      </c>
      <c r="AC2">
        <v>98.7</v>
      </c>
      <c r="AD2">
        <v>16087205.5488762</v>
      </c>
    </row>
    <row r="3" spans="1:30" x14ac:dyDescent="0.2">
      <c r="A3" t="s">
        <v>124</v>
      </c>
      <c r="B3">
        <v>0</v>
      </c>
      <c r="C3">
        <v>15</v>
      </c>
      <c r="E3" t="s">
        <v>172</v>
      </c>
      <c r="F3">
        <v>30</v>
      </c>
      <c r="G3">
        <v>30</v>
      </c>
      <c r="H3">
        <v>0</v>
      </c>
      <c r="O3" t="s">
        <v>196</v>
      </c>
      <c r="P3">
        <v>10</v>
      </c>
      <c r="Q3">
        <v>-17400718.0542183</v>
      </c>
      <c r="Z3" t="s">
        <v>253</v>
      </c>
      <c r="AA3">
        <v>30</v>
      </c>
      <c r="AB3">
        <v>90.12</v>
      </c>
      <c r="AC3">
        <v>98.7</v>
      </c>
      <c r="AD3">
        <v>7829271.27338407</v>
      </c>
    </row>
    <row r="4" spans="1:30" x14ac:dyDescent="0.2">
      <c r="A4" t="s">
        <v>125</v>
      </c>
      <c r="B4">
        <v>0</v>
      </c>
      <c r="C4">
        <v>15</v>
      </c>
      <c r="E4" t="s">
        <v>173</v>
      </c>
      <c r="F4">
        <v>30</v>
      </c>
      <c r="G4">
        <v>30</v>
      </c>
      <c r="H4">
        <v>0</v>
      </c>
      <c r="O4" t="s">
        <v>197</v>
      </c>
      <c r="P4">
        <v>10</v>
      </c>
      <c r="Q4">
        <v>-17980638.827082999</v>
      </c>
      <c r="Z4" t="s">
        <v>254</v>
      </c>
      <c r="AA4">
        <v>30</v>
      </c>
      <c r="AB4">
        <v>90.12</v>
      </c>
      <c r="AC4">
        <v>98.7</v>
      </c>
      <c r="AD4">
        <v>19090546.030836798</v>
      </c>
    </row>
    <row r="5" spans="1:30" x14ac:dyDescent="0.2">
      <c r="A5" t="s">
        <v>126</v>
      </c>
      <c r="B5">
        <v>0</v>
      </c>
      <c r="C5">
        <v>15</v>
      </c>
      <c r="E5" t="s">
        <v>174</v>
      </c>
      <c r="F5">
        <v>30</v>
      </c>
      <c r="G5">
        <v>30</v>
      </c>
      <c r="H5">
        <v>0</v>
      </c>
      <c r="O5" t="s">
        <v>198</v>
      </c>
      <c r="P5">
        <v>10</v>
      </c>
      <c r="Q5">
        <v>-17933897.217544898</v>
      </c>
      <c r="Z5" t="s">
        <v>255</v>
      </c>
      <c r="AA5">
        <v>30</v>
      </c>
      <c r="AB5">
        <v>90.12</v>
      </c>
      <c r="AC5">
        <v>98.7</v>
      </c>
      <c r="AD5">
        <v>8001819.4625559598</v>
      </c>
    </row>
    <row r="6" spans="1:30" ht="17" x14ac:dyDescent="0.2">
      <c r="A6" t="s">
        <v>128</v>
      </c>
      <c r="B6">
        <v>0</v>
      </c>
      <c r="C6">
        <v>15</v>
      </c>
      <c r="E6" t="s">
        <v>175</v>
      </c>
      <c r="F6">
        <v>30</v>
      </c>
      <c r="G6">
        <v>30</v>
      </c>
      <c r="H6">
        <v>0</v>
      </c>
      <c r="O6" s="5" t="s">
        <v>199</v>
      </c>
      <c r="P6">
        <v>10</v>
      </c>
      <c r="Q6">
        <v>-18475187.509085301</v>
      </c>
      <c r="Z6" t="s">
        <v>256</v>
      </c>
      <c r="AA6">
        <v>30</v>
      </c>
      <c r="AB6">
        <v>90.12</v>
      </c>
      <c r="AC6">
        <v>98.7</v>
      </c>
      <c r="AD6">
        <v>8876119.7743770704</v>
      </c>
    </row>
    <row r="7" spans="1:30" x14ac:dyDescent="0.2">
      <c r="A7" t="s">
        <v>127</v>
      </c>
      <c r="B7">
        <v>0</v>
      </c>
      <c r="C7">
        <v>15</v>
      </c>
      <c r="E7" t="s">
        <v>176</v>
      </c>
      <c r="F7">
        <v>30</v>
      </c>
      <c r="G7">
        <v>30</v>
      </c>
      <c r="H7">
        <v>0</v>
      </c>
      <c r="O7" t="s">
        <v>200</v>
      </c>
      <c r="P7">
        <v>10</v>
      </c>
      <c r="Q7">
        <v>-19846921.689263899</v>
      </c>
      <c r="Z7" t="s">
        <v>257</v>
      </c>
      <c r="AA7">
        <v>30</v>
      </c>
      <c r="AB7">
        <v>90.12</v>
      </c>
      <c r="AC7">
        <v>98.7</v>
      </c>
      <c r="AD7">
        <v>7478490.4531686101</v>
      </c>
    </row>
    <row r="8" spans="1:30" x14ac:dyDescent="0.2">
      <c r="A8" t="s">
        <v>129</v>
      </c>
      <c r="B8">
        <v>0</v>
      </c>
      <c r="C8">
        <v>15</v>
      </c>
      <c r="E8" t="s">
        <v>194</v>
      </c>
      <c r="F8">
        <v>30</v>
      </c>
      <c r="G8">
        <v>30</v>
      </c>
      <c r="H8">
        <v>0</v>
      </c>
      <c r="O8" t="s">
        <v>201</v>
      </c>
      <c r="P8">
        <v>10</v>
      </c>
      <c r="Q8">
        <v>-18224713.245310701</v>
      </c>
      <c r="Z8" t="s">
        <v>258</v>
      </c>
      <c r="AA8">
        <v>30</v>
      </c>
      <c r="AB8">
        <v>90.12</v>
      </c>
      <c r="AC8">
        <v>98.7</v>
      </c>
      <c r="AD8">
        <v>11203115.6601393</v>
      </c>
    </row>
    <row r="9" spans="1:30" x14ac:dyDescent="0.2">
      <c r="A9" t="s">
        <v>131</v>
      </c>
      <c r="B9">
        <v>0</v>
      </c>
      <c r="C9">
        <v>15</v>
      </c>
      <c r="E9" s="4" t="s">
        <v>177</v>
      </c>
      <c r="F9" s="4">
        <v>30</v>
      </c>
      <c r="G9" s="4">
        <v>30</v>
      </c>
      <c r="H9" s="4">
        <v>0</v>
      </c>
      <c r="O9" t="s">
        <v>202</v>
      </c>
      <c r="P9">
        <v>10</v>
      </c>
      <c r="Q9">
        <v>-15464605.880899699</v>
      </c>
      <c r="Z9" s="4" t="s">
        <v>259</v>
      </c>
      <c r="AA9" s="4">
        <v>30</v>
      </c>
      <c r="AB9" s="4">
        <v>90.12</v>
      </c>
      <c r="AC9" s="4">
        <v>98.7</v>
      </c>
      <c r="AD9" s="4">
        <v>11695457.623707499</v>
      </c>
    </row>
    <row r="10" spans="1:30" x14ac:dyDescent="0.2">
      <c r="A10" t="s">
        <v>130</v>
      </c>
      <c r="B10">
        <v>0</v>
      </c>
      <c r="C10">
        <v>15</v>
      </c>
      <c r="E10" t="s">
        <v>163</v>
      </c>
      <c r="F10">
        <v>30</v>
      </c>
      <c r="G10">
        <v>10</v>
      </c>
      <c r="H10">
        <v>58709.1250899999</v>
      </c>
      <c r="O10" t="s">
        <v>203</v>
      </c>
      <c r="P10">
        <v>10</v>
      </c>
      <c r="Q10">
        <v>-7824259.4077669401</v>
      </c>
      <c r="Z10" t="s">
        <v>236</v>
      </c>
      <c r="AA10">
        <v>30</v>
      </c>
      <c r="AB10">
        <v>45.06</v>
      </c>
      <c r="AC10">
        <v>49.35</v>
      </c>
      <c r="AD10">
        <v>-9995948.2531276699</v>
      </c>
    </row>
    <row r="11" spans="1:30" x14ac:dyDescent="0.2">
      <c r="A11" t="s">
        <v>132</v>
      </c>
      <c r="B11">
        <v>0</v>
      </c>
      <c r="C11">
        <v>15</v>
      </c>
      <c r="E11" t="s">
        <v>164</v>
      </c>
      <c r="F11">
        <v>30</v>
      </c>
      <c r="G11">
        <v>10</v>
      </c>
      <c r="H11">
        <v>58709.125090000001</v>
      </c>
      <c r="O11" t="s">
        <v>204</v>
      </c>
      <c r="P11">
        <v>10</v>
      </c>
      <c r="Q11">
        <v>-1415881.9497326899</v>
      </c>
      <c r="Z11" t="s">
        <v>237</v>
      </c>
      <c r="AA11">
        <v>30</v>
      </c>
      <c r="AB11">
        <v>45.06</v>
      </c>
      <c r="AC11">
        <v>49.35</v>
      </c>
      <c r="AD11">
        <v>-21271591.610757701</v>
      </c>
    </row>
    <row r="12" spans="1:30" x14ac:dyDescent="0.2">
      <c r="A12" t="s">
        <v>134</v>
      </c>
      <c r="B12">
        <v>0</v>
      </c>
      <c r="C12">
        <v>15</v>
      </c>
      <c r="E12" t="s">
        <v>165</v>
      </c>
      <c r="F12">
        <v>30</v>
      </c>
      <c r="G12">
        <v>10</v>
      </c>
      <c r="H12">
        <v>0</v>
      </c>
      <c r="O12" t="s">
        <v>205</v>
      </c>
      <c r="P12">
        <v>10</v>
      </c>
      <c r="Q12">
        <v>-6696047.13591504</v>
      </c>
      <c r="Z12" t="s">
        <v>238</v>
      </c>
      <c r="AA12">
        <v>30</v>
      </c>
      <c r="AB12">
        <v>45.06</v>
      </c>
      <c r="AC12">
        <v>49.35</v>
      </c>
      <c r="AD12">
        <v>-8739379.7214922309</v>
      </c>
    </row>
    <row r="13" spans="1:30" x14ac:dyDescent="0.2">
      <c r="A13" t="s">
        <v>133</v>
      </c>
      <c r="B13">
        <v>0</v>
      </c>
      <c r="C13">
        <v>15</v>
      </c>
      <c r="E13" t="s">
        <v>166</v>
      </c>
      <c r="F13">
        <v>30</v>
      </c>
      <c r="G13">
        <v>10</v>
      </c>
      <c r="H13">
        <v>8387.0178699999997</v>
      </c>
      <c r="O13" t="s">
        <v>206</v>
      </c>
      <c r="P13">
        <v>10</v>
      </c>
      <c r="Q13">
        <v>-3430173.6580720502</v>
      </c>
      <c r="Z13" t="s">
        <v>239</v>
      </c>
      <c r="AA13">
        <v>30</v>
      </c>
      <c r="AB13">
        <v>45.06</v>
      </c>
      <c r="AC13">
        <v>49.35</v>
      </c>
      <c r="AD13">
        <v>-20088610.378621601</v>
      </c>
    </row>
    <row r="14" spans="1:30" x14ac:dyDescent="0.2">
      <c r="A14" t="s">
        <v>135</v>
      </c>
      <c r="B14">
        <v>0</v>
      </c>
      <c r="C14">
        <v>15</v>
      </c>
      <c r="E14" t="s">
        <v>167</v>
      </c>
      <c r="F14">
        <v>30</v>
      </c>
      <c r="G14">
        <v>10</v>
      </c>
      <c r="H14">
        <v>58709.1250899999</v>
      </c>
      <c r="O14" t="s">
        <v>207</v>
      </c>
      <c r="P14">
        <v>10</v>
      </c>
      <c r="Q14">
        <v>-6325848.0947655402</v>
      </c>
      <c r="Z14" t="s">
        <v>240</v>
      </c>
      <c r="AA14">
        <v>30</v>
      </c>
      <c r="AB14">
        <v>45.06</v>
      </c>
      <c r="AC14">
        <v>49.35</v>
      </c>
      <c r="AD14">
        <v>-10957125.6567099</v>
      </c>
    </row>
    <row r="15" spans="1:30" x14ac:dyDescent="0.2">
      <c r="A15" t="s">
        <v>136</v>
      </c>
      <c r="B15">
        <v>0</v>
      </c>
      <c r="C15">
        <v>15</v>
      </c>
      <c r="E15" t="s">
        <v>168</v>
      </c>
      <c r="F15">
        <v>30</v>
      </c>
      <c r="G15">
        <v>10</v>
      </c>
      <c r="H15">
        <v>58709.125090000001</v>
      </c>
      <c r="O15" t="s">
        <v>208</v>
      </c>
      <c r="P15">
        <v>10</v>
      </c>
      <c r="Q15">
        <v>-4281703.1739495499</v>
      </c>
      <c r="Z15" t="s">
        <v>241</v>
      </c>
      <c r="AA15">
        <v>30</v>
      </c>
      <c r="AB15">
        <v>45.06</v>
      </c>
      <c r="AC15">
        <v>49.35</v>
      </c>
      <c r="AD15">
        <v>-19298058.711867299</v>
      </c>
    </row>
    <row r="16" spans="1:30" x14ac:dyDescent="0.2">
      <c r="A16" t="s">
        <v>137</v>
      </c>
      <c r="B16">
        <v>0</v>
      </c>
      <c r="C16">
        <v>15</v>
      </c>
      <c r="E16" t="s">
        <v>169</v>
      </c>
      <c r="F16">
        <v>30</v>
      </c>
      <c r="G16">
        <v>10</v>
      </c>
      <c r="H16">
        <v>0</v>
      </c>
      <c r="O16" t="s">
        <v>209</v>
      </c>
      <c r="P16">
        <v>10</v>
      </c>
      <c r="Q16">
        <v>-5713233.9113545902</v>
      </c>
      <c r="Z16" t="s">
        <v>242</v>
      </c>
      <c r="AA16">
        <v>30</v>
      </c>
      <c r="AB16">
        <v>45.06</v>
      </c>
      <c r="AC16">
        <v>49.35</v>
      </c>
      <c r="AD16">
        <v>-13623563.6931441</v>
      </c>
    </row>
    <row r="17" spans="1:30" x14ac:dyDescent="0.2">
      <c r="A17" t="s">
        <v>138</v>
      </c>
      <c r="B17">
        <v>0</v>
      </c>
      <c r="C17">
        <v>15</v>
      </c>
      <c r="E17" t="s">
        <v>170</v>
      </c>
      <c r="F17">
        <v>30</v>
      </c>
      <c r="G17">
        <v>10</v>
      </c>
      <c r="H17">
        <v>8387.0178699999997</v>
      </c>
      <c r="O17" t="s">
        <v>210</v>
      </c>
      <c r="P17">
        <v>10</v>
      </c>
      <c r="Q17">
        <v>998441.51873332204</v>
      </c>
      <c r="Z17" t="s">
        <v>243</v>
      </c>
      <c r="AA17">
        <v>30</v>
      </c>
      <c r="AB17">
        <v>45.06</v>
      </c>
      <c r="AC17">
        <v>49.35</v>
      </c>
      <c r="AD17">
        <v>-20695413.004154898</v>
      </c>
    </row>
    <row r="18" spans="1:30" x14ac:dyDescent="0.2">
      <c r="A18" t="s">
        <v>139</v>
      </c>
      <c r="B18">
        <v>0</v>
      </c>
      <c r="C18">
        <v>15</v>
      </c>
      <c r="E18" t="s">
        <v>186</v>
      </c>
      <c r="F18">
        <v>15</v>
      </c>
      <c r="G18">
        <v>30</v>
      </c>
      <c r="H18">
        <v>0</v>
      </c>
      <c r="O18" t="s">
        <v>211</v>
      </c>
      <c r="P18">
        <v>30</v>
      </c>
      <c r="Q18">
        <v>-9995948.2531276699</v>
      </c>
      <c r="Z18" t="s">
        <v>244</v>
      </c>
      <c r="AA18">
        <v>10</v>
      </c>
      <c r="AB18">
        <v>90.12</v>
      </c>
      <c r="AC18">
        <v>98.7</v>
      </c>
      <c r="AD18">
        <v>-7824259.4077669401</v>
      </c>
    </row>
    <row r="19" spans="1:30" x14ac:dyDescent="0.2">
      <c r="A19" t="s">
        <v>140</v>
      </c>
      <c r="B19">
        <v>0</v>
      </c>
      <c r="C19">
        <v>15</v>
      </c>
      <c r="E19" t="s">
        <v>187</v>
      </c>
      <c r="F19">
        <v>15</v>
      </c>
      <c r="G19">
        <v>30</v>
      </c>
      <c r="H19">
        <v>0</v>
      </c>
      <c r="O19" t="s">
        <v>212</v>
      </c>
      <c r="P19">
        <v>30</v>
      </c>
      <c r="Q19">
        <v>-21271591.610757701</v>
      </c>
      <c r="Z19" t="s">
        <v>245</v>
      </c>
      <c r="AA19">
        <v>10</v>
      </c>
      <c r="AB19">
        <v>90.12</v>
      </c>
      <c r="AC19">
        <v>98.7</v>
      </c>
      <c r="AD19">
        <v>-1415881.9497326899</v>
      </c>
    </row>
    <row r="20" spans="1:30" x14ac:dyDescent="0.2">
      <c r="A20" t="s">
        <v>141</v>
      </c>
      <c r="B20">
        <v>0</v>
      </c>
      <c r="C20">
        <v>15</v>
      </c>
      <c r="E20" t="s">
        <v>188</v>
      </c>
      <c r="F20">
        <v>15</v>
      </c>
      <c r="G20">
        <v>30</v>
      </c>
      <c r="H20">
        <v>0</v>
      </c>
      <c r="O20" t="s">
        <v>213</v>
      </c>
      <c r="P20">
        <v>30</v>
      </c>
      <c r="Q20">
        <v>-8739379.7214922309</v>
      </c>
      <c r="Z20" t="s">
        <v>246</v>
      </c>
      <c r="AA20">
        <v>10</v>
      </c>
      <c r="AB20">
        <v>90.12</v>
      </c>
      <c r="AC20">
        <v>98.7</v>
      </c>
      <c r="AD20">
        <v>-6696047.13591504</v>
      </c>
    </row>
    <row r="21" spans="1:30" x14ac:dyDescent="0.2">
      <c r="A21" t="s">
        <v>142</v>
      </c>
      <c r="B21">
        <v>58709.1250899999</v>
      </c>
      <c r="C21">
        <v>30</v>
      </c>
      <c r="E21" t="s">
        <v>189</v>
      </c>
      <c r="F21">
        <v>15</v>
      </c>
      <c r="G21">
        <v>30</v>
      </c>
      <c r="H21">
        <v>0</v>
      </c>
      <c r="O21" t="s">
        <v>214</v>
      </c>
      <c r="P21">
        <v>30</v>
      </c>
      <c r="Q21">
        <v>-20088610.378621601</v>
      </c>
      <c r="Z21" t="s">
        <v>247</v>
      </c>
      <c r="AA21">
        <v>10</v>
      </c>
      <c r="AB21">
        <v>90.12</v>
      </c>
      <c r="AC21">
        <v>98.7</v>
      </c>
      <c r="AD21">
        <v>-3430173.6580720502</v>
      </c>
    </row>
    <row r="22" spans="1:30" x14ac:dyDescent="0.2">
      <c r="A22" t="s">
        <v>143</v>
      </c>
      <c r="B22">
        <v>58709.125090000001</v>
      </c>
      <c r="C22">
        <v>30</v>
      </c>
      <c r="E22" t="s">
        <v>190</v>
      </c>
      <c r="F22">
        <v>15</v>
      </c>
      <c r="G22">
        <v>30</v>
      </c>
      <c r="H22">
        <v>0</v>
      </c>
      <c r="O22" t="s">
        <v>215</v>
      </c>
      <c r="P22">
        <v>30</v>
      </c>
      <c r="Q22">
        <v>-10957125.6567099</v>
      </c>
      <c r="Z22" t="s">
        <v>248</v>
      </c>
      <c r="AA22">
        <v>10</v>
      </c>
      <c r="AB22">
        <v>90.12</v>
      </c>
      <c r="AC22">
        <v>98.7</v>
      </c>
      <c r="AD22">
        <v>-6325848.0947655402</v>
      </c>
    </row>
    <row r="23" spans="1:30" x14ac:dyDescent="0.2">
      <c r="A23" t="s">
        <v>144</v>
      </c>
      <c r="B23">
        <v>0</v>
      </c>
      <c r="C23">
        <v>30</v>
      </c>
      <c r="E23" t="s">
        <v>191</v>
      </c>
      <c r="F23">
        <v>15</v>
      </c>
      <c r="G23">
        <v>30</v>
      </c>
      <c r="H23">
        <v>0</v>
      </c>
      <c r="O23" t="s">
        <v>216</v>
      </c>
      <c r="P23">
        <v>30</v>
      </c>
      <c r="Q23">
        <v>-19298058.711867299</v>
      </c>
      <c r="Z23" t="s">
        <v>249</v>
      </c>
      <c r="AA23">
        <v>10</v>
      </c>
      <c r="AB23">
        <v>90.12</v>
      </c>
      <c r="AC23">
        <v>98.7</v>
      </c>
      <c r="AD23">
        <v>-4281703.1739495499</v>
      </c>
    </row>
    <row r="24" spans="1:30" x14ac:dyDescent="0.2">
      <c r="A24" t="s">
        <v>145</v>
      </c>
      <c r="B24">
        <v>8387.0178699999997</v>
      </c>
      <c r="C24">
        <v>30</v>
      </c>
      <c r="E24" t="s">
        <v>192</v>
      </c>
      <c r="F24">
        <v>15</v>
      </c>
      <c r="G24">
        <v>30</v>
      </c>
      <c r="H24">
        <v>0</v>
      </c>
      <c r="O24" t="s">
        <v>217</v>
      </c>
      <c r="P24">
        <v>30</v>
      </c>
      <c r="Q24">
        <v>-13623563.6931441</v>
      </c>
      <c r="Z24" t="s">
        <v>250</v>
      </c>
      <c r="AA24">
        <v>10</v>
      </c>
      <c r="AB24">
        <v>90.12</v>
      </c>
      <c r="AC24">
        <v>98.7</v>
      </c>
      <c r="AD24">
        <v>-5713233.9113545902</v>
      </c>
    </row>
    <row r="25" spans="1:30" x14ac:dyDescent="0.2">
      <c r="A25" t="s">
        <v>146</v>
      </c>
      <c r="B25">
        <v>0</v>
      </c>
      <c r="C25">
        <v>30</v>
      </c>
      <c r="E25" t="s">
        <v>193</v>
      </c>
      <c r="F25">
        <v>15</v>
      </c>
      <c r="G25">
        <v>30</v>
      </c>
      <c r="H25">
        <v>0</v>
      </c>
      <c r="O25" t="s">
        <v>218</v>
      </c>
      <c r="P25">
        <v>30</v>
      </c>
      <c r="Q25">
        <v>-20695413.004154898</v>
      </c>
      <c r="Z25" t="s">
        <v>251</v>
      </c>
      <c r="AA25">
        <v>10</v>
      </c>
      <c r="AB25">
        <v>90.12</v>
      </c>
      <c r="AC25">
        <v>98.7</v>
      </c>
      <c r="AD25">
        <v>998441.51873332204</v>
      </c>
    </row>
    <row r="26" spans="1:30" x14ac:dyDescent="0.2">
      <c r="A26" t="s">
        <v>147</v>
      </c>
      <c r="B26">
        <v>0</v>
      </c>
      <c r="C26">
        <v>30</v>
      </c>
      <c r="E26" t="s">
        <v>178</v>
      </c>
      <c r="F26">
        <v>15</v>
      </c>
      <c r="G26">
        <v>10</v>
      </c>
      <c r="H26">
        <v>0</v>
      </c>
      <c r="O26" t="s">
        <v>219</v>
      </c>
      <c r="P26">
        <v>30</v>
      </c>
      <c r="Q26">
        <v>16087205.5488762</v>
      </c>
      <c r="Z26" t="s">
        <v>228</v>
      </c>
      <c r="AA26">
        <v>10</v>
      </c>
      <c r="AB26">
        <v>45.06</v>
      </c>
      <c r="AC26">
        <v>49.35</v>
      </c>
      <c r="AD26">
        <v>-18344203.504127599</v>
      </c>
    </row>
    <row r="27" spans="1:30" x14ac:dyDescent="0.2">
      <c r="A27" t="s">
        <v>148</v>
      </c>
      <c r="B27">
        <v>0</v>
      </c>
      <c r="C27">
        <v>30</v>
      </c>
      <c r="E27" t="s">
        <v>179</v>
      </c>
      <c r="F27">
        <v>15</v>
      </c>
      <c r="G27">
        <v>10</v>
      </c>
      <c r="H27">
        <v>0</v>
      </c>
      <c r="O27" t="s">
        <v>220</v>
      </c>
      <c r="P27">
        <v>30</v>
      </c>
      <c r="Q27">
        <v>7829271.27338407</v>
      </c>
      <c r="Z27" t="s">
        <v>229</v>
      </c>
      <c r="AA27">
        <v>10</v>
      </c>
      <c r="AB27">
        <v>45.06</v>
      </c>
      <c r="AC27">
        <v>49.35</v>
      </c>
      <c r="AD27">
        <v>-17400718.0542183</v>
      </c>
    </row>
    <row r="28" spans="1:30" x14ac:dyDescent="0.2">
      <c r="A28" t="s">
        <v>149</v>
      </c>
      <c r="B28">
        <v>0</v>
      </c>
      <c r="C28">
        <v>30</v>
      </c>
      <c r="E28" t="s">
        <v>180</v>
      </c>
      <c r="F28">
        <v>15</v>
      </c>
      <c r="G28">
        <v>10</v>
      </c>
      <c r="H28">
        <v>0</v>
      </c>
      <c r="O28" t="s">
        <v>221</v>
      </c>
      <c r="P28">
        <v>30</v>
      </c>
      <c r="Q28">
        <v>19090546.030836798</v>
      </c>
      <c r="Z28" t="s">
        <v>230</v>
      </c>
      <c r="AA28">
        <v>10</v>
      </c>
      <c r="AB28">
        <v>45.06</v>
      </c>
      <c r="AC28">
        <v>49.35</v>
      </c>
      <c r="AD28">
        <v>-17980638.827082999</v>
      </c>
    </row>
    <row r="29" spans="1:30" x14ac:dyDescent="0.2">
      <c r="A29" t="s">
        <v>150</v>
      </c>
      <c r="B29">
        <v>4193.5089349999998</v>
      </c>
      <c r="C29">
        <v>30</v>
      </c>
      <c r="E29" t="s">
        <v>181</v>
      </c>
      <c r="F29">
        <v>15</v>
      </c>
      <c r="G29">
        <v>10</v>
      </c>
      <c r="H29">
        <v>0</v>
      </c>
      <c r="O29" t="s">
        <v>222</v>
      </c>
      <c r="P29">
        <v>30</v>
      </c>
      <c r="Q29">
        <v>8001819.4625559598</v>
      </c>
      <c r="Z29" t="s">
        <v>231</v>
      </c>
      <c r="AA29">
        <v>10</v>
      </c>
      <c r="AB29">
        <v>45.06</v>
      </c>
      <c r="AC29">
        <v>49.35</v>
      </c>
      <c r="AD29">
        <v>-17933897.217544898</v>
      </c>
    </row>
    <row r="30" spans="1:30" x14ac:dyDescent="0.2">
      <c r="A30" t="s">
        <v>151</v>
      </c>
      <c r="B30">
        <v>8387.0178699999997</v>
      </c>
      <c r="C30">
        <v>30</v>
      </c>
      <c r="E30" t="s">
        <v>182</v>
      </c>
      <c r="F30">
        <v>15</v>
      </c>
      <c r="G30">
        <v>10</v>
      </c>
      <c r="H30">
        <v>0</v>
      </c>
      <c r="O30" t="s">
        <v>223</v>
      </c>
      <c r="P30">
        <v>30</v>
      </c>
      <c r="Q30">
        <v>8876119.7743770704</v>
      </c>
      <c r="Z30" t="s">
        <v>232</v>
      </c>
      <c r="AA30">
        <v>10</v>
      </c>
      <c r="AB30">
        <v>45.06</v>
      </c>
      <c r="AC30">
        <v>49.35</v>
      </c>
      <c r="AD30">
        <v>-18475187.509085301</v>
      </c>
    </row>
    <row r="31" spans="1:30" x14ac:dyDescent="0.2">
      <c r="A31" t="s">
        <v>152</v>
      </c>
      <c r="B31">
        <v>12580.526805</v>
      </c>
      <c r="C31">
        <v>30</v>
      </c>
      <c r="E31" t="s">
        <v>183</v>
      </c>
      <c r="F31">
        <v>15</v>
      </c>
      <c r="G31">
        <v>10</v>
      </c>
      <c r="H31">
        <v>0</v>
      </c>
      <c r="O31" t="s">
        <v>224</v>
      </c>
      <c r="P31">
        <v>30</v>
      </c>
      <c r="Q31">
        <v>7478490.4531686101</v>
      </c>
      <c r="Z31" t="s">
        <v>233</v>
      </c>
      <c r="AA31">
        <v>10</v>
      </c>
      <c r="AB31">
        <v>45.06</v>
      </c>
      <c r="AC31">
        <v>49.35</v>
      </c>
      <c r="AD31">
        <v>-19846921.689263899</v>
      </c>
    </row>
    <row r="32" spans="1:30" x14ac:dyDescent="0.2">
      <c r="A32" t="s">
        <v>153</v>
      </c>
      <c r="B32">
        <v>58709.1250899999</v>
      </c>
      <c r="C32">
        <v>30</v>
      </c>
      <c r="E32" t="s">
        <v>184</v>
      </c>
      <c r="F32">
        <v>15</v>
      </c>
      <c r="G32">
        <v>10</v>
      </c>
      <c r="H32">
        <v>0</v>
      </c>
      <c r="O32" t="s">
        <v>225</v>
      </c>
      <c r="P32">
        <v>30</v>
      </c>
      <c r="Q32">
        <v>11203115.6601393</v>
      </c>
      <c r="Z32" t="s">
        <v>234</v>
      </c>
      <c r="AA32">
        <v>10</v>
      </c>
      <c r="AB32">
        <v>45.06</v>
      </c>
      <c r="AC32">
        <v>49.35</v>
      </c>
      <c r="AD32">
        <v>-18224713.245310701</v>
      </c>
    </row>
    <row r="33" spans="1:30" x14ac:dyDescent="0.2">
      <c r="A33" t="s">
        <v>154</v>
      </c>
      <c r="B33">
        <v>58709.125090000001</v>
      </c>
      <c r="C33">
        <v>30</v>
      </c>
      <c r="E33" t="s">
        <v>185</v>
      </c>
      <c r="F33">
        <v>15</v>
      </c>
      <c r="G33">
        <v>10</v>
      </c>
      <c r="H33">
        <v>0</v>
      </c>
      <c r="O33" s="4" t="s">
        <v>226</v>
      </c>
      <c r="P33" s="4">
        <v>30</v>
      </c>
      <c r="Q33" s="4">
        <v>11695457.623707499</v>
      </c>
      <c r="Z33" t="s">
        <v>235</v>
      </c>
      <c r="AA33">
        <v>10</v>
      </c>
      <c r="AB33">
        <v>45.06</v>
      </c>
      <c r="AC33">
        <v>49.35</v>
      </c>
      <c r="AD33">
        <v>-15464605.880899699</v>
      </c>
    </row>
    <row r="34" spans="1:30" x14ac:dyDescent="0.2">
      <c r="A34" t="s">
        <v>155</v>
      </c>
      <c r="B34">
        <v>0</v>
      </c>
      <c r="C34">
        <v>30</v>
      </c>
    </row>
    <row r="35" spans="1:30" x14ac:dyDescent="0.2">
      <c r="A35" t="s">
        <v>156</v>
      </c>
      <c r="B35">
        <v>8387.0178699999997</v>
      </c>
      <c r="C35">
        <v>30</v>
      </c>
    </row>
    <row r="36" spans="1:30" x14ac:dyDescent="0.2">
      <c r="A36" t="s">
        <v>157</v>
      </c>
      <c r="B36">
        <v>0</v>
      </c>
      <c r="C36">
        <v>30</v>
      </c>
    </row>
    <row r="37" spans="1:30" x14ac:dyDescent="0.2">
      <c r="A37" t="s">
        <v>158</v>
      </c>
      <c r="B37">
        <v>0</v>
      </c>
      <c r="C37">
        <v>30</v>
      </c>
    </row>
    <row r="38" spans="1:30" x14ac:dyDescent="0.2">
      <c r="A38" t="s">
        <v>159</v>
      </c>
      <c r="B38">
        <v>0</v>
      </c>
      <c r="C38">
        <v>30</v>
      </c>
    </row>
    <row r="39" spans="1:30" x14ac:dyDescent="0.2">
      <c r="A39" s="4" t="s">
        <v>160</v>
      </c>
      <c r="B39" s="4">
        <v>0</v>
      </c>
      <c r="C39" s="4">
        <v>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Complete Batch Experiment</vt:lpstr>
      <vt:lpstr>batch_experiment</vt:lpstr>
      <vt:lpstr>Sheet7</vt:lpstr>
      <vt:lpstr>Sheet4</vt:lpstr>
      <vt:lpstr>Sheet2</vt:lpstr>
      <vt:lpstr>Sheet3</vt:lpstr>
      <vt:lpstr>Sheet1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Zenith Arnejo</dc:creator>
  <cp:lastModifiedBy>Zenith Arnejo</cp:lastModifiedBy>
  <dcterms:created xsi:type="dcterms:W3CDTF">2024-06-16T18:26:53Z</dcterms:created>
  <dcterms:modified xsi:type="dcterms:W3CDTF">2024-06-24T23:28:41Z</dcterms:modified>
</cp:coreProperties>
</file>