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GitHub/ITP_project/results/"/>
    </mc:Choice>
  </mc:AlternateContent>
  <xr:revisionPtr revIDLastSave="0" documentId="13_ncr:1_{B1056232-B0C7-2C42-B8CA-353762232146}" xr6:coauthVersionLast="47" xr6:coauthVersionMax="47" xr10:uidLastSave="{00000000-0000-0000-0000-000000000000}"/>
  <bookViews>
    <workbookView xWindow="0" yWindow="0" windowWidth="21520" windowHeight="18000" activeTab="2" xr2:uid="{00000000-000D-0000-FFFF-FFFF00000000}"/>
  </bookViews>
  <sheets>
    <sheet name="Removed 15" sheetId="9" r:id="rId1"/>
    <sheet name="Original" sheetId="10" r:id="rId2"/>
    <sheet name="MANOVA 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06" i="9" l="1"/>
  <c r="AM7" i="9"/>
  <c r="AM116" i="9"/>
  <c r="AM77" i="9"/>
  <c r="AM22" i="9"/>
  <c r="AM72" i="9"/>
  <c r="AM31" i="9"/>
  <c r="AM39" i="9"/>
  <c r="AM41" i="9"/>
  <c r="AM47" i="9"/>
  <c r="AM98" i="9"/>
  <c r="AM73" i="9"/>
  <c r="AM16" i="9"/>
  <c r="AM156" i="9"/>
  <c r="AM79" i="9"/>
  <c r="AM84" i="9"/>
  <c r="AM3" i="9"/>
  <c r="AM87" i="9"/>
  <c r="AM89" i="9"/>
  <c r="AM94" i="9"/>
  <c r="AM95" i="9"/>
  <c r="AM102" i="9"/>
  <c r="AM92" i="9"/>
  <c r="AM111" i="9"/>
  <c r="AM113" i="9"/>
  <c r="AM118" i="9"/>
  <c r="AM100" i="9"/>
  <c r="AM121" i="9"/>
  <c r="AM126" i="9"/>
  <c r="AM129" i="9"/>
  <c r="AM134" i="9"/>
  <c r="AM135" i="9"/>
  <c r="AM137" i="9"/>
  <c r="AM142" i="9"/>
  <c r="AM143" i="9"/>
  <c r="AM150" i="9"/>
  <c r="AM151" i="9"/>
  <c r="AM138" i="9"/>
  <c r="AM159" i="9"/>
  <c r="AM160" i="9"/>
  <c r="AM161" i="9"/>
  <c r="AM166" i="9"/>
  <c r="AM167" i="9"/>
  <c r="AM169" i="9"/>
  <c r="AM174" i="9"/>
  <c r="AM133" i="9"/>
  <c r="AM13" i="9"/>
  <c r="AM10" i="9"/>
  <c r="AM185" i="9"/>
  <c r="AM190" i="9"/>
  <c r="AM191" i="9"/>
  <c r="AM193" i="9"/>
  <c r="AM186" i="9"/>
  <c r="AM171" i="9"/>
  <c r="AM165" i="9"/>
  <c r="AM154" i="9"/>
  <c r="AM147" i="9"/>
  <c r="AM139" i="9"/>
  <c r="AM123" i="9"/>
  <c r="AM114" i="9"/>
  <c r="AM109" i="9"/>
  <c r="AM107" i="9"/>
  <c r="AM90" i="9"/>
  <c r="AM88" i="9"/>
  <c r="AM82" i="9"/>
  <c r="AM69" i="9"/>
  <c r="AM61" i="9"/>
  <c r="AM53" i="9"/>
  <c r="AM52" i="9"/>
  <c r="AM29" i="9"/>
  <c r="AM11" i="9"/>
  <c r="O57" i="9"/>
  <c r="T57" i="9"/>
  <c r="U57" i="9" s="1"/>
  <c r="Z57" i="9"/>
  <c r="AH57" i="9"/>
  <c r="AI57" i="9" s="1"/>
  <c r="O178" i="9"/>
  <c r="T178" i="9"/>
  <c r="Z178" i="9"/>
  <c r="AH178" i="9"/>
  <c r="AI178" i="9" s="1"/>
  <c r="AB3" i="9"/>
  <c r="AB4" i="9"/>
  <c r="AB5" i="9"/>
  <c r="AB6" i="9"/>
  <c r="AB7" i="9"/>
  <c r="AB10" i="9"/>
  <c r="AB11" i="9"/>
  <c r="AB12" i="9"/>
  <c r="AB13" i="9"/>
  <c r="AB14" i="9"/>
  <c r="AB15" i="9"/>
  <c r="AB16" i="9"/>
  <c r="AB17" i="9"/>
  <c r="AB21" i="9"/>
  <c r="AB20" i="9"/>
  <c r="AB19" i="9"/>
  <c r="AB18" i="9"/>
  <c r="AB25" i="9"/>
  <c r="AB24" i="9"/>
  <c r="AB23" i="9"/>
  <c r="AB22" i="9"/>
  <c r="AB29" i="9"/>
  <c r="AB28" i="9"/>
  <c r="AB27" i="9"/>
  <c r="AB26" i="9"/>
  <c r="AB33" i="9"/>
  <c r="AB32" i="9"/>
  <c r="AB31" i="9"/>
  <c r="AB30" i="9"/>
  <c r="AB98" i="9"/>
  <c r="AB99" i="9"/>
  <c r="AB100" i="9"/>
  <c r="AB101" i="9"/>
  <c r="AB102" i="9"/>
  <c r="AB103" i="9"/>
  <c r="AB104" i="9"/>
  <c r="AB105" i="9"/>
  <c r="AB106" i="9"/>
  <c r="AB107" i="9"/>
  <c r="AB108" i="9"/>
  <c r="AB109" i="9"/>
  <c r="AB110" i="9"/>
  <c r="AB111" i="9"/>
  <c r="AB112" i="9"/>
  <c r="AB113" i="9"/>
  <c r="AB114" i="9"/>
  <c r="AB115" i="9"/>
  <c r="AB116" i="9"/>
  <c r="AB117" i="9"/>
  <c r="AB118" i="9"/>
  <c r="AB119" i="9"/>
  <c r="AB120" i="9"/>
  <c r="AB121" i="9"/>
  <c r="AB122" i="9"/>
  <c r="AB123" i="9"/>
  <c r="AB124" i="9"/>
  <c r="AB125" i="9"/>
  <c r="AB126" i="9"/>
  <c r="AB127" i="9"/>
  <c r="AB128" i="9"/>
  <c r="AB129" i="9"/>
  <c r="AB2" i="9"/>
  <c r="Z3" i="9"/>
  <c r="Z4" i="9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21" i="9"/>
  <c r="Z20" i="9"/>
  <c r="Z19" i="9"/>
  <c r="Z18" i="9"/>
  <c r="Z25" i="9"/>
  <c r="Z24" i="9"/>
  <c r="Z23" i="9"/>
  <c r="Z22" i="9"/>
  <c r="Z29" i="9"/>
  <c r="Z28" i="9"/>
  <c r="Z27" i="9"/>
  <c r="Z26" i="9"/>
  <c r="Z33" i="9"/>
  <c r="Z32" i="9"/>
  <c r="Z31" i="9"/>
  <c r="Z30" i="9"/>
  <c r="Z37" i="9"/>
  <c r="Z36" i="9"/>
  <c r="Z35" i="9"/>
  <c r="Z34" i="9"/>
  <c r="Z41" i="9"/>
  <c r="Z40" i="9"/>
  <c r="Z39" i="9"/>
  <c r="Z38" i="9"/>
  <c r="Z45" i="9"/>
  <c r="Z44" i="9"/>
  <c r="Z43" i="9"/>
  <c r="Z42" i="9"/>
  <c r="Z49" i="9"/>
  <c r="Z48" i="9"/>
  <c r="Z47" i="9"/>
  <c r="Z46" i="9"/>
  <c r="Z53" i="9"/>
  <c r="Z52" i="9"/>
  <c r="Z51" i="9"/>
  <c r="Z50" i="9"/>
  <c r="Z56" i="9"/>
  <c r="Z55" i="9"/>
  <c r="Z54" i="9"/>
  <c r="Z61" i="9"/>
  <c r="Z60" i="9"/>
  <c r="Z59" i="9"/>
  <c r="Z58" i="9"/>
  <c r="Z65" i="9"/>
  <c r="Z64" i="9"/>
  <c r="Z63" i="9"/>
  <c r="Z62" i="9"/>
  <c r="Z69" i="9"/>
  <c r="Z68" i="9"/>
  <c r="Z67" i="9"/>
  <c r="Z66" i="9"/>
  <c r="Z73" i="9"/>
  <c r="Z72" i="9"/>
  <c r="Z71" i="9"/>
  <c r="Z70" i="9"/>
  <c r="Z77" i="9"/>
  <c r="Z76" i="9"/>
  <c r="Z75" i="9"/>
  <c r="Z74" i="9"/>
  <c r="Z81" i="9"/>
  <c r="Z80" i="9"/>
  <c r="Z79" i="9"/>
  <c r="Z78" i="9"/>
  <c r="Z84" i="9"/>
  <c r="Z85" i="9"/>
  <c r="Z82" i="9"/>
  <c r="Z83" i="9"/>
  <c r="Z88" i="9"/>
  <c r="Z89" i="9"/>
  <c r="Z86" i="9"/>
  <c r="Z87" i="9"/>
  <c r="Z92" i="9"/>
  <c r="Z93" i="9"/>
  <c r="Z90" i="9"/>
  <c r="Z91" i="9"/>
  <c r="Z96" i="9"/>
  <c r="Z97" i="9"/>
  <c r="Z94" i="9"/>
  <c r="Z95" i="9"/>
  <c r="Z98" i="9"/>
  <c r="Z99" i="9"/>
  <c r="Z100" i="9"/>
  <c r="Z101" i="9"/>
  <c r="Z102" i="9"/>
  <c r="Z103" i="9"/>
  <c r="Z104" i="9"/>
  <c r="Z105" i="9"/>
  <c r="Z106" i="9"/>
  <c r="Z107" i="9"/>
  <c r="Z108" i="9"/>
  <c r="Z109" i="9"/>
  <c r="Z110" i="9"/>
  <c r="Z111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Z133" i="9"/>
  <c r="Z134" i="9"/>
  <c r="Z135" i="9"/>
  <c r="Z136" i="9"/>
  <c r="Z137" i="9"/>
  <c r="Z138" i="9"/>
  <c r="Z139" i="9"/>
  <c r="Z140" i="9"/>
  <c r="Z141" i="9"/>
  <c r="Z142" i="9"/>
  <c r="Z143" i="9"/>
  <c r="Z144" i="9"/>
  <c r="Z145" i="9"/>
  <c r="Z146" i="9"/>
  <c r="Z147" i="9"/>
  <c r="Z148" i="9"/>
  <c r="Z149" i="9"/>
  <c r="Z150" i="9"/>
  <c r="Z151" i="9"/>
  <c r="Z152" i="9"/>
  <c r="Z153" i="9"/>
  <c r="Z154" i="9"/>
  <c r="Z155" i="9"/>
  <c r="Z156" i="9"/>
  <c r="Z157" i="9"/>
  <c r="Z158" i="9"/>
  <c r="Z159" i="9"/>
  <c r="Z160" i="9"/>
  <c r="Z161" i="9"/>
  <c r="Z162" i="9"/>
  <c r="Z163" i="9"/>
  <c r="Z164" i="9"/>
  <c r="Z165" i="9"/>
  <c r="Z166" i="9"/>
  <c r="Z167" i="9"/>
  <c r="Z168" i="9"/>
  <c r="Z169" i="9"/>
  <c r="Z170" i="9"/>
  <c r="Z171" i="9"/>
  <c r="Z172" i="9"/>
  <c r="Z173" i="9"/>
  <c r="Z174" i="9"/>
  <c r="Z175" i="9"/>
  <c r="Z176" i="9"/>
  <c r="Z177" i="9"/>
  <c r="Z179" i="9"/>
  <c r="Z180" i="9"/>
  <c r="Z181" i="9"/>
  <c r="Z182" i="9"/>
  <c r="Z183" i="9"/>
  <c r="Z184" i="9"/>
  <c r="Z185" i="9"/>
  <c r="Z186" i="9"/>
  <c r="Z187" i="9"/>
  <c r="Z188" i="9"/>
  <c r="Z189" i="9"/>
  <c r="Z190" i="9"/>
  <c r="Z191" i="9"/>
  <c r="Z192" i="9"/>
  <c r="Z193" i="9"/>
  <c r="Z2" i="9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21" i="9"/>
  <c r="T20" i="9"/>
  <c r="T19" i="9"/>
  <c r="T18" i="9"/>
  <c r="T25" i="9"/>
  <c r="T24" i="9"/>
  <c r="T23" i="9"/>
  <c r="T22" i="9"/>
  <c r="T29" i="9"/>
  <c r="T28" i="9"/>
  <c r="T27" i="9"/>
  <c r="T26" i="9"/>
  <c r="T33" i="9"/>
  <c r="T32" i="9"/>
  <c r="T31" i="9"/>
  <c r="T30" i="9"/>
  <c r="T37" i="9"/>
  <c r="T36" i="9"/>
  <c r="T35" i="9"/>
  <c r="T34" i="9"/>
  <c r="T41" i="9"/>
  <c r="T40" i="9"/>
  <c r="T39" i="9"/>
  <c r="T38" i="9"/>
  <c r="T45" i="9"/>
  <c r="T44" i="9"/>
  <c r="T43" i="9"/>
  <c r="T42" i="9"/>
  <c r="T49" i="9"/>
  <c r="T48" i="9"/>
  <c r="T47" i="9"/>
  <c r="T46" i="9"/>
  <c r="T53" i="9"/>
  <c r="T52" i="9"/>
  <c r="T51" i="9"/>
  <c r="T50" i="9"/>
  <c r="T56" i="9"/>
  <c r="T55" i="9"/>
  <c r="T54" i="9"/>
  <c r="T61" i="9"/>
  <c r="T60" i="9"/>
  <c r="T59" i="9"/>
  <c r="T58" i="9"/>
  <c r="T65" i="9"/>
  <c r="T64" i="9"/>
  <c r="T63" i="9"/>
  <c r="T62" i="9"/>
  <c r="T69" i="9"/>
  <c r="T68" i="9"/>
  <c r="T67" i="9"/>
  <c r="T66" i="9"/>
  <c r="T73" i="9"/>
  <c r="T72" i="9"/>
  <c r="T71" i="9"/>
  <c r="T70" i="9"/>
  <c r="T77" i="9"/>
  <c r="T76" i="9"/>
  <c r="T75" i="9"/>
  <c r="T74" i="9"/>
  <c r="T81" i="9"/>
  <c r="T80" i="9"/>
  <c r="T79" i="9"/>
  <c r="T78" i="9"/>
  <c r="T84" i="9"/>
  <c r="T85" i="9"/>
  <c r="T82" i="9"/>
  <c r="T83" i="9"/>
  <c r="T88" i="9"/>
  <c r="T89" i="9"/>
  <c r="T86" i="9"/>
  <c r="T87" i="9"/>
  <c r="T92" i="9"/>
  <c r="T93" i="9"/>
  <c r="T90" i="9"/>
  <c r="T91" i="9"/>
  <c r="T96" i="9"/>
  <c r="T97" i="9"/>
  <c r="T94" i="9"/>
  <c r="T95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21" i="9"/>
  <c r="O20" i="9"/>
  <c r="O19" i="9"/>
  <c r="O18" i="9"/>
  <c r="O25" i="9"/>
  <c r="O24" i="9"/>
  <c r="O23" i="9"/>
  <c r="O22" i="9"/>
  <c r="O29" i="9"/>
  <c r="O28" i="9"/>
  <c r="O27" i="9"/>
  <c r="O26" i="9"/>
  <c r="O33" i="9"/>
  <c r="O32" i="9"/>
  <c r="O31" i="9"/>
  <c r="O30" i="9"/>
  <c r="O37" i="9"/>
  <c r="O36" i="9"/>
  <c r="O35" i="9"/>
  <c r="O34" i="9"/>
  <c r="O41" i="9"/>
  <c r="O40" i="9"/>
  <c r="O39" i="9"/>
  <c r="O38" i="9"/>
  <c r="O45" i="9"/>
  <c r="O44" i="9"/>
  <c r="O43" i="9"/>
  <c r="O42" i="9"/>
  <c r="O49" i="9"/>
  <c r="O48" i="9"/>
  <c r="O47" i="9"/>
  <c r="O46" i="9"/>
  <c r="O53" i="9"/>
  <c r="O52" i="9"/>
  <c r="O51" i="9"/>
  <c r="O50" i="9"/>
  <c r="O56" i="9"/>
  <c r="O55" i="9"/>
  <c r="O54" i="9"/>
  <c r="O61" i="9"/>
  <c r="O60" i="9"/>
  <c r="O59" i="9"/>
  <c r="O58" i="9"/>
  <c r="O65" i="9"/>
  <c r="O64" i="9"/>
  <c r="O63" i="9"/>
  <c r="O62" i="9"/>
  <c r="O69" i="9"/>
  <c r="O68" i="9"/>
  <c r="O67" i="9"/>
  <c r="O66" i="9"/>
  <c r="O73" i="9"/>
  <c r="O72" i="9"/>
  <c r="O71" i="9"/>
  <c r="O70" i="9"/>
  <c r="O77" i="9"/>
  <c r="O76" i="9"/>
  <c r="O75" i="9"/>
  <c r="O74" i="9"/>
  <c r="O81" i="9"/>
  <c r="O80" i="9"/>
  <c r="O79" i="9"/>
  <c r="O78" i="9"/>
  <c r="O84" i="9"/>
  <c r="O85" i="9"/>
  <c r="O82" i="9"/>
  <c r="O83" i="9"/>
  <c r="O88" i="9"/>
  <c r="O89" i="9"/>
  <c r="O86" i="9"/>
  <c r="O87" i="9"/>
  <c r="O92" i="9"/>
  <c r="O93" i="9"/>
  <c r="O90" i="9"/>
  <c r="O91" i="9"/>
  <c r="O96" i="9"/>
  <c r="O97" i="9"/>
  <c r="O94" i="9"/>
  <c r="O95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2" i="9"/>
  <c r="AC257" i="10"/>
  <c r="AD257" i="10" s="1"/>
  <c r="AC256" i="10"/>
  <c r="AD256" i="10" s="1"/>
  <c r="AC255" i="10"/>
  <c r="AD255" i="10" s="1"/>
  <c r="AC254" i="10"/>
  <c r="AD254" i="10" s="1"/>
  <c r="AD253" i="10"/>
  <c r="AC253" i="10"/>
  <c r="AD252" i="10"/>
  <c r="AC252" i="10"/>
  <c r="AD251" i="10"/>
  <c r="AC251" i="10"/>
  <c r="AD250" i="10"/>
  <c r="AC250" i="10"/>
  <c r="AD249" i="10"/>
  <c r="AC249" i="10"/>
  <c r="AD248" i="10"/>
  <c r="AC248" i="10"/>
  <c r="AD247" i="10"/>
  <c r="AC247" i="10"/>
  <c r="AD246" i="10"/>
  <c r="AC246" i="10"/>
  <c r="AD245" i="10"/>
  <c r="AC245" i="10"/>
  <c r="AD244" i="10"/>
  <c r="AC244" i="10"/>
  <c r="AD243" i="10"/>
  <c r="AC243" i="10"/>
  <c r="AD242" i="10"/>
  <c r="AC242" i="10"/>
  <c r="AD241" i="10"/>
  <c r="AC241" i="10"/>
  <c r="AD240" i="10"/>
  <c r="AC240" i="10"/>
  <c r="AD239" i="10"/>
  <c r="AC239" i="10"/>
  <c r="AD238" i="10"/>
  <c r="AC238" i="10"/>
  <c r="AD237" i="10"/>
  <c r="AC237" i="10"/>
  <c r="AD236" i="10"/>
  <c r="AC236" i="10"/>
  <c r="AD235" i="10"/>
  <c r="AC235" i="10"/>
  <c r="AD234" i="10"/>
  <c r="AC234" i="10"/>
  <c r="AD233" i="10"/>
  <c r="AC233" i="10"/>
  <c r="AD232" i="10"/>
  <c r="AC232" i="10"/>
  <c r="AD231" i="10"/>
  <c r="AC231" i="10"/>
  <c r="AD230" i="10"/>
  <c r="AC230" i="10"/>
  <c r="AD229" i="10"/>
  <c r="AC229" i="10"/>
  <c r="AD228" i="10"/>
  <c r="AC228" i="10"/>
  <c r="AD227" i="10"/>
  <c r="AC227" i="10"/>
  <c r="AD226" i="10"/>
  <c r="AC226" i="10"/>
  <c r="AD225" i="10"/>
  <c r="AC225" i="10"/>
  <c r="AD224" i="10"/>
  <c r="AC224" i="10"/>
  <c r="AD223" i="10"/>
  <c r="AC223" i="10"/>
  <c r="AD222" i="10"/>
  <c r="AC222" i="10"/>
  <c r="AD221" i="10"/>
  <c r="AC221" i="10"/>
  <c r="AD220" i="10"/>
  <c r="AC220" i="10"/>
  <c r="AD219" i="10"/>
  <c r="AC219" i="10"/>
  <c r="AD218" i="10"/>
  <c r="AC218" i="10"/>
  <c r="AD217" i="10"/>
  <c r="AC217" i="10"/>
  <c r="AD216" i="10"/>
  <c r="AC216" i="10"/>
  <c r="AD215" i="10"/>
  <c r="AC215" i="10"/>
  <c r="AD214" i="10"/>
  <c r="AC214" i="10"/>
  <c r="AD213" i="10"/>
  <c r="AC213" i="10"/>
  <c r="AD212" i="10"/>
  <c r="AC212" i="10"/>
  <c r="AD211" i="10"/>
  <c r="AC211" i="10"/>
  <c r="AD210" i="10"/>
  <c r="AC210" i="10"/>
  <c r="AD209" i="10"/>
  <c r="AC209" i="10"/>
  <c r="AD208" i="10"/>
  <c r="AC208" i="10"/>
  <c r="AD207" i="10"/>
  <c r="AC207" i="10"/>
  <c r="AD206" i="10"/>
  <c r="AC206" i="10"/>
  <c r="AD205" i="10"/>
  <c r="AC205" i="10"/>
  <c r="AD204" i="10"/>
  <c r="AC204" i="10"/>
  <c r="AD203" i="10"/>
  <c r="AC203" i="10"/>
  <c r="AD202" i="10"/>
  <c r="AC202" i="10"/>
  <c r="AD201" i="10"/>
  <c r="AC201" i="10"/>
  <c r="AD200" i="10"/>
  <c r="AC200" i="10"/>
  <c r="AD199" i="10"/>
  <c r="AC199" i="10"/>
  <c r="AD198" i="10"/>
  <c r="AC198" i="10"/>
  <c r="AD197" i="10"/>
  <c r="AC197" i="10"/>
  <c r="AD196" i="10"/>
  <c r="AC196" i="10"/>
  <c r="AD195" i="10"/>
  <c r="AC195" i="10"/>
  <c r="AD194" i="10"/>
  <c r="AC194" i="10"/>
  <c r="AD193" i="10"/>
  <c r="AC193" i="10"/>
  <c r="AD192" i="10"/>
  <c r="AC192" i="10"/>
  <c r="AD191" i="10"/>
  <c r="AC191" i="10"/>
  <c r="AD190" i="10"/>
  <c r="AC190" i="10"/>
  <c r="AD189" i="10"/>
  <c r="AC189" i="10"/>
  <c r="AD188" i="10"/>
  <c r="AC188" i="10"/>
  <c r="AD187" i="10"/>
  <c r="AC187" i="10"/>
  <c r="AD186" i="10"/>
  <c r="AC186" i="10"/>
  <c r="AD185" i="10"/>
  <c r="AC185" i="10"/>
  <c r="AD184" i="10"/>
  <c r="AC184" i="10"/>
  <c r="AD183" i="10"/>
  <c r="AC183" i="10"/>
  <c r="AD182" i="10"/>
  <c r="AC182" i="10"/>
  <c r="AD181" i="10"/>
  <c r="AC181" i="10"/>
  <c r="AD180" i="10"/>
  <c r="AC180" i="10"/>
  <c r="AD179" i="10"/>
  <c r="AC179" i="10"/>
  <c r="AD178" i="10"/>
  <c r="AC178" i="10"/>
  <c r="AD177" i="10"/>
  <c r="AC177" i="10"/>
  <c r="AD176" i="10"/>
  <c r="AC176" i="10"/>
  <c r="AD175" i="10"/>
  <c r="AC175" i="10"/>
  <c r="AD174" i="10"/>
  <c r="AC174" i="10"/>
  <c r="AD173" i="10"/>
  <c r="AC173" i="10"/>
  <c r="AD172" i="10"/>
  <c r="AC172" i="10"/>
  <c r="AD171" i="10"/>
  <c r="AC171" i="10"/>
  <c r="AD170" i="10"/>
  <c r="AC170" i="10"/>
  <c r="AD169" i="10"/>
  <c r="AC169" i="10"/>
  <c r="AD168" i="10"/>
  <c r="AC168" i="10"/>
  <c r="AD167" i="10"/>
  <c r="AC167" i="10"/>
  <c r="AD166" i="10"/>
  <c r="AC166" i="10"/>
  <c r="AD165" i="10"/>
  <c r="AC165" i="10"/>
  <c r="AD164" i="10"/>
  <c r="AC164" i="10"/>
  <c r="AD163" i="10"/>
  <c r="AC163" i="10"/>
  <c r="AD162" i="10"/>
  <c r="AC162" i="10"/>
  <c r="AD161" i="10"/>
  <c r="AC161" i="10"/>
  <c r="AD160" i="10"/>
  <c r="AC160" i="10"/>
  <c r="AD159" i="10"/>
  <c r="AC159" i="10"/>
  <c r="AD158" i="10"/>
  <c r="AC158" i="10"/>
  <c r="AD157" i="10"/>
  <c r="AC157" i="10"/>
  <c r="AD156" i="10"/>
  <c r="AC156" i="10"/>
  <c r="AD155" i="10"/>
  <c r="AC155" i="10"/>
  <c r="AD154" i="10"/>
  <c r="AC154" i="10"/>
  <c r="AD153" i="10"/>
  <c r="AC153" i="10"/>
  <c r="AD152" i="10"/>
  <c r="AC152" i="10"/>
  <c r="AD151" i="10"/>
  <c r="AC151" i="10"/>
  <c r="AD150" i="10"/>
  <c r="AC150" i="10"/>
  <c r="AD149" i="10"/>
  <c r="AC149" i="10"/>
  <c r="AD148" i="10"/>
  <c r="AC148" i="10"/>
  <c r="AD147" i="10"/>
  <c r="AC147" i="10"/>
  <c r="AD146" i="10"/>
  <c r="AC146" i="10"/>
  <c r="AD145" i="10"/>
  <c r="AC145" i="10"/>
  <c r="AD144" i="10"/>
  <c r="AC144" i="10"/>
  <c r="AD143" i="10"/>
  <c r="AC143" i="10"/>
  <c r="AD142" i="10"/>
  <c r="AC142" i="10"/>
  <c r="AD141" i="10"/>
  <c r="AC141" i="10"/>
  <c r="AD140" i="10"/>
  <c r="AC140" i="10"/>
  <c r="AD139" i="10"/>
  <c r="AC139" i="10"/>
  <c r="AD138" i="10"/>
  <c r="AC138" i="10"/>
  <c r="AD137" i="10"/>
  <c r="AC137" i="10"/>
  <c r="AD136" i="10"/>
  <c r="AC136" i="10"/>
  <c r="AD135" i="10"/>
  <c r="AC135" i="10"/>
  <c r="AD134" i="10"/>
  <c r="AC134" i="10"/>
  <c r="AD133" i="10"/>
  <c r="AC133" i="10"/>
  <c r="AD132" i="10"/>
  <c r="AC132" i="10"/>
  <c r="AD131" i="10"/>
  <c r="AC131" i="10"/>
  <c r="AD130" i="10"/>
  <c r="AC130" i="10"/>
  <c r="AD129" i="10"/>
  <c r="AC129" i="10"/>
  <c r="AD128" i="10"/>
  <c r="AC128" i="10"/>
  <c r="AD127" i="10"/>
  <c r="AC127" i="10"/>
  <c r="AD126" i="10"/>
  <c r="AC126" i="10"/>
  <c r="AD125" i="10"/>
  <c r="AC125" i="10"/>
  <c r="AD124" i="10"/>
  <c r="AC124" i="10"/>
  <c r="AD123" i="10"/>
  <c r="AC123" i="10"/>
  <c r="AD122" i="10"/>
  <c r="AC122" i="10"/>
  <c r="AD121" i="10"/>
  <c r="AC121" i="10"/>
  <c r="AD120" i="10"/>
  <c r="AC120" i="10"/>
  <c r="AD119" i="10"/>
  <c r="AC119" i="10"/>
  <c r="AD118" i="10"/>
  <c r="AC118" i="10"/>
  <c r="AD117" i="10"/>
  <c r="AC117" i="10"/>
  <c r="AD116" i="10"/>
  <c r="AC116" i="10"/>
  <c r="AD115" i="10"/>
  <c r="AC115" i="10"/>
  <c r="AD114" i="10"/>
  <c r="AC114" i="10"/>
  <c r="AD113" i="10"/>
  <c r="AC113" i="10"/>
  <c r="AD112" i="10"/>
  <c r="AC112" i="10"/>
  <c r="AD111" i="10"/>
  <c r="AC111" i="10"/>
  <c r="AD110" i="10"/>
  <c r="AC110" i="10"/>
  <c r="AD109" i="10"/>
  <c r="AC109" i="10"/>
  <c r="AD108" i="10"/>
  <c r="AC108" i="10"/>
  <c r="AD107" i="10"/>
  <c r="AC107" i="10"/>
  <c r="AD106" i="10"/>
  <c r="AC106" i="10"/>
  <c r="AD105" i="10"/>
  <c r="AC105" i="10"/>
  <c r="AD104" i="10"/>
  <c r="AC104" i="10"/>
  <c r="AD103" i="10"/>
  <c r="AC103" i="10"/>
  <c r="AD102" i="10"/>
  <c r="AC102" i="10"/>
  <c r="AD101" i="10"/>
  <c r="AC101" i="10"/>
  <c r="AD100" i="10"/>
  <c r="AC100" i="10"/>
  <c r="AD99" i="10"/>
  <c r="AC99" i="10"/>
  <c r="AD98" i="10"/>
  <c r="AC98" i="10"/>
  <c r="AD97" i="10"/>
  <c r="AC97" i="10"/>
  <c r="AD96" i="10"/>
  <c r="AC96" i="10"/>
  <c r="AD95" i="10"/>
  <c r="AC95" i="10"/>
  <c r="AD94" i="10"/>
  <c r="AC94" i="10"/>
  <c r="AD93" i="10"/>
  <c r="AC93" i="10"/>
  <c r="AD92" i="10"/>
  <c r="AC92" i="10"/>
  <c r="AD91" i="10"/>
  <c r="AC91" i="10"/>
  <c r="AD90" i="10"/>
  <c r="AC90" i="10"/>
  <c r="AD89" i="10"/>
  <c r="AC89" i="10"/>
  <c r="AD88" i="10"/>
  <c r="AC88" i="10"/>
  <c r="AD87" i="10"/>
  <c r="AC87" i="10"/>
  <c r="AD86" i="10"/>
  <c r="AC86" i="10"/>
  <c r="AD85" i="10"/>
  <c r="AC85" i="10"/>
  <c r="AD84" i="10"/>
  <c r="AC84" i="10"/>
  <c r="AD83" i="10"/>
  <c r="AC83" i="10"/>
  <c r="AD82" i="10"/>
  <c r="AC82" i="10"/>
  <c r="AD81" i="10"/>
  <c r="AC81" i="10"/>
  <c r="AD80" i="10"/>
  <c r="AC80" i="10"/>
  <c r="AD79" i="10"/>
  <c r="AC79" i="10"/>
  <c r="AD78" i="10"/>
  <c r="AC78" i="10"/>
  <c r="AD77" i="10"/>
  <c r="AC77" i="10"/>
  <c r="AD76" i="10"/>
  <c r="AC76" i="10"/>
  <c r="AD75" i="10"/>
  <c r="AC75" i="10"/>
  <c r="AD74" i="10"/>
  <c r="AC74" i="10"/>
  <c r="AD73" i="10"/>
  <c r="AC73" i="10"/>
  <c r="AD72" i="10"/>
  <c r="AC72" i="10"/>
  <c r="AD71" i="10"/>
  <c r="AC71" i="10"/>
  <c r="AD70" i="10"/>
  <c r="AC70" i="10"/>
  <c r="AD69" i="10"/>
  <c r="AC69" i="10"/>
  <c r="AD68" i="10"/>
  <c r="AC68" i="10"/>
  <c r="AD67" i="10"/>
  <c r="AC67" i="10"/>
  <c r="AD66" i="10"/>
  <c r="AC66" i="10"/>
  <c r="AD65" i="10"/>
  <c r="AC65" i="10"/>
  <c r="AD64" i="10"/>
  <c r="AC64" i="10"/>
  <c r="AD63" i="10"/>
  <c r="AC63" i="10"/>
  <c r="AD62" i="10"/>
  <c r="AC62" i="10"/>
  <c r="AD61" i="10"/>
  <c r="AC61" i="10"/>
  <c r="AD60" i="10"/>
  <c r="AC60" i="10"/>
  <c r="AD59" i="10"/>
  <c r="AC59" i="10"/>
  <c r="AD58" i="10"/>
  <c r="AC58" i="10"/>
  <c r="AD57" i="10"/>
  <c r="AC57" i="10"/>
  <c r="AD56" i="10"/>
  <c r="AC56" i="10"/>
  <c r="AD55" i="10"/>
  <c r="AC55" i="10"/>
  <c r="AD54" i="10"/>
  <c r="AC54" i="10"/>
  <c r="AD53" i="10"/>
  <c r="AC53" i="10"/>
  <c r="AD52" i="10"/>
  <c r="AC52" i="10"/>
  <c r="AD51" i="10"/>
  <c r="AC51" i="10"/>
  <c r="AD50" i="10"/>
  <c r="AC50" i="10"/>
  <c r="AD49" i="10"/>
  <c r="AC49" i="10"/>
  <c r="AD48" i="10"/>
  <c r="AC48" i="10"/>
  <c r="AD47" i="10"/>
  <c r="AC47" i="10"/>
  <c r="AD46" i="10"/>
  <c r="AC46" i="10"/>
  <c r="AD45" i="10"/>
  <c r="AC45" i="10"/>
  <c r="AD44" i="10"/>
  <c r="AC44" i="10"/>
  <c r="AD43" i="10"/>
  <c r="AC43" i="10"/>
  <c r="AD42" i="10"/>
  <c r="AC42" i="10"/>
  <c r="AD41" i="10"/>
  <c r="AC41" i="10"/>
  <c r="AD40" i="10"/>
  <c r="AC40" i="10"/>
  <c r="AD39" i="10"/>
  <c r="AC39" i="10"/>
  <c r="AD38" i="10"/>
  <c r="AC38" i="10"/>
  <c r="AD37" i="10"/>
  <c r="AC37" i="10"/>
  <c r="AD36" i="10"/>
  <c r="AC36" i="10"/>
  <c r="AD35" i="10"/>
  <c r="AC35" i="10"/>
  <c r="AD34" i="10"/>
  <c r="AC34" i="10"/>
  <c r="AD33" i="10"/>
  <c r="AC33" i="10"/>
  <c r="AD32" i="10"/>
  <c r="AC32" i="10"/>
  <c r="AD31" i="10"/>
  <c r="AC31" i="10"/>
  <c r="AD30" i="10"/>
  <c r="AC30" i="10"/>
  <c r="AD29" i="10"/>
  <c r="AC29" i="10"/>
  <c r="AD28" i="10"/>
  <c r="AC28" i="10"/>
  <c r="AD27" i="10"/>
  <c r="AC27" i="10"/>
  <c r="AD26" i="10"/>
  <c r="AC26" i="10"/>
  <c r="AD25" i="10"/>
  <c r="AC25" i="10"/>
  <c r="AD24" i="10"/>
  <c r="AC24" i="10"/>
  <c r="AD23" i="10"/>
  <c r="AC23" i="10"/>
  <c r="AD22" i="10"/>
  <c r="AC22" i="10"/>
  <c r="AD21" i="10"/>
  <c r="AC21" i="10"/>
  <c r="AD20" i="10"/>
  <c r="AC20" i="10"/>
  <c r="AD19" i="10"/>
  <c r="AC19" i="10"/>
  <c r="AD18" i="10"/>
  <c r="AC18" i="10"/>
  <c r="AD17" i="10"/>
  <c r="AC17" i="10"/>
  <c r="AD16" i="10"/>
  <c r="AC16" i="10"/>
  <c r="AD15" i="10"/>
  <c r="AC15" i="10"/>
  <c r="AD14" i="10"/>
  <c r="AC14" i="10"/>
  <c r="AD13" i="10"/>
  <c r="AC13" i="10"/>
  <c r="AD12" i="10"/>
  <c r="AC12" i="10"/>
  <c r="AD11" i="10"/>
  <c r="AC11" i="10"/>
  <c r="AD10" i="10"/>
  <c r="AC10" i="10"/>
  <c r="AD9" i="10"/>
  <c r="AC9" i="10"/>
  <c r="AD8" i="10"/>
  <c r="AC8" i="10"/>
  <c r="AD7" i="10"/>
  <c r="AC7" i="10"/>
  <c r="AD6" i="10"/>
  <c r="AC6" i="10"/>
  <c r="AD5" i="10"/>
  <c r="AC5" i="10"/>
  <c r="AD4" i="10"/>
  <c r="AC4" i="10"/>
  <c r="AD3" i="10"/>
  <c r="AC3" i="10"/>
  <c r="AD2" i="10"/>
  <c r="AC2" i="10"/>
  <c r="AH6" i="9"/>
  <c r="AI6" i="9" s="1"/>
  <c r="AH7" i="9"/>
  <c r="AI7" i="9" s="1"/>
  <c r="AH8" i="9"/>
  <c r="AI8" i="9" s="1"/>
  <c r="AH9" i="9"/>
  <c r="AI9" i="9" s="1"/>
  <c r="AH10" i="9"/>
  <c r="AI10" i="9" s="1"/>
  <c r="AH11" i="9"/>
  <c r="AI11" i="9" s="1"/>
  <c r="AH12" i="9"/>
  <c r="AI12" i="9" s="1"/>
  <c r="AH13" i="9"/>
  <c r="AI13" i="9" s="1"/>
  <c r="AH14" i="9"/>
  <c r="AI14" i="9" s="1"/>
  <c r="AH15" i="9"/>
  <c r="AI15" i="9" s="1"/>
  <c r="AH16" i="9"/>
  <c r="AI16" i="9" s="1"/>
  <c r="AH17" i="9"/>
  <c r="AI17" i="9" s="1"/>
  <c r="AH115" i="9"/>
  <c r="AI115" i="9" s="1"/>
  <c r="AH116" i="9"/>
  <c r="AI116" i="9" s="1"/>
  <c r="AH117" i="9"/>
  <c r="AI117" i="9" s="1"/>
  <c r="AH118" i="9"/>
  <c r="AI118" i="9" s="1"/>
  <c r="AH119" i="9"/>
  <c r="AI119" i="9" s="1"/>
  <c r="AH120" i="9"/>
  <c r="AI120" i="9" s="1"/>
  <c r="AH121" i="9"/>
  <c r="AI121" i="9" s="1"/>
  <c r="AH122" i="9"/>
  <c r="AI122" i="9" s="1"/>
  <c r="AH123" i="9"/>
  <c r="AI123" i="9" s="1"/>
  <c r="AH124" i="9"/>
  <c r="AI124" i="9" s="1"/>
  <c r="AH125" i="9"/>
  <c r="AI125" i="9" s="1"/>
  <c r="AH126" i="9"/>
  <c r="AI126" i="9" s="1"/>
  <c r="AH127" i="9"/>
  <c r="AI127" i="9" s="1"/>
  <c r="AH128" i="9"/>
  <c r="AI128" i="9" s="1"/>
  <c r="AH129" i="9"/>
  <c r="AI129" i="9" s="1"/>
  <c r="AH98" i="9"/>
  <c r="AI98" i="9" s="1"/>
  <c r="AH99" i="9"/>
  <c r="AI99" i="9" s="1"/>
  <c r="AH100" i="9"/>
  <c r="AI100" i="9" s="1"/>
  <c r="AH101" i="9"/>
  <c r="AI101" i="9" s="1"/>
  <c r="AH102" i="9"/>
  <c r="AI102" i="9" s="1"/>
  <c r="AH103" i="9"/>
  <c r="AI103" i="9" s="1"/>
  <c r="AH104" i="9"/>
  <c r="AI104" i="9" s="1"/>
  <c r="AH105" i="9"/>
  <c r="AI105" i="9" s="1"/>
  <c r="AH106" i="9"/>
  <c r="AI106" i="9" s="1"/>
  <c r="AH107" i="9"/>
  <c r="AI107" i="9" s="1"/>
  <c r="AH108" i="9"/>
  <c r="AI108" i="9" s="1"/>
  <c r="AH109" i="9"/>
  <c r="AI109" i="9" s="1"/>
  <c r="AH110" i="9"/>
  <c r="AI110" i="9" s="1"/>
  <c r="AH111" i="9"/>
  <c r="AI111" i="9" s="1"/>
  <c r="AH112" i="9"/>
  <c r="AI112" i="9" s="1"/>
  <c r="AH113" i="9"/>
  <c r="AI113" i="9" s="1"/>
  <c r="AH21" i="9"/>
  <c r="AI21" i="9" s="1"/>
  <c r="AH20" i="9"/>
  <c r="AI20" i="9" s="1"/>
  <c r="AH19" i="9"/>
  <c r="AI19" i="9" s="1"/>
  <c r="AH18" i="9"/>
  <c r="AI18" i="9" s="1"/>
  <c r="AH25" i="9"/>
  <c r="AI25" i="9" s="1"/>
  <c r="AH24" i="9"/>
  <c r="AI24" i="9" s="1"/>
  <c r="AH23" i="9"/>
  <c r="AI23" i="9" s="1"/>
  <c r="AH22" i="9"/>
  <c r="AI22" i="9" s="1"/>
  <c r="AH29" i="9"/>
  <c r="AI29" i="9" s="1"/>
  <c r="AH28" i="9"/>
  <c r="AI28" i="9" s="1"/>
  <c r="AH27" i="9"/>
  <c r="AI27" i="9" s="1"/>
  <c r="AH26" i="9"/>
  <c r="AI26" i="9" s="1"/>
  <c r="AH33" i="9"/>
  <c r="AI33" i="9" s="1"/>
  <c r="AH32" i="9"/>
  <c r="AI32" i="9" s="1"/>
  <c r="AH31" i="9"/>
  <c r="AI31" i="9" s="1"/>
  <c r="AH30" i="9"/>
  <c r="AI30" i="9" s="1"/>
  <c r="AH2" i="9"/>
  <c r="AI2" i="9" s="1"/>
  <c r="AH3" i="9"/>
  <c r="AI3" i="9" s="1"/>
  <c r="AH4" i="9"/>
  <c r="AI4" i="9" s="1"/>
  <c r="AH5" i="9"/>
  <c r="AI5" i="9" s="1"/>
  <c r="AH114" i="9"/>
  <c r="AI114" i="9" s="1"/>
  <c r="AH175" i="9"/>
  <c r="AI175" i="9" s="1"/>
  <c r="AH177" i="9"/>
  <c r="AI177" i="9" s="1"/>
  <c r="AH176" i="9"/>
  <c r="AI176" i="9" s="1"/>
  <c r="AH37" i="9"/>
  <c r="AI37" i="9" s="1"/>
  <c r="AH36" i="9"/>
  <c r="AI36" i="9" s="1"/>
  <c r="AH35" i="9"/>
  <c r="AI35" i="9" s="1"/>
  <c r="AH34" i="9"/>
  <c r="AI34" i="9" s="1"/>
  <c r="AH41" i="9"/>
  <c r="AI41" i="9" s="1"/>
  <c r="AH40" i="9"/>
  <c r="AI40" i="9" s="1"/>
  <c r="AH39" i="9"/>
  <c r="AI39" i="9" s="1"/>
  <c r="AH38" i="9"/>
  <c r="AI38" i="9" s="1"/>
  <c r="AH45" i="9"/>
  <c r="AI45" i="9" s="1"/>
  <c r="AH44" i="9"/>
  <c r="AI44" i="9" s="1"/>
  <c r="AH43" i="9"/>
  <c r="AI43" i="9" s="1"/>
  <c r="AH42" i="9"/>
  <c r="AI42" i="9" s="1"/>
  <c r="AH49" i="9"/>
  <c r="AI49" i="9" s="1"/>
  <c r="AH48" i="9"/>
  <c r="AI48" i="9" s="1"/>
  <c r="AH47" i="9"/>
  <c r="AI47" i="9" s="1"/>
  <c r="AH46" i="9"/>
  <c r="AI46" i="9" s="1"/>
  <c r="AH53" i="9"/>
  <c r="AI53" i="9" s="1"/>
  <c r="AH52" i="9"/>
  <c r="AI52" i="9" s="1"/>
  <c r="AH51" i="9"/>
  <c r="AI51" i="9" s="1"/>
  <c r="AH50" i="9"/>
  <c r="AI50" i="9" s="1"/>
  <c r="AH56" i="9"/>
  <c r="AI56" i="9" s="1"/>
  <c r="AH55" i="9"/>
  <c r="AI55" i="9" s="1"/>
  <c r="AH54" i="9"/>
  <c r="AI54" i="9" s="1"/>
  <c r="AH61" i="9"/>
  <c r="AI61" i="9" s="1"/>
  <c r="AH60" i="9"/>
  <c r="AI60" i="9" s="1"/>
  <c r="AH59" i="9"/>
  <c r="AI59" i="9" s="1"/>
  <c r="AH58" i="9"/>
  <c r="AI58" i="9" s="1"/>
  <c r="AH65" i="9"/>
  <c r="AI65" i="9" s="1"/>
  <c r="AH64" i="9"/>
  <c r="AI64" i="9" s="1"/>
  <c r="AH63" i="9"/>
  <c r="AI63" i="9" s="1"/>
  <c r="AH62" i="9"/>
  <c r="AI62" i="9" s="1"/>
  <c r="AH69" i="9"/>
  <c r="AI69" i="9" s="1"/>
  <c r="AH68" i="9"/>
  <c r="AI68" i="9" s="1"/>
  <c r="AH67" i="9"/>
  <c r="AI67" i="9" s="1"/>
  <c r="AH66" i="9"/>
  <c r="AI66" i="9" s="1"/>
  <c r="AH73" i="9"/>
  <c r="AI73" i="9" s="1"/>
  <c r="AH72" i="9"/>
  <c r="AI72" i="9" s="1"/>
  <c r="AH71" i="9"/>
  <c r="AI71" i="9" s="1"/>
  <c r="AH70" i="9"/>
  <c r="AI70" i="9" s="1"/>
  <c r="AH77" i="9"/>
  <c r="AI77" i="9" s="1"/>
  <c r="AH76" i="9"/>
  <c r="AI76" i="9" s="1"/>
  <c r="AH75" i="9"/>
  <c r="AI75" i="9" s="1"/>
  <c r="AH74" i="9"/>
  <c r="AI74" i="9" s="1"/>
  <c r="AH81" i="9"/>
  <c r="AI81" i="9" s="1"/>
  <c r="AH80" i="9"/>
  <c r="AI80" i="9" s="1"/>
  <c r="AH79" i="9"/>
  <c r="AI79" i="9" s="1"/>
  <c r="AH78" i="9"/>
  <c r="AI78" i="9" s="1"/>
  <c r="AH84" i="9"/>
  <c r="AI84" i="9" s="1"/>
  <c r="AH85" i="9"/>
  <c r="AI85" i="9" s="1"/>
  <c r="AH82" i="9"/>
  <c r="AI82" i="9" s="1"/>
  <c r="AH83" i="9"/>
  <c r="AI83" i="9" s="1"/>
  <c r="AH88" i="9"/>
  <c r="AI88" i="9" s="1"/>
  <c r="AH89" i="9"/>
  <c r="AI89" i="9" s="1"/>
  <c r="AH86" i="9"/>
  <c r="AI86" i="9" s="1"/>
  <c r="AH87" i="9"/>
  <c r="AI87" i="9" s="1"/>
  <c r="AH92" i="9"/>
  <c r="AI92" i="9" s="1"/>
  <c r="AH93" i="9"/>
  <c r="AI93" i="9" s="1"/>
  <c r="AH90" i="9"/>
  <c r="AI90" i="9" s="1"/>
  <c r="AH91" i="9"/>
  <c r="AI91" i="9" s="1"/>
  <c r="AH96" i="9"/>
  <c r="AI96" i="9" s="1"/>
  <c r="AH97" i="9"/>
  <c r="AI97" i="9" s="1"/>
  <c r="AH94" i="9"/>
  <c r="AI94" i="9" s="1"/>
  <c r="AH95" i="9"/>
  <c r="AI95" i="9" s="1"/>
  <c r="AH130" i="9"/>
  <c r="AI130" i="9" s="1"/>
  <c r="AH131" i="9"/>
  <c r="AI131" i="9" s="1"/>
  <c r="AH132" i="9"/>
  <c r="AI132" i="9" s="1"/>
  <c r="AH133" i="9"/>
  <c r="AI133" i="9" s="1"/>
  <c r="AH134" i="9"/>
  <c r="AI134" i="9" s="1"/>
  <c r="AH135" i="9"/>
  <c r="AI135" i="9" s="1"/>
  <c r="AH136" i="9"/>
  <c r="AI136" i="9" s="1"/>
  <c r="AH137" i="9"/>
  <c r="AI137" i="9" s="1"/>
  <c r="AH138" i="9"/>
  <c r="AI138" i="9" s="1"/>
  <c r="AH139" i="9"/>
  <c r="AI139" i="9" s="1"/>
  <c r="AH140" i="9"/>
  <c r="AI140" i="9" s="1"/>
  <c r="AH141" i="9"/>
  <c r="AI141" i="9" s="1"/>
  <c r="AH142" i="9"/>
  <c r="AI142" i="9" s="1"/>
  <c r="AH143" i="9"/>
  <c r="AI143" i="9" s="1"/>
  <c r="AH144" i="9"/>
  <c r="AI144" i="9" s="1"/>
  <c r="AH145" i="9"/>
  <c r="AI145" i="9" s="1"/>
  <c r="AH146" i="9"/>
  <c r="AI146" i="9" s="1"/>
  <c r="AH147" i="9"/>
  <c r="AI147" i="9" s="1"/>
  <c r="AH148" i="9"/>
  <c r="AI148" i="9" s="1"/>
  <c r="AH149" i="9"/>
  <c r="AI149" i="9" s="1"/>
  <c r="AH150" i="9"/>
  <c r="AI150" i="9" s="1"/>
  <c r="AH151" i="9"/>
  <c r="AI151" i="9" s="1"/>
  <c r="AH152" i="9"/>
  <c r="AI152" i="9" s="1"/>
  <c r="AH153" i="9"/>
  <c r="AI153" i="9" s="1"/>
  <c r="AH154" i="9"/>
  <c r="AI154" i="9" s="1"/>
  <c r="AH155" i="9"/>
  <c r="AI155" i="9" s="1"/>
  <c r="AH156" i="9"/>
  <c r="AI156" i="9" s="1"/>
  <c r="AH157" i="9"/>
  <c r="AI157" i="9" s="1"/>
  <c r="AH158" i="9"/>
  <c r="AI158" i="9" s="1"/>
  <c r="AH159" i="9"/>
  <c r="AI159" i="9" s="1"/>
  <c r="AH160" i="9"/>
  <c r="AI160" i="9" s="1"/>
  <c r="AH161" i="9"/>
  <c r="AI161" i="9" s="1"/>
  <c r="AH179" i="9"/>
  <c r="AI179" i="9" s="1"/>
  <c r="AH180" i="9"/>
  <c r="AI180" i="9" s="1"/>
  <c r="AH181" i="9"/>
  <c r="AI181" i="9" s="1"/>
  <c r="AH182" i="9"/>
  <c r="AI182" i="9" s="1"/>
  <c r="AH183" i="9"/>
  <c r="AI183" i="9" s="1"/>
  <c r="AH184" i="9"/>
  <c r="AI184" i="9" s="1"/>
  <c r="AH185" i="9"/>
  <c r="AI185" i="9" s="1"/>
  <c r="AH186" i="9"/>
  <c r="AI186" i="9" s="1"/>
  <c r="AH187" i="9"/>
  <c r="AI187" i="9" s="1"/>
  <c r="AH188" i="9"/>
  <c r="AI188" i="9" s="1"/>
  <c r="AH189" i="9"/>
  <c r="AI189" i="9" s="1"/>
  <c r="AH190" i="9"/>
  <c r="AI190" i="9" s="1"/>
  <c r="AH191" i="9"/>
  <c r="AI191" i="9" s="1"/>
  <c r="AH192" i="9"/>
  <c r="AI192" i="9" s="1"/>
  <c r="AH193" i="9"/>
  <c r="AI193" i="9" s="1"/>
  <c r="AH162" i="9"/>
  <c r="AI162" i="9" s="1"/>
  <c r="AH163" i="9"/>
  <c r="AI163" i="9" s="1"/>
  <c r="AH164" i="9"/>
  <c r="AI164" i="9" s="1"/>
  <c r="AH165" i="9"/>
  <c r="AI165" i="9" s="1"/>
  <c r="AH166" i="9"/>
  <c r="AI166" i="9" s="1"/>
  <c r="AH167" i="9"/>
  <c r="AI167" i="9" s="1"/>
  <c r="AH168" i="9"/>
  <c r="AI168" i="9" s="1"/>
  <c r="AH169" i="9"/>
  <c r="AI169" i="9" s="1"/>
  <c r="AH170" i="9"/>
  <c r="AI170" i="9" s="1"/>
  <c r="AH171" i="9"/>
  <c r="AI171" i="9" s="1"/>
  <c r="AH172" i="9"/>
  <c r="AI172" i="9" s="1"/>
  <c r="AH173" i="9"/>
  <c r="AI173" i="9" s="1"/>
  <c r="AH174" i="9"/>
  <c r="AI174" i="9" s="1"/>
  <c r="AM97" i="9" l="1"/>
  <c r="AM58" i="9"/>
  <c r="AM145" i="9"/>
  <c r="AM105" i="9"/>
  <c r="AM81" i="9"/>
  <c r="AM56" i="9"/>
  <c r="AM93" i="9"/>
  <c r="AM192" i="9"/>
  <c r="AM152" i="9"/>
  <c r="AM141" i="9"/>
  <c r="AM83" i="9"/>
  <c r="AM74" i="9"/>
  <c r="AM164" i="9"/>
  <c r="AM117" i="9"/>
  <c r="AM112" i="9"/>
  <c r="AM21" i="9"/>
  <c r="AM183" i="9"/>
  <c r="AM14" i="9"/>
  <c r="AM2" i="9"/>
  <c r="AM34" i="9"/>
  <c r="AM187" i="9"/>
  <c r="AM43" i="9"/>
  <c r="AM26" i="9"/>
  <c r="AM28" i="9"/>
  <c r="AM35" i="9"/>
  <c r="AM120" i="9"/>
  <c r="AM75" i="9"/>
  <c r="AM179" i="9"/>
  <c r="AM4" i="9"/>
  <c r="AM36" i="9"/>
  <c r="AM122" i="9"/>
  <c r="AM181" i="9"/>
  <c r="AM38" i="9"/>
  <c r="AM25" i="9"/>
  <c r="AM127" i="9"/>
  <c r="AM24" i="9"/>
  <c r="AM40" i="9"/>
  <c r="AM125" i="9"/>
  <c r="AM37" i="9"/>
  <c r="AM172" i="9"/>
  <c r="AM108" i="9"/>
  <c r="AM9" i="9"/>
  <c r="AM65" i="9"/>
  <c r="AM49" i="9"/>
  <c r="AM27" i="9"/>
  <c r="AM103" i="9"/>
  <c r="AM71" i="9"/>
  <c r="AM63" i="9"/>
  <c r="AM55" i="9"/>
  <c r="AM15" i="9"/>
  <c r="AM30" i="9"/>
  <c r="AM119" i="9"/>
  <c r="AM42" i="9"/>
  <c r="AM59" i="9"/>
  <c r="AM91" i="9"/>
  <c r="AM149" i="9"/>
  <c r="AM173" i="9"/>
  <c r="AM182" i="9"/>
  <c r="AM178" i="9"/>
  <c r="AM19" i="9"/>
  <c r="AM32" i="9"/>
  <c r="AM44" i="9"/>
  <c r="AM66" i="9"/>
  <c r="AM80" i="9"/>
  <c r="AM132" i="9"/>
  <c r="AM54" i="9"/>
  <c r="AM6" i="9"/>
  <c r="AM131" i="9"/>
  <c r="AM5" i="9"/>
  <c r="AM20" i="9"/>
  <c r="AM51" i="9"/>
  <c r="AM67" i="9"/>
  <c r="AM96" i="9"/>
  <c r="AM157" i="9"/>
  <c r="AM78" i="9"/>
  <c r="AM18" i="9"/>
  <c r="AM101" i="9"/>
  <c r="AM8" i="9"/>
  <c r="AM68" i="9"/>
  <c r="AM188" i="9"/>
  <c r="AM57" i="9"/>
  <c r="AM33" i="9"/>
  <c r="AM17" i="9"/>
  <c r="AM175" i="9"/>
  <c r="AM104" i="9"/>
  <c r="AM163" i="9"/>
  <c r="AM177" i="9"/>
  <c r="AM153" i="9"/>
  <c r="AM148" i="9"/>
  <c r="AM180" i="9"/>
  <c r="AM176" i="9"/>
  <c r="AM168" i="9"/>
  <c r="AM144" i="9"/>
  <c r="AM136" i="9"/>
  <c r="AM128" i="9"/>
  <c r="AM23" i="9"/>
  <c r="AM45" i="9"/>
  <c r="AM155" i="9"/>
  <c r="AM170" i="9"/>
  <c r="AM184" i="9"/>
  <c r="AM62" i="9"/>
  <c r="AM46" i="9"/>
  <c r="AM48" i="9"/>
  <c r="AM60" i="9"/>
  <c r="AM85" i="9"/>
  <c r="AM99" i="9"/>
  <c r="AM124" i="9"/>
  <c r="AM140" i="9"/>
  <c r="AM158" i="9"/>
  <c r="AM110" i="9"/>
  <c r="AM86" i="9"/>
  <c r="AM70" i="9"/>
  <c r="AM50" i="9"/>
  <c r="AM12" i="9"/>
  <c r="AM64" i="9"/>
  <c r="AM76" i="9"/>
  <c r="AM115" i="9"/>
  <c r="AM130" i="9"/>
  <c r="AM146" i="9"/>
  <c r="AM162" i="9"/>
  <c r="AM189" i="9"/>
  <c r="U178" i="9"/>
  <c r="U55" i="9"/>
  <c r="U39" i="9"/>
  <c r="U8" i="9"/>
  <c r="U47" i="9"/>
  <c r="U79" i="9"/>
  <c r="U23" i="9"/>
  <c r="U71" i="9"/>
  <c r="U16" i="9"/>
  <c r="U94" i="9"/>
  <c r="U63" i="9"/>
  <c r="U31" i="9"/>
  <c r="U126" i="9"/>
  <c r="U73" i="9"/>
  <c r="U33" i="9"/>
  <c r="U6" i="9"/>
  <c r="U110" i="9"/>
  <c r="U96" i="9"/>
  <c r="U81" i="9"/>
  <c r="U49" i="9"/>
  <c r="U14" i="9"/>
  <c r="U124" i="9"/>
  <c r="U116" i="9"/>
  <c r="U108" i="9"/>
  <c r="U100" i="9"/>
  <c r="U90" i="9"/>
  <c r="U82" i="9"/>
  <c r="U75" i="9"/>
  <c r="U67" i="9"/>
  <c r="U51" i="9"/>
  <c r="U43" i="9"/>
  <c r="U35" i="9"/>
  <c r="U27" i="9"/>
  <c r="U118" i="9"/>
  <c r="U102" i="9"/>
  <c r="U88" i="9"/>
  <c r="U65" i="9"/>
  <c r="U41" i="9"/>
  <c r="U120" i="9"/>
  <c r="U173" i="9"/>
  <c r="U165" i="9"/>
  <c r="U157" i="9"/>
  <c r="U149" i="9"/>
  <c r="U141" i="9"/>
  <c r="U133" i="9"/>
  <c r="U125" i="9"/>
  <c r="U117" i="9"/>
  <c r="U109" i="9"/>
  <c r="U101" i="9"/>
  <c r="U91" i="9"/>
  <c r="U83" i="9"/>
  <c r="U74" i="9"/>
  <c r="U66" i="9"/>
  <c r="U58" i="9"/>
  <c r="U50" i="9"/>
  <c r="U42" i="9"/>
  <c r="U34" i="9"/>
  <c r="U26" i="9"/>
  <c r="U18" i="9"/>
  <c r="U13" i="9"/>
  <c r="U112" i="9"/>
  <c r="U128" i="9"/>
  <c r="U104" i="9"/>
  <c r="U147" i="9"/>
  <c r="U139" i="9"/>
  <c r="U131" i="9"/>
  <c r="U123" i="9"/>
  <c r="U115" i="9"/>
  <c r="U107" i="9"/>
  <c r="U99" i="9"/>
  <c r="U93" i="9"/>
  <c r="U85" i="9"/>
  <c r="U76" i="9"/>
  <c r="U68" i="9"/>
  <c r="U52" i="9"/>
  <c r="U44" i="9"/>
  <c r="U20" i="9"/>
  <c r="U11" i="9"/>
  <c r="U3" i="9"/>
  <c r="U158" i="9"/>
  <c r="U134" i="9"/>
  <c r="U174" i="9"/>
  <c r="U166" i="9"/>
  <c r="U150" i="9"/>
  <c r="U142" i="9"/>
  <c r="U159" i="9"/>
  <c r="U151" i="9"/>
  <c r="U135" i="9"/>
  <c r="U127" i="9"/>
  <c r="U119" i="9"/>
  <c r="U111" i="9"/>
  <c r="U103" i="9"/>
  <c r="U97" i="9"/>
  <c r="U89" i="9"/>
  <c r="U80" i="9"/>
  <c r="U72" i="9"/>
  <c r="U64" i="9"/>
  <c r="U56" i="9"/>
  <c r="U40" i="9"/>
  <c r="U32" i="9"/>
  <c r="U24" i="9"/>
  <c r="U15" i="9"/>
  <c r="U130" i="9"/>
  <c r="U98" i="9"/>
  <c r="U92" i="9"/>
  <c r="U84" i="9"/>
  <c r="U77" i="9"/>
  <c r="U69" i="9"/>
  <c r="U61" i="9"/>
  <c r="U53" i="9"/>
  <c r="U45" i="9"/>
  <c r="U37" i="9"/>
  <c r="U29" i="9"/>
  <c r="U21" i="9"/>
  <c r="U10" i="9"/>
  <c r="U163" i="9"/>
  <c r="U2" i="9"/>
  <c r="U186" i="9"/>
  <c r="U129" i="9"/>
  <c r="U121" i="9"/>
  <c r="U113" i="9"/>
  <c r="U105" i="9"/>
  <c r="U95" i="9"/>
  <c r="U87" i="9"/>
  <c r="U78" i="9"/>
  <c r="U70" i="9"/>
  <c r="U62" i="9"/>
  <c r="U54" i="9"/>
  <c r="U46" i="9"/>
  <c r="U38" i="9"/>
  <c r="U30" i="9"/>
  <c r="U22" i="9"/>
  <c r="U17" i="9"/>
  <c r="U9" i="9"/>
  <c r="U190" i="9"/>
  <c r="U172" i="9"/>
  <c r="U132" i="9"/>
  <c r="U180" i="9"/>
  <c r="U162" i="9"/>
  <c r="U146" i="9"/>
  <c r="U189" i="9"/>
  <c r="U164" i="9"/>
  <c r="U185" i="9"/>
  <c r="U152" i="9"/>
  <c r="U144" i="9"/>
  <c r="U181" i="9"/>
  <c r="U184" i="9"/>
  <c r="U193" i="9"/>
  <c r="U179" i="9"/>
  <c r="U140" i="9"/>
  <c r="U160" i="9"/>
  <c r="U187" i="9"/>
  <c r="U188" i="9"/>
  <c r="U176" i="9"/>
  <c r="U175" i="9"/>
  <c r="U171" i="9"/>
  <c r="U156" i="9"/>
  <c r="U136" i="9"/>
  <c r="U191" i="9"/>
  <c r="U155" i="9"/>
  <c r="U170" i="9"/>
  <c r="U161" i="9"/>
  <c r="U177" i="9"/>
  <c r="U192" i="9"/>
  <c r="U182" i="9"/>
  <c r="U59" i="9"/>
  <c r="U28" i="9"/>
  <c r="U19" i="9"/>
  <c r="U36" i="9"/>
  <c r="U12" i="9"/>
  <c r="U60" i="9"/>
  <c r="U168" i="9"/>
  <c r="U167" i="9"/>
  <c r="U153" i="9"/>
  <c r="U148" i="9"/>
  <c r="U169" i="9"/>
  <c r="U137" i="9"/>
  <c r="U145" i="9"/>
  <c r="U138" i="9"/>
  <c r="U48" i="9"/>
  <c r="U106" i="9"/>
  <c r="U86" i="9"/>
  <c r="U143" i="9"/>
  <c r="U25" i="9"/>
  <c r="U154" i="9"/>
  <c r="U114" i="9"/>
  <c r="U122" i="9"/>
  <c r="U183" i="9"/>
  <c r="U4" i="9"/>
  <c r="U7" i="9"/>
  <c r="U5" i="9"/>
</calcChain>
</file>

<file path=xl/sharedStrings.xml><?xml version="1.0" encoding="utf-8"?>
<sst xmlns="http://schemas.openxmlformats.org/spreadsheetml/2006/main" count="129" uniqueCount="81">
  <si>
    <t>cycle</t>
  </si>
  <si>
    <t>investment_rotation_years</t>
  </si>
  <si>
    <t>nursery_count</t>
  </si>
  <si>
    <t>police_count</t>
  </si>
  <si>
    <t>member_count</t>
  </si>
  <si>
    <t>investor_count</t>
  </si>
  <si>
    <t>exotic_price_per_bdft</t>
  </si>
  <si>
    <t>native_price_per_bdft</t>
  </si>
  <si>
    <t>investor_percent_earning_share</t>
  </si>
  <si>
    <t>length(trees where ((each.type = NATIVE) and (each.state = SEEDLING)))</t>
  </si>
  <si>
    <t>length(trees where ((each.type = NATIVE) and (each.state = SAPLING)))</t>
  </si>
  <si>
    <t>length(trees where ((each.type = NATIVE) and (each.state = POLE)))</t>
  </si>
  <si>
    <t>length(trees where ((each.type = NATIVE) and (each.state = ADULT)))</t>
  </si>
  <si>
    <t>length(trees where ((each.type = EXOTIC) and (each.state = SEEDLING)))</t>
  </si>
  <si>
    <t>length(trees where ((each.type = EXOTIC) and (each.state = SAPLING)))</t>
  </si>
  <si>
    <t>length(trees where ((each.type = EXOTIC) and (each.state = POLE)))</t>
  </si>
  <si>
    <t>length(trees where ((each.type = EXOTIC) and (each.state = ADULT)))</t>
  </si>
  <si>
    <t>management_running_cost</t>
  </si>
  <si>
    <t>ITP_running_earning</t>
  </si>
  <si>
    <t>net_running_earning</t>
  </si>
  <si>
    <t>m_partners_earning</t>
  </si>
  <si>
    <t>m_independent_earning</t>
  </si>
  <si>
    <t>investor_total_profit</t>
  </si>
  <si>
    <t>total_investment_cost</t>
  </si>
  <si>
    <t>total_investments</t>
  </si>
  <si>
    <t>inv_harvested_trees</t>
  </si>
  <si>
    <t>seed</t>
  </si>
  <si>
    <t>with_investment</t>
  </si>
  <si>
    <t>own_laborer</t>
  </si>
  <si>
    <t>member_laborer</t>
  </si>
  <si>
    <t>independent_laborer</t>
  </si>
  <si>
    <t>net investor profit</t>
  </si>
  <si>
    <t>average net investor profit</t>
  </si>
  <si>
    <t>Native</t>
  </si>
  <si>
    <t>Exotic</t>
  </si>
  <si>
    <t>Total</t>
  </si>
  <si>
    <t>average m_partners_earning</t>
  </si>
  <si>
    <t>average m_independent_earning</t>
  </si>
  <si>
    <t>Seedling</t>
  </si>
  <si>
    <t>Sapling</t>
  </si>
  <si>
    <t>Pole</t>
  </si>
  <si>
    <t>Adult</t>
  </si>
  <si>
    <t>Independent \Dependent</t>
  </si>
  <si>
    <t>nursery count</t>
  </si>
  <si>
    <t>police count</t>
  </si>
  <si>
    <t>member count</t>
  </si>
  <si>
    <t>investor count</t>
  </si>
  <si>
    <t>price per bdft</t>
  </si>
  <si>
    <t>average.m_partners_earning</t>
  </si>
  <si>
    <t>average.net.investor.profit</t>
  </si>
  <si>
    <t>&lt; 2.2e-16</t>
  </si>
  <si>
    <t>rotation years</t>
  </si>
  <si>
    <t>investor earning share</t>
  </si>
  <si>
    <t>MANOVA Pr(&gt;F)</t>
  </si>
  <si>
    <t>This is the p-value associated with the F statistic of a given source.  The null hypothesis that the predictor has no effect on the outcome variable is evaluated with regard to this p-value.  For a given alpha level, if the p-value is less than alpha, the null hypothesis is rejected. If not, then we fail to reject the null hypothesis. --https://stats.oarc.ucla.edu/sas/output/manova/</t>
  </si>
  <si>
    <t>Alpha-level</t>
  </si>
  <si>
    <t xml:space="preserve">or </t>
  </si>
  <si>
    <t>95% confidence level</t>
  </si>
  <si>
    <t>Experiment Setups</t>
  </si>
  <si>
    <t>price_multiplier</t>
  </si>
  <si>
    <t>15, 10</t>
  </si>
  <si>
    <t>3, 1</t>
  </si>
  <si>
    <t>30, 15</t>
  </si>
  <si>
    <t>1, 2</t>
  </si>
  <si>
    <t>5, 30, 50</t>
  </si>
  <si>
    <t>0.3, 0.4</t>
  </si>
  <si>
    <t xml:space="preserve">Total combinations: </t>
  </si>
  <si>
    <t xml:space="preserve">Best scenario: </t>
  </si>
  <si>
    <t>total net investor profit</t>
  </si>
  <si>
    <t>Profitable?</t>
  </si>
  <si>
    <t>equally_profitable</t>
  </si>
  <si>
    <t xml:space="preserve">earning share: </t>
  </si>
  <si>
    <t>rotation year</t>
  </si>
  <si>
    <t xml:space="preserve">price multiplier </t>
  </si>
  <si>
    <t>net running earning</t>
  </si>
  <si>
    <t>total investor net earning</t>
  </si>
  <si>
    <t>average investor net earning</t>
  </si>
  <si>
    <t>Observation</t>
  </si>
  <si>
    <t>more investors and longer rotation years provide better tree population</t>
  </si>
  <si>
    <t>very few investors lead to surge of independent laborers</t>
  </si>
  <si>
    <t>the fluctuations was just because it's the total number of available laborers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</si>
</sst>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sz val="12"/>
      <color rgb="FF33333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6">
    <xf numFmtId="0" fontId="0" fillId="0" borderId="0" xfId="0"/>
    <xf numFmtId="0" fontId="0" fillId="33" borderId="0" xfId="0" applyFill="1"/>
    <xf numFmtId="0" fontId="18" fillId="0" borderId="0" xfId="0" applyFont="1"/>
    <xf numFmtId="0" fontId="18" fillId="33" borderId="0" xfId="0" applyFont="1" applyFill="1"/>
    <xf numFmtId="0" fontId="19" fillId="0" borderId="0" xfId="0" applyFont="1"/>
    <xf numFmtId="0" fontId="16" fillId="33" borderId="0" xfId="0" applyFont="1" applyFill="1"/>
    <xf numFmtId="11" fontId="16" fillId="33" borderId="0" xfId="0" applyNumberFormat="1" applyFont="1" applyFill="1"/>
    <xf numFmtId="165" fontId="16" fillId="33" borderId="0" xfId="0" applyNumberFormat="1" applyFont="1" applyFill="1"/>
    <xf numFmtId="11" fontId="16" fillId="33" borderId="0" xfId="0" applyNumberFormat="1" applyFont="1" applyFill="1" applyAlignment="1">
      <alignment horizontal="right"/>
    </xf>
    <xf numFmtId="164" fontId="0" fillId="0" borderId="0" xfId="0" applyNumberFormat="1"/>
    <xf numFmtId="0" fontId="16" fillId="0" borderId="0" xfId="0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quotePrefix="1"/>
    <xf numFmtId="0" fontId="20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Economic Profitability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'Removed 15'!$X$1</c:f>
              <c:strCache>
                <c:ptCount val="1"/>
                <c:pt idx="0">
                  <c:v>net_running_earning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'Removed 15'!$X$2:$X$193</c:f>
              <c:numCache>
                <c:formatCode>General</c:formatCode>
                <c:ptCount val="192"/>
                <c:pt idx="0">
                  <c:v>-6008210.6666773902</c:v>
                </c:pt>
                <c:pt idx="1">
                  <c:v>-2226463.71958119</c:v>
                </c:pt>
                <c:pt idx="2">
                  <c:v>-3514462.4063154799</c:v>
                </c:pt>
                <c:pt idx="3">
                  <c:v>-1318106.49796594</c:v>
                </c:pt>
                <c:pt idx="4">
                  <c:v>-4960278.39680319</c:v>
                </c:pt>
                <c:pt idx="5">
                  <c:v>-1215352.3036076999</c:v>
                </c:pt>
                <c:pt idx="6">
                  <c:v>-5974492.3968924396</c:v>
                </c:pt>
                <c:pt idx="7">
                  <c:v>-1544892.6627976601</c:v>
                </c:pt>
                <c:pt idx="8">
                  <c:v>-4476062.4315690696</c:v>
                </c:pt>
                <c:pt idx="9">
                  <c:v>-2181099.3046876201</c:v>
                </c:pt>
                <c:pt idx="10">
                  <c:v>-3661440.4197137398</c:v>
                </c:pt>
                <c:pt idx="11">
                  <c:v>-1152616.01706024</c:v>
                </c:pt>
                <c:pt idx="12">
                  <c:v>-4762404.5410334095</c:v>
                </c:pt>
                <c:pt idx="13">
                  <c:v>-1955303.3913334101</c:v>
                </c:pt>
                <c:pt idx="14">
                  <c:v>-2892275.2056253902</c:v>
                </c:pt>
                <c:pt idx="15">
                  <c:v>-1044387.04607036</c:v>
                </c:pt>
                <c:pt idx="16">
                  <c:v>-3867336.1222373699</c:v>
                </c:pt>
                <c:pt idx="17">
                  <c:v>-737271.60576047795</c:v>
                </c:pt>
                <c:pt idx="18">
                  <c:v>-3692584.0172194298</c:v>
                </c:pt>
                <c:pt idx="19">
                  <c:v>-290215.34044157399</c:v>
                </c:pt>
                <c:pt idx="20">
                  <c:v>-3896510.9025310702</c:v>
                </c:pt>
                <c:pt idx="21">
                  <c:v>-631893.482482736</c:v>
                </c:pt>
                <c:pt idx="22">
                  <c:v>-3798910.5966586899</c:v>
                </c:pt>
                <c:pt idx="23">
                  <c:v>-399716.43229213799</c:v>
                </c:pt>
                <c:pt idx="24">
                  <c:v>-3421838.1989288498</c:v>
                </c:pt>
                <c:pt idx="25">
                  <c:v>-765491.710157722</c:v>
                </c:pt>
                <c:pt idx="26">
                  <c:v>-3071535.9401856698</c:v>
                </c:pt>
                <c:pt idx="27">
                  <c:v>-183828.0881733</c:v>
                </c:pt>
                <c:pt idx="28">
                  <c:v>-3528778.2664687699</c:v>
                </c:pt>
                <c:pt idx="29">
                  <c:v>-578196.95047355397</c:v>
                </c:pt>
                <c:pt idx="30">
                  <c:v>-3136389.7896056101</c:v>
                </c:pt>
                <c:pt idx="31">
                  <c:v>-365762.15896714502</c:v>
                </c:pt>
                <c:pt idx="32">
                  <c:v>-24522697.161589701</c:v>
                </c:pt>
                <c:pt idx="33">
                  <c:v>-23111679.3806432</c:v>
                </c:pt>
                <c:pt idx="34">
                  <c:v>-14409038.315890901</c:v>
                </c:pt>
                <c:pt idx="35">
                  <c:v>-5701973.7889199601</c:v>
                </c:pt>
                <c:pt idx="36">
                  <c:v>-23616961.7569708</c:v>
                </c:pt>
                <c:pt idx="37">
                  <c:v>-14738337.957829</c:v>
                </c:pt>
                <c:pt idx="38">
                  <c:v>-16185813.691105301</c:v>
                </c:pt>
                <c:pt idx="39">
                  <c:v>-9591073.8837270793</c:v>
                </c:pt>
                <c:pt idx="40">
                  <c:v>-23436106.6515688</c:v>
                </c:pt>
                <c:pt idx="41">
                  <c:v>-19390903.014087901</c:v>
                </c:pt>
                <c:pt idx="42">
                  <c:v>-15389529.574526301</c:v>
                </c:pt>
                <c:pt idx="43">
                  <c:v>-6145353.8788149701</c:v>
                </c:pt>
                <c:pt idx="44">
                  <c:v>-23465887.264296498</c:v>
                </c:pt>
                <c:pt idx="45">
                  <c:v>-19020914.156463601</c:v>
                </c:pt>
                <c:pt idx="46">
                  <c:v>-14850741.0589558</c:v>
                </c:pt>
                <c:pt idx="47">
                  <c:v>-12064141.982137199</c:v>
                </c:pt>
                <c:pt idx="48">
                  <c:v>-17204280.8398146</c:v>
                </c:pt>
                <c:pt idx="49">
                  <c:v>-12213039.7346834</c:v>
                </c:pt>
                <c:pt idx="50">
                  <c:v>-9271899.3296105396</c:v>
                </c:pt>
                <c:pt idx="51">
                  <c:v>-800888.352726012</c:v>
                </c:pt>
                <c:pt idx="52">
                  <c:v>-17248156.857731</c:v>
                </c:pt>
                <c:pt idx="53">
                  <c:v>-10491377.7480458</c:v>
                </c:pt>
                <c:pt idx="54">
                  <c:v>-11342833.0499044</c:v>
                </c:pt>
                <c:pt idx="55">
                  <c:v>-4592503.0875552399</c:v>
                </c:pt>
                <c:pt idx="56">
                  <c:v>-18298511.5323929</c:v>
                </c:pt>
                <c:pt idx="57">
                  <c:v>-11985627.9824761</c:v>
                </c:pt>
                <c:pt idx="58">
                  <c:v>-11605074.0758244</c:v>
                </c:pt>
                <c:pt idx="59">
                  <c:v>-5450628.6861798996</c:v>
                </c:pt>
                <c:pt idx="60">
                  <c:v>-17460630.958448</c:v>
                </c:pt>
                <c:pt idx="61">
                  <c:v>-11053779.614103399</c:v>
                </c:pt>
                <c:pt idx="62">
                  <c:v>-11692529.647662601</c:v>
                </c:pt>
                <c:pt idx="63">
                  <c:v>-6404940.1159643298</c:v>
                </c:pt>
                <c:pt idx="64">
                  <c:v>-17265413.607921802</c:v>
                </c:pt>
                <c:pt idx="65">
                  <c:v>1862194.2969678601</c:v>
                </c:pt>
                <c:pt idx="66">
                  <c:v>-9016562.1111332309</c:v>
                </c:pt>
                <c:pt idx="67">
                  <c:v>7522804.8313032398</c:v>
                </c:pt>
                <c:pt idx="68">
                  <c:v>-19595989.240176</c:v>
                </c:pt>
                <c:pt idx="69">
                  <c:v>-955560.83602998406</c:v>
                </c:pt>
                <c:pt idx="70">
                  <c:v>-11582334.912451699</c:v>
                </c:pt>
                <c:pt idx="71">
                  <c:v>7307197.7347641299</c:v>
                </c:pt>
                <c:pt idx="72">
                  <c:v>-17663244.453501798</c:v>
                </c:pt>
                <c:pt idx="73">
                  <c:v>2546061.7661335599</c:v>
                </c:pt>
                <c:pt idx="74">
                  <c:v>-9746664.7355291806</c:v>
                </c:pt>
                <c:pt idx="75">
                  <c:v>3586615.5197462798</c:v>
                </c:pt>
                <c:pt idx="76">
                  <c:v>-19112182.802078899</c:v>
                </c:pt>
                <c:pt idx="77">
                  <c:v>-5147157.8306112802</c:v>
                </c:pt>
                <c:pt idx="78">
                  <c:v>-10152300.9506237</c:v>
                </c:pt>
                <c:pt idx="79">
                  <c:v>10725375.157743201</c:v>
                </c:pt>
                <c:pt idx="80">
                  <c:v>-9626744.3713502791</c:v>
                </c:pt>
                <c:pt idx="81">
                  <c:v>7203482.55524287</c:v>
                </c:pt>
                <c:pt idx="82">
                  <c:v>-4173663.1735776002</c:v>
                </c:pt>
                <c:pt idx="83">
                  <c:v>10247666.430360399</c:v>
                </c:pt>
                <c:pt idx="84">
                  <c:v>-12682096.6035682</c:v>
                </c:pt>
                <c:pt idx="85">
                  <c:v>5027981.9994443199</c:v>
                </c:pt>
                <c:pt idx="86">
                  <c:v>-4394634.0540949199</c:v>
                </c:pt>
                <c:pt idx="87">
                  <c:v>8607008.4551449604</c:v>
                </c:pt>
                <c:pt idx="88">
                  <c:v>-12273013.4507873</c:v>
                </c:pt>
                <c:pt idx="89">
                  <c:v>8443952.3618720006</c:v>
                </c:pt>
                <c:pt idx="90">
                  <c:v>-5312229.9800461996</c:v>
                </c:pt>
                <c:pt idx="91">
                  <c:v>9289267.0736725107</c:v>
                </c:pt>
                <c:pt idx="92">
                  <c:v>-12541037.4335576</c:v>
                </c:pt>
                <c:pt idx="93">
                  <c:v>566683.02125297405</c:v>
                </c:pt>
                <c:pt idx="94">
                  <c:v>-7118988.9567914903</c:v>
                </c:pt>
                <c:pt idx="95">
                  <c:v>6683050.9779901197</c:v>
                </c:pt>
                <c:pt idx="96">
                  <c:v>-6244128.82765585</c:v>
                </c:pt>
                <c:pt idx="97">
                  <c:v>-2529386.9010072099</c:v>
                </c:pt>
                <c:pt idx="98">
                  <c:v>-5857986.2871804098</c:v>
                </c:pt>
                <c:pt idx="99">
                  <c:v>-1813775.02869329</c:v>
                </c:pt>
                <c:pt idx="100">
                  <c:v>-6263711.5121136904</c:v>
                </c:pt>
                <c:pt idx="101">
                  <c:v>-2628173.1218560501</c:v>
                </c:pt>
                <c:pt idx="102">
                  <c:v>-5947821.5216993196</c:v>
                </c:pt>
                <c:pt idx="103">
                  <c:v>-1908044.5250359699</c:v>
                </c:pt>
                <c:pt idx="104">
                  <c:v>-4691112.15936282</c:v>
                </c:pt>
                <c:pt idx="105">
                  <c:v>-1429550.0713174299</c:v>
                </c:pt>
                <c:pt idx="106">
                  <c:v>-5007544.5655724499</c:v>
                </c:pt>
                <c:pt idx="107">
                  <c:v>-1493262.3808554299</c:v>
                </c:pt>
                <c:pt idx="108">
                  <c:v>-6105487.8886871599</c:v>
                </c:pt>
                <c:pt idx="109">
                  <c:v>-2105980.7612768598</c:v>
                </c:pt>
                <c:pt idx="110">
                  <c:v>-5065147.8844894702</c:v>
                </c:pt>
                <c:pt idx="111">
                  <c:v>-1735057.3988842</c:v>
                </c:pt>
                <c:pt idx="112">
                  <c:v>-3625577.9137155102</c:v>
                </c:pt>
                <c:pt idx="113">
                  <c:v>-278830.640409065</c:v>
                </c:pt>
                <c:pt idx="114">
                  <c:v>-3968109.9315485698</c:v>
                </c:pt>
                <c:pt idx="115">
                  <c:v>-725019.23598106497</c:v>
                </c:pt>
                <c:pt idx="116">
                  <c:v>-4017633.4433928099</c:v>
                </c:pt>
                <c:pt idx="117">
                  <c:v>-1050196.3412311601</c:v>
                </c:pt>
                <c:pt idx="118">
                  <c:v>-3846803.5529510798</c:v>
                </c:pt>
                <c:pt idx="119">
                  <c:v>-613701.08464689204</c:v>
                </c:pt>
                <c:pt idx="120">
                  <c:v>-3798739.2199531598</c:v>
                </c:pt>
                <c:pt idx="121">
                  <c:v>-979908.46126717096</c:v>
                </c:pt>
                <c:pt idx="122">
                  <c:v>-2890383.1591584301</c:v>
                </c:pt>
                <c:pt idx="123">
                  <c:v>-158105.969455204</c:v>
                </c:pt>
                <c:pt idx="124">
                  <c:v>-3687871.4510681401</c:v>
                </c:pt>
                <c:pt idx="125">
                  <c:v>-949628.15575508296</c:v>
                </c:pt>
                <c:pt idx="126">
                  <c:v>-3349028.9260307201</c:v>
                </c:pt>
                <c:pt idx="127">
                  <c:v>-640143.21928439499</c:v>
                </c:pt>
                <c:pt idx="128">
                  <c:v>-25113500.0683752</c:v>
                </c:pt>
                <c:pt idx="129">
                  <c:v>-15392843.687766301</c:v>
                </c:pt>
                <c:pt idx="130">
                  <c:v>-16388512.1243612</c:v>
                </c:pt>
                <c:pt idx="131">
                  <c:v>-7383922.5531748896</c:v>
                </c:pt>
                <c:pt idx="132">
                  <c:v>-27300393.069280598</c:v>
                </c:pt>
                <c:pt idx="133">
                  <c:v>-20490101.3847243</c:v>
                </c:pt>
                <c:pt idx="134">
                  <c:v>-16702853.112005901</c:v>
                </c:pt>
                <c:pt idx="135">
                  <c:v>-8598733.5081687197</c:v>
                </c:pt>
                <c:pt idx="136">
                  <c:v>-28400424.0590038</c:v>
                </c:pt>
                <c:pt idx="137">
                  <c:v>-22979641.5021444</c:v>
                </c:pt>
                <c:pt idx="138">
                  <c:v>-17405760.9807746</c:v>
                </c:pt>
                <c:pt idx="139">
                  <c:v>-11929689.630590299</c:v>
                </c:pt>
                <c:pt idx="140">
                  <c:v>-25475272.993709799</c:v>
                </c:pt>
                <c:pt idx="141">
                  <c:v>-16784897.5674196</c:v>
                </c:pt>
                <c:pt idx="142">
                  <c:v>-16763877.8760057</c:v>
                </c:pt>
                <c:pt idx="143">
                  <c:v>-8314940.8299227199</c:v>
                </c:pt>
                <c:pt idx="144">
                  <c:v>-16628773.795462299</c:v>
                </c:pt>
                <c:pt idx="145">
                  <c:v>-8280527.8364047902</c:v>
                </c:pt>
                <c:pt idx="146">
                  <c:v>-12077468.748538701</c:v>
                </c:pt>
                <c:pt idx="147">
                  <c:v>-6459371.31168711</c:v>
                </c:pt>
                <c:pt idx="148">
                  <c:v>-17248819.412798401</c:v>
                </c:pt>
                <c:pt idx="149">
                  <c:v>-10580659.858106701</c:v>
                </c:pt>
                <c:pt idx="150">
                  <c:v>-11663238.894511599</c:v>
                </c:pt>
                <c:pt idx="151">
                  <c:v>-5573881.1315389704</c:v>
                </c:pt>
                <c:pt idx="152">
                  <c:v>-17099028.415247999</c:v>
                </c:pt>
                <c:pt idx="153">
                  <c:v>-10424802.2263931</c:v>
                </c:pt>
                <c:pt idx="154">
                  <c:v>-11158004.903894501</c:v>
                </c:pt>
                <c:pt idx="155">
                  <c:v>-5434883.3823614102</c:v>
                </c:pt>
                <c:pt idx="156">
                  <c:v>-17190861.233777501</c:v>
                </c:pt>
                <c:pt idx="157">
                  <c:v>-9838270.8431167491</c:v>
                </c:pt>
                <c:pt idx="158">
                  <c:v>-11982502.791957</c:v>
                </c:pt>
                <c:pt idx="159">
                  <c:v>-7131889.1528320303</c:v>
                </c:pt>
                <c:pt idx="160">
                  <c:v>-20201179.4009142</c:v>
                </c:pt>
                <c:pt idx="161">
                  <c:v>395607.45520912798</c:v>
                </c:pt>
                <c:pt idx="162">
                  <c:v>-12744911.3568167</c:v>
                </c:pt>
                <c:pt idx="163">
                  <c:v>2606726.93029114</c:v>
                </c:pt>
                <c:pt idx="164">
                  <c:v>-22147497.758752801</c:v>
                </c:pt>
                <c:pt idx="165">
                  <c:v>-6201819.6112927701</c:v>
                </c:pt>
                <c:pt idx="166">
                  <c:v>-12728483.245796699</c:v>
                </c:pt>
                <c:pt idx="167">
                  <c:v>1678259.11953279</c:v>
                </c:pt>
                <c:pt idx="168">
                  <c:v>-20735001.854872901</c:v>
                </c:pt>
                <c:pt idx="169">
                  <c:v>-971070.11319386901</c:v>
                </c:pt>
                <c:pt idx="170">
                  <c:v>-12684631.7971233</c:v>
                </c:pt>
                <c:pt idx="171">
                  <c:v>2515433.0139842401</c:v>
                </c:pt>
                <c:pt idx="172">
                  <c:v>-19771917.9529512</c:v>
                </c:pt>
                <c:pt idx="173">
                  <c:v>-1047183.73360159</c:v>
                </c:pt>
                <c:pt idx="174">
                  <c:v>-11441068</c:v>
                </c:pt>
                <c:pt idx="175">
                  <c:v>4644820.62</c:v>
                </c:pt>
                <c:pt idx="176">
                  <c:v>-13347249.137737401</c:v>
                </c:pt>
                <c:pt idx="177">
                  <c:v>3402999.5806408599</c:v>
                </c:pt>
                <c:pt idx="178">
                  <c:v>-7510568.5664857598</c:v>
                </c:pt>
                <c:pt idx="179">
                  <c:v>6894782.3562030504</c:v>
                </c:pt>
                <c:pt idx="180">
                  <c:v>-14276375.4441486</c:v>
                </c:pt>
                <c:pt idx="181">
                  <c:v>-503175.34114941902</c:v>
                </c:pt>
                <c:pt idx="182">
                  <c:v>-8060479.4419509098</c:v>
                </c:pt>
                <c:pt idx="183">
                  <c:v>4963176.5530960597</c:v>
                </c:pt>
                <c:pt idx="184">
                  <c:v>-13562225.8457934</c:v>
                </c:pt>
                <c:pt idx="185">
                  <c:v>1417898.7359905499</c:v>
                </c:pt>
                <c:pt idx="186">
                  <c:v>-6974263.57304784</c:v>
                </c:pt>
                <c:pt idx="187">
                  <c:v>6533435.0059205201</c:v>
                </c:pt>
                <c:pt idx="188">
                  <c:v>-13976982.812697699</c:v>
                </c:pt>
                <c:pt idx="189">
                  <c:v>1787074.11357131</c:v>
                </c:pt>
                <c:pt idx="190">
                  <c:v>-9025009.5163706299</c:v>
                </c:pt>
                <c:pt idx="191">
                  <c:v>2295437.5056450302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8F-FF40-97FF-62778F7534E6}"/>
            </c:ext>
          </c:extLst>
        </c:ser>
        <c:ser>
          <c:idx val="1"/>
          <c:order val="1"/>
          <c:tx>
            <c:strRef>
              <c:f>'Removed 15'!$AH$1</c:f>
              <c:strCache>
                <c:ptCount val="1"/>
                <c:pt idx="0">
                  <c:v>total net investor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'Removed 15'!$AH$2:$AH$193</c:f>
              <c:numCache>
                <c:formatCode>General</c:formatCode>
                <c:ptCount val="192"/>
                <c:pt idx="0">
                  <c:v>105790.32363295392</c:v>
                </c:pt>
                <c:pt idx="1">
                  <c:v>946605.07285615988</c:v>
                </c:pt>
                <c:pt idx="2">
                  <c:v>-101877.30908827507</c:v>
                </c:pt>
                <c:pt idx="3">
                  <c:v>2320755.1345768999</c:v>
                </c:pt>
                <c:pt idx="4">
                  <c:v>425959.59889578004</c:v>
                </c:pt>
                <c:pt idx="5">
                  <c:v>-434464.29269467207</c:v>
                </c:pt>
                <c:pt idx="6">
                  <c:v>351982.76370852999</c:v>
                </c:pt>
                <c:pt idx="7">
                  <c:v>2593940.8452696903</c:v>
                </c:pt>
                <c:pt idx="8">
                  <c:v>221368.31562428991</c:v>
                </c:pt>
                <c:pt idx="9">
                  <c:v>830909.51135657006</c:v>
                </c:pt>
                <c:pt idx="10">
                  <c:v>305874.72744875005</c:v>
                </c:pt>
                <c:pt idx="11">
                  <c:v>2100755.3846502798</c:v>
                </c:pt>
                <c:pt idx="12">
                  <c:v>-141431.7196874501</c:v>
                </c:pt>
                <c:pt idx="13">
                  <c:v>1102097.7030372201</c:v>
                </c:pt>
                <c:pt idx="14">
                  <c:v>449514.34502455988</c:v>
                </c:pt>
                <c:pt idx="15">
                  <c:v>2206049.3917189604</c:v>
                </c:pt>
                <c:pt idx="16">
                  <c:v>-213671.38409102103</c:v>
                </c:pt>
                <c:pt idx="17">
                  <c:v>142222.03181795799</c:v>
                </c:pt>
                <c:pt idx="18">
                  <c:v>372361.56079930998</c:v>
                </c:pt>
                <c:pt idx="19">
                  <c:v>1314287.9215986109</c:v>
                </c:pt>
                <c:pt idx="20">
                  <c:v>-83069.233799024019</c:v>
                </c:pt>
                <c:pt idx="21">
                  <c:v>403426.33240195201</c:v>
                </c:pt>
                <c:pt idx="22">
                  <c:v>372361.56079930998</c:v>
                </c:pt>
                <c:pt idx="23">
                  <c:v>1314287.9215986109</c:v>
                </c:pt>
                <c:pt idx="24">
                  <c:v>-164879.824666981</c:v>
                </c:pt>
                <c:pt idx="25">
                  <c:v>239805.15066603804</c:v>
                </c:pt>
                <c:pt idx="26">
                  <c:v>372361.56079930998</c:v>
                </c:pt>
                <c:pt idx="27">
                  <c:v>1314287.9215986109</c:v>
                </c:pt>
                <c:pt idx="28">
                  <c:v>88894.812525867019</c:v>
                </c:pt>
                <c:pt idx="29">
                  <c:v>747354.42505173094</c:v>
                </c:pt>
                <c:pt idx="30">
                  <c:v>272007.08533595898</c:v>
                </c:pt>
                <c:pt idx="31">
                  <c:v>1113578.9706719108</c:v>
                </c:pt>
                <c:pt idx="32">
                  <c:v>-2384078.33253473</c:v>
                </c:pt>
                <c:pt idx="33">
                  <c:v>-2891540.9700854397</c:v>
                </c:pt>
                <c:pt idx="34">
                  <c:v>-446106.53509801999</c:v>
                </c:pt>
                <c:pt idx="35">
                  <c:v>1372901.1405454502</c:v>
                </c:pt>
                <c:pt idx="36">
                  <c:v>-377571.54975118022</c:v>
                </c:pt>
                <c:pt idx="37">
                  <c:v>3401009.0468886709</c:v>
                </c:pt>
                <c:pt idx="38">
                  <c:v>-2303830.4572056299</c:v>
                </c:pt>
                <c:pt idx="39">
                  <c:v>-428044.44900781009</c:v>
                </c:pt>
                <c:pt idx="40">
                  <c:v>-856217.01374004968</c:v>
                </c:pt>
                <c:pt idx="41">
                  <c:v>-1644255.2275936599</c:v>
                </c:pt>
                <c:pt idx="42">
                  <c:v>-262783.33906336967</c:v>
                </c:pt>
                <c:pt idx="43">
                  <c:v>2748731.8240662403</c:v>
                </c:pt>
                <c:pt idx="44">
                  <c:v>1055835.27864818</c:v>
                </c:pt>
                <c:pt idx="45">
                  <c:v>-1686427.9130748697</c:v>
                </c:pt>
                <c:pt idx="46">
                  <c:v>344241.52482432034</c:v>
                </c:pt>
                <c:pt idx="47">
                  <c:v>-1591725.1566957496</c:v>
                </c:pt>
                <c:pt idx="48">
                  <c:v>-3012653.3877545651</c:v>
                </c:pt>
                <c:pt idx="49">
                  <c:v>-2607917.9755091402</c:v>
                </c:pt>
                <c:pt idx="50">
                  <c:v>-1670675.8320846101</c:v>
                </c:pt>
                <c:pt idx="51">
                  <c:v>76037.135830769781</c:v>
                </c:pt>
                <c:pt idx="52">
                  <c:v>-2784200.792783435</c:v>
                </c:pt>
                <c:pt idx="53">
                  <c:v>-2122701.92326971</c:v>
                </c:pt>
                <c:pt idx="54">
                  <c:v>-2266059.7788770003</c:v>
                </c:pt>
                <c:pt idx="55">
                  <c:v>-1114730.7577540101</c:v>
                </c:pt>
                <c:pt idx="56">
                  <c:v>-2029176.46751889</c:v>
                </c:pt>
                <c:pt idx="57">
                  <c:v>-640964.13503777981</c:v>
                </c:pt>
                <c:pt idx="58">
                  <c:v>-1829655.16938267</c:v>
                </c:pt>
                <c:pt idx="59">
                  <c:v>-241921.53876534989</c:v>
                </c:pt>
                <c:pt idx="60">
                  <c:v>-2803229.1777697471</c:v>
                </c:pt>
                <c:pt idx="61">
                  <c:v>-2189069.5555395102</c:v>
                </c:pt>
                <c:pt idx="62">
                  <c:v>-1455953.6402044802</c:v>
                </c:pt>
                <c:pt idx="63">
                  <c:v>525380.14450976998</c:v>
                </c:pt>
                <c:pt idx="64">
                  <c:v>157370.62181469053</c:v>
                </c:pt>
                <c:pt idx="65">
                  <c:v>5204121.5123507008</c:v>
                </c:pt>
                <c:pt idx="66">
                  <c:v>1070660.5791799594</c:v>
                </c:pt>
                <c:pt idx="67">
                  <c:v>5388306.2382727992</c:v>
                </c:pt>
                <c:pt idx="68">
                  <c:v>710110.09006071091</c:v>
                </c:pt>
                <c:pt idx="69">
                  <c:v>4753733.4711025003</c:v>
                </c:pt>
                <c:pt idx="70">
                  <c:v>-869462.7180409804</c:v>
                </c:pt>
                <c:pt idx="71">
                  <c:v>10357803.574388001</c:v>
                </c:pt>
                <c:pt idx="72">
                  <c:v>137257.05154350959</c:v>
                </c:pt>
                <c:pt idx="73">
                  <c:v>8678776.1926127002</c:v>
                </c:pt>
                <c:pt idx="74">
                  <c:v>2446648.4746118002</c:v>
                </c:pt>
                <c:pt idx="75">
                  <c:v>3745260.1128029004</c:v>
                </c:pt>
                <c:pt idx="76">
                  <c:v>-388493.5490547698</c:v>
                </c:pt>
                <c:pt idx="77">
                  <c:v>3066842.2481404003</c:v>
                </c:pt>
                <c:pt idx="78">
                  <c:v>-78510.733770850115</c:v>
                </c:pt>
                <c:pt idx="79">
                  <c:v>12297393.289602999</c:v>
                </c:pt>
                <c:pt idx="80">
                  <c:v>3667650.0882001808</c:v>
                </c:pt>
                <c:pt idx="81">
                  <c:v>5886499.9118545102</c:v>
                </c:pt>
                <c:pt idx="82">
                  <c:v>1888629.7872077599</c:v>
                </c:pt>
                <c:pt idx="83">
                  <c:v>4033769.1285724295</c:v>
                </c:pt>
                <c:pt idx="84">
                  <c:v>-610571.25992564019</c:v>
                </c:pt>
                <c:pt idx="85">
                  <c:v>4752007.5910040094</c:v>
                </c:pt>
                <c:pt idx="86">
                  <c:v>3476349.0604542596</c:v>
                </c:pt>
                <c:pt idx="87">
                  <c:v>5548976.2866277108</c:v>
                </c:pt>
                <c:pt idx="88">
                  <c:v>3072234.9305619104</c:v>
                </c:pt>
                <c:pt idx="89">
                  <c:v>13606648.267535612</c:v>
                </c:pt>
                <c:pt idx="90">
                  <c:v>3167231.43833311</c:v>
                </c:pt>
                <c:pt idx="91">
                  <c:v>5432525.8925176105</c:v>
                </c:pt>
                <c:pt idx="92">
                  <c:v>3708708.907193481</c:v>
                </c:pt>
                <c:pt idx="93">
                  <c:v>3840824.5573194912</c:v>
                </c:pt>
                <c:pt idx="94">
                  <c:v>-652019.35459349956</c:v>
                </c:pt>
                <c:pt idx="95">
                  <c:v>1869643.5493179699</c:v>
                </c:pt>
                <c:pt idx="96">
                  <c:v>353283.39026382007</c:v>
                </c:pt>
                <c:pt idx="97">
                  <c:v>1542846.33052765</c:v>
                </c:pt>
                <c:pt idx="98">
                  <c:v>1389457.8724484399</c:v>
                </c:pt>
                <c:pt idx="99">
                  <c:v>3615195.2948968802</c:v>
                </c:pt>
                <c:pt idx="100">
                  <c:v>232959.85226754006</c:v>
                </c:pt>
                <c:pt idx="101">
                  <c:v>1302199.2545350802</c:v>
                </c:pt>
                <c:pt idx="102">
                  <c:v>1378415.7648151501</c:v>
                </c:pt>
                <c:pt idx="103">
                  <c:v>3593111.0796303004</c:v>
                </c:pt>
                <c:pt idx="104">
                  <c:v>420539.2156718499</c:v>
                </c:pt>
                <c:pt idx="105">
                  <c:v>1677357.9813437101</c:v>
                </c:pt>
                <c:pt idx="106">
                  <c:v>1363970.4485740198</c:v>
                </c:pt>
                <c:pt idx="107">
                  <c:v>3564220.4471480399</c:v>
                </c:pt>
                <c:pt idx="108">
                  <c:v>867699.64225079003</c:v>
                </c:pt>
                <c:pt idx="109">
                  <c:v>2175767.1521514701</c:v>
                </c:pt>
                <c:pt idx="110">
                  <c:v>1118381.51642501</c:v>
                </c:pt>
                <c:pt idx="111">
                  <c:v>3073042.5828500297</c:v>
                </c:pt>
                <c:pt idx="112">
                  <c:v>294262.85086346196</c:v>
                </c:pt>
                <c:pt idx="113">
                  <c:v>1158090.5017269212</c:v>
                </c:pt>
                <c:pt idx="114">
                  <c:v>688413.10038673098</c:v>
                </c:pt>
                <c:pt idx="115">
                  <c:v>1946391.0007734611</c:v>
                </c:pt>
                <c:pt idx="116">
                  <c:v>-211484.04399627098</c:v>
                </c:pt>
                <c:pt idx="117">
                  <c:v>146596.71200745797</c:v>
                </c:pt>
                <c:pt idx="118">
                  <c:v>669965.70550070109</c:v>
                </c:pt>
                <c:pt idx="119">
                  <c:v>1909496.2110014111</c:v>
                </c:pt>
                <c:pt idx="120">
                  <c:v>276588.59772349999</c:v>
                </c:pt>
                <c:pt idx="121">
                  <c:v>1122741.9954469912</c:v>
                </c:pt>
                <c:pt idx="122">
                  <c:v>688413.10038673098</c:v>
                </c:pt>
                <c:pt idx="123">
                  <c:v>1946391.0007734611</c:v>
                </c:pt>
                <c:pt idx="124">
                  <c:v>169138.64655958803</c:v>
                </c:pt>
                <c:pt idx="125">
                  <c:v>907842.0931191711</c:v>
                </c:pt>
                <c:pt idx="126">
                  <c:v>657224.45644419093</c:v>
                </c:pt>
                <c:pt idx="127">
                  <c:v>1884013.712888381</c:v>
                </c:pt>
                <c:pt idx="128">
                  <c:v>45598.877288170159</c:v>
                </c:pt>
                <c:pt idx="129">
                  <c:v>5108875.054576301</c:v>
                </c:pt>
                <c:pt idx="130">
                  <c:v>265845.44359546062</c:v>
                </c:pt>
                <c:pt idx="131">
                  <c:v>5549368.1871909006</c:v>
                </c:pt>
                <c:pt idx="132">
                  <c:v>-1727585.9106108299</c:v>
                </c:pt>
                <c:pt idx="133">
                  <c:v>1562505.4787783399</c:v>
                </c:pt>
                <c:pt idx="134">
                  <c:v>80837.628068850376</c:v>
                </c:pt>
                <c:pt idx="135">
                  <c:v>5179352.5561377006</c:v>
                </c:pt>
                <c:pt idx="136">
                  <c:v>-3514632.0741298702</c:v>
                </c:pt>
                <c:pt idx="137">
                  <c:v>-2011586.84825974</c:v>
                </c:pt>
                <c:pt idx="138">
                  <c:v>-2797807.16053994</c:v>
                </c:pt>
                <c:pt idx="139">
                  <c:v>-577937.02107986994</c:v>
                </c:pt>
                <c:pt idx="140">
                  <c:v>215310.81850360055</c:v>
                </c:pt>
                <c:pt idx="141">
                  <c:v>5448298.9370072009</c:v>
                </c:pt>
                <c:pt idx="142">
                  <c:v>196961.22501615994</c:v>
                </c:pt>
                <c:pt idx="143">
                  <c:v>5411599.7500323011</c:v>
                </c:pt>
                <c:pt idx="144">
                  <c:v>200839.78595797997</c:v>
                </c:pt>
                <c:pt idx="145">
                  <c:v>3819068.37191595</c:v>
                </c:pt>
                <c:pt idx="146">
                  <c:v>-1328440.29580003</c:v>
                </c:pt>
                <c:pt idx="147">
                  <c:v>760508.20839993982</c:v>
                </c:pt>
                <c:pt idx="148">
                  <c:v>-1559937.98004614</c:v>
                </c:pt>
                <c:pt idx="149">
                  <c:v>297512.83990771975</c:v>
                </c:pt>
                <c:pt idx="150">
                  <c:v>-413371.19333409984</c:v>
                </c:pt>
                <c:pt idx="151">
                  <c:v>2590646.4133317904</c:v>
                </c:pt>
                <c:pt idx="152">
                  <c:v>-1527170.0042813499</c:v>
                </c:pt>
                <c:pt idx="153">
                  <c:v>363048.79143729014</c:v>
                </c:pt>
                <c:pt idx="154">
                  <c:v>-836437.71808699006</c:v>
                </c:pt>
                <c:pt idx="155">
                  <c:v>1744513.3638260099</c:v>
                </c:pt>
                <c:pt idx="156">
                  <c:v>118762.39204978989</c:v>
                </c:pt>
                <c:pt idx="157">
                  <c:v>3654913.5840995801</c:v>
                </c:pt>
                <c:pt idx="158">
                  <c:v>-1807906.92712866</c:v>
                </c:pt>
                <c:pt idx="159">
                  <c:v>-198425.05425732024</c:v>
                </c:pt>
                <c:pt idx="160">
                  <c:v>4511327.6995886993</c:v>
                </c:pt>
                <c:pt idx="161">
                  <c:v>17385450.899177499</c:v>
                </c:pt>
                <c:pt idx="162">
                  <c:v>1100583.2070490606</c:v>
                </c:pt>
                <c:pt idx="163">
                  <c:v>10563961.914098099</c:v>
                </c:pt>
                <c:pt idx="164">
                  <c:v>166598.6942931395</c:v>
                </c:pt>
                <c:pt idx="165">
                  <c:v>8695992.8885862008</c:v>
                </c:pt>
                <c:pt idx="166">
                  <c:v>-256861.97005049977</c:v>
                </c:pt>
                <c:pt idx="167">
                  <c:v>7849071.5598990005</c:v>
                </c:pt>
                <c:pt idx="168">
                  <c:v>4578402.8878399003</c:v>
                </c:pt>
                <c:pt idx="169">
                  <c:v>17519601.275679901</c:v>
                </c:pt>
                <c:pt idx="170">
                  <c:v>647364.19014888071</c:v>
                </c:pt>
                <c:pt idx="171">
                  <c:v>9657523.8802977018</c:v>
                </c:pt>
                <c:pt idx="172">
                  <c:v>1839754.7727179006</c:v>
                </c:pt>
                <c:pt idx="173">
                  <c:v>12042305.045435902</c:v>
                </c:pt>
                <c:pt idx="174">
                  <c:v>162974.55000000075</c:v>
                </c:pt>
                <c:pt idx="175">
                  <c:v>8688744.6000000015</c:v>
                </c:pt>
                <c:pt idx="176">
                  <c:v>2905083.1006705808</c:v>
                </c:pt>
                <c:pt idx="177">
                  <c:v>11505814.201341111</c:v>
                </c:pt>
                <c:pt idx="178">
                  <c:v>1034493.8497600099</c:v>
                </c:pt>
                <c:pt idx="179">
                  <c:v>7764635.6995200096</c:v>
                </c:pt>
                <c:pt idx="180">
                  <c:v>1755858.6757243602</c:v>
                </c:pt>
                <c:pt idx="181">
                  <c:v>9207365.351448711</c:v>
                </c:pt>
                <c:pt idx="182">
                  <c:v>527612.17846629024</c:v>
                </c:pt>
                <c:pt idx="183">
                  <c:v>6750872.3569325106</c:v>
                </c:pt>
                <c:pt idx="184">
                  <c:v>183326.39699420985</c:v>
                </c:pt>
                <c:pt idx="185">
                  <c:v>6062300.7939884095</c:v>
                </c:pt>
                <c:pt idx="186">
                  <c:v>755189.71484986041</c:v>
                </c:pt>
                <c:pt idx="187">
                  <c:v>7206027.4296997106</c:v>
                </c:pt>
                <c:pt idx="188">
                  <c:v>396598.69742485043</c:v>
                </c:pt>
                <c:pt idx="189">
                  <c:v>6488845.3948496105</c:v>
                </c:pt>
                <c:pt idx="190">
                  <c:v>417348.02350276057</c:v>
                </c:pt>
                <c:pt idx="191">
                  <c:v>6530344.0470055109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8F-FF40-97FF-62778F753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5331456"/>
        <c:axId val="525333184"/>
      </c:lineChart>
      <c:catAx>
        <c:axId val="52533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25333184"/>
        <c:crosses val="autoZero"/>
        <c:auto val="1"/>
        <c:lblAlgn val="ctr"/>
        <c:lblOffset val="100"/>
        <c:noMultiLvlLbl val="0"/>
      </c:catAx>
      <c:valAx>
        <c:axId val="525333184"/>
        <c:scaling>
          <c:orientation val="minMax"/>
          <c:min val="-3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2533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Social</a:t>
            </a:r>
            <a:r>
              <a:rPr lang="en-GB" baseline="0"/>
              <a:t> Benefit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'Removed 15'!$AD$1</c:f>
              <c:strCache>
                <c:ptCount val="1"/>
                <c:pt idx="0">
                  <c:v>member_laborer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'Removed 15'!$AD$2:$AD$193</c:f>
              <c:numCache>
                <c:formatCode>General</c:formatCode>
                <c:ptCount val="192"/>
                <c:pt idx="0">
                  <c:v>1730</c:v>
                </c:pt>
                <c:pt idx="1">
                  <c:v>1635</c:v>
                </c:pt>
                <c:pt idx="2">
                  <c:v>1239</c:v>
                </c:pt>
                <c:pt idx="3">
                  <c:v>1707</c:v>
                </c:pt>
                <c:pt idx="4">
                  <c:v>1819</c:v>
                </c:pt>
                <c:pt idx="5">
                  <c:v>1333</c:v>
                </c:pt>
                <c:pt idx="6">
                  <c:v>2022</c:v>
                </c:pt>
                <c:pt idx="7">
                  <c:v>1978</c:v>
                </c:pt>
                <c:pt idx="8">
                  <c:v>1300</c:v>
                </c:pt>
                <c:pt idx="9">
                  <c:v>1490</c:v>
                </c:pt>
                <c:pt idx="10">
                  <c:v>1088</c:v>
                </c:pt>
                <c:pt idx="11">
                  <c:v>1358</c:v>
                </c:pt>
                <c:pt idx="12">
                  <c:v>1325</c:v>
                </c:pt>
                <c:pt idx="13">
                  <c:v>1545</c:v>
                </c:pt>
                <c:pt idx="14">
                  <c:v>1044</c:v>
                </c:pt>
                <c:pt idx="15">
                  <c:v>1304</c:v>
                </c:pt>
                <c:pt idx="16">
                  <c:v>1125</c:v>
                </c:pt>
                <c:pt idx="17">
                  <c:v>1125</c:v>
                </c:pt>
                <c:pt idx="18">
                  <c:v>1093</c:v>
                </c:pt>
                <c:pt idx="19">
                  <c:v>1093</c:v>
                </c:pt>
                <c:pt idx="20">
                  <c:v>1142</c:v>
                </c:pt>
                <c:pt idx="21">
                  <c:v>1142</c:v>
                </c:pt>
                <c:pt idx="22">
                  <c:v>1056</c:v>
                </c:pt>
                <c:pt idx="23">
                  <c:v>1056</c:v>
                </c:pt>
                <c:pt idx="24">
                  <c:v>996</c:v>
                </c:pt>
                <c:pt idx="25">
                  <c:v>996</c:v>
                </c:pt>
                <c:pt idx="26">
                  <c:v>900</c:v>
                </c:pt>
                <c:pt idx="27">
                  <c:v>900</c:v>
                </c:pt>
                <c:pt idx="28">
                  <c:v>1024</c:v>
                </c:pt>
                <c:pt idx="29">
                  <c:v>1024</c:v>
                </c:pt>
                <c:pt idx="30">
                  <c:v>880</c:v>
                </c:pt>
                <c:pt idx="31">
                  <c:v>880</c:v>
                </c:pt>
                <c:pt idx="32">
                  <c:v>4987</c:v>
                </c:pt>
                <c:pt idx="33">
                  <c:v>4971</c:v>
                </c:pt>
                <c:pt idx="34">
                  <c:v>2530</c:v>
                </c:pt>
                <c:pt idx="35">
                  <c:v>2539</c:v>
                </c:pt>
                <c:pt idx="36">
                  <c:v>4994</c:v>
                </c:pt>
                <c:pt idx="37">
                  <c:v>4969</c:v>
                </c:pt>
                <c:pt idx="38">
                  <c:v>2549</c:v>
                </c:pt>
                <c:pt idx="39">
                  <c:v>2543</c:v>
                </c:pt>
                <c:pt idx="40">
                  <c:v>4879</c:v>
                </c:pt>
                <c:pt idx="41">
                  <c:v>4975</c:v>
                </c:pt>
                <c:pt idx="42">
                  <c:v>2481</c:v>
                </c:pt>
                <c:pt idx="43">
                  <c:v>2534</c:v>
                </c:pt>
                <c:pt idx="44">
                  <c:v>4904</c:v>
                </c:pt>
                <c:pt idx="45">
                  <c:v>4860</c:v>
                </c:pt>
                <c:pt idx="46">
                  <c:v>2481</c:v>
                </c:pt>
                <c:pt idx="47">
                  <c:v>2499</c:v>
                </c:pt>
                <c:pt idx="48">
                  <c:v>3328</c:v>
                </c:pt>
                <c:pt idx="49">
                  <c:v>3328</c:v>
                </c:pt>
                <c:pt idx="50">
                  <c:v>1726</c:v>
                </c:pt>
                <c:pt idx="51">
                  <c:v>1726</c:v>
                </c:pt>
                <c:pt idx="52">
                  <c:v>3443</c:v>
                </c:pt>
                <c:pt idx="53">
                  <c:v>3354</c:v>
                </c:pt>
                <c:pt idx="54">
                  <c:v>1755</c:v>
                </c:pt>
                <c:pt idx="55">
                  <c:v>1755</c:v>
                </c:pt>
                <c:pt idx="56">
                  <c:v>3529</c:v>
                </c:pt>
                <c:pt idx="57">
                  <c:v>3529</c:v>
                </c:pt>
                <c:pt idx="58">
                  <c:v>1766</c:v>
                </c:pt>
                <c:pt idx="59">
                  <c:v>1766</c:v>
                </c:pt>
                <c:pt idx="60">
                  <c:v>3432</c:v>
                </c:pt>
                <c:pt idx="61">
                  <c:v>3432</c:v>
                </c:pt>
                <c:pt idx="62">
                  <c:v>1713</c:v>
                </c:pt>
                <c:pt idx="63">
                  <c:v>1713</c:v>
                </c:pt>
                <c:pt idx="64">
                  <c:v>4546</c:v>
                </c:pt>
                <c:pt idx="65">
                  <c:v>4614</c:v>
                </c:pt>
                <c:pt idx="66">
                  <c:v>2371</c:v>
                </c:pt>
                <c:pt idx="67">
                  <c:v>2372</c:v>
                </c:pt>
                <c:pt idx="68">
                  <c:v>4832</c:v>
                </c:pt>
                <c:pt idx="69">
                  <c:v>4680</c:v>
                </c:pt>
                <c:pt idx="70">
                  <c:v>2364</c:v>
                </c:pt>
                <c:pt idx="71">
                  <c:v>2341</c:v>
                </c:pt>
                <c:pt idx="72">
                  <c:v>4480</c:v>
                </c:pt>
                <c:pt idx="73">
                  <c:v>4601</c:v>
                </c:pt>
                <c:pt idx="74">
                  <c:v>2309</c:v>
                </c:pt>
                <c:pt idx="75">
                  <c:v>2283</c:v>
                </c:pt>
                <c:pt idx="76">
                  <c:v>4588</c:v>
                </c:pt>
                <c:pt idx="77">
                  <c:v>4590</c:v>
                </c:pt>
                <c:pt idx="78">
                  <c:v>2302</c:v>
                </c:pt>
                <c:pt idx="79">
                  <c:v>2262</c:v>
                </c:pt>
                <c:pt idx="80">
                  <c:v>3295</c:v>
                </c:pt>
                <c:pt idx="81">
                  <c:v>3227</c:v>
                </c:pt>
                <c:pt idx="82">
                  <c:v>1670</c:v>
                </c:pt>
                <c:pt idx="83">
                  <c:v>1683</c:v>
                </c:pt>
                <c:pt idx="84">
                  <c:v>3296</c:v>
                </c:pt>
                <c:pt idx="85">
                  <c:v>3242</c:v>
                </c:pt>
                <c:pt idx="86">
                  <c:v>1685</c:v>
                </c:pt>
                <c:pt idx="87">
                  <c:v>1665</c:v>
                </c:pt>
                <c:pt idx="88">
                  <c:v>3353</c:v>
                </c:pt>
                <c:pt idx="89">
                  <c:v>3374</c:v>
                </c:pt>
                <c:pt idx="90">
                  <c:v>1630</c:v>
                </c:pt>
                <c:pt idx="91">
                  <c:v>1613</c:v>
                </c:pt>
                <c:pt idx="92">
                  <c:v>3275</c:v>
                </c:pt>
                <c:pt idx="93">
                  <c:v>3275</c:v>
                </c:pt>
                <c:pt idx="94">
                  <c:v>1656</c:v>
                </c:pt>
                <c:pt idx="95">
                  <c:v>1653</c:v>
                </c:pt>
                <c:pt idx="96">
                  <c:v>1763</c:v>
                </c:pt>
                <c:pt idx="97">
                  <c:v>1760</c:v>
                </c:pt>
                <c:pt idx="98">
                  <c:v>1561</c:v>
                </c:pt>
                <c:pt idx="99">
                  <c:v>1561</c:v>
                </c:pt>
                <c:pt idx="100">
                  <c:v>1772</c:v>
                </c:pt>
                <c:pt idx="101">
                  <c:v>1772</c:v>
                </c:pt>
                <c:pt idx="102">
                  <c:v>1586</c:v>
                </c:pt>
                <c:pt idx="103">
                  <c:v>1586</c:v>
                </c:pt>
                <c:pt idx="104">
                  <c:v>1325</c:v>
                </c:pt>
                <c:pt idx="105">
                  <c:v>1325</c:v>
                </c:pt>
                <c:pt idx="106">
                  <c:v>1301</c:v>
                </c:pt>
                <c:pt idx="107">
                  <c:v>1301</c:v>
                </c:pt>
                <c:pt idx="108">
                  <c:v>1519</c:v>
                </c:pt>
                <c:pt idx="109">
                  <c:v>1451</c:v>
                </c:pt>
                <c:pt idx="110">
                  <c:v>1331</c:v>
                </c:pt>
                <c:pt idx="111">
                  <c:v>1331</c:v>
                </c:pt>
                <c:pt idx="112">
                  <c:v>1110</c:v>
                </c:pt>
                <c:pt idx="113">
                  <c:v>1110</c:v>
                </c:pt>
                <c:pt idx="114">
                  <c:v>1080</c:v>
                </c:pt>
                <c:pt idx="115">
                  <c:v>1080</c:v>
                </c:pt>
                <c:pt idx="116">
                  <c:v>1126</c:v>
                </c:pt>
                <c:pt idx="117">
                  <c:v>1126</c:v>
                </c:pt>
                <c:pt idx="118">
                  <c:v>934</c:v>
                </c:pt>
                <c:pt idx="119">
                  <c:v>934</c:v>
                </c:pt>
                <c:pt idx="120">
                  <c:v>988</c:v>
                </c:pt>
                <c:pt idx="121">
                  <c:v>988</c:v>
                </c:pt>
                <c:pt idx="122">
                  <c:v>819</c:v>
                </c:pt>
                <c:pt idx="123">
                  <c:v>819</c:v>
                </c:pt>
                <c:pt idx="124">
                  <c:v>1006</c:v>
                </c:pt>
                <c:pt idx="125">
                  <c:v>1006</c:v>
                </c:pt>
                <c:pt idx="126">
                  <c:v>846</c:v>
                </c:pt>
                <c:pt idx="127">
                  <c:v>846</c:v>
                </c:pt>
                <c:pt idx="128">
                  <c:v>4972</c:v>
                </c:pt>
                <c:pt idx="129">
                  <c:v>4972</c:v>
                </c:pt>
                <c:pt idx="130">
                  <c:v>2539</c:v>
                </c:pt>
                <c:pt idx="131">
                  <c:v>2539</c:v>
                </c:pt>
                <c:pt idx="132">
                  <c:v>5032</c:v>
                </c:pt>
                <c:pt idx="133">
                  <c:v>5032</c:v>
                </c:pt>
                <c:pt idx="134">
                  <c:v>2541</c:v>
                </c:pt>
                <c:pt idx="135">
                  <c:v>2541</c:v>
                </c:pt>
                <c:pt idx="136">
                  <c:v>5041</c:v>
                </c:pt>
                <c:pt idx="137">
                  <c:v>5041</c:v>
                </c:pt>
                <c:pt idx="138">
                  <c:v>2456</c:v>
                </c:pt>
                <c:pt idx="139">
                  <c:v>2456</c:v>
                </c:pt>
                <c:pt idx="140">
                  <c:v>4913</c:v>
                </c:pt>
                <c:pt idx="141">
                  <c:v>4913</c:v>
                </c:pt>
                <c:pt idx="142">
                  <c:v>2468</c:v>
                </c:pt>
                <c:pt idx="143">
                  <c:v>2468</c:v>
                </c:pt>
                <c:pt idx="144">
                  <c:v>3445</c:v>
                </c:pt>
                <c:pt idx="145">
                  <c:v>3445</c:v>
                </c:pt>
                <c:pt idx="146">
                  <c:v>1750</c:v>
                </c:pt>
                <c:pt idx="147">
                  <c:v>1750</c:v>
                </c:pt>
                <c:pt idx="148">
                  <c:v>3380</c:v>
                </c:pt>
                <c:pt idx="149">
                  <c:v>3380</c:v>
                </c:pt>
                <c:pt idx="150">
                  <c:v>1733</c:v>
                </c:pt>
                <c:pt idx="151">
                  <c:v>1733</c:v>
                </c:pt>
                <c:pt idx="152">
                  <c:v>3375</c:v>
                </c:pt>
                <c:pt idx="153">
                  <c:v>3375</c:v>
                </c:pt>
                <c:pt idx="154">
                  <c:v>1704</c:v>
                </c:pt>
                <c:pt idx="155">
                  <c:v>1704</c:v>
                </c:pt>
                <c:pt idx="156">
                  <c:v>3375</c:v>
                </c:pt>
                <c:pt idx="157">
                  <c:v>3375</c:v>
                </c:pt>
                <c:pt idx="158">
                  <c:v>1715</c:v>
                </c:pt>
                <c:pt idx="159">
                  <c:v>1715</c:v>
                </c:pt>
                <c:pt idx="160">
                  <c:v>5514</c:v>
                </c:pt>
                <c:pt idx="161">
                  <c:v>5514</c:v>
                </c:pt>
                <c:pt idx="162">
                  <c:v>2790</c:v>
                </c:pt>
                <c:pt idx="163">
                  <c:v>2790</c:v>
                </c:pt>
                <c:pt idx="164">
                  <c:v>5611</c:v>
                </c:pt>
                <c:pt idx="165">
                  <c:v>5611</c:v>
                </c:pt>
                <c:pt idx="166">
                  <c:v>2785</c:v>
                </c:pt>
                <c:pt idx="167">
                  <c:v>2785</c:v>
                </c:pt>
                <c:pt idx="168">
                  <c:v>5473</c:v>
                </c:pt>
                <c:pt idx="169">
                  <c:v>5473</c:v>
                </c:pt>
                <c:pt idx="170">
                  <c:v>2725</c:v>
                </c:pt>
                <c:pt idx="171">
                  <c:v>2725</c:v>
                </c:pt>
                <c:pt idx="172">
                  <c:v>5400</c:v>
                </c:pt>
                <c:pt idx="173">
                  <c:v>5400</c:v>
                </c:pt>
                <c:pt idx="174">
                  <c:v>2306</c:v>
                </c:pt>
                <c:pt idx="175">
                  <c:v>2306</c:v>
                </c:pt>
                <c:pt idx="176">
                  <c:v>3944</c:v>
                </c:pt>
                <c:pt idx="177">
                  <c:v>3944</c:v>
                </c:pt>
                <c:pt idx="178">
                  <c:v>2025</c:v>
                </c:pt>
                <c:pt idx="179">
                  <c:v>2025</c:v>
                </c:pt>
                <c:pt idx="180">
                  <c:v>3832</c:v>
                </c:pt>
                <c:pt idx="181">
                  <c:v>3832</c:v>
                </c:pt>
                <c:pt idx="182">
                  <c:v>1997</c:v>
                </c:pt>
                <c:pt idx="183">
                  <c:v>1997</c:v>
                </c:pt>
                <c:pt idx="184">
                  <c:v>3885</c:v>
                </c:pt>
                <c:pt idx="185">
                  <c:v>3885</c:v>
                </c:pt>
                <c:pt idx="186">
                  <c:v>1909</c:v>
                </c:pt>
                <c:pt idx="187">
                  <c:v>1909</c:v>
                </c:pt>
                <c:pt idx="188">
                  <c:v>3932</c:v>
                </c:pt>
                <c:pt idx="189">
                  <c:v>3932</c:v>
                </c:pt>
                <c:pt idx="190">
                  <c:v>1971</c:v>
                </c:pt>
                <c:pt idx="191">
                  <c:v>1971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83-6040-895B-FFF59CBD97F5}"/>
            </c:ext>
          </c:extLst>
        </c:ser>
        <c:ser>
          <c:idx val="1"/>
          <c:order val="1"/>
          <c:tx>
            <c:strRef>
              <c:f>'Removed 15'!$AE$1</c:f>
              <c:strCache>
                <c:ptCount val="1"/>
                <c:pt idx="0">
                  <c:v>independent_laborer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'Removed 15'!$AE$2:$AE$193</c:f>
              <c:numCache>
                <c:formatCode>General</c:formatCode>
                <c:ptCount val="192"/>
                <c:pt idx="0">
                  <c:v>1579</c:v>
                </c:pt>
                <c:pt idx="1">
                  <c:v>1907</c:v>
                </c:pt>
                <c:pt idx="2">
                  <c:v>696</c:v>
                </c:pt>
                <c:pt idx="3">
                  <c:v>201</c:v>
                </c:pt>
                <c:pt idx="4">
                  <c:v>1946</c:v>
                </c:pt>
                <c:pt idx="5">
                  <c:v>2073</c:v>
                </c:pt>
                <c:pt idx="6">
                  <c:v>0</c:v>
                </c:pt>
                <c:pt idx="7">
                  <c:v>0</c:v>
                </c:pt>
                <c:pt idx="8">
                  <c:v>2274</c:v>
                </c:pt>
                <c:pt idx="9">
                  <c:v>2106</c:v>
                </c:pt>
                <c:pt idx="10">
                  <c:v>862</c:v>
                </c:pt>
                <c:pt idx="11">
                  <c:v>488</c:v>
                </c:pt>
                <c:pt idx="12">
                  <c:v>2412</c:v>
                </c:pt>
                <c:pt idx="13">
                  <c:v>1635</c:v>
                </c:pt>
                <c:pt idx="14">
                  <c:v>801</c:v>
                </c:pt>
                <c:pt idx="15">
                  <c:v>632</c:v>
                </c:pt>
                <c:pt idx="16">
                  <c:v>1316</c:v>
                </c:pt>
                <c:pt idx="17">
                  <c:v>1316</c:v>
                </c:pt>
                <c:pt idx="18">
                  <c:v>202</c:v>
                </c:pt>
                <c:pt idx="19">
                  <c:v>202</c:v>
                </c:pt>
                <c:pt idx="20">
                  <c:v>1418</c:v>
                </c:pt>
                <c:pt idx="21">
                  <c:v>1418</c:v>
                </c:pt>
                <c:pt idx="22">
                  <c:v>229</c:v>
                </c:pt>
                <c:pt idx="23">
                  <c:v>229</c:v>
                </c:pt>
                <c:pt idx="24">
                  <c:v>1450</c:v>
                </c:pt>
                <c:pt idx="25">
                  <c:v>1450</c:v>
                </c:pt>
                <c:pt idx="26">
                  <c:v>352</c:v>
                </c:pt>
                <c:pt idx="27">
                  <c:v>352</c:v>
                </c:pt>
                <c:pt idx="28">
                  <c:v>1318</c:v>
                </c:pt>
                <c:pt idx="29">
                  <c:v>1318</c:v>
                </c:pt>
                <c:pt idx="30">
                  <c:v>348</c:v>
                </c:pt>
                <c:pt idx="31">
                  <c:v>348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1774</c:v>
                </c:pt>
                <c:pt idx="97">
                  <c:v>1875</c:v>
                </c:pt>
                <c:pt idx="98">
                  <c:v>371</c:v>
                </c:pt>
                <c:pt idx="99">
                  <c:v>371</c:v>
                </c:pt>
                <c:pt idx="100">
                  <c:v>1955</c:v>
                </c:pt>
                <c:pt idx="101">
                  <c:v>1955</c:v>
                </c:pt>
                <c:pt idx="102">
                  <c:v>432</c:v>
                </c:pt>
                <c:pt idx="103">
                  <c:v>432</c:v>
                </c:pt>
                <c:pt idx="104">
                  <c:v>2333</c:v>
                </c:pt>
                <c:pt idx="105">
                  <c:v>2333</c:v>
                </c:pt>
                <c:pt idx="106">
                  <c:v>551</c:v>
                </c:pt>
                <c:pt idx="107">
                  <c:v>551</c:v>
                </c:pt>
                <c:pt idx="108">
                  <c:v>1779</c:v>
                </c:pt>
                <c:pt idx="109">
                  <c:v>2011</c:v>
                </c:pt>
                <c:pt idx="110">
                  <c:v>544</c:v>
                </c:pt>
                <c:pt idx="111">
                  <c:v>544</c:v>
                </c:pt>
                <c:pt idx="112">
                  <c:v>1174</c:v>
                </c:pt>
                <c:pt idx="113">
                  <c:v>1174</c:v>
                </c:pt>
                <c:pt idx="114">
                  <c:v>223</c:v>
                </c:pt>
                <c:pt idx="115">
                  <c:v>223</c:v>
                </c:pt>
                <c:pt idx="116">
                  <c:v>1289</c:v>
                </c:pt>
                <c:pt idx="117">
                  <c:v>1289</c:v>
                </c:pt>
                <c:pt idx="118">
                  <c:v>376</c:v>
                </c:pt>
                <c:pt idx="119">
                  <c:v>376</c:v>
                </c:pt>
                <c:pt idx="120">
                  <c:v>1214</c:v>
                </c:pt>
                <c:pt idx="121">
                  <c:v>1214</c:v>
                </c:pt>
                <c:pt idx="122">
                  <c:v>313</c:v>
                </c:pt>
                <c:pt idx="123">
                  <c:v>313</c:v>
                </c:pt>
                <c:pt idx="124">
                  <c:v>1339</c:v>
                </c:pt>
                <c:pt idx="125">
                  <c:v>1339</c:v>
                </c:pt>
                <c:pt idx="126">
                  <c:v>462</c:v>
                </c:pt>
                <c:pt idx="127">
                  <c:v>462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83-6040-895B-FFF59CBD9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7030159"/>
        <c:axId val="648991503"/>
      </c:lineChart>
      <c:catAx>
        <c:axId val="67703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648991503"/>
        <c:crosses val="autoZero"/>
        <c:auto val="1"/>
        <c:lblAlgn val="ctr"/>
        <c:lblOffset val="100"/>
        <c:noMultiLvlLbl val="0"/>
      </c:catAx>
      <c:valAx>
        <c:axId val="64899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67703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'Removed 15'!$Z$1</c:f>
              <c:strCache>
                <c:ptCount val="1"/>
                <c:pt idx="0">
                  <c:v>average m_partners_earning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'Removed 15'!$Z$2:$Z$193</c:f>
              <c:numCache>
                <c:formatCode>General</c:formatCode>
                <c:ptCount val="192"/>
                <c:pt idx="0">
                  <c:v>6078.4098349627175</c:v>
                </c:pt>
                <c:pt idx="1">
                  <c:v>7736.5943898925998</c:v>
                </c:pt>
                <c:pt idx="2">
                  <c:v>4113.5064747658353</c:v>
                </c:pt>
                <c:pt idx="3">
                  <c:v>4017.8235536554894</c:v>
                </c:pt>
                <c:pt idx="4">
                  <c:v>4295.5069352759756</c:v>
                </c:pt>
                <c:pt idx="5">
                  <c:v>6738.6533825489041</c:v>
                </c:pt>
                <c:pt idx="6">
                  <c:v>3984.5439843162312</c:v>
                </c:pt>
                <c:pt idx="7">
                  <c:v>3981.3491571410368</c:v>
                </c:pt>
                <c:pt idx="8">
                  <c:v>5013.3730553711075</c:v>
                </c:pt>
                <c:pt idx="9">
                  <c:v>7388.6751151346307</c:v>
                </c:pt>
                <c:pt idx="10">
                  <c:v>4867.3386662513512</c:v>
                </c:pt>
                <c:pt idx="11">
                  <c:v>5037.8886769074961</c:v>
                </c:pt>
                <c:pt idx="12">
                  <c:v>5382.1831538131546</c:v>
                </c:pt>
                <c:pt idx="13">
                  <c:v>10604.053366257411</c:v>
                </c:pt>
                <c:pt idx="14">
                  <c:v>5269.5628671193963</c:v>
                </c:pt>
                <c:pt idx="15">
                  <c:v>4571.5732844210888</c:v>
                </c:pt>
                <c:pt idx="16">
                  <c:v>4744.3626885545509</c:v>
                </c:pt>
                <c:pt idx="17">
                  <c:v>5669.8426482968798</c:v>
                </c:pt>
                <c:pt idx="18">
                  <c:v>4011.6713973911706</c:v>
                </c:pt>
                <c:pt idx="19">
                  <c:v>4023.2472400784718</c:v>
                </c:pt>
                <c:pt idx="20">
                  <c:v>4368.9439220656304</c:v>
                </c:pt>
                <c:pt idx="21">
                  <c:v>4839.6833852059463</c:v>
                </c:pt>
                <c:pt idx="22">
                  <c:v>4248.5315473094888</c:v>
                </c:pt>
                <c:pt idx="23">
                  <c:v>4490.1841907256721</c:v>
                </c:pt>
                <c:pt idx="24">
                  <c:v>5033.7047733812651</c:v>
                </c:pt>
                <c:pt idx="25">
                  <c:v>5974.1756662683738</c:v>
                </c:pt>
                <c:pt idx="26">
                  <c:v>4363.2897919791776</c:v>
                </c:pt>
                <c:pt idx="27">
                  <c:v>4437.2863997029781</c:v>
                </c:pt>
                <c:pt idx="28">
                  <c:v>5776.3217907792387</c:v>
                </c:pt>
                <c:pt idx="29">
                  <c:v>7614.3892792685647</c:v>
                </c:pt>
                <c:pt idx="30">
                  <c:v>4643.9784128320453</c:v>
                </c:pt>
                <c:pt idx="31">
                  <c:v>4975.8360334712843</c:v>
                </c:pt>
                <c:pt idx="32">
                  <c:v>3898.7162358324445</c:v>
                </c:pt>
                <c:pt idx="33">
                  <c:v>3916.8888162207604</c:v>
                </c:pt>
                <c:pt idx="34">
                  <c:v>3480.2131024606761</c:v>
                </c:pt>
                <c:pt idx="35">
                  <c:v>3658.0946502032175</c:v>
                </c:pt>
                <c:pt idx="36">
                  <c:v>3700.9368501730078</c:v>
                </c:pt>
                <c:pt idx="37">
                  <c:v>3740.743718366512</c:v>
                </c:pt>
                <c:pt idx="38">
                  <c:v>3556.4286903293878</c:v>
                </c:pt>
                <c:pt idx="39">
                  <c:v>3786.3620431918007</c:v>
                </c:pt>
                <c:pt idx="40">
                  <c:v>4083.444487423898</c:v>
                </c:pt>
                <c:pt idx="41">
                  <c:v>3892.7960251048439</c:v>
                </c:pt>
                <c:pt idx="42">
                  <c:v>3940.1917869591698</c:v>
                </c:pt>
                <c:pt idx="43">
                  <c:v>3930.8543250355488</c:v>
                </c:pt>
                <c:pt idx="44">
                  <c:v>3895.171229711073</c:v>
                </c:pt>
                <c:pt idx="45">
                  <c:v>4048.684789384753</c:v>
                </c:pt>
                <c:pt idx="46">
                  <c:v>3934.2217286425675</c:v>
                </c:pt>
                <c:pt idx="47">
                  <c:v>4168.95985687343</c:v>
                </c:pt>
                <c:pt idx="48">
                  <c:v>3819.7338208723259</c:v>
                </c:pt>
                <c:pt idx="49">
                  <c:v>3819.7338208723259</c:v>
                </c:pt>
                <c:pt idx="50">
                  <c:v>3813.5688662134244</c:v>
                </c:pt>
                <c:pt idx="51">
                  <c:v>3813.5688662134244</c:v>
                </c:pt>
                <c:pt idx="52">
                  <c:v>3749.3213792577112</c:v>
                </c:pt>
                <c:pt idx="53">
                  <c:v>3742.7612421345261</c:v>
                </c:pt>
                <c:pt idx="54">
                  <c:v>3652.9006458446038</c:v>
                </c:pt>
                <c:pt idx="55">
                  <c:v>3652.9006458446038</c:v>
                </c:pt>
                <c:pt idx="56">
                  <c:v>3886.0200061284781</c:v>
                </c:pt>
                <c:pt idx="57">
                  <c:v>3886.0200061284781</c:v>
                </c:pt>
                <c:pt idx="58">
                  <c:v>4076.9094793690151</c:v>
                </c:pt>
                <c:pt idx="59">
                  <c:v>4076.9094793690151</c:v>
                </c:pt>
                <c:pt idx="60">
                  <c:v>3943.1300313682987</c:v>
                </c:pt>
                <c:pt idx="61">
                  <c:v>3943.1300313682987</c:v>
                </c:pt>
                <c:pt idx="62">
                  <c:v>4035.5323586457562</c:v>
                </c:pt>
                <c:pt idx="63">
                  <c:v>4044.0189305321132</c:v>
                </c:pt>
                <c:pt idx="64">
                  <c:v>4741.8249138499777</c:v>
                </c:pt>
                <c:pt idx="65">
                  <c:v>4583.0111491459465</c:v>
                </c:pt>
                <c:pt idx="66">
                  <c:v>4802.7939854386332</c:v>
                </c:pt>
                <c:pt idx="67">
                  <c:v>4455.0432077357918</c:v>
                </c:pt>
                <c:pt idx="68">
                  <c:v>4862.770978888866</c:v>
                </c:pt>
                <c:pt idx="69">
                  <c:v>4794.5383647655763</c:v>
                </c:pt>
                <c:pt idx="70">
                  <c:v>4567.1378312679781</c:v>
                </c:pt>
                <c:pt idx="71">
                  <c:v>4403.2928960632644</c:v>
                </c:pt>
                <c:pt idx="72">
                  <c:v>5145.7923603391519</c:v>
                </c:pt>
                <c:pt idx="73">
                  <c:v>4945.9884409129318</c:v>
                </c:pt>
                <c:pt idx="74">
                  <c:v>5493.0916710096581</c:v>
                </c:pt>
                <c:pt idx="75">
                  <c:v>4618.3515273973717</c:v>
                </c:pt>
                <c:pt idx="76">
                  <c:v>4805.3512587757841</c:v>
                </c:pt>
                <c:pt idx="77">
                  <c:v>4751.587228264314</c:v>
                </c:pt>
                <c:pt idx="78">
                  <c:v>5183.7652051800178</c:v>
                </c:pt>
                <c:pt idx="79">
                  <c:v>4795.8708352541998</c:v>
                </c:pt>
                <c:pt idx="80">
                  <c:v>5123.5571613501979</c:v>
                </c:pt>
                <c:pt idx="81">
                  <c:v>4967.6674276216299</c:v>
                </c:pt>
                <c:pt idx="82">
                  <c:v>5355.8193215521915</c:v>
                </c:pt>
                <c:pt idx="83">
                  <c:v>4944.9717419753597</c:v>
                </c:pt>
                <c:pt idx="84">
                  <c:v>4901.1957867216934</c:v>
                </c:pt>
                <c:pt idx="85">
                  <c:v>4993.7041476131399</c:v>
                </c:pt>
                <c:pt idx="86">
                  <c:v>5025.9482645890093</c:v>
                </c:pt>
                <c:pt idx="87">
                  <c:v>4767.4606516041385</c:v>
                </c:pt>
                <c:pt idx="88">
                  <c:v>5578.5623798060251</c:v>
                </c:pt>
                <c:pt idx="89">
                  <c:v>5543.5601038411678</c:v>
                </c:pt>
                <c:pt idx="90">
                  <c:v>5705.5601689889882</c:v>
                </c:pt>
                <c:pt idx="91">
                  <c:v>5590.5683053563425</c:v>
                </c:pt>
                <c:pt idx="92">
                  <c:v>5407.7904271364278</c:v>
                </c:pt>
                <c:pt idx="93">
                  <c:v>4971.0251092452518</c:v>
                </c:pt>
                <c:pt idx="94">
                  <c:v>5539.7318831138346</c:v>
                </c:pt>
                <c:pt idx="95">
                  <c:v>5164.411594411954</c:v>
                </c:pt>
                <c:pt idx="96">
                  <c:v>4398.7749786629611</c:v>
                </c:pt>
                <c:pt idx="97">
                  <c:v>4706.9073153886311</c:v>
                </c:pt>
                <c:pt idx="98">
                  <c:v>4578.0458188381936</c:v>
                </c:pt>
                <c:pt idx="99">
                  <c:v>5204.6065983711787</c:v>
                </c:pt>
                <c:pt idx="100">
                  <c:v>4411.0642346671448</c:v>
                </c:pt>
                <c:pt idx="101">
                  <c:v>4910.5233869129397</c:v>
                </c:pt>
                <c:pt idx="102">
                  <c:v>4089.5518348811224</c:v>
                </c:pt>
                <c:pt idx="103">
                  <c:v>4208.410452373153</c:v>
                </c:pt>
                <c:pt idx="104">
                  <c:v>5515.2584341849433</c:v>
                </c:pt>
                <c:pt idx="105">
                  <c:v>6942.8836760425202</c:v>
                </c:pt>
                <c:pt idx="106">
                  <c:v>4621.7307660274719</c:v>
                </c:pt>
                <c:pt idx="107">
                  <c:v>4950.6080151282631</c:v>
                </c:pt>
                <c:pt idx="108">
                  <c:v>5683.6964414019094</c:v>
                </c:pt>
                <c:pt idx="109">
                  <c:v>7402.3703402855954</c:v>
                </c:pt>
                <c:pt idx="110">
                  <c:v>4697.6171656372499</c:v>
                </c:pt>
                <c:pt idx="111">
                  <c:v>5076.512319221014</c:v>
                </c:pt>
                <c:pt idx="112">
                  <c:v>5379.9471753092521</c:v>
                </c:pt>
                <c:pt idx="113">
                  <c:v>7003.1534584483243</c:v>
                </c:pt>
                <c:pt idx="114">
                  <c:v>4053.9000896102034</c:v>
                </c:pt>
                <c:pt idx="115">
                  <c:v>4122.4579601978794</c:v>
                </c:pt>
                <c:pt idx="116">
                  <c:v>4289.3846347975223</c:v>
                </c:pt>
                <c:pt idx="117">
                  <c:v>4776.2328693801865</c:v>
                </c:pt>
                <c:pt idx="118">
                  <c:v>4299.4973259327517</c:v>
                </c:pt>
                <c:pt idx="119">
                  <c:v>4720.4487583909522</c:v>
                </c:pt>
                <c:pt idx="120">
                  <c:v>5711.0810798035527</c:v>
                </c:pt>
                <c:pt idx="121">
                  <c:v>7331.4279191138767</c:v>
                </c:pt>
                <c:pt idx="122">
                  <c:v>4437.6596486409644</c:v>
                </c:pt>
                <c:pt idx="123">
                  <c:v>4573.8117295866541</c:v>
                </c:pt>
                <c:pt idx="124">
                  <c:v>5485.6823062598705</c:v>
                </c:pt>
                <c:pt idx="125">
                  <c:v>6938.0780247371467</c:v>
                </c:pt>
                <c:pt idx="126">
                  <c:v>4582.1003226856974</c:v>
                </c:pt>
                <c:pt idx="127">
                  <c:v>4839.1902108570093</c:v>
                </c:pt>
                <c:pt idx="128">
                  <c:v>3707.9241865317781</c:v>
                </c:pt>
                <c:pt idx="129">
                  <c:v>3707.9241865317781</c:v>
                </c:pt>
                <c:pt idx="130">
                  <c:v>3853.4947960203817</c:v>
                </c:pt>
                <c:pt idx="131">
                  <c:v>3853.4947960203817</c:v>
                </c:pt>
                <c:pt idx="132">
                  <c:v>3817.7847059560017</c:v>
                </c:pt>
                <c:pt idx="133">
                  <c:v>3817.7847059560017</c:v>
                </c:pt>
                <c:pt idx="134">
                  <c:v>3765.4131609638057</c:v>
                </c:pt>
                <c:pt idx="135">
                  <c:v>3765.4131609638057</c:v>
                </c:pt>
                <c:pt idx="136">
                  <c:v>3926.2995384078354</c:v>
                </c:pt>
                <c:pt idx="137">
                  <c:v>3926.2995384078354</c:v>
                </c:pt>
                <c:pt idx="138">
                  <c:v>4274.1750080856682</c:v>
                </c:pt>
                <c:pt idx="139">
                  <c:v>4274.1750080856682</c:v>
                </c:pt>
                <c:pt idx="140">
                  <c:v>3878.2907519809487</c:v>
                </c:pt>
                <c:pt idx="141">
                  <c:v>3878.2907519809487</c:v>
                </c:pt>
                <c:pt idx="142">
                  <c:v>3886.4532743274231</c:v>
                </c:pt>
                <c:pt idx="143">
                  <c:v>3886.4532743274231</c:v>
                </c:pt>
                <c:pt idx="144">
                  <c:v>3720.8166546449925</c:v>
                </c:pt>
                <c:pt idx="145">
                  <c:v>3720.8166546449925</c:v>
                </c:pt>
                <c:pt idx="146">
                  <c:v>4070.8206024124456</c:v>
                </c:pt>
                <c:pt idx="147">
                  <c:v>4070.8206024124456</c:v>
                </c:pt>
                <c:pt idx="148">
                  <c:v>3861.7188569213017</c:v>
                </c:pt>
                <c:pt idx="149">
                  <c:v>3861.7188569213017</c:v>
                </c:pt>
                <c:pt idx="150">
                  <c:v>3824.8089740190248</c:v>
                </c:pt>
                <c:pt idx="151">
                  <c:v>3824.8089740190248</c:v>
                </c:pt>
                <c:pt idx="152">
                  <c:v>3871.5031094328001</c:v>
                </c:pt>
                <c:pt idx="153">
                  <c:v>3871.5031094328001</c:v>
                </c:pt>
                <c:pt idx="154">
                  <c:v>4184.9991543977521</c:v>
                </c:pt>
                <c:pt idx="155">
                  <c:v>4184.9991543977521</c:v>
                </c:pt>
                <c:pt idx="156">
                  <c:v>3895.2080837456597</c:v>
                </c:pt>
                <c:pt idx="157">
                  <c:v>3895.2080837456597</c:v>
                </c:pt>
                <c:pt idx="158">
                  <c:v>4329.7947418679005</c:v>
                </c:pt>
                <c:pt idx="159">
                  <c:v>4329.7947418679005</c:v>
                </c:pt>
                <c:pt idx="160">
                  <c:v>3852.8958000221069</c:v>
                </c:pt>
                <c:pt idx="161">
                  <c:v>3852.8958000221069</c:v>
                </c:pt>
                <c:pt idx="162">
                  <c:v>3941.7551351439784</c:v>
                </c:pt>
                <c:pt idx="163">
                  <c:v>3941.7551351439784</c:v>
                </c:pt>
                <c:pt idx="164">
                  <c:v>3847.1271727635185</c:v>
                </c:pt>
                <c:pt idx="165">
                  <c:v>3847.1271727635185</c:v>
                </c:pt>
                <c:pt idx="166">
                  <c:v>3934.9613361540037</c:v>
                </c:pt>
                <c:pt idx="167">
                  <c:v>3934.9613361540037</c:v>
                </c:pt>
                <c:pt idx="168">
                  <c:v>4190.2200522690118</c:v>
                </c:pt>
                <c:pt idx="169">
                  <c:v>4190.2200522690118</c:v>
                </c:pt>
                <c:pt idx="170">
                  <c:v>4424.6068251180186</c:v>
                </c:pt>
                <c:pt idx="171">
                  <c:v>4424.6068251180186</c:v>
                </c:pt>
                <c:pt idx="172">
                  <c:v>3989.7661172300186</c:v>
                </c:pt>
                <c:pt idx="173">
                  <c:v>3989.7661172300186</c:v>
                </c:pt>
                <c:pt idx="174">
                  <c:v>4753.6528620988729</c:v>
                </c:pt>
                <c:pt idx="175">
                  <c:v>4753.6528620988729</c:v>
                </c:pt>
                <c:pt idx="176">
                  <c:v>3830.8121318214503</c:v>
                </c:pt>
                <c:pt idx="177">
                  <c:v>3830.8121318214503</c:v>
                </c:pt>
                <c:pt idx="178">
                  <c:v>3822.7361005690614</c:v>
                </c:pt>
                <c:pt idx="179">
                  <c:v>3822.7361005690614</c:v>
                </c:pt>
                <c:pt idx="180">
                  <c:v>3971.2597853363777</c:v>
                </c:pt>
                <c:pt idx="181">
                  <c:v>3971.2597853363777</c:v>
                </c:pt>
                <c:pt idx="182">
                  <c:v>4105.6670195546767</c:v>
                </c:pt>
                <c:pt idx="183">
                  <c:v>4105.6670195546767</c:v>
                </c:pt>
                <c:pt idx="184">
                  <c:v>3856.0536693392023</c:v>
                </c:pt>
                <c:pt idx="185">
                  <c:v>3856.0536693392023</c:v>
                </c:pt>
                <c:pt idx="186">
                  <c:v>4442.491636552546</c:v>
                </c:pt>
                <c:pt idx="187">
                  <c:v>4442.491636552546</c:v>
                </c:pt>
                <c:pt idx="188">
                  <c:v>4050.6798047629704</c:v>
                </c:pt>
                <c:pt idx="189">
                  <c:v>4050.6798047629704</c:v>
                </c:pt>
                <c:pt idx="190">
                  <c:v>4641.9464307466978</c:v>
                </c:pt>
                <c:pt idx="191">
                  <c:v>4641.9464307466978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19-8C42-8EFE-653E337DD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458080"/>
        <c:axId val="468324560"/>
      </c:lineChart>
      <c:catAx>
        <c:axId val="46845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468324560"/>
        <c:crosses val="autoZero"/>
        <c:auto val="1"/>
        <c:lblAlgn val="ctr"/>
        <c:lblOffset val="100"/>
        <c:noMultiLvlLbl val="0"/>
      </c:catAx>
      <c:valAx>
        <c:axId val="4683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46845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'Removed 15'!$AI$1</c:f>
              <c:strCache>
                <c:ptCount val="1"/>
                <c:pt idx="0">
                  <c:v>average net investor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'Removed 15'!$AI$2:$AI$193</c:f>
              <c:numCache>
                <c:formatCode>General</c:formatCode>
                <c:ptCount val="192"/>
                <c:pt idx="0">
                  <c:v>21158.064726590783</c:v>
                </c:pt>
                <c:pt idx="1">
                  <c:v>189321.01457123196</c:v>
                </c:pt>
                <c:pt idx="2">
                  <c:v>-20375.461817655014</c:v>
                </c:pt>
                <c:pt idx="3">
                  <c:v>464151.02691537997</c:v>
                </c:pt>
                <c:pt idx="4">
                  <c:v>85191.919779156015</c:v>
                </c:pt>
                <c:pt idx="5">
                  <c:v>-86892.858538934408</c:v>
                </c:pt>
                <c:pt idx="6">
                  <c:v>70396.552741705993</c:v>
                </c:pt>
                <c:pt idx="7">
                  <c:v>518788.16905393807</c:v>
                </c:pt>
                <c:pt idx="8">
                  <c:v>44273.66312485798</c:v>
                </c:pt>
                <c:pt idx="9">
                  <c:v>166181.902271314</c:v>
                </c:pt>
                <c:pt idx="10">
                  <c:v>61174.945489750011</c:v>
                </c:pt>
                <c:pt idx="11">
                  <c:v>420151.07693005598</c:v>
                </c:pt>
                <c:pt idx="12">
                  <c:v>-28286.343937490019</c:v>
                </c:pt>
                <c:pt idx="13">
                  <c:v>220419.54060744401</c:v>
                </c:pt>
                <c:pt idx="14">
                  <c:v>89902.869004911976</c:v>
                </c:pt>
                <c:pt idx="15">
                  <c:v>441209.87834379205</c:v>
                </c:pt>
                <c:pt idx="16">
                  <c:v>-42734.276818204205</c:v>
                </c:pt>
                <c:pt idx="17">
                  <c:v>28444.406363591599</c:v>
                </c:pt>
                <c:pt idx="18">
                  <c:v>74472.312159861991</c:v>
                </c:pt>
                <c:pt idx="19">
                  <c:v>262857.5843197222</c:v>
                </c:pt>
                <c:pt idx="20">
                  <c:v>-16613.846759804805</c:v>
                </c:pt>
                <c:pt idx="21">
                  <c:v>80685.266480390404</c:v>
                </c:pt>
                <c:pt idx="22">
                  <c:v>74472.312159861991</c:v>
                </c:pt>
                <c:pt idx="23">
                  <c:v>262857.5843197222</c:v>
                </c:pt>
                <c:pt idx="24">
                  <c:v>-32975.964933396201</c:v>
                </c:pt>
                <c:pt idx="25">
                  <c:v>47961.030133207605</c:v>
                </c:pt>
                <c:pt idx="26">
                  <c:v>74472.312159861991</c:v>
                </c:pt>
                <c:pt idx="27">
                  <c:v>262857.5843197222</c:v>
                </c:pt>
                <c:pt idx="28">
                  <c:v>17778.962505173404</c:v>
                </c:pt>
                <c:pt idx="29">
                  <c:v>149470.88501034619</c:v>
                </c:pt>
                <c:pt idx="30">
                  <c:v>54401.417067191796</c:v>
                </c:pt>
                <c:pt idx="31">
                  <c:v>222715.79413438216</c:v>
                </c:pt>
                <c:pt idx="32">
                  <c:v>-79469.277751157671</c:v>
                </c:pt>
                <c:pt idx="33">
                  <c:v>-96384.699002847992</c:v>
                </c:pt>
                <c:pt idx="34">
                  <c:v>-14870.217836600666</c:v>
                </c:pt>
                <c:pt idx="35">
                  <c:v>45763.371351515008</c:v>
                </c:pt>
                <c:pt idx="36">
                  <c:v>-12585.718325039341</c:v>
                </c:pt>
                <c:pt idx="37">
                  <c:v>113366.96822962236</c:v>
                </c:pt>
                <c:pt idx="38">
                  <c:v>-76794.348573520998</c:v>
                </c:pt>
                <c:pt idx="39">
                  <c:v>-14268.148300260336</c:v>
                </c:pt>
                <c:pt idx="40">
                  <c:v>-28540.567124668323</c:v>
                </c:pt>
                <c:pt idx="41">
                  <c:v>-54808.507586455329</c:v>
                </c:pt>
                <c:pt idx="42">
                  <c:v>-8759.4446354456559</c:v>
                </c:pt>
                <c:pt idx="43">
                  <c:v>91624.394135541341</c:v>
                </c:pt>
                <c:pt idx="44">
                  <c:v>35194.509288272668</c:v>
                </c:pt>
                <c:pt idx="45">
                  <c:v>-56214.263769162324</c:v>
                </c:pt>
                <c:pt idx="46">
                  <c:v>11474.717494144012</c:v>
                </c:pt>
                <c:pt idx="47">
                  <c:v>-53057.505223191656</c:v>
                </c:pt>
                <c:pt idx="48">
                  <c:v>-100421.77959181883</c:v>
                </c:pt>
                <c:pt idx="49">
                  <c:v>-86930.599183638013</c:v>
                </c:pt>
                <c:pt idx="50">
                  <c:v>-55689.194402820336</c:v>
                </c:pt>
                <c:pt idx="51">
                  <c:v>2534.5711943589927</c:v>
                </c:pt>
                <c:pt idx="52">
                  <c:v>-92806.693092781163</c:v>
                </c:pt>
                <c:pt idx="53">
                  <c:v>-70756.730775657008</c:v>
                </c:pt>
                <c:pt idx="54">
                  <c:v>-75535.325962566683</c:v>
                </c:pt>
                <c:pt idx="55">
                  <c:v>-37157.691925133673</c:v>
                </c:pt>
                <c:pt idx="56">
                  <c:v>-67639.215583963</c:v>
                </c:pt>
                <c:pt idx="57">
                  <c:v>-21365.471167925993</c:v>
                </c:pt>
                <c:pt idx="58">
                  <c:v>-60988.505646088997</c:v>
                </c:pt>
                <c:pt idx="59">
                  <c:v>-8064.0512921783293</c:v>
                </c:pt>
                <c:pt idx="60">
                  <c:v>-93440.972592324906</c:v>
                </c:pt>
                <c:pt idx="61">
                  <c:v>-72968.985184650344</c:v>
                </c:pt>
                <c:pt idx="62">
                  <c:v>-48531.788006816008</c:v>
                </c:pt>
                <c:pt idx="63">
                  <c:v>17512.671483659</c:v>
                </c:pt>
                <c:pt idx="64">
                  <c:v>3147.4124362938105</c:v>
                </c:pt>
                <c:pt idx="65">
                  <c:v>104082.43024701401</c:v>
                </c:pt>
                <c:pt idx="66">
                  <c:v>21413.211583599186</c:v>
                </c:pt>
                <c:pt idx="67">
                  <c:v>107766.12476545598</c:v>
                </c:pt>
                <c:pt idx="68">
                  <c:v>14202.201801214218</c:v>
                </c:pt>
                <c:pt idx="69">
                  <c:v>95074.669422050007</c:v>
                </c:pt>
                <c:pt idx="70">
                  <c:v>-17389.254360819607</c:v>
                </c:pt>
                <c:pt idx="71">
                  <c:v>207156.07148776003</c:v>
                </c:pt>
                <c:pt idx="72">
                  <c:v>2745.1410308701916</c:v>
                </c:pt>
                <c:pt idx="73">
                  <c:v>173575.523852254</c:v>
                </c:pt>
                <c:pt idx="74">
                  <c:v>48932.969492236007</c:v>
                </c:pt>
                <c:pt idx="75">
                  <c:v>74905.202256058008</c:v>
                </c:pt>
                <c:pt idx="76">
                  <c:v>-7769.870981095396</c:v>
                </c:pt>
                <c:pt idx="77">
                  <c:v>61336.844962808005</c:v>
                </c:pt>
                <c:pt idx="78">
                  <c:v>-1570.2146754170024</c:v>
                </c:pt>
                <c:pt idx="79">
                  <c:v>245947.86579205998</c:v>
                </c:pt>
                <c:pt idx="80">
                  <c:v>73353.001764003609</c:v>
                </c:pt>
                <c:pt idx="81">
                  <c:v>117729.9982370902</c:v>
                </c:pt>
                <c:pt idx="82">
                  <c:v>37772.595744155202</c:v>
                </c:pt>
                <c:pt idx="83">
                  <c:v>80675.382571448587</c:v>
                </c:pt>
                <c:pt idx="84">
                  <c:v>-12211.425198512803</c:v>
                </c:pt>
                <c:pt idx="85">
                  <c:v>95040.15182008018</c:v>
                </c:pt>
                <c:pt idx="86">
                  <c:v>69526.981209085192</c:v>
                </c:pt>
                <c:pt idx="87">
                  <c:v>110979.52573255422</c:v>
                </c:pt>
                <c:pt idx="88">
                  <c:v>61444.698611238207</c:v>
                </c:pt>
                <c:pt idx="89">
                  <c:v>272132.96535071224</c:v>
                </c:pt>
                <c:pt idx="90">
                  <c:v>63344.628766662201</c:v>
                </c:pt>
                <c:pt idx="91">
                  <c:v>108650.5178503522</c:v>
                </c:pt>
                <c:pt idx="92">
                  <c:v>74174.17814386962</c:v>
                </c:pt>
                <c:pt idx="93">
                  <c:v>76816.491146389817</c:v>
                </c:pt>
                <c:pt idx="94">
                  <c:v>-13040.38709186999</c:v>
                </c:pt>
                <c:pt idx="95">
                  <c:v>37392.870986359398</c:v>
                </c:pt>
                <c:pt idx="96">
                  <c:v>70656.678052764008</c:v>
                </c:pt>
                <c:pt idx="97">
                  <c:v>308569.26610552997</c:v>
                </c:pt>
                <c:pt idx="98">
                  <c:v>277891.57448968798</c:v>
                </c:pt>
                <c:pt idx="99">
                  <c:v>723039.05897937599</c:v>
                </c:pt>
                <c:pt idx="100">
                  <c:v>46591.970453508009</c:v>
                </c:pt>
                <c:pt idx="101">
                  <c:v>260439.85090701602</c:v>
                </c:pt>
                <c:pt idx="102">
                  <c:v>275683.15296303004</c:v>
                </c:pt>
                <c:pt idx="103">
                  <c:v>718622.2159260601</c:v>
                </c:pt>
                <c:pt idx="104">
                  <c:v>84107.843134369978</c:v>
                </c:pt>
                <c:pt idx="105">
                  <c:v>335471.596268742</c:v>
                </c:pt>
                <c:pt idx="106">
                  <c:v>272794.08971480397</c:v>
                </c:pt>
                <c:pt idx="107">
                  <c:v>712844.08942960796</c:v>
                </c:pt>
                <c:pt idx="108">
                  <c:v>173539.92845015801</c:v>
                </c:pt>
                <c:pt idx="109">
                  <c:v>435153.43043029401</c:v>
                </c:pt>
                <c:pt idx="110">
                  <c:v>223676.30328500201</c:v>
                </c:pt>
                <c:pt idx="111">
                  <c:v>614608.51657000592</c:v>
                </c:pt>
                <c:pt idx="112">
                  <c:v>58852.570172692394</c:v>
                </c:pt>
                <c:pt idx="113">
                  <c:v>231618.10034538424</c:v>
                </c:pt>
                <c:pt idx="114">
                  <c:v>137682.62007734619</c:v>
                </c:pt>
                <c:pt idx="115">
                  <c:v>389278.20015469223</c:v>
                </c:pt>
                <c:pt idx="116">
                  <c:v>-42296.808799254199</c:v>
                </c:pt>
                <c:pt idx="117">
                  <c:v>29319.342401491595</c:v>
                </c:pt>
                <c:pt idx="118">
                  <c:v>133993.14110014023</c:v>
                </c:pt>
                <c:pt idx="119">
                  <c:v>381899.24220028223</c:v>
                </c:pt>
                <c:pt idx="120">
                  <c:v>55317.719544699998</c:v>
                </c:pt>
                <c:pt idx="121">
                  <c:v>224548.39908939824</c:v>
                </c:pt>
                <c:pt idx="122">
                  <c:v>137682.62007734619</c:v>
                </c:pt>
                <c:pt idx="123">
                  <c:v>389278.20015469223</c:v>
                </c:pt>
                <c:pt idx="124">
                  <c:v>33827.729311917603</c:v>
                </c:pt>
                <c:pt idx="125">
                  <c:v>181568.41862383421</c:v>
                </c:pt>
                <c:pt idx="126">
                  <c:v>131444.89128883817</c:v>
                </c:pt>
                <c:pt idx="127">
                  <c:v>376802.7425776762</c:v>
                </c:pt>
                <c:pt idx="128">
                  <c:v>1519.9625762723385</c:v>
                </c:pt>
                <c:pt idx="129">
                  <c:v>170295.83515254335</c:v>
                </c:pt>
                <c:pt idx="130">
                  <c:v>8861.514786515354</c:v>
                </c:pt>
                <c:pt idx="131">
                  <c:v>184978.93957303002</c:v>
                </c:pt>
                <c:pt idx="132">
                  <c:v>-57586.197020360996</c:v>
                </c:pt>
                <c:pt idx="133">
                  <c:v>52083.515959277996</c:v>
                </c:pt>
                <c:pt idx="134">
                  <c:v>2694.5876022950124</c:v>
                </c:pt>
                <c:pt idx="135">
                  <c:v>172645.08520459002</c:v>
                </c:pt>
                <c:pt idx="136">
                  <c:v>-117154.40247099567</c:v>
                </c:pt>
                <c:pt idx="137">
                  <c:v>-67052.894941991341</c:v>
                </c:pt>
                <c:pt idx="138">
                  <c:v>-93260.23868466467</c:v>
                </c:pt>
                <c:pt idx="139">
                  <c:v>-19264.567369328997</c:v>
                </c:pt>
                <c:pt idx="140">
                  <c:v>7177.0272834533516</c:v>
                </c:pt>
                <c:pt idx="141">
                  <c:v>181609.96456690671</c:v>
                </c:pt>
                <c:pt idx="142">
                  <c:v>6565.3741672053311</c:v>
                </c:pt>
                <c:pt idx="143">
                  <c:v>180386.65833441002</c:v>
                </c:pt>
                <c:pt idx="144">
                  <c:v>6694.6595319326652</c:v>
                </c:pt>
                <c:pt idx="145">
                  <c:v>127302.279063865</c:v>
                </c:pt>
                <c:pt idx="146">
                  <c:v>-44281.343193334331</c:v>
                </c:pt>
                <c:pt idx="147">
                  <c:v>25350.273613331326</c:v>
                </c:pt>
                <c:pt idx="148">
                  <c:v>-51997.932668204667</c:v>
                </c:pt>
                <c:pt idx="149">
                  <c:v>9917.0946635906585</c:v>
                </c:pt>
                <c:pt idx="150">
                  <c:v>-13779.039777803328</c:v>
                </c:pt>
                <c:pt idx="151">
                  <c:v>86354.880444393013</c:v>
                </c:pt>
                <c:pt idx="152">
                  <c:v>-50905.66680937833</c:v>
                </c:pt>
                <c:pt idx="153">
                  <c:v>12101.626381243004</c:v>
                </c:pt>
                <c:pt idx="154">
                  <c:v>-27881.257269566337</c:v>
                </c:pt>
                <c:pt idx="155">
                  <c:v>58150.445460866998</c:v>
                </c:pt>
                <c:pt idx="156">
                  <c:v>3958.7464016596632</c:v>
                </c:pt>
                <c:pt idx="157">
                  <c:v>121830.45280331933</c:v>
                </c:pt>
                <c:pt idx="158">
                  <c:v>-60263.564237621998</c:v>
                </c:pt>
                <c:pt idx="159">
                  <c:v>-6614.1684752440078</c:v>
                </c:pt>
                <c:pt idx="160">
                  <c:v>90226.553991773981</c:v>
                </c:pt>
                <c:pt idx="161">
                  <c:v>347709.01798354997</c:v>
                </c:pt>
                <c:pt idx="162">
                  <c:v>22011.664140981211</c:v>
                </c:pt>
                <c:pt idx="163">
                  <c:v>211279.23828196197</c:v>
                </c:pt>
                <c:pt idx="164">
                  <c:v>3331.9738858627902</c:v>
                </c:pt>
                <c:pt idx="165">
                  <c:v>173919.85777172403</c:v>
                </c:pt>
                <c:pt idx="166">
                  <c:v>-5137.2394010099952</c:v>
                </c:pt>
                <c:pt idx="167">
                  <c:v>156981.43119798001</c:v>
                </c:pt>
                <c:pt idx="168">
                  <c:v>91568.057756798007</c:v>
                </c:pt>
                <c:pt idx="169">
                  <c:v>350392.025513598</c:v>
                </c:pt>
                <c:pt idx="170">
                  <c:v>12947.283802977614</c:v>
                </c:pt>
                <c:pt idx="171">
                  <c:v>193150.47760595405</c:v>
                </c:pt>
                <c:pt idx="172">
                  <c:v>36795.095454358008</c:v>
                </c:pt>
                <c:pt idx="173">
                  <c:v>240846.10090871804</c:v>
                </c:pt>
                <c:pt idx="174">
                  <c:v>3259.491000000015</c:v>
                </c:pt>
                <c:pt idx="175">
                  <c:v>173774.89200000002</c:v>
                </c:pt>
                <c:pt idx="176">
                  <c:v>58101.662013411616</c:v>
                </c:pt>
                <c:pt idx="177">
                  <c:v>230116.28402682222</c:v>
                </c:pt>
                <c:pt idx="178">
                  <c:v>20689.876995200197</c:v>
                </c:pt>
                <c:pt idx="179">
                  <c:v>155292.7139904002</c:v>
                </c:pt>
                <c:pt idx="180">
                  <c:v>35117.1735144872</c:v>
                </c:pt>
                <c:pt idx="181">
                  <c:v>184147.30702897423</c:v>
                </c:pt>
                <c:pt idx="182">
                  <c:v>10552.243569325805</c:v>
                </c:pt>
                <c:pt idx="183">
                  <c:v>135017.44713865023</c:v>
                </c:pt>
                <c:pt idx="184">
                  <c:v>3666.5279398841972</c:v>
                </c:pt>
                <c:pt idx="185">
                  <c:v>121246.01587976819</c:v>
                </c:pt>
                <c:pt idx="186">
                  <c:v>15103.794296997208</c:v>
                </c:pt>
                <c:pt idx="187">
                  <c:v>144120.5485939942</c:v>
                </c:pt>
                <c:pt idx="188">
                  <c:v>7931.9739484970087</c:v>
                </c:pt>
                <c:pt idx="189">
                  <c:v>129776.90789699221</c:v>
                </c:pt>
                <c:pt idx="190">
                  <c:v>8346.9604700552118</c:v>
                </c:pt>
                <c:pt idx="191">
                  <c:v>130606.88094011022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A9-6545-990C-237AFE0F1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345023"/>
        <c:axId val="529335136"/>
      </c:lineChart>
      <c:catAx>
        <c:axId val="64834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29335136"/>
        <c:crosses val="autoZero"/>
        <c:auto val="1"/>
        <c:lblAlgn val="ctr"/>
        <c:lblOffset val="100"/>
        <c:noMultiLvlLbl val="0"/>
      </c:catAx>
      <c:valAx>
        <c:axId val="52933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64834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Native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'Removed 15'!$K$1</c:f>
              <c:strCache>
                <c:ptCount val="1"/>
                <c:pt idx="0">
                  <c:v>Seedling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'Removed 15'!$K$2:$K$193</c:f>
              <c:numCache>
                <c:formatCode>General</c:formatCode>
                <c:ptCount val="192"/>
                <c:pt idx="0">
                  <c:v>56130</c:v>
                </c:pt>
                <c:pt idx="1">
                  <c:v>76141</c:v>
                </c:pt>
                <c:pt idx="2">
                  <c:v>60779</c:v>
                </c:pt>
                <c:pt idx="3">
                  <c:v>83744</c:v>
                </c:pt>
                <c:pt idx="4">
                  <c:v>55624</c:v>
                </c:pt>
                <c:pt idx="5">
                  <c:v>75087</c:v>
                </c:pt>
                <c:pt idx="6">
                  <c:v>65860</c:v>
                </c:pt>
                <c:pt idx="7">
                  <c:v>83862</c:v>
                </c:pt>
                <c:pt idx="8">
                  <c:v>54206</c:v>
                </c:pt>
                <c:pt idx="9">
                  <c:v>73479</c:v>
                </c:pt>
                <c:pt idx="10">
                  <c:v>59890</c:v>
                </c:pt>
                <c:pt idx="11">
                  <c:v>82329</c:v>
                </c:pt>
                <c:pt idx="12">
                  <c:v>53401</c:v>
                </c:pt>
                <c:pt idx="13">
                  <c:v>76269</c:v>
                </c:pt>
                <c:pt idx="14">
                  <c:v>61037</c:v>
                </c:pt>
                <c:pt idx="15">
                  <c:v>80557</c:v>
                </c:pt>
                <c:pt idx="16">
                  <c:v>68759</c:v>
                </c:pt>
                <c:pt idx="17">
                  <c:v>68786</c:v>
                </c:pt>
                <c:pt idx="18">
                  <c:v>74846</c:v>
                </c:pt>
                <c:pt idx="19">
                  <c:v>74846</c:v>
                </c:pt>
                <c:pt idx="20">
                  <c:v>68038</c:v>
                </c:pt>
                <c:pt idx="21">
                  <c:v>68038</c:v>
                </c:pt>
                <c:pt idx="22">
                  <c:v>74238</c:v>
                </c:pt>
                <c:pt idx="23">
                  <c:v>74238</c:v>
                </c:pt>
                <c:pt idx="24">
                  <c:v>68125</c:v>
                </c:pt>
                <c:pt idx="25">
                  <c:v>68125</c:v>
                </c:pt>
                <c:pt idx="26">
                  <c:v>74170</c:v>
                </c:pt>
                <c:pt idx="27">
                  <c:v>74170</c:v>
                </c:pt>
                <c:pt idx="28">
                  <c:v>66709</c:v>
                </c:pt>
                <c:pt idx="29">
                  <c:v>66709</c:v>
                </c:pt>
                <c:pt idx="30">
                  <c:v>73979</c:v>
                </c:pt>
                <c:pt idx="31">
                  <c:v>73979</c:v>
                </c:pt>
                <c:pt idx="32">
                  <c:v>89229</c:v>
                </c:pt>
                <c:pt idx="33">
                  <c:v>80000</c:v>
                </c:pt>
                <c:pt idx="34">
                  <c:v>88811</c:v>
                </c:pt>
                <c:pt idx="35">
                  <c:v>88241</c:v>
                </c:pt>
                <c:pt idx="36">
                  <c:v>89114</c:v>
                </c:pt>
                <c:pt idx="37">
                  <c:v>80515</c:v>
                </c:pt>
                <c:pt idx="38">
                  <c:v>87494</c:v>
                </c:pt>
                <c:pt idx="39">
                  <c:v>88557</c:v>
                </c:pt>
                <c:pt idx="40">
                  <c:v>71868</c:v>
                </c:pt>
                <c:pt idx="41">
                  <c:v>88102</c:v>
                </c:pt>
                <c:pt idx="42">
                  <c:v>88139</c:v>
                </c:pt>
                <c:pt idx="43">
                  <c:v>74854</c:v>
                </c:pt>
                <c:pt idx="44">
                  <c:v>80714</c:v>
                </c:pt>
                <c:pt idx="45">
                  <c:v>62223</c:v>
                </c:pt>
                <c:pt idx="46">
                  <c:v>88121</c:v>
                </c:pt>
                <c:pt idx="47">
                  <c:v>86875</c:v>
                </c:pt>
                <c:pt idx="48">
                  <c:v>57569</c:v>
                </c:pt>
                <c:pt idx="49">
                  <c:v>57569</c:v>
                </c:pt>
                <c:pt idx="50">
                  <c:v>72622</c:v>
                </c:pt>
                <c:pt idx="51">
                  <c:v>72622</c:v>
                </c:pt>
                <c:pt idx="52">
                  <c:v>79262</c:v>
                </c:pt>
                <c:pt idx="53">
                  <c:v>57001</c:v>
                </c:pt>
                <c:pt idx="54">
                  <c:v>78106</c:v>
                </c:pt>
                <c:pt idx="55">
                  <c:v>78106</c:v>
                </c:pt>
                <c:pt idx="56">
                  <c:v>61182</c:v>
                </c:pt>
                <c:pt idx="57">
                  <c:v>61182</c:v>
                </c:pt>
                <c:pt idx="58">
                  <c:v>60719</c:v>
                </c:pt>
                <c:pt idx="59">
                  <c:v>60719</c:v>
                </c:pt>
                <c:pt idx="60">
                  <c:v>76490</c:v>
                </c:pt>
                <c:pt idx="61">
                  <c:v>76490</c:v>
                </c:pt>
                <c:pt idx="62">
                  <c:v>78479</c:v>
                </c:pt>
                <c:pt idx="63">
                  <c:v>78968</c:v>
                </c:pt>
                <c:pt idx="64">
                  <c:v>82708</c:v>
                </c:pt>
                <c:pt idx="65">
                  <c:v>68639</c:v>
                </c:pt>
                <c:pt idx="66">
                  <c:v>67439</c:v>
                </c:pt>
                <c:pt idx="67">
                  <c:v>66785</c:v>
                </c:pt>
                <c:pt idx="68">
                  <c:v>77744</c:v>
                </c:pt>
                <c:pt idx="69">
                  <c:v>75199</c:v>
                </c:pt>
                <c:pt idx="70">
                  <c:v>67236</c:v>
                </c:pt>
                <c:pt idx="71">
                  <c:v>71096</c:v>
                </c:pt>
                <c:pt idx="72">
                  <c:v>82139</c:v>
                </c:pt>
                <c:pt idx="73">
                  <c:v>66747</c:v>
                </c:pt>
                <c:pt idx="74">
                  <c:v>67249</c:v>
                </c:pt>
                <c:pt idx="75">
                  <c:v>66437</c:v>
                </c:pt>
                <c:pt idx="76">
                  <c:v>66922</c:v>
                </c:pt>
                <c:pt idx="77">
                  <c:v>66327</c:v>
                </c:pt>
                <c:pt idx="78">
                  <c:v>67405</c:v>
                </c:pt>
                <c:pt idx="79">
                  <c:v>76775</c:v>
                </c:pt>
                <c:pt idx="80">
                  <c:v>61467</c:v>
                </c:pt>
                <c:pt idx="81">
                  <c:v>74848</c:v>
                </c:pt>
                <c:pt idx="82">
                  <c:v>60887</c:v>
                </c:pt>
                <c:pt idx="83">
                  <c:v>59751</c:v>
                </c:pt>
                <c:pt idx="84">
                  <c:v>61509</c:v>
                </c:pt>
                <c:pt idx="85">
                  <c:v>74506</c:v>
                </c:pt>
                <c:pt idx="86">
                  <c:v>64036</c:v>
                </c:pt>
                <c:pt idx="87">
                  <c:v>69409</c:v>
                </c:pt>
                <c:pt idx="88">
                  <c:v>66272</c:v>
                </c:pt>
                <c:pt idx="89">
                  <c:v>75411</c:v>
                </c:pt>
                <c:pt idx="90">
                  <c:v>63932</c:v>
                </c:pt>
                <c:pt idx="91">
                  <c:v>74530</c:v>
                </c:pt>
                <c:pt idx="92">
                  <c:v>60644</c:v>
                </c:pt>
                <c:pt idx="93">
                  <c:v>61391</c:v>
                </c:pt>
                <c:pt idx="94">
                  <c:v>60364</c:v>
                </c:pt>
                <c:pt idx="95">
                  <c:v>59639</c:v>
                </c:pt>
                <c:pt idx="96">
                  <c:v>73201</c:v>
                </c:pt>
                <c:pt idx="97">
                  <c:v>72883</c:v>
                </c:pt>
                <c:pt idx="98">
                  <c:v>82438</c:v>
                </c:pt>
                <c:pt idx="99">
                  <c:v>82438</c:v>
                </c:pt>
                <c:pt idx="100">
                  <c:v>73241</c:v>
                </c:pt>
                <c:pt idx="101">
                  <c:v>73241</c:v>
                </c:pt>
                <c:pt idx="102">
                  <c:v>82157</c:v>
                </c:pt>
                <c:pt idx="103">
                  <c:v>82157</c:v>
                </c:pt>
                <c:pt idx="104">
                  <c:v>69221</c:v>
                </c:pt>
                <c:pt idx="105">
                  <c:v>69221</c:v>
                </c:pt>
                <c:pt idx="106">
                  <c:v>80866</c:v>
                </c:pt>
                <c:pt idx="107">
                  <c:v>80866</c:v>
                </c:pt>
                <c:pt idx="108">
                  <c:v>73598</c:v>
                </c:pt>
                <c:pt idx="109">
                  <c:v>72017</c:v>
                </c:pt>
                <c:pt idx="110">
                  <c:v>81324</c:v>
                </c:pt>
                <c:pt idx="111">
                  <c:v>81324</c:v>
                </c:pt>
                <c:pt idx="112">
                  <c:v>68591</c:v>
                </c:pt>
                <c:pt idx="113">
                  <c:v>68591</c:v>
                </c:pt>
                <c:pt idx="114">
                  <c:v>74751</c:v>
                </c:pt>
                <c:pt idx="115">
                  <c:v>74751</c:v>
                </c:pt>
                <c:pt idx="116">
                  <c:v>68404</c:v>
                </c:pt>
                <c:pt idx="117">
                  <c:v>68404</c:v>
                </c:pt>
                <c:pt idx="118">
                  <c:v>73728</c:v>
                </c:pt>
                <c:pt idx="119">
                  <c:v>73728</c:v>
                </c:pt>
                <c:pt idx="120">
                  <c:v>68545</c:v>
                </c:pt>
                <c:pt idx="121">
                  <c:v>68545</c:v>
                </c:pt>
                <c:pt idx="122">
                  <c:v>74527</c:v>
                </c:pt>
                <c:pt idx="123">
                  <c:v>74527</c:v>
                </c:pt>
                <c:pt idx="124">
                  <c:v>68637</c:v>
                </c:pt>
                <c:pt idx="125">
                  <c:v>68637</c:v>
                </c:pt>
                <c:pt idx="126">
                  <c:v>73081</c:v>
                </c:pt>
                <c:pt idx="127">
                  <c:v>73081</c:v>
                </c:pt>
                <c:pt idx="128">
                  <c:v>81327</c:v>
                </c:pt>
                <c:pt idx="129">
                  <c:v>81327</c:v>
                </c:pt>
                <c:pt idx="130">
                  <c:v>88465</c:v>
                </c:pt>
                <c:pt idx="131">
                  <c:v>88465</c:v>
                </c:pt>
                <c:pt idx="132">
                  <c:v>88664</c:v>
                </c:pt>
                <c:pt idx="133">
                  <c:v>88664</c:v>
                </c:pt>
                <c:pt idx="134">
                  <c:v>88564</c:v>
                </c:pt>
                <c:pt idx="135">
                  <c:v>88564</c:v>
                </c:pt>
                <c:pt idx="136">
                  <c:v>75689</c:v>
                </c:pt>
                <c:pt idx="137">
                  <c:v>75689</c:v>
                </c:pt>
                <c:pt idx="138">
                  <c:v>71129</c:v>
                </c:pt>
                <c:pt idx="139">
                  <c:v>71129</c:v>
                </c:pt>
                <c:pt idx="140">
                  <c:v>81223</c:v>
                </c:pt>
                <c:pt idx="141">
                  <c:v>81223</c:v>
                </c:pt>
                <c:pt idx="142">
                  <c:v>80104</c:v>
                </c:pt>
                <c:pt idx="143">
                  <c:v>80104</c:v>
                </c:pt>
                <c:pt idx="144">
                  <c:v>79342</c:v>
                </c:pt>
                <c:pt idx="145">
                  <c:v>79342</c:v>
                </c:pt>
                <c:pt idx="146">
                  <c:v>78999</c:v>
                </c:pt>
                <c:pt idx="147">
                  <c:v>78999</c:v>
                </c:pt>
                <c:pt idx="148">
                  <c:v>65293</c:v>
                </c:pt>
                <c:pt idx="149">
                  <c:v>65293</c:v>
                </c:pt>
                <c:pt idx="150">
                  <c:v>72618</c:v>
                </c:pt>
                <c:pt idx="151">
                  <c:v>72618</c:v>
                </c:pt>
                <c:pt idx="152">
                  <c:v>73023</c:v>
                </c:pt>
                <c:pt idx="153">
                  <c:v>73023</c:v>
                </c:pt>
                <c:pt idx="154">
                  <c:v>78488</c:v>
                </c:pt>
                <c:pt idx="155">
                  <c:v>78488</c:v>
                </c:pt>
                <c:pt idx="156">
                  <c:v>72850</c:v>
                </c:pt>
                <c:pt idx="157">
                  <c:v>72850</c:v>
                </c:pt>
                <c:pt idx="158">
                  <c:v>78079</c:v>
                </c:pt>
                <c:pt idx="159">
                  <c:v>78079</c:v>
                </c:pt>
                <c:pt idx="160">
                  <c:v>67006</c:v>
                </c:pt>
                <c:pt idx="161">
                  <c:v>67006</c:v>
                </c:pt>
                <c:pt idx="162">
                  <c:v>67350</c:v>
                </c:pt>
                <c:pt idx="163">
                  <c:v>67350</c:v>
                </c:pt>
                <c:pt idx="164">
                  <c:v>83402</c:v>
                </c:pt>
                <c:pt idx="165">
                  <c:v>83402</c:v>
                </c:pt>
                <c:pt idx="166">
                  <c:v>66978</c:v>
                </c:pt>
                <c:pt idx="167">
                  <c:v>66978</c:v>
                </c:pt>
                <c:pt idx="168">
                  <c:v>66420</c:v>
                </c:pt>
                <c:pt idx="169">
                  <c:v>66420</c:v>
                </c:pt>
                <c:pt idx="170">
                  <c:v>67502</c:v>
                </c:pt>
                <c:pt idx="171">
                  <c:v>67502</c:v>
                </c:pt>
                <c:pt idx="172">
                  <c:v>68681</c:v>
                </c:pt>
                <c:pt idx="173">
                  <c:v>68681</c:v>
                </c:pt>
                <c:pt idx="174">
                  <c:v>66989</c:v>
                </c:pt>
                <c:pt idx="175">
                  <c:v>66989</c:v>
                </c:pt>
                <c:pt idx="176">
                  <c:v>59838</c:v>
                </c:pt>
                <c:pt idx="177">
                  <c:v>59838</c:v>
                </c:pt>
                <c:pt idx="178">
                  <c:v>59275</c:v>
                </c:pt>
                <c:pt idx="179">
                  <c:v>59275</c:v>
                </c:pt>
                <c:pt idx="180">
                  <c:v>69441</c:v>
                </c:pt>
                <c:pt idx="181">
                  <c:v>69441</c:v>
                </c:pt>
                <c:pt idx="182">
                  <c:v>60267</c:v>
                </c:pt>
                <c:pt idx="183">
                  <c:v>60267</c:v>
                </c:pt>
                <c:pt idx="184">
                  <c:v>60676</c:v>
                </c:pt>
                <c:pt idx="185">
                  <c:v>60676</c:v>
                </c:pt>
                <c:pt idx="186">
                  <c:v>63860</c:v>
                </c:pt>
                <c:pt idx="187">
                  <c:v>63860</c:v>
                </c:pt>
                <c:pt idx="188">
                  <c:v>66390</c:v>
                </c:pt>
                <c:pt idx="189">
                  <c:v>66390</c:v>
                </c:pt>
                <c:pt idx="190">
                  <c:v>59578</c:v>
                </c:pt>
                <c:pt idx="191">
                  <c:v>59578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47-D44E-9B56-622DAD78DFA2}"/>
            </c:ext>
          </c:extLst>
        </c:ser>
        <c:ser>
          <c:idx val="1"/>
          <c:order val="1"/>
          <c:tx>
            <c:strRef>
              <c:f>'Removed 15'!$L$1</c:f>
              <c:strCache>
                <c:ptCount val="1"/>
                <c:pt idx="0">
                  <c:v>Sapling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'Removed 15'!$L$2:$L$193</c:f>
              <c:numCache>
                <c:formatCode>General</c:formatCode>
                <c:ptCount val="192"/>
                <c:pt idx="0">
                  <c:v>96236</c:v>
                </c:pt>
                <c:pt idx="1">
                  <c:v>84920</c:v>
                </c:pt>
                <c:pt idx="2">
                  <c:v>96973</c:v>
                </c:pt>
                <c:pt idx="3">
                  <c:v>84954</c:v>
                </c:pt>
                <c:pt idx="4">
                  <c:v>93590</c:v>
                </c:pt>
                <c:pt idx="5">
                  <c:v>85301</c:v>
                </c:pt>
                <c:pt idx="6">
                  <c:v>96265</c:v>
                </c:pt>
                <c:pt idx="7">
                  <c:v>85144</c:v>
                </c:pt>
                <c:pt idx="8">
                  <c:v>92569</c:v>
                </c:pt>
                <c:pt idx="9">
                  <c:v>80058</c:v>
                </c:pt>
                <c:pt idx="10">
                  <c:v>94866</c:v>
                </c:pt>
                <c:pt idx="11">
                  <c:v>83864</c:v>
                </c:pt>
                <c:pt idx="12">
                  <c:v>90211</c:v>
                </c:pt>
                <c:pt idx="13">
                  <c:v>82452</c:v>
                </c:pt>
                <c:pt idx="14">
                  <c:v>95544</c:v>
                </c:pt>
                <c:pt idx="15">
                  <c:v>82953</c:v>
                </c:pt>
                <c:pt idx="16">
                  <c:v>56477</c:v>
                </c:pt>
                <c:pt idx="17">
                  <c:v>56490</c:v>
                </c:pt>
                <c:pt idx="18">
                  <c:v>54690</c:v>
                </c:pt>
                <c:pt idx="19">
                  <c:v>54690</c:v>
                </c:pt>
                <c:pt idx="20">
                  <c:v>54070</c:v>
                </c:pt>
                <c:pt idx="21">
                  <c:v>54070</c:v>
                </c:pt>
                <c:pt idx="22">
                  <c:v>55670</c:v>
                </c:pt>
                <c:pt idx="23">
                  <c:v>55670</c:v>
                </c:pt>
                <c:pt idx="24">
                  <c:v>55110</c:v>
                </c:pt>
                <c:pt idx="25">
                  <c:v>55110</c:v>
                </c:pt>
                <c:pt idx="26">
                  <c:v>55164</c:v>
                </c:pt>
                <c:pt idx="27">
                  <c:v>55164</c:v>
                </c:pt>
                <c:pt idx="28">
                  <c:v>56831</c:v>
                </c:pt>
                <c:pt idx="29">
                  <c:v>56831</c:v>
                </c:pt>
                <c:pt idx="30">
                  <c:v>55194</c:v>
                </c:pt>
                <c:pt idx="31">
                  <c:v>55194</c:v>
                </c:pt>
                <c:pt idx="32">
                  <c:v>96079</c:v>
                </c:pt>
                <c:pt idx="33">
                  <c:v>96000</c:v>
                </c:pt>
                <c:pt idx="34">
                  <c:v>94249</c:v>
                </c:pt>
                <c:pt idx="35">
                  <c:v>93888</c:v>
                </c:pt>
                <c:pt idx="36">
                  <c:v>95975</c:v>
                </c:pt>
                <c:pt idx="37">
                  <c:v>96386</c:v>
                </c:pt>
                <c:pt idx="38">
                  <c:v>92499</c:v>
                </c:pt>
                <c:pt idx="39">
                  <c:v>94129</c:v>
                </c:pt>
                <c:pt idx="40">
                  <c:v>97763</c:v>
                </c:pt>
                <c:pt idx="41">
                  <c:v>94813</c:v>
                </c:pt>
                <c:pt idx="42">
                  <c:v>94040</c:v>
                </c:pt>
                <c:pt idx="43">
                  <c:v>99760</c:v>
                </c:pt>
                <c:pt idx="44">
                  <c:v>96731</c:v>
                </c:pt>
                <c:pt idx="45">
                  <c:v>97820</c:v>
                </c:pt>
                <c:pt idx="46">
                  <c:v>93117</c:v>
                </c:pt>
                <c:pt idx="47">
                  <c:v>92473</c:v>
                </c:pt>
                <c:pt idx="48">
                  <c:v>65544</c:v>
                </c:pt>
                <c:pt idx="49">
                  <c:v>65544</c:v>
                </c:pt>
                <c:pt idx="50">
                  <c:v>62729</c:v>
                </c:pt>
                <c:pt idx="51">
                  <c:v>62729</c:v>
                </c:pt>
                <c:pt idx="52">
                  <c:v>62287</c:v>
                </c:pt>
                <c:pt idx="53">
                  <c:v>64061</c:v>
                </c:pt>
                <c:pt idx="54">
                  <c:v>61290</c:v>
                </c:pt>
                <c:pt idx="55">
                  <c:v>61290</c:v>
                </c:pt>
                <c:pt idx="56">
                  <c:v>73079</c:v>
                </c:pt>
                <c:pt idx="57">
                  <c:v>73079</c:v>
                </c:pt>
                <c:pt idx="58">
                  <c:v>72271</c:v>
                </c:pt>
                <c:pt idx="59">
                  <c:v>72271</c:v>
                </c:pt>
                <c:pt idx="60">
                  <c:v>62100</c:v>
                </c:pt>
                <c:pt idx="61">
                  <c:v>62100</c:v>
                </c:pt>
                <c:pt idx="62">
                  <c:v>62272</c:v>
                </c:pt>
                <c:pt idx="63">
                  <c:v>62041</c:v>
                </c:pt>
                <c:pt idx="64">
                  <c:v>104926</c:v>
                </c:pt>
                <c:pt idx="65">
                  <c:v>112946</c:v>
                </c:pt>
                <c:pt idx="66">
                  <c:v>109826</c:v>
                </c:pt>
                <c:pt idx="67">
                  <c:v>108647</c:v>
                </c:pt>
                <c:pt idx="68">
                  <c:v>112457</c:v>
                </c:pt>
                <c:pt idx="69">
                  <c:v>108158</c:v>
                </c:pt>
                <c:pt idx="70">
                  <c:v>109326</c:v>
                </c:pt>
                <c:pt idx="71">
                  <c:v>108959</c:v>
                </c:pt>
                <c:pt idx="72">
                  <c:v>104046</c:v>
                </c:pt>
                <c:pt idx="73">
                  <c:v>109939</c:v>
                </c:pt>
                <c:pt idx="74">
                  <c:v>109430</c:v>
                </c:pt>
                <c:pt idx="75">
                  <c:v>108611</c:v>
                </c:pt>
                <c:pt idx="76">
                  <c:v>110482</c:v>
                </c:pt>
                <c:pt idx="77">
                  <c:v>108557</c:v>
                </c:pt>
                <c:pt idx="78">
                  <c:v>109488</c:v>
                </c:pt>
                <c:pt idx="79">
                  <c:v>105230</c:v>
                </c:pt>
                <c:pt idx="80">
                  <c:v>81817</c:v>
                </c:pt>
                <c:pt idx="81">
                  <c:v>73523</c:v>
                </c:pt>
                <c:pt idx="82">
                  <c:v>81180</c:v>
                </c:pt>
                <c:pt idx="83">
                  <c:v>79643</c:v>
                </c:pt>
                <c:pt idx="84">
                  <c:v>81941</c:v>
                </c:pt>
                <c:pt idx="85">
                  <c:v>73280</c:v>
                </c:pt>
                <c:pt idx="86">
                  <c:v>80267</c:v>
                </c:pt>
                <c:pt idx="87">
                  <c:v>76043</c:v>
                </c:pt>
                <c:pt idx="88">
                  <c:v>79201</c:v>
                </c:pt>
                <c:pt idx="89">
                  <c:v>78498</c:v>
                </c:pt>
                <c:pt idx="90">
                  <c:v>80076</c:v>
                </c:pt>
                <c:pt idx="91">
                  <c:v>72657</c:v>
                </c:pt>
                <c:pt idx="92">
                  <c:v>81439</c:v>
                </c:pt>
                <c:pt idx="93">
                  <c:v>81723</c:v>
                </c:pt>
                <c:pt idx="94">
                  <c:v>80304</c:v>
                </c:pt>
                <c:pt idx="95">
                  <c:v>79327</c:v>
                </c:pt>
                <c:pt idx="96">
                  <c:v>80143</c:v>
                </c:pt>
                <c:pt idx="97">
                  <c:v>80273</c:v>
                </c:pt>
                <c:pt idx="98">
                  <c:v>84252</c:v>
                </c:pt>
                <c:pt idx="99">
                  <c:v>84252</c:v>
                </c:pt>
                <c:pt idx="100">
                  <c:v>79490</c:v>
                </c:pt>
                <c:pt idx="101">
                  <c:v>79490</c:v>
                </c:pt>
                <c:pt idx="102">
                  <c:v>84042</c:v>
                </c:pt>
                <c:pt idx="103">
                  <c:v>84042</c:v>
                </c:pt>
                <c:pt idx="104">
                  <c:v>79600</c:v>
                </c:pt>
                <c:pt idx="105">
                  <c:v>79600</c:v>
                </c:pt>
                <c:pt idx="106">
                  <c:v>83389</c:v>
                </c:pt>
                <c:pt idx="107">
                  <c:v>83389</c:v>
                </c:pt>
                <c:pt idx="108">
                  <c:v>82628</c:v>
                </c:pt>
                <c:pt idx="109">
                  <c:v>82169</c:v>
                </c:pt>
                <c:pt idx="110">
                  <c:v>83964</c:v>
                </c:pt>
                <c:pt idx="111">
                  <c:v>83964</c:v>
                </c:pt>
                <c:pt idx="112">
                  <c:v>54812</c:v>
                </c:pt>
                <c:pt idx="113">
                  <c:v>54812</c:v>
                </c:pt>
                <c:pt idx="114">
                  <c:v>54535</c:v>
                </c:pt>
                <c:pt idx="115">
                  <c:v>54535</c:v>
                </c:pt>
                <c:pt idx="116">
                  <c:v>55399</c:v>
                </c:pt>
                <c:pt idx="117">
                  <c:v>55399</c:v>
                </c:pt>
                <c:pt idx="118">
                  <c:v>54993</c:v>
                </c:pt>
                <c:pt idx="119">
                  <c:v>54993</c:v>
                </c:pt>
                <c:pt idx="120">
                  <c:v>55422</c:v>
                </c:pt>
                <c:pt idx="121">
                  <c:v>55422</c:v>
                </c:pt>
                <c:pt idx="122">
                  <c:v>55303</c:v>
                </c:pt>
                <c:pt idx="123">
                  <c:v>55303</c:v>
                </c:pt>
                <c:pt idx="124">
                  <c:v>55486</c:v>
                </c:pt>
                <c:pt idx="125">
                  <c:v>55486</c:v>
                </c:pt>
                <c:pt idx="126">
                  <c:v>55052</c:v>
                </c:pt>
                <c:pt idx="127">
                  <c:v>55052</c:v>
                </c:pt>
                <c:pt idx="128">
                  <c:v>98501</c:v>
                </c:pt>
                <c:pt idx="129">
                  <c:v>98501</c:v>
                </c:pt>
                <c:pt idx="130">
                  <c:v>95056</c:v>
                </c:pt>
                <c:pt idx="131">
                  <c:v>95056</c:v>
                </c:pt>
                <c:pt idx="132">
                  <c:v>95601</c:v>
                </c:pt>
                <c:pt idx="133">
                  <c:v>95601</c:v>
                </c:pt>
                <c:pt idx="134">
                  <c:v>94855</c:v>
                </c:pt>
                <c:pt idx="135">
                  <c:v>94855</c:v>
                </c:pt>
                <c:pt idx="136">
                  <c:v>102882</c:v>
                </c:pt>
                <c:pt idx="137">
                  <c:v>102882</c:v>
                </c:pt>
                <c:pt idx="138">
                  <c:v>96016</c:v>
                </c:pt>
                <c:pt idx="139">
                  <c:v>96016</c:v>
                </c:pt>
                <c:pt idx="140">
                  <c:v>98125</c:v>
                </c:pt>
                <c:pt idx="141">
                  <c:v>98125</c:v>
                </c:pt>
                <c:pt idx="142">
                  <c:v>95472</c:v>
                </c:pt>
                <c:pt idx="143">
                  <c:v>95472</c:v>
                </c:pt>
                <c:pt idx="144">
                  <c:v>63193</c:v>
                </c:pt>
                <c:pt idx="145">
                  <c:v>63193</c:v>
                </c:pt>
                <c:pt idx="146">
                  <c:v>62472</c:v>
                </c:pt>
                <c:pt idx="147">
                  <c:v>62472</c:v>
                </c:pt>
                <c:pt idx="148">
                  <c:v>64413</c:v>
                </c:pt>
                <c:pt idx="149">
                  <c:v>64413</c:v>
                </c:pt>
                <c:pt idx="150">
                  <c:v>63025</c:v>
                </c:pt>
                <c:pt idx="151">
                  <c:v>63025</c:v>
                </c:pt>
                <c:pt idx="152">
                  <c:v>63762</c:v>
                </c:pt>
                <c:pt idx="153">
                  <c:v>63762</c:v>
                </c:pt>
                <c:pt idx="154">
                  <c:v>62320</c:v>
                </c:pt>
                <c:pt idx="155">
                  <c:v>62320</c:v>
                </c:pt>
                <c:pt idx="156">
                  <c:v>63740</c:v>
                </c:pt>
                <c:pt idx="157">
                  <c:v>63740</c:v>
                </c:pt>
                <c:pt idx="158">
                  <c:v>61582</c:v>
                </c:pt>
                <c:pt idx="159">
                  <c:v>61582</c:v>
                </c:pt>
                <c:pt idx="160">
                  <c:v>111432</c:v>
                </c:pt>
                <c:pt idx="161">
                  <c:v>111432</c:v>
                </c:pt>
                <c:pt idx="162">
                  <c:v>109926</c:v>
                </c:pt>
                <c:pt idx="163">
                  <c:v>109926</c:v>
                </c:pt>
                <c:pt idx="164">
                  <c:v>108018</c:v>
                </c:pt>
                <c:pt idx="165">
                  <c:v>108018</c:v>
                </c:pt>
                <c:pt idx="166">
                  <c:v>109790</c:v>
                </c:pt>
                <c:pt idx="167">
                  <c:v>109790</c:v>
                </c:pt>
                <c:pt idx="168">
                  <c:v>109883</c:v>
                </c:pt>
                <c:pt idx="169">
                  <c:v>109883</c:v>
                </c:pt>
                <c:pt idx="170">
                  <c:v>110161</c:v>
                </c:pt>
                <c:pt idx="171">
                  <c:v>110161</c:v>
                </c:pt>
                <c:pt idx="172">
                  <c:v>113474</c:v>
                </c:pt>
                <c:pt idx="173">
                  <c:v>113474</c:v>
                </c:pt>
                <c:pt idx="174">
                  <c:v>109299</c:v>
                </c:pt>
                <c:pt idx="175">
                  <c:v>109299</c:v>
                </c:pt>
                <c:pt idx="176">
                  <c:v>80240</c:v>
                </c:pt>
                <c:pt idx="177">
                  <c:v>80240</c:v>
                </c:pt>
                <c:pt idx="178">
                  <c:v>78602</c:v>
                </c:pt>
                <c:pt idx="179">
                  <c:v>78602</c:v>
                </c:pt>
                <c:pt idx="180">
                  <c:v>76461</c:v>
                </c:pt>
                <c:pt idx="181">
                  <c:v>76461</c:v>
                </c:pt>
                <c:pt idx="182">
                  <c:v>79786</c:v>
                </c:pt>
                <c:pt idx="183">
                  <c:v>79786</c:v>
                </c:pt>
                <c:pt idx="184">
                  <c:v>81336</c:v>
                </c:pt>
                <c:pt idx="185">
                  <c:v>81336</c:v>
                </c:pt>
                <c:pt idx="186">
                  <c:v>79671</c:v>
                </c:pt>
                <c:pt idx="187">
                  <c:v>79671</c:v>
                </c:pt>
                <c:pt idx="188">
                  <c:v>78821</c:v>
                </c:pt>
                <c:pt idx="189">
                  <c:v>78821</c:v>
                </c:pt>
                <c:pt idx="190">
                  <c:v>79467</c:v>
                </c:pt>
                <c:pt idx="191">
                  <c:v>79467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47-D44E-9B56-622DAD78DFA2}"/>
            </c:ext>
          </c:extLst>
        </c:ser>
        <c:ser>
          <c:idx val="2"/>
          <c:order val="2"/>
          <c:tx>
            <c:strRef>
              <c:f>'Removed 15'!$M$1</c:f>
              <c:strCache>
                <c:ptCount val="1"/>
                <c:pt idx="0">
                  <c:v>Pole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'Removed 15'!$M$2:$M$193</c:f>
              <c:numCache>
                <c:formatCode>General</c:formatCode>
                <c:ptCount val="192"/>
                <c:pt idx="0">
                  <c:v>28211</c:v>
                </c:pt>
                <c:pt idx="1">
                  <c:v>28577</c:v>
                </c:pt>
                <c:pt idx="2">
                  <c:v>26668</c:v>
                </c:pt>
                <c:pt idx="3">
                  <c:v>27765</c:v>
                </c:pt>
                <c:pt idx="4">
                  <c:v>29025</c:v>
                </c:pt>
                <c:pt idx="5">
                  <c:v>28287</c:v>
                </c:pt>
                <c:pt idx="6">
                  <c:v>27488</c:v>
                </c:pt>
                <c:pt idx="7">
                  <c:v>27628</c:v>
                </c:pt>
                <c:pt idx="8">
                  <c:v>27471</c:v>
                </c:pt>
                <c:pt idx="9">
                  <c:v>29606</c:v>
                </c:pt>
                <c:pt idx="10">
                  <c:v>28047</c:v>
                </c:pt>
                <c:pt idx="11">
                  <c:v>27897</c:v>
                </c:pt>
                <c:pt idx="12">
                  <c:v>27370</c:v>
                </c:pt>
                <c:pt idx="13">
                  <c:v>29989</c:v>
                </c:pt>
                <c:pt idx="14">
                  <c:v>27732</c:v>
                </c:pt>
                <c:pt idx="15">
                  <c:v>28137</c:v>
                </c:pt>
                <c:pt idx="16">
                  <c:v>33213</c:v>
                </c:pt>
                <c:pt idx="17">
                  <c:v>33230</c:v>
                </c:pt>
                <c:pt idx="18">
                  <c:v>34145</c:v>
                </c:pt>
                <c:pt idx="19">
                  <c:v>34145</c:v>
                </c:pt>
                <c:pt idx="20">
                  <c:v>33719</c:v>
                </c:pt>
                <c:pt idx="21">
                  <c:v>33719</c:v>
                </c:pt>
                <c:pt idx="22">
                  <c:v>33911</c:v>
                </c:pt>
                <c:pt idx="23">
                  <c:v>33911</c:v>
                </c:pt>
                <c:pt idx="24">
                  <c:v>33295</c:v>
                </c:pt>
                <c:pt idx="25">
                  <c:v>33295</c:v>
                </c:pt>
                <c:pt idx="26">
                  <c:v>34080</c:v>
                </c:pt>
                <c:pt idx="27">
                  <c:v>34080</c:v>
                </c:pt>
                <c:pt idx="28">
                  <c:v>33231</c:v>
                </c:pt>
                <c:pt idx="29">
                  <c:v>33231</c:v>
                </c:pt>
                <c:pt idx="30">
                  <c:v>34104</c:v>
                </c:pt>
                <c:pt idx="31">
                  <c:v>34104</c:v>
                </c:pt>
                <c:pt idx="32">
                  <c:v>27487</c:v>
                </c:pt>
                <c:pt idx="33">
                  <c:v>27065</c:v>
                </c:pt>
                <c:pt idx="34">
                  <c:v>27163</c:v>
                </c:pt>
                <c:pt idx="35">
                  <c:v>26924</c:v>
                </c:pt>
                <c:pt idx="36">
                  <c:v>27470</c:v>
                </c:pt>
                <c:pt idx="37">
                  <c:v>26993</c:v>
                </c:pt>
                <c:pt idx="38">
                  <c:v>26689</c:v>
                </c:pt>
                <c:pt idx="39">
                  <c:v>26733</c:v>
                </c:pt>
                <c:pt idx="40">
                  <c:v>27667</c:v>
                </c:pt>
                <c:pt idx="41">
                  <c:v>27183</c:v>
                </c:pt>
                <c:pt idx="42">
                  <c:v>26817</c:v>
                </c:pt>
                <c:pt idx="43">
                  <c:v>26494</c:v>
                </c:pt>
                <c:pt idx="44">
                  <c:v>27648</c:v>
                </c:pt>
                <c:pt idx="45">
                  <c:v>27576</c:v>
                </c:pt>
                <c:pt idx="46">
                  <c:v>27034</c:v>
                </c:pt>
                <c:pt idx="47">
                  <c:v>26710</c:v>
                </c:pt>
                <c:pt idx="48">
                  <c:v>34003</c:v>
                </c:pt>
                <c:pt idx="49">
                  <c:v>34003</c:v>
                </c:pt>
                <c:pt idx="50">
                  <c:v>33727</c:v>
                </c:pt>
                <c:pt idx="51">
                  <c:v>33727</c:v>
                </c:pt>
                <c:pt idx="52">
                  <c:v>33668</c:v>
                </c:pt>
                <c:pt idx="53">
                  <c:v>34045</c:v>
                </c:pt>
                <c:pt idx="54">
                  <c:v>33362</c:v>
                </c:pt>
                <c:pt idx="55">
                  <c:v>33362</c:v>
                </c:pt>
                <c:pt idx="56">
                  <c:v>33139</c:v>
                </c:pt>
                <c:pt idx="57">
                  <c:v>33139</c:v>
                </c:pt>
                <c:pt idx="58">
                  <c:v>32976</c:v>
                </c:pt>
                <c:pt idx="59">
                  <c:v>32976</c:v>
                </c:pt>
                <c:pt idx="60">
                  <c:v>33509</c:v>
                </c:pt>
                <c:pt idx="61">
                  <c:v>33509</c:v>
                </c:pt>
                <c:pt idx="62">
                  <c:v>33407</c:v>
                </c:pt>
                <c:pt idx="63">
                  <c:v>33288</c:v>
                </c:pt>
                <c:pt idx="64">
                  <c:v>26208</c:v>
                </c:pt>
                <c:pt idx="65">
                  <c:v>26264</c:v>
                </c:pt>
                <c:pt idx="66">
                  <c:v>25376</c:v>
                </c:pt>
                <c:pt idx="67">
                  <c:v>25266</c:v>
                </c:pt>
                <c:pt idx="68">
                  <c:v>25082</c:v>
                </c:pt>
                <c:pt idx="69">
                  <c:v>25600</c:v>
                </c:pt>
                <c:pt idx="70">
                  <c:v>25227</c:v>
                </c:pt>
                <c:pt idx="71">
                  <c:v>25510</c:v>
                </c:pt>
                <c:pt idx="72">
                  <c:v>26262</c:v>
                </c:pt>
                <c:pt idx="73">
                  <c:v>25970</c:v>
                </c:pt>
                <c:pt idx="74">
                  <c:v>25140</c:v>
                </c:pt>
                <c:pt idx="75">
                  <c:v>25505</c:v>
                </c:pt>
                <c:pt idx="76">
                  <c:v>26058</c:v>
                </c:pt>
                <c:pt idx="77">
                  <c:v>25635</c:v>
                </c:pt>
                <c:pt idx="78">
                  <c:v>25164</c:v>
                </c:pt>
                <c:pt idx="79">
                  <c:v>25406</c:v>
                </c:pt>
                <c:pt idx="80">
                  <c:v>32519</c:v>
                </c:pt>
                <c:pt idx="81">
                  <c:v>33046</c:v>
                </c:pt>
                <c:pt idx="82">
                  <c:v>31820</c:v>
                </c:pt>
                <c:pt idx="83">
                  <c:v>31694</c:v>
                </c:pt>
                <c:pt idx="84">
                  <c:v>32396</c:v>
                </c:pt>
                <c:pt idx="85">
                  <c:v>32758</c:v>
                </c:pt>
                <c:pt idx="86">
                  <c:v>32122</c:v>
                </c:pt>
                <c:pt idx="87">
                  <c:v>32026</c:v>
                </c:pt>
                <c:pt idx="88">
                  <c:v>31708</c:v>
                </c:pt>
                <c:pt idx="89">
                  <c:v>31639</c:v>
                </c:pt>
                <c:pt idx="90">
                  <c:v>31719</c:v>
                </c:pt>
                <c:pt idx="91">
                  <c:v>32088</c:v>
                </c:pt>
                <c:pt idx="92">
                  <c:v>31893</c:v>
                </c:pt>
                <c:pt idx="93">
                  <c:v>32251</c:v>
                </c:pt>
                <c:pt idx="94">
                  <c:v>31777</c:v>
                </c:pt>
                <c:pt idx="95">
                  <c:v>31850</c:v>
                </c:pt>
                <c:pt idx="96">
                  <c:v>27706</c:v>
                </c:pt>
                <c:pt idx="97">
                  <c:v>27462</c:v>
                </c:pt>
                <c:pt idx="98">
                  <c:v>27700</c:v>
                </c:pt>
                <c:pt idx="99">
                  <c:v>27700</c:v>
                </c:pt>
                <c:pt idx="100">
                  <c:v>27740</c:v>
                </c:pt>
                <c:pt idx="101">
                  <c:v>27740</c:v>
                </c:pt>
                <c:pt idx="102">
                  <c:v>27920</c:v>
                </c:pt>
                <c:pt idx="103">
                  <c:v>27920</c:v>
                </c:pt>
                <c:pt idx="104">
                  <c:v>27121</c:v>
                </c:pt>
                <c:pt idx="105">
                  <c:v>27121</c:v>
                </c:pt>
                <c:pt idx="106">
                  <c:v>27588</c:v>
                </c:pt>
                <c:pt idx="107">
                  <c:v>27588</c:v>
                </c:pt>
                <c:pt idx="108">
                  <c:v>28331</c:v>
                </c:pt>
                <c:pt idx="109">
                  <c:v>28924</c:v>
                </c:pt>
                <c:pt idx="110">
                  <c:v>27943</c:v>
                </c:pt>
                <c:pt idx="111">
                  <c:v>27943</c:v>
                </c:pt>
                <c:pt idx="112">
                  <c:v>33676</c:v>
                </c:pt>
                <c:pt idx="113">
                  <c:v>33676</c:v>
                </c:pt>
                <c:pt idx="114">
                  <c:v>34123</c:v>
                </c:pt>
                <c:pt idx="115">
                  <c:v>34123</c:v>
                </c:pt>
                <c:pt idx="116">
                  <c:v>33677</c:v>
                </c:pt>
                <c:pt idx="117">
                  <c:v>33677</c:v>
                </c:pt>
                <c:pt idx="118">
                  <c:v>34218</c:v>
                </c:pt>
                <c:pt idx="119">
                  <c:v>34218</c:v>
                </c:pt>
                <c:pt idx="120">
                  <c:v>33812</c:v>
                </c:pt>
                <c:pt idx="121">
                  <c:v>33812</c:v>
                </c:pt>
                <c:pt idx="122">
                  <c:v>34124</c:v>
                </c:pt>
                <c:pt idx="123">
                  <c:v>34124</c:v>
                </c:pt>
                <c:pt idx="124">
                  <c:v>33606</c:v>
                </c:pt>
                <c:pt idx="125">
                  <c:v>33606</c:v>
                </c:pt>
                <c:pt idx="126">
                  <c:v>34069</c:v>
                </c:pt>
                <c:pt idx="127">
                  <c:v>34069</c:v>
                </c:pt>
                <c:pt idx="128">
                  <c:v>27633</c:v>
                </c:pt>
                <c:pt idx="129">
                  <c:v>27633</c:v>
                </c:pt>
                <c:pt idx="130">
                  <c:v>27040</c:v>
                </c:pt>
                <c:pt idx="131">
                  <c:v>27040</c:v>
                </c:pt>
                <c:pt idx="132">
                  <c:v>27230</c:v>
                </c:pt>
                <c:pt idx="133">
                  <c:v>27230</c:v>
                </c:pt>
                <c:pt idx="134">
                  <c:v>27132</c:v>
                </c:pt>
                <c:pt idx="135">
                  <c:v>27132</c:v>
                </c:pt>
                <c:pt idx="136">
                  <c:v>26894</c:v>
                </c:pt>
                <c:pt idx="137">
                  <c:v>26894</c:v>
                </c:pt>
                <c:pt idx="138">
                  <c:v>27178</c:v>
                </c:pt>
                <c:pt idx="139">
                  <c:v>27178</c:v>
                </c:pt>
                <c:pt idx="140">
                  <c:v>27218</c:v>
                </c:pt>
                <c:pt idx="141">
                  <c:v>27218</c:v>
                </c:pt>
                <c:pt idx="142">
                  <c:v>27097</c:v>
                </c:pt>
                <c:pt idx="143">
                  <c:v>27097</c:v>
                </c:pt>
                <c:pt idx="144">
                  <c:v>33895</c:v>
                </c:pt>
                <c:pt idx="145">
                  <c:v>33895</c:v>
                </c:pt>
                <c:pt idx="146">
                  <c:v>33426</c:v>
                </c:pt>
                <c:pt idx="147">
                  <c:v>33426</c:v>
                </c:pt>
                <c:pt idx="148">
                  <c:v>34089</c:v>
                </c:pt>
                <c:pt idx="149">
                  <c:v>34089</c:v>
                </c:pt>
                <c:pt idx="150">
                  <c:v>33678</c:v>
                </c:pt>
                <c:pt idx="151">
                  <c:v>33678</c:v>
                </c:pt>
                <c:pt idx="152">
                  <c:v>34265</c:v>
                </c:pt>
                <c:pt idx="153">
                  <c:v>34265</c:v>
                </c:pt>
                <c:pt idx="154">
                  <c:v>33282</c:v>
                </c:pt>
                <c:pt idx="155">
                  <c:v>33282</c:v>
                </c:pt>
                <c:pt idx="156">
                  <c:v>34184</c:v>
                </c:pt>
                <c:pt idx="157">
                  <c:v>34184</c:v>
                </c:pt>
                <c:pt idx="158">
                  <c:v>33284</c:v>
                </c:pt>
                <c:pt idx="159">
                  <c:v>33284</c:v>
                </c:pt>
                <c:pt idx="160">
                  <c:v>25713</c:v>
                </c:pt>
                <c:pt idx="161">
                  <c:v>25713</c:v>
                </c:pt>
                <c:pt idx="162">
                  <c:v>25192</c:v>
                </c:pt>
                <c:pt idx="163">
                  <c:v>25192</c:v>
                </c:pt>
                <c:pt idx="164">
                  <c:v>25499</c:v>
                </c:pt>
                <c:pt idx="165">
                  <c:v>25499</c:v>
                </c:pt>
                <c:pt idx="166">
                  <c:v>25377</c:v>
                </c:pt>
                <c:pt idx="167">
                  <c:v>25377</c:v>
                </c:pt>
                <c:pt idx="168">
                  <c:v>25737</c:v>
                </c:pt>
                <c:pt idx="169">
                  <c:v>25737</c:v>
                </c:pt>
                <c:pt idx="170">
                  <c:v>25244</c:v>
                </c:pt>
                <c:pt idx="171">
                  <c:v>25244</c:v>
                </c:pt>
                <c:pt idx="172">
                  <c:v>25952</c:v>
                </c:pt>
                <c:pt idx="173">
                  <c:v>25952</c:v>
                </c:pt>
                <c:pt idx="174">
                  <c:v>25380</c:v>
                </c:pt>
                <c:pt idx="175">
                  <c:v>25380</c:v>
                </c:pt>
                <c:pt idx="176">
                  <c:v>32193</c:v>
                </c:pt>
                <c:pt idx="177">
                  <c:v>32193</c:v>
                </c:pt>
                <c:pt idx="178">
                  <c:v>31585</c:v>
                </c:pt>
                <c:pt idx="179">
                  <c:v>31585</c:v>
                </c:pt>
                <c:pt idx="180">
                  <c:v>32473</c:v>
                </c:pt>
                <c:pt idx="181">
                  <c:v>32473</c:v>
                </c:pt>
                <c:pt idx="182">
                  <c:v>31775</c:v>
                </c:pt>
                <c:pt idx="183">
                  <c:v>31775</c:v>
                </c:pt>
                <c:pt idx="184">
                  <c:v>32410</c:v>
                </c:pt>
                <c:pt idx="185">
                  <c:v>32410</c:v>
                </c:pt>
                <c:pt idx="186">
                  <c:v>31997</c:v>
                </c:pt>
                <c:pt idx="187">
                  <c:v>31997</c:v>
                </c:pt>
                <c:pt idx="188">
                  <c:v>32180</c:v>
                </c:pt>
                <c:pt idx="189">
                  <c:v>32180</c:v>
                </c:pt>
                <c:pt idx="190">
                  <c:v>31679</c:v>
                </c:pt>
                <c:pt idx="191">
                  <c:v>31679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47-D44E-9B56-622DAD78DFA2}"/>
            </c:ext>
          </c:extLst>
        </c:ser>
        <c:ser>
          <c:idx val="3"/>
          <c:order val="3"/>
          <c:tx>
            <c:strRef>
              <c:f>'Removed 15'!$N$1</c:f>
              <c:strCache>
                <c:ptCount val="1"/>
                <c:pt idx="0">
                  <c:v>Adult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'Removed 15'!$N$2:$N$193</c:f>
              <c:numCache>
                <c:formatCode>General</c:formatCode>
                <c:ptCount val="192"/>
                <c:pt idx="0">
                  <c:v>9944</c:v>
                </c:pt>
                <c:pt idx="1">
                  <c:v>9580</c:v>
                </c:pt>
                <c:pt idx="2">
                  <c:v>10965</c:v>
                </c:pt>
                <c:pt idx="3">
                  <c:v>11246</c:v>
                </c:pt>
                <c:pt idx="4">
                  <c:v>9634</c:v>
                </c:pt>
                <c:pt idx="5">
                  <c:v>9416</c:v>
                </c:pt>
                <c:pt idx="6">
                  <c:v>11502</c:v>
                </c:pt>
                <c:pt idx="7">
                  <c:v>11355</c:v>
                </c:pt>
                <c:pt idx="8">
                  <c:v>9304</c:v>
                </c:pt>
                <c:pt idx="9">
                  <c:v>9365</c:v>
                </c:pt>
                <c:pt idx="10">
                  <c:v>10761</c:v>
                </c:pt>
                <c:pt idx="11">
                  <c:v>10985</c:v>
                </c:pt>
                <c:pt idx="12">
                  <c:v>9201</c:v>
                </c:pt>
                <c:pt idx="13">
                  <c:v>9889</c:v>
                </c:pt>
                <c:pt idx="14">
                  <c:v>10778</c:v>
                </c:pt>
                <c:pt idx="15">
                  <c:v>10764</c:v>
                </c:pt>
                <c:pt idx="16">
                  <c:v>8967</c:v>
                </c:pt>
                <c:pt idx="17">
                  <c:v>8976</c:v>
                </c:pt>
                <c:pt idx="18">
                  <c:v>10125</c:v>
                </c:pt>
                <c:pt idx="19">
                  <c:v>10125</c:v>
                </c:pt>
                <c:pt idx="20">
                  <c:v>8834</c:v>
                </c:pt>
                <c:pt idx="21">
                  <c:v>8834</c:v>
                </c:pt>
                <c:pt idx="22">
                  <c:v>10021</c:v>
                </c:pt>
                <c:pt idx="23">
                  <c:v>10021</c:v>
                </c:pt>
                <c:pt idx="24">
                  <c:v>8942</c:v>
                </c:pt>
                <c:pt idx="25">
                  <c:v>8942</c:v>
                </c:pt>
                <c:pt idx="26">
                  <c:v>9935</c:v>
                </c:pt>
                <c:pt idx="27">
                  <c:v>9935</c:v>
                </c:pt>
                <c:pt idx="28">
                  <c:v>8967</c:v>
                </c:pt>
                <c:pt idx="29">
                  <c:v>8967</c:v>
                </c:pt>
                <c:pt idx="30">
                  <c:v>9911</c:v>
                </c:pt>
                <c:pt idx="31">
                  <c:v>9911</c:v>
                </c:pt>
                <c:pt idx="32">
                  <c:v>12175</c:v>
                </c:pt>
                <c:pt idx="33">
                  <c:v>12115</c:v>
                </c:pt>
                <c:pt idx="34">
                  <c:v>12163</c:v>
                </c:pt>
                <c:pt idx="35">
                  <c:v>12090</c:v>
                </c:pt>
                <c:pt idx="36">
                  <c:v>12204</c:v>
                </c:pt>
                <c:pt idx="37">
                  <c:v>12175</c:v>
                </c:pt>
                <c:pt idx="38">
                  <c:v>12258</c:v>
                </c:pt>
                <c:pt idx="39">
                  <c:v>12268</c:v>
                </c:pt>
                <c:pt idx="40">
                  <c:v>12124</c:v>
                </c:pt>
                <c:pt idx="41">
                  <c:v>12236</c:v>
                </c:pt>
                <c:pt idx="42">
                  <c:v>12167</c:v>
                </c:pt>
                <c:pt idx="43">
                  <c:v>12262</c:v>
                </c:pt>
                <c:pt idx="44">
                  <c:v>12211</c:v>
                </c:pt>
                <c:pt idx="45">
                  <c:v>12065</c:v>
                </c:pt>
                <c:pt idx="46">
                  <c:v>12110</c:v>
                </c:pt>
                <c:pt idx="47">
                  <c:v>12162</c:v>
                </c:pt>
                <c:pt idx="48">
                  <c:v>10550</c:v>
                </c:pt>
                <c:pt idx="49">
                  <c:v>10550</c:v>
                </c:pt>
                <c:pt idx="50">
                  <c:v>10589</c:v>
                </c:pt>
                <c:pt idx="51">
                  <c:v>10589</c:v>
                </c:pt>
                <c:pt idx="52">
                  <c:v>10621</c:v>
                </c:pt>
                <c:pt idx="53">
                  <c:v>10483</c:v>
                </c:pt>
                <c:pt idx="54">
                  <c:v>10608</c:v>
                </c:pt>
                <c:pt idx="55">
                  <c:v>10608</c:v>
                </c:pt>
                <c:pt idx="56">
                  <c:v>10697</c:v>
                </c:pt>
                <c:pt idx="57">
                  <c:v>10697</c:v>
                </c:pt>
                <c:pt idx="58">
                  <c:v>10658</c:v>
                </c:pt>
                <c:pt idx="59">
                  <c:v>10658</c:v>
                </c:pt>
                <c:pt idx="60">
                  <c:v>10667</c:v>
                </c:pt>
                <c:pt idx="61">
                  <c:v>10667</c:v>
                </c:pt>
                <c:pt idx="62">
                  <c:v>10626</c:v>
                </c:pt>
                <c:pt idx="63">
                  <c:v>10661</c:v>
                </c:pt>
                <c:pt idx="64">
                  <c:v>13051</c:v>
                </c:pt>
                <c:pt idx="65">
                  <c:v>13024</c:v>
                </c:pt>
                <c:pt idx="66">
                  <c:v>13068</c:v>
                </c:pt>
                <c:pt idx="67">
                  <c:v>13042</c:v>
                </c:pt>
                <c:pt idx="68">
                  <c:v>13155</c:v>
                </c:pt>
                <c:pt idx="69">
                  <c:v>13110</c:v>
                </c:pt>
                <c:pt idx="70">
                  <c:v>13075</c:v>
                </c:pt>
                <c:pt idx="71">
                  <c:v>13018</c:v>
                </c:pt>
                <c:pt idx="72">
                  <c:v>12967</c:v>
                </c:pt>
                <c:pt idx="73">
                  <c:v>13016</c:v>
                </c:pt>
                <c:pt idx="74">
                  <c:v>13089</c:v>
                </c:pt>
                <c:pt idx="75">
                  <c:v>12985</c:v>
                </c:pt>
                <c:pt idx="76">
                  <c:v>13008</c:v>
                </c:pt>
                <c:pt idx="77">
                  <c:v>13109</c:v>
                </c:pt>
                <c:pt idx="78">
                  <c:v>13027</c:v>
                </c:pt>
                <c:pt idx="79">
                  <c:v>13029</c:v>
                </c:pt>
                <c:pt idx="80">
                  <c:v>11206</c:v>
                </c:pt>
                <c:pt idx="81">
                  <c:v>11130</c:v>
                </c:pt>
                <c:pt idx="82">
                  <c:v>11142</c:v>
                </c:pt>
                <c:pt idx="83">
                  <c:v>11199</c:v>
                </c:pt>
                <c:pt idx="84">
                  <c:v>11196</c:v>
                </c:pt>
                <c:pt idx="85">
                  <c:v>11114</c:v>
                </c:pt>
                <c:pt idx="86">
                  <c:v>11165</c:v>
                </c:pt>
                <c:pt idx="87">
                  <c:v>11162</c:v>
                </c:pt>
                <c:pt idx="88">
                  <c:v>11221</c:v>
                </c:pt>
                <c:pt idx="89">
                  <c:v>11360</c:v>
                </c:pt>
                <c:pt idx="90">
                  <c:v>11159</c:v>
                </c:pt>
                <c:pt idx="91">
                  <c:v>11121</c:v>
                </c:pt>
                <c:pt idx="92">
                  <c:v>11247</c:v>
                </c:pt>
                <c:pt idx="93">
                  <c:v>11231</c:v>
                </c:pt>
                <c:pt idx="94">
                  <c:v>11169</c:v>
                </c:pt>
                <c:pt idx="95">
                  <c:v>11217</c:v>
                </c:pt>
                <c:pt idx="96">
                  <c:v>9613</c:v>
                </c:pt>
                <c:pt idx="97">
                  <c:v>9476</c:v>
                </c:pt>
                <c:pt idx="98">
                  <c:v>11084</c:v>
                </c:pt>
                <c:pt idx="99">
                  <c:v>11084</c:v>
                </c:pt>
                <c:pt idx="100">
                  <c:v>9495</c:v>
                </c:pt>
                <c:pt idx="101">
                  <c:v>9495</c:v>
                </c:pt>
                <c:pt idx="102">
                  <c:v>10997</c:v>
                </c:pt>
                <c:pt idx="103">
                  <c:v>10997</c:v>
                </c:pt>
                <c:pt idx="104">
                  <c:v>8968</c:v>
                </c:pt>
                <c:pt idx="105">
                  <c:v>8968</c:v>
                </c:pt>
                <c:pt idx="106">
                  <c:v>10862</c:v>
                </c:pt>
                <c:pt idx="107">
                  <c:v>10862</c:v>
                </c:pt>
                <c:pt idx="108">
                  <c:v>9660</c:v>
                </c:pt>
                <c:pt idx="109">
                  <c:v>9404</c:v>
                </c:pt>
                <c:pt idx="110">
                  <c:v>10927</c:v>
                </c:pt>
                <c:pt idx="111">
                  <c:v>10927</c:v>
                </c:pt>
                <c:pt idx="112">
                  <c:v>9111</c:v>
                </c:pt>
                <c:pt idx="113">
                  <c:v>9111</c:v>
                </c:pt>
                <c:pt idx="114">
                  <c:v>10058</c:v>
                </c:pt>
                <c:pt idx="115">
                  <c:v>10058</c:v>
                </c:pt>
                <c:pt idx="116">
                  <c:v>8989</c:v>
                </c:pt>
                <c:pt idx="117">
                  <c:v>8989</c:v>
                </c:pt>
                <c:pt idx="118">
                  <c:v>9903</c:v>
                </c:pt>
                <c:pt idx="119">
                  <c:v>9903</c:v>
                </c:pt>
                <c:pt idx="120">
                  <c:v>9084</c:v>
                </c:pt>
                <c:pt idx="121">
                  <c:v>9084</c:v>
                </c:pt>
                <c:pt idx="122">
                  <c:v>10052</c:v>
                </c:pt>
                <c:pt idx="123">
                  <c:v>10052</c:v>
                </c:pt>
                <c:pt idx="124">
                  <c:v>8965</c:v>
                </c:pt>
                <c:pt idx="125">
                  <c:v>8965</c:v>
                </c:pt>
                <c:pt idx="126">
                  <c:v>9798</c:v>
                </c:pt>
                <c:pt idx="127">
                  <c:v>9798</c:v>
                </c:pt>
                <c:pt idx="128">
                  <c:v>12131</c:v>
                </c:pt>
                <c:pt idx="129">
                  <c:v>12131</c:v>
                </c:pt>
                <c:pt idx="130">
                  <c:v>12179</c:v>
                </c:pt>
                <c:pt idx="131">
                  <c:v>12179</c:v>
                </c:pt>
                <c:pt idx="132">
                  <c:v>12303</c:v>
                </c:pt>
                <c:pt idx="133">
                  <c:v>12303</c:v>
                </c:pt>
                <c:pt idx="134">
                  <c:v>12181</c:v>
                </c:pt>
                <c:pt idx="135">
                  <c:v>12181</c:v>
                </c:pt>
                <c:pt idx="136">
                  <c:v>12339</c:v>
                </c:pt>
                <c:pt idx="137">
                  <c:v>12339</c:v>
                </c:pt>
                <c:pt idx="138">
                  <c:v>12126</c:v>
                </c:pt>
                <c:pt idx="139">
                  <c:v>12126</c:v>
                </c:pt>
                <c:pt idx="140">
                  <c:v>12244</c:v>
                </c:pt>
                <c:pt idx="141">
                  <c:v>12244</c:v>
                </c:pt>
                <c:pt idx="142">
                  <c:v>12163</c:v>
                </c:pt>
                <c:pt idx="143">
                  <c:v>12163</c:v>
                </c:pt>
                <c:pt idx="144">
                  <c:v>10616</c:v>
                </c:pt>
                <c:pt idx="145">
                  <c:v>10616</c:v>
                </c:pt>
                <c:pt idx="146">
                  <c:v>10631</c:v>
                </c:pt>
                <c:pt idx="147">
                  <c:v>10631</c:v>
                </c:pt>
                <c:pt idx="148">
                  <c:v>10581</c:v>
                </c:pt>
                <c:pt idx="149">
                  <c:v>10581</c:v>
                </c:pt>
                <c:pt idx="150">
                  <c:v>10637</c:v>
                </c:pt>
                <c:pt idx="151">
                  <c:v>10637</c:v>
                </c:pt>
                <c:pt idx="152">
                  <c:v>10644</c:v>
                </c:pt>
                <c:pt idx="153">
                  <c:v>10644</c:v>
                </c:pt>
                <c:pt idx="154">
                  <c:v>10634</c:v>
                </c:pt>
                <c:pt idx="155">
                  <c:v>10634</c:v>
                </c:pt>
                <c:pt idx="156">
                  <c:v>10573</c:v>
                </c:pt>
                <c:pt idx="157">
                  <c:v>10573</c:v>
                </c:pt>
                <c:pt idx="158">
                  <c:v>10662</c:v>
                </c:pt>
                <c:pt idx="159">
                  <c:v>10662</c:v>
                </c:pt>
                <c:pt idx="160">
                  <c:v>13067</c:v>
                </c:pt>
                <c:pt idx="161">
                  <c:v>13067</c:v>
                </c:pt>
                <c:pt idx="162">
                  <c:v>13050</c:v>
                </c:pt>
                <c:pt idx="163">
                  <c:v>13050</c:v>
                </c:pt>
                <c:pt idx="164">
                  <c:v>13197</c:v>
                </c:pt>
                <c:pt idx="165">
                  <c:v>13197</c:v>
                </c:pt>
                <c:pt idx="166">
                  <c:v>12950</c:v>
                </c:pt>
                <c:pt idx="167">
                  <c:v>12950</c:v>
                </c:pt>
                <c:pt idx="168">
                  <c:v>13102</c:v>
                </c:pt>
                <c:pt idx="169">
                  <c:v>13102</c:v>
                </c:pt>
                <c:pt idx="170">
                  <c:v>13088</c:v>
                </c:pt>
                <c:pt idx="171">
                  <c:v>13088</c:v>
                </c:pt>
                <c:pt idx="172">
                  <c:v>13032</c:v>
                </c:pt>
                <c:pt idx="173">
                  <c:v>13032</c:v>
                </c:pt>
                <c:pt idx="174">
                  <c:v>13010</c:v>
                </c:pt>
                <c:pt idx="175">
                  <c:v>13010</c:v>
                </c:pt>
                <c:pt idx="176">
                  <c:v>11217</c:v>
                </c:pt>
                <c:pt idx="177">
                  <c:v>11217</c:v>
                </c:pt>
                <c:pt idx="178">
                  <c:v>11242</c:v>
                </c:pt>
                <c:pt idx="179">
                  <c:v>11242</c:v>
                </c:pt>
                <c:pt idx="180">
                  <c:v>11125</c:v>
                </c:pt>
                <c:pt idx="181">
                  <c:v>11125</c:v>
                </c:pt>
                <c:pt idx="182">
                  <c:v>11100</c:v>
                </c:pt>
                <c:pt idx="183">
                  <c:v>11100</c:v>
                </c:pt>
                <c:pt idx="184">
                  <c:v>11197</c:v>
                </c:pt>
                <c:pt idx="185">
                  <c:v>11197</c:v>
                </c:pt>
                <c:pt idx="186">
                  <c:v>11192</c:v>
                </c:pt>
                <c:pt idx="187">
                  <c:v>11192</c:v>
                </c:pt>
                <c:pt idx="188">
                  <c:v>11268</c:v>
                </c:pt>
                <c:pt idx="189">
                  <c:v>11268</c:v>
                </c:pt>
                <c:pt idx="190">
                  <c:v>11163</c:v>
                </c:pt>
                <c:pt idx="191">
                  <c:v>11163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47-D44E-9B56-622DAD78D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02112"/>
        <c:axId val="66631488"/>
      </c:lineChart>
      <c:catAx>
        <c:axId val="6710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66631488"/>
        <c:crosses val="autoZero"/>
        <c:auto val="1"/>
        <c:lblAlgn val="ctr"/>
        <c:lblOffset val="100"/>
        <c:noMultiLvlLbl val="0"/>
      </c:catAx>
      <c:valAx>
        <c:axId val="6663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6710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Exotic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'Removed 15'!$P$1</c:f>
              <c:strCache>
                <c:ptCount val="1"/>
                <c:pt idx="0">
                  <c:v>Seedling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'Removed 15'!$P$2:$P$193</c:f>
              <c:numCache>
                <c:formatCode>General</c:formatCode>
                <c:ptCount val="192"/>
                <c:pt idx="0">
                  <c:v>29180</c:v>
                </c:pt>
                <c:pt idx="1">
                  <c:v>4767</c:v>
                </c:pt>
                <c:pt idx="2">
                  <c:v>32250</c:v>
                </c:pt>
                <c:pt idx="3">
                  <c:v>5219</c:v>
                </c:pt>
                <c:pt idx="4">
                  <c:v>27538</c:v>
                </c:pt>
                <c:pt idx="5">
                  <c:v>4646</c:v>
                </c:pt>
                <c:pt idx="6">
                  <c:v>4753</c:v>
                </c:pt>
                <c:pt idx="7">
                  <c:v>5337</c:v>
                </c:pt>
                <c:pt idx="8">
                  <c:v>25735</c:v>
                </c:pt>
                <c:pt idx="9">
                  <c:v>4579</c:v>
                </c:pt>
                <c:pt idx="10">
                  <c:v>31385</c:v>
                </c:pt>
                <c:pt idx="11">
                  <c:v>5221</c:v>
                </c:pt>
                <c:pt idx="12">
                  <c:v>24949</c:v>
                </c:pt>
                <c:pt idx="13">
                  <c:v>4921</c:v>
                </c:pt>
                <c:pt idx="14">
                  <c:v>31298</c:v>
                </c:pt>
                <c:pt idx="15">
                  <c:v>5166</c:v>
                </c:pt>
                <c:pt idx="16">
                  <c:v>19025</c:v>
                </c:pt>
                <c:pt idx="17">
                  <c:v>19027</c:v>
                </c:pt>
                <c:pt idx="18">
                  <c:v>22068</c:v>
                </c:pt>
                <c:pt idx="19">
                  <c:v>22068</c:v>
                </c:pt>
                <c:pt idx="20">
                  <c:v>18415</c:v>
                </c:pt>
                <c:pt idx="21">
                  <c:v>18415</c:v>
                </c:pt>
                <c:pt idx="22">
                  <c:v>22017</c:v>
                </c:pt>
                <c:pt idx="23">
                  <c:v>22017</c:v>
                </c:pt>
                <c:pt idx="24">
                  <c:v>18913</c:v>
                </c:pt>
                <c:pt idx="25">
                  <c:v>18913</c:v>
                </c:pt>
                <c:pt idx="26">
                  <c:v>21380</c:v>
                </c:pt>
                <c:pt idx="27">
                  <c:v>21380</c:v>
                </c:pt>
                <c:pt idx="28">
                  <c:v>19320</c:v>
                </c:pt>
                <c:pt idx="29">
                  <c:v>19320</c:v>
                </c:pt>
                <c:pt idx="30">
                  <c:v>21552</c:v>
                </c:pt>
                <c:pt idx="31">
                  <c:v>21552</c:v>
                </c:pt>
                <c:pt idx="32">
                  <c:v>25561</c:v>
                </c:pt>
                <c:pt idx="33">
                  <c:v>26543</c:v>
                </c:pt>
                <c:pt idx="34">
                  <c:v>25488</c:v>
                </c:pt>
                <c:pt idx="35">
                  <c:v>25706</c:v>
                </c:pt>
                <c:pt idx="36">
                  <c:v>25616</c:v>
                </c:pt>
                <c:pt idx="37">
                  <c:v>26499</c:v>
                </c:pt>
                <c:pt idx="38">
                  <c:v>24830</c:v>
                </c:pt>
                <c:pt idx="39">
                  <c:v>25478</c:v>
                </c:pt>
                <c:pt idx="40">
                  <c:v>27088</c:v>
                </c:pt>
                <c:pt idx="41">
                  <c:v>25005</c:v>
                </c:pt>
                <c:pt idx="42">
                  <c:v>25707</c:v>
                </c:pt>
                <c:pt idx="43">
                  <c:v>22905</c:v>
                </c:pt>
                <c:pt idx="44">
                  <c:v>26284</c:v>
                </c:pt>
                <c:pt idx="45">
                  <c:v>28012</c:v>
                </c:pt>
                <c:pt idx="46">
                  <c:v>25506</c:v>
                </c:pt>
                <c:pt idx="47">
                  <c:v>25065</c:v>
                </c:pt>
                <c:pt idx="48">
                  <c:v>6530</c:v>
                </c:pt>
                <c:pt idx="49">
                  <c:v>6530</c:v>
                </c:pt>
                <c:pt idx="50">
                  <c:v>5902</c:v>
                </c:pt>
                <c:pt idx="51">
                  <c:v>5902</c:v>
                </c:pt>
                <c:pt idx="52">
                  <c:v>5730</c:v>
                </c:pt>
                <c:pt idx="53">
                  <c:v>6202</c:v>
                </c:pt>
                <c:pt idx="54">
                  <c:v>5601</c:v>
                </c:pt>
                <c:pt idx="55">
                  <c:v>5601</c:v>
                </c:pt>
                <c:pt idx="56">
                  <c:v>4882</c:v>
                </c:pt>
                <c:pt idx="57">
                  <c:v>4882</c:v>
                </c:pt>
                <c:pt idx="58">
                  <c:v>4883</c:v>
                </c:pt>
                <c:pt idx="59">
                  <c:v>4883</c:v>
                </c:pt>
                <c:pt idx="60">
                  <c:v>5374</c:v>
                </c:pt>
                <c:pt idx="61">
                  <c:v>5374</c:v>
                </c:pt>
                <c:pt idx="62">
                  <c:v>5709</c:v>
                </c:pt>
                <c:pt idx="63">
                  <c:v>5648</c:v>
                </c:pt>
                <c:pt idx="64">
                  <c:v>5236</c:v>
                </c:pt>
                <c:pt idx="65">
                  <c:v>36019</c:v>
                </c:pt>
                <c:pt idx="66">
                  <c:v>34663</c:v>
                </c:pt>
                <c:pt idx="67">
                  <c:v>29318</c:v>
                </c:pt>
                <c:pt idx="68">
                  <c:v>23122</c:v>
                </c:pt>
                <c:pt idx="69">
                  <c:v>27653</c:v>
                </c:pt>
                <c:pt idx="70">
                  <c:v>34992</c:v>
                </c:pt>
                <c:pt idx="71">
                  <c:v>4890</c:v>
                </c:pt>
                <c:pt idx="72">
                  <c:v>5306</c:v>
                </c:pt>
                <c:pt idx="73">
                  <c:v>29392</c:v>
                </c:pt>
                <c:pt idx="74">
                  <c:v>34884</c:v>
                </c:pt>
                <c:pt idx="75">
                  <c:v>29269</c:v>
                </c:pt>
                <c:pt idx="76">
                  <c:v>29417</c:v>
                </c:pt>
                <c:pt idx="77">
                  <c:v>28612</c:v>
                </c:pt>
                <c:pt idx="78">
                  <c:v>34934</c:v>
                </c:pt>
                <c:pt idx="79">
                  <c:v>5253</c:v>
                </c:pt>
                <c:pt idx="80">
                  <c:v>27122</c:v>
                </c:pt>
                <c:pt idx="81">
                  <c:v>21860</c:v>
                </c:pt>
                <c:pt idx="82">
                  <c:v>27213</c:v>
                </c:pt>
                <c:pt idx="83">
                  <c:v>6512</c:v>
                </c:pt>
                <c:pt idx="84">
                  <c:v>27127</c:v>
                </c:pt>
                <c:pt idx="85">
                  <c:v>21975</c:v>
                </c:pt>
                <c:pt idx="86">
                  <c:v>20560</c:v>
                </c:pt>
                <c:pt idx="87">
                  <c:v>21439</c:v>
                </c:pt>
                <c:pt idx="88">
                  <c:v>6182</c:v>
                </c:pt>
                <c:pt idx="89">
                  <c:v>6039</c:v>
                </c:pt>
                <c:pt idx="90">
                  <c:v>20774</c:v>
                </c:pt>
                <c:pt idx="91">
                  <c:v>21921</c:v>
                </c:pt>
                <c:pt idx="92">
                  <c:v>26320</c:v>
                </c:pt>
                <c:pt idx="93">
                  <c:v>27187</c:v>
                </c:pt>
                <c:pt idx="94">
                  <c:v>26415</c:v>
                </c:pt>
                <c:pt idx="95">
                  <c:v>6533</c:v>
                </c:pt>
                <c:pt idx="96">
                  <c:v>4666</c:v>
                </c:pt>
                <c:pt idx="97">
                  <c:v>4724</c:v>
                </c:pt>
                <c:pt idx="98">
                  <c:v>5242</c:v>
                </c:pt>
                <c:pt idx="99">
                  <c:v>5242</c:v>
                </c:pt>
                <c:pt idx="100">
                  <c:v>4638</c:v>
                </c:pt>
                <c:pt idx="101">
                  <c:v>4638</c:v>
                </c:pt>
                <c:pt idx="102">
                  <c:v>5230</c:v>
                </c:pt>
                <c:pt idx="103">
                  <c:v>5230</c:v>
                </c:pt>
                <c:pt idx="104">
                  <c:v>4469</c:v>
                </c:pt>
                <c:pt idx="105">
                  <c:v>4469</c:v>
                </c:pt>
                <c:pt idx="106">
                  <c:v>5210</c:v>
                </c:pt>
                <c:pt idx="107">
                  <c:v>5210</c:v>
                </c:pt>
                <c:pt idx="108">
                  <c:v>4655</c:v>
                </c:pt>
                <c:pt idx="109">
                  <c:v>4599</c:v>
                </c:pt>
                <c:pt idx="110">
                  <c:v>5075</c:v>
                </c:pt>
                <c:pt idx="111">
                  <c:v>5075</c:v>
                </c:pt>
                <c:pt idx="112">
                  <c:v>19342</c:v>
                </c:pt>
                <c:pt idx="113">
                  <c:v>19342</c:v>
                </c:pt>
                <c:pt idx="114">
                  <c:v>21981</c:v>
                </c:pt>
                <c:pt idx="115">
                  <c:v>21981</c:v>
                </c:pt>
                <c:pt idx="116">
                  <c:v>19154</c:v>
                </c:pt>
                <c:pt idx="117">
                  <c:v>19154</c:v>
                </c:pt>
                <c:pt idx="118">
                  <c:v>21137</c:v>
                </c:pt>
                <c:pt idx="119">
                  <c:v>21137</c:v>
                </c:pt>
                <c:pt idx="120">
                  <c:v>19610</c:v>
                </c:pt>
                <c:pt idx="121">
                  <c:v>19610</c:v>
                </c:pt>
                <c:pt idx="122">
                  <c:v>21799</c:v>
                </c:pt>
                <c:pt idx="123">
                  <c:v>21799</c:v>
                </c:pt>
                <c:pt idx="124">
                  <c:v>19222</c:v>
                </c:pt>
                <c:pt idx="125">
                  <c:v>19222</c:v>
                </c:pt>
                <c:pt idx="126">
                  <c:v>21322</c:v>
                </c:pt>
                <c:pt idx="127">
                  <c:v>21322</c:v>
                </c:pt>
                <c:pt idx="128">
                  <c:v>26339</c:v>
                </c:pt>
                <c:pt idx="129">
                  <c:v>26339</c:v>
                </c:pt>
                <c:pt idx="130">
                  <c:v>25609</c:v>
                </c:pt>
                <c:pt idx="131">
                  <c:v>25609</c:v>
                </c:pt>
                <c:pt idx="132">
                  <c:v>24905</c:v>
                </c:pt>
                <c:pt idx="133">
                  <c:v>24905</c:v>
                </c:pt>
                <c:pt idx="134">
                  <c:v>25528</c:v>
                </c:pt>
                <c:pt idx="135">
                  <c:v>25528</c:v>
                </c:pt>
                <c:pt idx="136">
                  <c:v>22854</c:v>
                </c:pt>
                <c:pt idx="137">
                  <c:v>22854</c:v>
                </c:pt>
                <c:pt idx="138">
                  <c:v>27347</c:v>
                </c:pt>
                <c:pt idx="139">
                  <c:v>27347</c:v>
                </c:pt>
                <c:pt idx="140">
                  <c:v>26535</c:v>
                </c:pt>
                <c:pt idx="141">
                  <c:v>26535</c:v>
                </c:pt>
                <c:pt idx="142">
                  <c:v>26325</c:v>
                </c:pt>
                <c:pt idx="143">
                  <c:v>26325</c:v>
                </c:pt>
                <c:pt idx="144">
                  <c:v>5812</c:v>
                </c:pt>
                <c:pt idx="145">
                  <c:v>5812</c:v>
                </c:pt>
                <c:pt idx="146">
                  <c:v>5692</c:v>
                </c:pt>
                <c:pt idx="147">
                  <c:v>5692</c:v>
                </c:pt>
                <c:pt idx="148">
                  <c:v>6150</c:v>
                </c:pt>
                <c:pt idx="149">
                  <c:v>6150</c:v>
                </c:pt>
                <c:pt idx="150">
                  <c:v>5813</c:v>
                </c:pt>
                <c:pt idx="151">
                  <c:v>5813</c:v>
                </c:pt>
                <c:pt idx="152">
                  <c:v>5841</c:v>
                </c:pt>
                <c:pt idx="153">
                  <c:v>5841</c:v>
                </c:pt>
                <c:pt idx="154">
                  <c:v>5755</c:v>
                </c:pt>
                <c:pt idx="155">
                  <c:v>5755</c:v>
                </c:pt>
                <c:pt idx="156">
                  <c:v>5903</c:v>
                </c:pt>
                <c:pt idx="157">
                  <c:v>5903</c:v>
                </c:pt>
                <c:pt idx="158">
                  <c:v>5521</c:v>
                </c:pt>
                <c:pt idx="159">
                  <c:v>5521</c:v>
                </c:pt>
                <c:pt idx="160">
                  <c:v>29262</c:v>
                </c:pt>
                <c:pt idx="161">
                  <c:v>29262</c:v>
                </c:pt>
                <c:pt idx="162">
                  <c:v>35224</c:v>
                </c:pt>
                <c:pt idx="163">
                  <c:v>35224</c:v>
                </c:pt>
                <c:pt idx="164">
                  <c:v>26892</c:v>
                </c:pt>
                <c:pt idx="165">
                  <c:v>26892</c:v>
                </c:pt>
                <c:pt idx="166">
                  <c:v>35176</c:v>
                </c:pt>
                <c:pt idx="167">
                  <c:v>35176</c:v>
                </c:pt>
                <c:pt idx="168">
                  <c:v>28491</c:v>
                </c:pt>
                <c:pt idx="169">
                  <c:v>28491</c:v>
                </c:pt>
                <c:pt idx="170">
                  <c:v>35041</c:v>
                </c:pt>
                <c:pt idx="171">
                  <c:v>35041</c:v>
                </c:pt>
                <c:pt idx="172">
                  <c:v>35870</c:v>
                </c:pt>
                <c:pt idx="173">
                  <c:v>35870</c:v>
                </c:pt>
                <c:pt idx="174">
                  <c:v>34978</c:v>
                </c:pt>
                <c:pt idx="175">
                  <c:v>34978</c:v>
                </c:pt>
                <c:pt idx="176">
                  <c:v>6457</c:v>
                </c:pt>
                <c:pt idx="177">
                  <c:v>6457</c:v>
                </c:pt>
                <c:pt idx="178">
                  <c:v>6283</c:v>
                </c:pt>
                <c:pt idx="179">
                  <c:v>6283</c:v>
                </c:pt>
                <c:pt idx="180">
                  <c:v>21364</c:v>
                </c:pt>
                <c:pt idx="181">
                  <c:v>21364</c:v>
                </c:pt>
                <c:pt idx="182">
                  <c:v>26565</c:v>
                </c:pt>
                <c:pt idx="183">
                  <c:v>26565</c:v>
                </c:pt>
                <c:pt idx="184">
                  <c:v>26329</c:v>
                </c:pt>
                <c:pt idx="185">
                  <c:v>26329</c:v>
                </c:pt>
                <c:pt idx="186">
                  <c:v>20707</c:v>
                </c:pt>
                <c:pt idx="187">
                  <c:v>20707</c:v>
                </c:pt>
                <c:pt idx="188">
                  <c:v>6135</c:v>
                </c:pt>
                <c:pt idx="189">
                  <c:v>6135</c:v>
                </c:pt>
                <c:pt idx="190">
                  <c:v>6498</c:v>
                </c:pt>
                <c:pt idx="191">
                  <c:v>6498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D3-7246-AEE6-7FB5891870FE}"/>
            </c:ext>
          </c:extLst>
        </c:ser>
        <c:ser>
          <c:idx val="1"/>
          <c:order val="1"/>
          <c:tx>
            <c:strRef>
              <c:f>'Removed 15'!$Q$1</c:f>
              <c:strCache>
                <c:ptCount val="1"/>
                <c:pt idx="0">
                  <c:v>Sapling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'Removed 15'!$Q$2:$Q$193</c:f>
              <c:numCache>
                <c:formatCode>General</c:formatCode>
                <c:ptCount val="192"/>
                <c:pt idx="0">
                  <c:v>32631</c:v>
                </c:pt>
                <c:pt idx="1">
                  <c:v>35386</c:v>
                </c:pt>
                <c:pt idx="2">
                  <c:v>35659</c:v>
                </c:pt>
                <c:pt idx="3">
                  <c:v>42636</c:v>
                </c:pt>
                <c:pt idx="4">
                  <c:v>32831</c:v>
                </c:pt>
                <c:pt idx="5">
                  <c:v>36258</c:v>
                </c:pt>
                <c:pt idx="6">
                  <c:v>39124</c:v>
                </c:pt>
                <c:pt idx="7">
                  <c:v>43492</c:v>
                </c:pt>
                <c:pt idx="8">
                  <c:v>30154</c:v>
                </c:pt>
                <c:pt idx="9">
                  <c:v>35130</c:v>
                </c:pt>
                <c:pt idx="10">
                  <c:v>34663</c:v>
                </c:pt>
                <c:pt idx="11">
                  <c:v>40936</c:v>
                </c:pt>
                <c:pt idx="12">
                  <c:v>29523</c:v>
                </c:pt>
                <c:pt idx="13">
                  <c:v>37049</c:v>
                </c:pt>
                <c:pt idx="14">
                  <c:v>35952</c:v>
                </c:pt>
                <c:pt idx="15">
                  <c:v>40266</c:v>
                </c:pt>
                <c:pt idx="16">
                  <c:v>26741</c:v>
                </c:pt>
                <c:pt idx="17">
                  <c:v>26737</c:v>
                </c:pt>
                <c:pt idx="18">
                  <c:v>29257</c:v>
                </c:pt>
                <c:pt idx="19">
                  <c:v>29257</c:v>
                </c:pt>
                <c:pt idx="20">
                  <c:v>26311</c:v>
                </c:pt>
                <c:pt idx="21">
                  <c:v>26311</c:v>
                </c:pt>
                <c:pt idx="22">
                  <c:v>29105</c:v>
                </c:pt>
                <c:pt idx="23">
                  <c:v>29105</c:v>
                </c:pt>
                <c:pt idx="24">
                  <c:v>26814</c:v>
                </c:pt>
                <c:pt idx="25">
                  <c:v>26814</c:v>
                </c:pt>
                <c:pt idx="26">
                  <c:v>29066</c:v>
                </c:pt>
                <c:pt idx="27">
                  <c:v>29066</c:v>
                </c:pt>
                <c:pt idx="28">
                  <c:v>26212</c:v>
                </c:pt>
                <c:pt idx="29">
                  <c:v>26212</c:v>
                </c:pt>
                <c:pt idx="30">
                  <c:v>28608</c:v>
                </c:pt>
                <c:pt idx="31">
                  <c:v>28608</c:v>
                </c:pt>
                <c:pt idx="32">
                  <c:v>39899</c:v>
                </c:pt>
                <c:pt idx="33">
                  <c:v>41092</c:v>
                </c:pt>
                <c:pt idx="34">
                  <c:v>39197</c:v>
                </c:pt>
                <c:pt idx="35">
                  <c:v>39128</c:v>
                </c:pt>
                <c:pt idx="36">
                  <c:v>39818</c:v>
                </c:pt>
                <c:pt idx="37">
                  <c:v>41236</c:v>
                </c:pt>
                <c:pt idx="38">
                  <c:v>38197</c:v>
                </c:pt>
                <c:pt idx="39">
                  <c:v>39343</c:v>
                </c:pt>
                <c:pt idx="40">
                  <c:v>41844</c:v>
                </c:pt>
                <c:pt idx="41">
                  <c:v>39144</c:v>
                </c:pt>
                <c:pt idx="42">
                  <c:v>39446</c:v>
                </c:pt>
                <c:pt idx="43">
                  <c:v>35240</c:v>
                </c:pt>
                <c:pt idx="44">
                  <c:v>41137</c:v>
                </c:pt>
                <c:pt idx="45">
                  <c:v>43250</c:v>
                </c:pt>
                <c:pt idx="46">
                  <c:v>39433</c:v>
                </c:pt>
                <c:pt idx="47">
                  <c:v>38623</c:v>
                </c:pt>
                <c:pt idx="48">
                  <c:v>45843</c:v>
                </c:pt>
                <c:pt idx="49">
                  <c:v>45843</c:v>
                </c:pt>
                <c:pt idx="50">
                  <c:v>42215</c:v>
                </c:pt>
                <c:pt idx="51">
                  <c:v>42215</c:v>
                </c:pt>
                <c:pt idx="52">
                  <c:v>41436</c:v>
                </c:pt>
                <c:pt idx="53">
                  <c:v>44922</c:v>
                </c:pt>
                <c:pt idx="54">
                  <c:v>40107</c:v>
                </c:pt>
                <c:pt idx="55">
                  <c:v>40107</c:v>
                </c:pt>
                <c:pt idx="56">
                  <c:v>36849</c:v>
                </c:pt>
                <c:pt idx="57">
                  <c:v>36849</c:v>
                </c:pt>
                <c:pt idx="58">
                  <c:v>36051</c:v>
                </c:pt>
                <c:pt idx="59">
                  <c:v>36051</c:v>
                </c:pt>
                <c:pt idx="60">
                  <c:v>39560</c:v>
                </c:pt>
                <c:pt idx="61">
                  <c:v>39560</c:v>
                </c:pt>
                <c:pt idx="62">
                  <c:v>40908</c:v>
                </c:pt>
                <c:pt idx="63">
                  <c:v>41198</c:v>
                </c:pt>
                <c:pt idx="64">
                  <c:v>44035</c:v>
                </c:pt>
                <c:pt idx="65">
                  <c:v>40786</c:v>
                </c:pt>
                <c:pt idx="66">
                  <c:v>39103</c:v>
                </c:pt>
                <c:pt idx="67">
                  <c:v>43188</c:v>
                </c:pt>
                <c:pt idx="68">
                  <c:v>35720</c:v>
                </c:pt>
                <c:pt idx="69">
                  <c:v>41906</c:v>
                </c:pt>
                <c:pt idx="70">
                  <c:v>39313</c:v>
                </c:pt>
                <c:pt idx="71">
                  <c:v>41668</c:v>
                </c:pt>
                <c:pt idx="72">
                  <c:v>44592</c:v>
                </c:pt>
                <c:pt idx="73">
                  <c:v>43637</c:v>
                </c:pt>
                <c:pt idx="74">
                  <c:v>39664</c:v>
                </c:pt>
                <c:pt idx="75">
                  <c:v>42779</c:v>
                </c:pt>
                <c:pt idx="76">
                  <c:v>43485</c:v>
                </c:pt>
                <c:pt idx="77">
                  <c:v>42462</c:v>
                </c:pt>
                <c:pt idx="78">
                  <c:v>39532</c:v>
                </c:pt>
                <c:pt idx="79">
                  <c:v>42591</c:v>
                </c:pt>
                <c:pt idx="80">
                  <c:v>30669</c:v>
                </c:pt>
                <c:pt idx="81">
                  <c:v>32718</c:v>
                </c:pt>
                <c:pt idx="82">
                  <c:v>30126</c:v>
                </c:pt>
                <c:pt idx="83">
                  <c:v>48087</c:v>
                </c:pt>
                <c:pt idx="84">
                  <c:v>30469</c:v>
                </c:pt>
                <c:pt idx="85">
                  <c:v>33227</c:v>
                </c:pt>
                <c:pt idx="86">
                  <c:v>30745</c:v>
                </c:pt>
                <c:pt idx="87">
                  <c:v>31894</c:v>
                </c:pt>
                <c:pt idx="88">
                  <c:v>45883</c:v>
                </c:pt>
                <c:pt idx="89">
                  <c:v>44687</c:v>
                </c:pt>
                <c:pt idx="90">
                  <c:v>31266</c:v>
                </c:pt>
                <c:pt idx="91">
                  <c:v>32371</c:v>
                </c:pt>
                <c:pt idx="92">
                  <c:v>30071</c:v>
                </c:pt>
                <c:pt idx="93">
                  <c:v>30694</c:v>
                </c:pt>
                <c:pt idx="94">
                  <c:v>29519</c:v>
                </c:pt>
                <c:pt idx="95">
                  <c:v>48208</c:v>
                </c:pt>
                <c:pt idx="96">
                  <c:v>35978</c:v>
                </c:pt>
                <c:pt idx="97">
                  <c:v>36180</c:v>
                </c:pt>
                <c:pt idx="98">
                  <c:v>41061</c:v>
                </c:pt>
                <c:pt idx="99">
                  <c:v>41061</c:v>
                </c:pt>
                <c:pt idx="100">
                  <c:v>35785</c:v>
                </c:pt>
                <c:pt idx="101">
                  <c:v>35785</c:v>
                </c:pt>
                <c:pt idx="102">
                  <c:v>41124</c:v>
                </c:pt>
                <c:pt idx="103">
                  <c:v>41124</c:v>
                </c:pt>
                <c:pt idx="104">
                  <c:v>34101</c:v>
                </c:pt>
                <c:pt idx="105">
                  <c:v>34101</c:v>
                </c:pt>
                <c:pt idx="106">
                  <c:v>40675</c:v>
                </c:pt>
                <c:pt idx="107">
                  <c:v>40675</c:v>
                </c:pt>
                <c:pt idx="108">
                  <c:v>36633</c:v>
                </c:pt>
                <c:pt idx="109">
                  <c:v>35835</c:v>
                </c:pt>
                <c:pt idx="110">
                  <c:v>40258</c:v>
                </c:pt>
                <c:pt idx="111">
                  <c:v>40258</c:v>
                </c:pt>
                <c:pt idx="112">
                  <c:v>26755</c:v>
                </c:pt>
                <c:pt idx="113">
                  <c:v>26755</c:v>
                </c:pt>
                <c:pt idx="114">
                  <c:v>29042</c:v>
                </c:pt>
                <c:pt idx="115">
                  <c:v>29042</c:v>
                </c:pt>
                <c:pt idx="116">
                  <c:v>26694</c:v>
                </c:pt>
                <c:pt idx="117">
                  <c:v>26694</c:v>
                </c:pt>
                <c:pt idx="118">
                  <c:v>28401</c:v>
                </c:pt>
                <c:pt idx="119">
                  <c:v>28401</c:v>
                </c:pt>
                <c:pt idx="120">
                  <c:v>26964</c:v>
                </c:pt>
                <c:pt idx="121">
                  <c:v>26964</c:v>
                </c:pt>
                <c:pt idx="122">
                  <c:v>29154</c:v>
                </c:pt>
                <c:pt idx="123">
                  <c:v>29154</c:v>
                </c:pt>
                <c:pt idx="124">
                  <c:v>26819</c:v>
                </c:pt>
                <c:pt idx="125">
                  <c:v>26819</c:v>
                </c:pt>
                <c:pt idx="126">
                  <c:v>28554</c:v>
                </c:pt>
                <c:pt idx="127">
                  <c:v>28554</c:v>
                </c:pt>
                <c:pt idx="128">
                  <c:v>41968</c:v>
                </c:pt>
                <c:pt idx="129">
                  <c:v>41968</c:v>
                </c:pt>
                <c:pt idx="130">
                  <c:v>39900</c:v>
                </c:pt>
                <c:pt idx="131">
                  <c:v>39900</c:v>
                </c:pt>
                <c:pt idx="132">
                  <c:v>40165</c:v>
                </c:pt>
                <c:pt idx="133">
                  <c:v>40165</c:v>
                </c:pt>
                <c:pt idx="134">
                  <c:v>39923</c:v>
                </c:pt>
                <c:pt idx="135">
                  <c:v>39923</c:v>
                </c:pt>
                <c:pt idx="136">
                  <c:v>36886</c:v>
                </c:pt>
                <c:pt idx="137">
                  <c:v>36886</c:v>
                </c:pt>
                <c:pt idx="138">
                  <c:v>42234</c:v>
                </c:pt>
                <c:pt idx="139">
                  <c:v>42234</c:v>
                </c:pt>
                <c:pt idx="140">
                  <c:v>42228</c:v>
                </c:pt>
                <c:pt idx="141">
                  <c:v>42228</c:v>
                </c:pt>
                <c:pt idx="142">
                  <c:v>41196</c:v>
                </c:pt>
                <c:pt idx="143">
                  <c:v>41196</c:v>
                </c:pt>
                <c:pt idx="144">
                  <c:v>42247</c:v>
                </c:pt>
                <c:pt idx="145">
                  <c:v>42247</c:v>
                </c:pt>
                <c:pt idx="146">
                  <c:v>41332</c:v>
                </c:pt>
                <c:pt idx="147">
                  <c:v>41332</c:v>
                </c:pt>
                <c:pt idx="148">
                  <c:v>44369</c:v>
                </c:pt>
                <c:pt idx="149">
                  <c:v>44369</c:v>
                </c:pt>
                <c:pt idx="150">
                  <c:v>42185</c:v>
                </c:pt>
                <c:pt idx="151">
                  <c:v>42185</c:v>
                </c:pt>
                <c:pt idx="152">
                  <c:v>43394</c:v>
                </c:pt>
                <c:pt idx="153">
                  <c:v>43394</c:v>
                </c:pt>
                <c:pt idx="154">
                  <c:v>41832</c:v>
                </c:pt>
                <c:pt idx="155">
                  <c:v>41832</c:v>
                </c:pt>
                <c:pt idx="156">
                  <c:v>43254</c:v>
                </c:pt>
                <c:pt idx="157">
                  <c:v>43254</c:v>
                </c:pt>
                <c:pt idx="158">
                  <c:v>40390</c:v>
                </c:pt>
                <c:pt idx="159">
                  <c:v>40390</c:v>
                </c:pt>
                <c:pt idx="160">
                  <c:v>44412</c:v>
                </c:pt>
                <c:pt idx="161">
                  <c:v>44412</c:v>
                </c:pt>
                <c:pt idx="162">
                  <c:v>40078</c:v>
                </c:pt>
                <c:pt idx="163">
                  <c:v>40078</c:v>
                </c:pt>
                <c:pt idx="164">
                  <c:v>40883</c:v>
                </c:pt>
                <c:pt idx="165">
                  <c:v>40883</c:v>
                </c:pt>
                <c:pt idx="166">
                  <c:v>40421</c:v>
                </c:pt>
                <c:pt idx="167">
                  <c:v>40421</c:v>
                </c:pt>
                <c:pt idx="168">
                  <c:v>43158</c:v>
                </c:pt>
                <c:pt idx="169">
                  <c:v>43158</c:v>
                </c:pt>
                <c:pt idx="170">
                  <c:v>39841</c:v>
                </c:pt>
                <c:pt idx="171">
                  <c:v>39841</c:v>
                </c:pt>
                <c:pt idx="172">
                  <c:v>41337</c:v>
                </c:pt>
                <c:pt idx="173">
                  <c:v>41337</c:v>
                </c:pt>
                <c:pt idx="174">
                  <c:v>39244</c:v>
                </c:pt>
                <c:pt idx="175">
                  <c:v>39244</c:v>
                </c:pt>
                <c:pt idx="176">
                  <c:v>48191</c:v>
                </c:pt>
                <c:pt idx="177">
                  <c:v>48191</c:v>
                </c:pt>
                <c:pt idx="178">
                  <c:v>46808</c:v>
                </c:pt>
                <c:pt idx="179">
                  <c:v>46808</c:v>
                </c:pt>
                <c:pt idx="180">
                  <c:v>32402</c:v>
                </c:pt>
                <c:pt idx="181">
                  <c:v>32402</c:v>
                </c:pt>
                <c:pt idx="182">
                  <c:v>29681</c:v>
                </c:pt>
                <c:pt idx="183">
                  <c:v>29681</c:v>
                </c:pt>
                <c:pt idx="184">
                  <c:v>30404</c:v>
                </c:pt>
                <c:pt idx="185">
                  <c:v>30404</c:v>
                </c:pt>
                <c:pt idx="186">
                  <c:v>31265</c:v>
                </c:pt>
                <c:pt idx="187">
                  <c:v>31265</c:v>
                </c:pt>
                <c:pt idx="188">
                  <c:v>46226</c:v>
                </c:pt>
                <c:pt idx="189">
                  <c:v>46226</c:v>
                </c:pt>
                <c:pt idx="190">
                  <c:v>47985</c:v>
                </c:pt>
                <c:pt idx="191">
                  <c:v>47985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D3-7246-AEE6-7FB5891870FE}"/>
            </c:ext>
          </c:extLst>
        </c:ser>
        <c:ser>
          <c:idx val="2"/>
          <c:order val="2"/>
          <c:tx>
            <c:strRef>
              <c:f>'Removed 15'!$R$1</c:f>
              <c:strCache>
                <c:ptCount val="1"/>
                <c:pt idx="0">
                  <c:v>Pole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'Removed 15'!$R$2:$R$193</c:f>
              <c:numCache>
                <c:formatCode>General</c:formatCode>
                <c:ptCount val="192"/>
                <c:pt idx="0">
                  <c:v>3480</c:v>
                </c:pt>
                <c:pt idx="1">
                  <c:v>3891</c:v>
                </c:pt>
                <c:pt idx="2">
                  <c:v>3391</c:v>
                </c:pt>
                <c:pt idx="3">
                  <c:v>4010</c:v>
                </c:pt>
                <c:pt idx="4">
                  <c:v>3271</c:v>
                </c:pt>
                <c:pt idx="5">
                  <c:v>3905</c:v>
                </c:pt>
                <c:pt idx="6">
                  <c:v>3563</c:v>
                </c:pt>
                <c:pt idx="7">
                  <c:v>4001</c:v>
                </c:pt>
                <c:pt idx="8">
                  <c:v>3302</c:v>
                </c:pt>
                <c:pt idx="9">
                  <c:v>3834</c:v>
                </c:pt>
                <c:pt idx="10">
                  <c:v>3385</c:v>
                </c:pt>
                <c:pt idx="11">
                  <c:v>4013</c:v>
                </c:pt>
                <c:pt idx="12">
                  <c:v>3381</c:v>
                </c:pt>
                <c:pt idx="13">
                  <c:v>3844</c:v>
                </c:pt>
                <c:pt idx="14">
                  <c:v>3456</c:v>
                </c:pt>
                <c:pt idx="15">
                  <c:v>4024</c:v>
                </c:pt>
                <c:pt idx="16">
                  <c:v>7991</c:v>
                </c:pt>
                <c:pt idx="17">
                  <c:v>7988</c:v>
                </c:pt>
                <c:pt idx="18">
                  <c:v>8264</c:v>
                </c:pt>
                <c:pt idx="19">
                  <c:v>8264</c:v>
                </c:pt>
                <c:pt idx="20">
                  <c:v>8253</c:v>
                </c:pt>
                <c:pt idx="21">
                  <c:v>8253</c:v>
                </c:pt>
                <c:pt idx="22">
                  <c:v>8410</c:v>
                </c:pt>
                <c:pt idx="23">
                  <c:v>8410</c:v>
                </c:pt>
                <c:pt idx="24">
                  <c:v>7944</c:v>
                </c:pt>
                <c:pt idx="25">
                  <c:v>7944</c:v>
                </c:pt>
                <c:pt idx="26">
                  <c:v>8364</c:v>
                </c:pt>
                <c:pt idx="27">
                  <c:v>8364</c:v>
                </c:pt>
                <c:pt idx="28">
                  <c:v>7978</c:v>
                </c:pt>
                <c:pt idx="29">
                  <c:v>7978</c:v>
                </c:pt>
                <c:pt idx="30">
                  <c:v>8443</c:v>
                </c:pt>
                <c:pt idx="31">
                  <c:v>8443</c:v>
                </c:pt>
                <c:pt idx="32">
                  <c:v>3162</c:v>
                </c:pt>
                <c:pt idx="33">
                  <c:v>3271</c:v>
                </c:pt>
                <c:pt idx="34">
                  <c:v>3091</c:v>
                </c:pt>
                <c:pt idx="35">
                  <c:v>2996</c:v>
                </c:pt>
                <c:pt idx="36">
                  <c:v>3170</c:v>
                </c:pt>
                <c:pt idx="37">
                  <c:v>3217</c:v>
                </c:pt>
                <c:pt idx="38">
                  <c:v>2950</c:v>
                </c:pt>
                <c:pt idx="39">
                  <c:v>3023</c:v>
                </c:pt>
                <c:pt idx="40">
                  <c:v>3204</c:v>
                </c:pt>
                <c:pt idx="41">
                  <c:v>3106</c:v>
                </c:pt>
                <c:pt idx="42">
                  <c:v>3101</c:v>
                </c:pt>
                <c:pt idx="43">
                  <c:v>3651</c:v>
                </c:pt>
                <c:pt idx="44">
                  <c:v>3173</c:v>
                </c:pt>
                <c:pt idx="45">
                  <c:v>3374</c:v>
                </c:pt>
                <c:pt idx="46">
                  <c:v>3029</c:v>
                </c:pt>
                <c:pt idx="47">
                  <c:v>3008</c:v>
                </c:pt>
                <c:pt idx="48">
                  <c:v>7822</c:v>
                </c:pt>
                <c:pt idx="49">
                  <c:v>7822</c:v>
                </c:pt>
                <c:pt idx="50">
                  <c:v>7823</c:v>
                </c:pt>
                <c:pt idx="51">
                  <c:v>7823</c:v>
                </c:pt>
                <c:pt idx="52">
                  <c:v>7123</c:v>
                </c:pt>
                <c:pt idx="53">
                  <c:v>7942</c:v>
                </c:pt>
                <c:pt idx="54">
                  <c:v>6641</c:v>
                </c:pt>
                <c:pt idx="55">
                  <c:v>6641</c:v>
                </c:pt>
                <c:pt idx="56">
                  <c:v>5957</c:v>
                </c:pt>
                <c:pt idx="57">
                  <c:v>5957</c:v>
                </c:pt>
                <c:pt idx="58">
                  <c:v>5900</c:v>
                </c:pt>
                <c:pt idx="59">
                  <c:v>5900</c:v>
                </c:pt>
                <c:pt idx="60">
                  <c:v>6329</c:v>
                </c:pt>
                <c:pt idx="61">
                  <c:v>6329</c:v>
                </c:pt>
                <c:pt idx="62">
                  <c:v>7095</c:v>
                </c:pt>
                <c:pt idx="63">
                  <c:v>7123</c:v>
                </c:pt>
                <c:pt idx="64">
                  <c:v>3213</c:v>
                </c:pt>
                <c:pt idx="65">
                  <c:v>3338</c:v>
                </c:pt>
                <c:pt idx="66">
                  <c:v>3086</c:v>
                </c:pt>
                <c:pt idx="67">
                  <c:v>3068</c:v>
                </c:pt>
                <c:pt idx="68">
                  <c:v>3778</c:v>
                </c:pt>
                <c:pt idx="69">
                  <c:v>3192</c:v>
                </c:pt>
                <c:pt idx="70">
                  <c:v>3152</c:v>
                </c:pt>
                <c:pt idx="71">
                  <c:v>3202</c:v>
                </c:pt>
                <c:pt idx="72">
                  <c:v>3303</c:v>
                </c:pt>
                <c:pt idx="73">
                  <c:v>3369</c:v>
                </c:pt>
                <c:pt idx="74">
                  <c:v>3159</c:v>
                </c:pt>
                <c:pt idx="75">
                  <c:v>3077</c:v>
                </c:pt>
                <c:pt idx="76">
                  <c:v>3424</c:v>
                </c:pt>
                <c:pt idx="77">
                  <c:v>3342</c:v>
                </c:pt>
                <c:pt idx="78">
                  <c:v>3167</c:v>
                </c:pt>
                <c:pt idx="79">
                  <c:v>3114</c:v>
                </c:pt>
                <c:pt idx="80">
                  <c:v>4826</c:v>
                </c:pt>
                <c:pt idx="81">
                  <c:v>4851</c:v>
                </c:pt>
                <c:pt idx="82">
                  <c:v>4763</c:v>
                </c:pt>
                <c:pt idx="83">
                  <c:v>4665</c:v>
                </c:pt>
                <c:pt idx="84">
                  <c:v>4686</c:v>
                </c:pt>
                <c:pt idx="85">
                  <c:v>4843</c:v>
                </c:pt>
                <c:pt idx="86">
                  <c:v>4818</c:v>
                </c:pt>
                <c:pt idx="87">
                  <c:v>4706</c:v>
                </c:pt>
                <c:pt idx="88">
                  <c:v>4642</c:v>
                </c:pt>
                <c:pt idx="89">
                  <c:v>4658</c:v>
                </c:pt>
                <c:pt idx="90">
                  <c:v>4774</c:v>
                </c:pt>
                <c:pt idx="91">
                  <c:v>4924</c:v>
                </c:pt>
                <c:pt idx="92">
                  <c:v>4772</c:v>
                </c:pt>
                <c:pt idx="93">
                  <c:v>4816</c:v>
                </c:pt>
                <c:pt idx="94">
                  <c:v>4716</c:v>
                </c:pt>
                <c:pt idx="95">
                  <c:v>4630</c:v>
                </c:pt>
                <c:pt idx="96">
                  <c:v>3883</c:v>
                </c:pt>
                <c:pt idx="97">
                  <c:v>3820</c:v>
                </c:pt>
                <c:pt idx="98">
                  <c:v>4030</c:v>
                </c:pt>
                <c:pt idx="99">
                  <c:v>4030</c:v>
                </c:pt>
                <c:pt idx="100">
                  <c:v>3920</c:v>
                </c:pt>
                <c:pt idx="101">
                  <c:v>3920</c:v>
                </c:pt>
                <c:pt idx="102">
                  <c:v>4073</c:v>
                </c:pt>
                <c:pt idx="103">
                  <c:v>4073</c:v>
                </c:pt>
                <c:pt idx="104">
                  <c:v>3734</c:v>
                </c:pt>
                <c:pt idx="105">
                  <c:v>3734</c:v>
                </c:pt>
                <c:pt idx="106">
                  <c:v>3925</c:v>
                </c:pt>
                <c:pt idx="107">
                  <c:v>3925</c:v>
                </c:pt>
                <c:pt idx="108">
                  <c:v>3823</c:v>
                </c:pt>
                <c:pt idx="109">
                  <c:v>3796</c:v>
                </c:pt>
                <c:pt idx="110">
                  <c:v>4007</c:v>
                </c:pt>
                <c:pt idx="111">
                  <c:v>4007</c:v>
                </c:pt>
                <c:pt idx="112">
                  <c:v>8189</c:v>
                </c:pt>
                <c:pt idx="113">
                  <c:v>8189</c:v>
                </c:pt>
                <c:pt idx="114">
                  <c:v>8506</c:v>
                </c:pt>
                <c:pt idx="115">
                  <c:v>8506</c:v>
                </c:pt>
                <c:pt idx="116">
                  <c:v>8249</c:v>
                </c:pt>
                <c:pt idx="117">
                  <c:v>8249</c:v>
                </c:pt>
                <c:pt idx="118">
                  <c:v>8458</c:v>
                </c:pt>
                <c:pt idx="119">
                  <c:v>8458</c:v>
                </c:pt>
                <c:pt idx="120">
                  <c:v>8012</c:v>
                </c:pt>
                <c:pt idx="121">
                  <c:v>8012</c:v>
                </c:pt>
                <c:pt idx="122">
                  <c:v>8333</c:v>
                </c:pt>
                <c:pt idx="123">
                  <c:v>8333</c:v>
                </c:pt>
                <c:pt idx="124">
                  <c:v>8001</c:v>
                </c:pt>
                <c:pt idx="125">
                  <c:v>8001</c:v>
                </c:pt>
                <c:pt idx="126">
                  <c:v>8273</c:v>
                </c:pt>
                <c:pt idx="127">
                  <c:v>8273</c:v>
                </c:pt>
                <c:pt idx="128">
                  <c:v>3537</c:v>
                </c:pt>
                <c:pt idx="129">
                  <c:v>3537</c:v>
                </c:pt>
                <c:pt idx="130">
                  <c:v>3255</c:v>
                </c:pt>
                <c:pt idx="131">
                  <c:v>3255</c:v>
                </c:pt>
                <c:pt idx="132">
                  <c:v>3485</c:v>
                </c:pt>
                <c:pt idx="133">
                  <c:v>3485</c:v>
                </c:pt>
                <c:pt idx="134">
                  <c:v>3287</c:v>
                </c:pt>
                <c:pt idx="135">
                  <c:v>3287</c:v>
                </c:pt>
                <c:pt idx="136">
                  <c:v>4278</c:v>
                </c:pt>
                <c:pt idx="137">
                  <c:v>4278</c:v>
                </c:pt>
                <c:pt idx="138">
                  <c:v>3392</c:v>
                </c:pt>
                <c:pt idx="139">
                  <c:v>3392</c:v>
                </c:pt>
                <c:pt idx="140">
                  <c:v>3602</c:v>
                </c:pt>
                <c:pt idx="141">
                  <c:v>3602</c:v>
                </c:pt>
                <c:pt idx="142">
                  <c:v>3259</c:v>
                </c:pt>
                <c:pt idx="143">
                  <c:v>3259</c:v>
                </c:pt>
                <c:pt idx="144">
                  <c:v>7207</c:v>
                </c:pt>
                <c:pt idx="145">
                  <c:v>7207</c:v>
                </c:pt>
                <c:pt idx="146">
                  <c:v>7116</c:v>
                </c:pt>
                <c:pt idx="147">
                  <c:v>7116</c:v>
                </c:pt>
                <c:pt idx="148">
                  <c:v>7793</c:v>
                </c:pt>
                <c:pt idx="149">
                  <c:v>7793</c:v>
                </c:pt>
                <c:pt idx="150">
                  <c:v>7804</c:v>
                </c:pt>
                <c:pt idx="151">
                  <c:v>7804</c:v>
                </c:pt>
                <c:pt idx="152">
                  <c:v>7773</c:v>
                </c:pt>
                <c:pt idx="153">
                  <c:v>7773</c:v>
                </c:pt>
                <c:pt idx="154">
                  <c:v>7192</c:v>
                </c:pt>
                <c:pt idx="155">
                  <c:v>7192</c:v>
                </c:pt>
                <c:pt idx="156">
                  <c:v>7783</c:v>
                </c:pt>
                <c:pt idx="157">
                  <c:v>7783</c:v>
                </c:pt>
                <c:pt idx="158">
                  <c:v>6718</c:v>
                </c:pt>
                <c:pt idx="159">
                  <c:v>6718</c:v>
                </c:pt>
                <c:pt idx="160">
                  <c:v>3830</c:v>
                </c:pt>
                <c:pt idx="161">
                  <c:v>3830</c:v>
                </c:pt>
                <c:pt idx="162">
                  <c:v>3484</c:v>
                </c:pt>
                <c:pt idx="163">
                  <c:v>3484</c:v>
                </c:pt>
                <c:pt idx="164">
                  <c:v>3718</c:v>
                </c:pt>
                <c:pt idx="165">
                  <c:v>3718</c:v>
                </c:pt>
                <c:pt idx="166">
                  <c:v>3515</c:v>
                </c:pt>
                <c:pt idx="167">
                  <c:v>3515</c:v>
                </c:pt>
                <c:pt idx="168">
                  <c:v>3830</c:v>
                </c:pt>
                <c:pt idx="169">
                  <c:v>3830</c:v>
                </c:pt>
                <c:pt idx="170">
                  <c:v>3629</c:v>
                </c:pt>
                <c:pt idx="171">
                  <c:v>3629</c:v>
                </c:pt>
                <c:pt idx="172">
                  <c:v>3889</c:v>
                </c:pt>
                <c:pt idx="173">
                  <c:v>3889</c:v>
                </c:pt>
                <c:pt idx="174">
                  <c:v>3038</c:v>
                </c:pt>
                <c:pt idx="175">
                  <c:v>3038</c:v>
                </c:pt>
                <c:pt idx="176">
                  <c:v>4682</c:v>
                </c:pt>
                <c:pt idx="177">
                  <c:v>4682</c:v>
                </c:pt>
                <c:pt idx="178">
                  <c:v>4672</c:v>
                </c:pt>
                <c:pt idx="179">
                  <c:v>4672</c:v>
                </c:pt>
                <c:pt idx="180">
                  <c:v>4739</c:v>
                </c:pt>
                <c:pt idx="181">
                  <c:v>4739</c:v>
                </c:pt>
                <c:pt idx="182">
                  <c:v>4621</c:v>
                </c:pt>
                <c:pt idx="183">
                  <c:v>4621</c:v>
                </c:pt>
                <c:pt idx="184">
                  <c:v>4667</c:v>
                </c:pt>
                <c:pt idx="185">
                  <c:v>4667</c:v>
                </c:pt>
                <c:pt idx="186">
                  <c:v>4772</c:v>
                </c:pt>
                <c:pt idx="187">
                  <c:v>4772</c:v>
                </c:pt>
                <c:pt idx="188">
                  <c:v>4679</c:v>
                </c:pt>
                <c:pt idx="189">
                  <c:v>4679</c:v>
                </c:pt>
                <c:pt idx="190">
                  <c:v>4636</c:v>
                </c:pt>
                <c:pt idx="191">
                  <c:v>4636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D3-7246-AEE6-7FB5891870FE}"/>
            </c:ext>
          </c:extLst>
        </c:ser>
        <c:ser>
          <c:idx val="3"/>
          <c:order val="3"/>
          <c:tx>
            <c:strRef>
              <c:f>'Removed 15'!$S$1</c:f>
              <c:strCache>
                <c:ptCount val="1"/>
                <c:pt idx="0">
                  <c:v>Adult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'Removed 15'!$S$2:$S$193</c:f>
              <c:numCache>
                <c:formatCode>General</c:formatCode>
                <c:ptCount val="192"/>
                <c:pt idx="0">
                  <c:v>31158</c:v>
                </c:pt>
                <c:pt idx="1">
                  <c:v>28179</c:v>
                </c:pt>
                <c:pt idx="2">
                  <c:v>34557</c:v>
                </c:pt>
                <c:pt idx="3">
                  <c:v>36044</c:v>
                </c:pt>
                <c:pt idx="4">
                  <c:v>29536</c:v>
                </c:pt>
                <c:pt idx="5">
                  <c:v>27656</c:v>
                </c:pt>
                <c:pt idx="6">
                  <c:v>37591</c:v>
                </c:pt>
                <c:pt idx="7">
                  <c:v>37104</c:v>
                </c:pt>
                <c:pt idx="8">
                  <c:v>27773</c:v>
                </c:pt>
                <c:pt idx="9">
                  <c:v>27574</c:v>
                </c:pt>
                <c:pt idx="10">
                  <c:v>33515</c:v>
                </c:pt>
                <c:pt idx="11">
                  <c:v>34490</c:v>
                </c:pt>
                <c:pt idx="12">
                  <c:v>27027</c:v>
                </c:pt>
                <c:pt idx="13">
                  <c:v>30374</c:v>
                </c:pt>
                <c:pt idx="14">
                  <c:v>33670</c:v>
                </c:pt>
                <c:pt idx="15">
                  <c:v>33884</c:v>
                </c:pt>
                <c:pt idx="16">
                  <c:v>30092</c:v>
                </c:pt>
                <c:pt idx="17">
                  <c:v>30063</c:v>
                </c:pt>
                <c:pt idx="18">
                  <c:v>34335</c:v>
                </c:pt>
                <c:pt idx="19">
                  <c:v>34335</c:v>
                </c:pt>
                <c:pt idx="20">
                  <c:v>28894</c:v>
                </c:pt>
                <c:pt idx="21">
                  <c:v>28894</c:v>
                </c:pt>
                <c:pt idx="22">
                  <c:v>34323</c:v>
                </c:pt>
                <c:pt idx="23">
                  <c:v>34323</c:v>
                </c:pt>
                <c:pt idx="24">
                  <c:v>29729</c:v>
                </c:pt>
                <c:pt idx="25">
                  <c:v>29729</c:v>
                </c:pt>
                <c:pt idx="26">
                  <c:v>33526</c:v>
                </c:pt>
                <c:pt idx="27">
                  <c:v>33526</c:v>
                </c:pt>
                <c:pt idx="28">
                  <c:v>30263</c:v>
                </c:pt>
                <c:pt idx="29">
                  <c:v>30263</c:v>
                </c:pt>
                <c:pt idx="30">
                  <c:v>33572</c:v>
                </c:pt>
                <c:pt idx="31">
                  <c:v>33572</c:v>
                </c:pt>
                <c:pt idx="32">
                  <c:v>38011</c:v>
                </c:pt>
                <c:pt idx="33">
                  <c:v>38350</c:v>
                </c:pt>
                <c:pt idx="34">
                  <c:v>37996</c:v>
                </c:pt>
                <c:pt idx="35">
                  <c:v>38060</c:v>
                </c:pt>
                <c:pt idx="36">
                  <c:v>37961</c:v>
                </c:pt>
                <c:pt idx="37">
                  <c:v>38272</c:v>
                </c:pt>
                <c:pt idx="38">
                  <c:v>38166</c:v>
                </c:pt>
                <c:pt idx="39">
                  <c:v>38104</c:v>
                </c:pt>
                <c:pt idx="40">
                  <c:v>38198</c:v>
                </c:pt>
                <c:pt idx="41">
                  <c:v>38174</c:v>
                </c:pt>
                <c:pt idx="42">
                  <c:v>38240</c:v>
                </c:pt>
                <c:pt idx="43">
                  <c:v>38262</c:v>
                </c:pt>
                <c:pt idx="44">
                  <c:v>38116</c:v>
                </c:pt>
                <c:pt idx="45">
                  <c:v>38249</c:v>
                </c:pt>
                <c:pt idx="46">
                  <c:v>38158</c:v>
                </c:pt>
                <c:pt idx="47">
                  <c:v>38448</c:v>
                </c:pt>
                <c:pt idx="48">
                  <c:v>35782</c:v>
                </c:pt>
                <c:pt idx="49">
                  <c:v>35782</c:v>
                </c:pt>
                <c:pt idx="50">
                  <c:v>35562</c:v>
                </c:pt>
                <c:pt idx="51">
                  <c:v>35562</c:v>
                </c:pt>
                <c:pt idx="52">
                  <c:v>36013</c:v>
                </c:pt>
                <c:pt idx="53">
                  <c:v>35583</c:v>
                </c:pt>
                <c:pt idx="54">
                  <c:v>36598</c:v>
                </c:pt>
                <c:pt idx="55">
                  <c:v>36598</c:v>
                </c:pt>
                <c:pt idx="56">
                  <c:v>37050</c:v>
                </c:pt>
                <c:pt idx="57">
                  <c:v>37050</c:v>
                </c:pt>
                <c:pt idx="58">
                  <c:v>37063</c:v>
                </c:pt>
                <c:pt idx="59">
                  <c:v>37063</c:v>
                </c:pt>
                <c:pt idx="60">
                  <c:v>36927</c:v>
                </c:pt>
                <c:pt idx="61">
                  <c:v>36927</c:v>
                </c:pt>
                <c:pt idx="62">
                  <c:v>36002</c:v>
                </c:pt>
                <c:pt idx="63">
                  <c:v>36183</c:v>
                </c:pt>
                <c:pt idx="64">
                  <c:v>38104</c:v>
                </c:pt>
                <c:pt idx="65">
                  <c:v>38193</c:v>
                </c:pt>
                <c:pt idx="66">
                  <c:v>37888</c:v>
                </c:pt>
                <c:pt idx="67">
                  <c:v>38278</c:v>
                </c:pt>
                <c:pt idx="68">
                  <c:v>38006</c:v>
                </c:pt>
                <c:pt idx="69">
                  <c:v>38231</c:v>
                </c:pt>
                <c:pt idx="70">
                  <c:v>38376</c:v>
                </c:pt>
                <c:pt idx="71">
                  <c:v>38212</c:v>
                </c:pt>
                <c:pt idx="72">
                  <c:v>38553</c:v>
                </c:pt>
                <c:pt idx="73">
                  <c:v>38338</c:v>
                </c:pt>
                <c:pt idx="74">
                  <c:v>38197</c:v>
                </c:pt>
                <c:pt idx="75">
                  <c:v>38040</c:v>
                </c:pt>
                <c:pt idx="76">
                  <c:v>38193</c:v>
                </c:pt>
                <c:pt idx="77">
                  <c:v>38334</c:v>
                </c:pt>
                <c:pt idx="78">
                  <c:v>38235</c:v>
                </c:pt>
                <c:pt idx="79">
                  <c:v>38386</c:v>
                </c:pt>
                <c:pt idx="80">
                  <c:v>37319</c:v>
                </c:pt>
                <c:pt idx="81">
                  <c:v>37559</c:v>
                </c:pt>
                <c:pt idx="82">
                  <c:v>37594</c:v>
                </c:pt>
                <c:pt idx="83">
                  <c:v>37465</c:v>
                </c:pt>
                <c:pt idx="84">
                  <c:v>37347</c:v>
                </c:pt>
                <c:pt idx="85">
                  <c:v>37655</c:v>
                </c:pt>
                <c:pt idx="86">
                  <c:v>37308</c:v>
                </c:pt>
                <c:pt idx="87">
                  <c:v>37563</c:v>
                </c:pt>
                <c:pt idx="88">
                  <c:v>37240</c:v>
                </c:pt>
                <c:pt idx="89">
                  <c:v>37185</c:v>
                </c:pt>
                <c:pt idx="90">
                  <c:v>37401</c:v>
                </c:pt>
                <c:pt idx="91">
                  <c:v>37480</c:v>
                </c:pt>
                <c:pt idx="92">
                  <c:v>37306</c:v>
                </c:pt>
                <c:pt idx="93">
                  <c:v>37510</c:v>
                </c:pt>
                <c:pt idx="94">
                  <c:v>37416</c:v>
                </c:pt>
                <c:pt idx="95">
                  <c:v>37475</c:v>
                </c:pt>
                <c:pt idx="96">
                  <c:v>29728</c:v>
                </c:pt>
                <c:pt idx="97">
                  <c:v>29420</c:v>
                </c:pt>
                <c:pt idx="98">
                  <c:v>35079</c:v>
                </c:pt>
                <c:pt idx="99">
                  <c:v>35079</c:v>
                </c:pt>
                <c:pt idx="100">
                  <c:v>29036</c:v>
                </c:pt>
                <c:pt idx="101">
                  <c:v>29036</c:v>
                </c:pt>
                <c:pt idx="102">
                  <c:v>34867</c:v>
                </c:pt>
                <c:pt idx="103">
                  <c:v>34867</c:v>
                </c:pt>
                <c:pt idx="104">
                  <c:v>27369</c:v>
                </c:pt>
                <c:pt idx="105">
                  <c:v>27369</c:v>
                </c:pt>
                <c:pt idx="106">
                  <c:v>34534</c:v>
                </c:pt>
                <c:pt idx="107">
                  <c:v>34534</c:v>
                </c:pt>
                <c:pt idx="108">
                  <c:v>30226</c:v>
                </c:pt>
                <c:pt idx="109">
                  <c:v>28857</c:v>
                </c:pt>
                <c:pt idx="110">
                  <c:v>34329</c:v>
                </c:pt>
                <c:pt idx="111">
                  <c:v>34329</c:v>
                </c:pt>
                <c:pt idx="112">
                  <c:v>30359</c:v>
                </c:pt>
                <c:pt idx="113">
                  <c:v>30359</c:v>
                </c:pt>
                <c:pt idx="114">
                  <c:v>34040</c:v>
                </c:pt>
                <c:pt idx="115">
                  <c:v>34040</c:v>
                </c:pt>
                <c:pt idx="116">
                  <c:v>29652</c:v>
                </c:pt>
                <c:pt idx="117">
                  <c:v>29652</c:v>
                </c:pt>
                <c:pt idx="118">
                  <c:v>33282</c:v>
                </c:pt>
                <c:pt idx="119">
                  <c:v>33282</c:v>
                </c:pt>
                <c:pt idx="120">
                  <c:v>30660</c:v>
                </c:pt>
                <c:pt idx="121">
                  <c:v>30660</c:v>
                </c:pt>
                <c:pt idx="122">
                  <c:v>33926</c:v>
                </c:pt>
                <c:pt idx="123">
                  <c:v>33926</c:v>
                </c:pt>
                <c:pt idx="124">
                  <c:v>29823</c:v>
                </c:pt>
                <c:pt idx="125">
                  <c:v>29823</c:v>
                </c:pt>
                <c:pt idx="126">
                  <c:v>33305</c:v>
                </c:pt>
                <c:pt idx="127">
                  <c:v>33305</c:v>
                </c:pt>
                <c:pt idx="128">
                  <c:v>38051</c:v>
                </c:pt>
                <c:pt idx="129">
                  <c:v>38051</c:v>
                </c:pt>
                <c:pt idx="130">
                  <c:v>38124</c:v>
                </c:pt>
                <c:pt idx="131">
                  <c:v>38124</c:v>
                </c:pt>
                <c:pt idx="132">
                  <c:v>38161</c:v>
                </c:pt>
                <c:pt idx="133">
                  <c:v>38161</c:v>
                </c:pt>
                <c:pt idx="134">
                  <c:v>38211</c:v>
                </c:pt>
                <c:pt idx="135">
                  <c:v>38211</c:v>
                </c:pt>
                <c:pt idx="136">
                  <c:v>38183</c:v>
                </c:pt>
                <c:pt idx="137">
                  <c:v>38183</c:v>
                </c:pt>
                <c:pt idx="138">
                  <c:v>38378</c:v>
                </c:pt>
                <c:pt idx="139">
                  <c:v>38378</c:v>
                </c:pt>
                <c:pt idx="140">
                  <c:v>38382</c:v>
                </c:pt>
                <c:pt idx="141">
                  <c:v>38382</c:v>
                </c:pt>
                <c:pt idx="142">
                  <c:v>38385</c:v>
                </c:pt>
                <c:pt idx="143">
                  <c:v>38385</c:v>
                </c:pt>
                <c:pt idx="144">
                  <c:v>36062</c:v>
                </c:pt>
                <c:pt idx="145">
                  <c:v>36062</c:v>
                </c:pt>
                <c:pt idx="146">
                  <c:v>36090</c:v>
                </c:pt>
                <c:pt idx="147">
                  <c:v>36090</c:v>
                </c:pt>
                <c:pt idx="148">
                  <c:v>35578</c:v>
                </c:pt>
                <c:pt idx="149">
                  <c:v>35578</c:v>
                </c:pt>
                <c:pt idx="150">
                  <c:v>35487</c:v>
                </c:pt>
                <c:pt idx="151">
                  <c:v>35487</c:v>
                </c:pt>
                <c:pt idx="152">
                  <c:v>35505</c:v>
                </c:pt>
                <c:pt idx="153">
                  <c:v>35505</c:v>
                </c:pt>
                <c:pt idx="154">
                  <c:v>36061</c:v>
                </c:pt>
                <c:pt idx="155">
                  <c:v>36061</c:v>
                </c:pt>
                <c:pt idx="156">
                  <c:v>35499</c:v>
                </c:pt>
                <c:pt idx="157">
                  <c:v>35499</c:v>
                </c:pt>
                <c:pt idx="158">
                  <c:v>36551</c:v>
                </c:pt>
                <c:pt idx="159">
                  <c:v>36551</c:v>
                </c:pt>
                <c:pt idx="160">
                  <c:v>38205</c:v>
                </c:pt>
                <c:pt idx="161">
                  <c:v>38205</c:v>
                </c:pt>
                <c:pt idx="162">
                  <c:v>38454</c:v>
                </c:pt>
                <c:pt idx="163">
                  <c:v>38454</c:v>
                </c:pt>
                <c:pt idx="164">
                  <c:v>38073</c:v>
                </c:pt>
                <c:pt idx="165">
                  <c:v>38073</c:v>
                </c:pt>
                <c:pt idx="166">
                  <c:v>38512</c:v>
                </c:pt>
                <c:pt idx="167">
                  <c:v>38512</c:v>
                </c:pt>
                <c:pt idx="168">
                  <c:v>38243</c:v>
                </c:pt>
                <c:pt idx="169">
                  <c:v>38243</c:v>
                </c:pt>
                <c:pt idx="170">
                  <c:v>38328</c:v>
                </c:pt>
                <c:pt idx="171">
                  <c:v>38328</c:v>
                </c:pt>
                <c:pt idx="172">
                  <c:v>38236</c:v>
                </c:pt>
                <c:pt idx="173">
                  <c:v>38236</c:v>
                </c:pt>
                <c:pt idx="174">
                  <c:v>38258</c:v>
                </c:pt>
                <c:pt idx="175">
                  <c:v>38258</c:v>
                </c:pt>
                <c:pt idx="176">
                  <c:v>37149</c:v>
                </c:pt>
                <c:pt idx="177">
                  <c:v>37149</c:v>
                </c:pt>
                <c:pt idx="178">
                  <c:v>37193</c:v>
                </c:pt>
                <c:pt idx="179">
                  <c:v>37193</c:v>
                </c:pt>
                <c:pt idx="180">
                  <c:v>37531</c:v>
                </c:pt>
                <c:pt idx="181">
                  <c:v>37531</c:v>
                </c:pt>
                <c:pt idx="182">
                  <c:v>37591</c:v>
                </c:pt>
                <c:pt idx="183">
                  <c:v>37591</c:v>
                </c:pt>
                <c:pt idx="184">
                  <c:v>37535</c:v>
                </c:pt>
                <c:pt idx="185">
                  <c:v>37535</c:v>
                </c:pt>
                <c:pt idx="186">
                  <c:v>37435</c:v>
                </c:pt>
                <c:pt idx="187">
                  <c:v>37435</c:v>
                </c:pt>
                <c:pt idx="188">
                  <c:v>37188</c:v>
                </c:pt>
                <c:pt idx="189">
                  <c:v>37188</c:v>
                </c:pt>
                <c:pt idx="190">
                  <c:v>37332</c:v>
                </c:pt>
                <c:pt idx="191">
                  <c:v>37332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D3-7246-AEE6-7FB589187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728496"/>
        <c:axId val="255730224"/>
      </c:lineChart>
      <c:catAx>
        <c:axId val="25572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55730224"/>
        <c:crosses val="autoZero"/>
        <c:auto val="1"/>
        <c:lblAlgn val="ctr"/>
        <c:lblOffset val="100"/>
        <c:noMultiLvlLbl val="0"/>
      </c:catAx>
      <c:valAx>
        <c:axId val="25573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5572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'Removed 15'!$Y$1</c:f>
              <c:strCache>
                <c:ptCount val="1"/>
                <c:pt idx="0">
                  <c:v>m_partners_earning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'Removed 15'!$Y$2:$Y$193</c:f>
              <c:numCache>
                <c:formatCode>General</c:formatCode>
                <c:ptCount val="192"/>
                <c:pt idx="0">
                  <c:v>10515649.014485501</c:v>
                </c:pt>
                <c:pt idx="1">
                  <c:v>12649331.8274744</c:v>
                </c:pt>
                <c:pt idx="2">
                  <c:v>5096634.5222348701</c:v>
                </c:pt>
                <c:pt idx="3">
                  <c:v>6858424.80608992</c:v>
                </c:pt>
                <c:pt idx="4">
                  <c:v>7813527.1152670002</c:v>
                </c:pt>
                <c:pt idx="5">
                  <c:v>8982624.9589376897</c:v>
                </c:pt>
                <c:pt idx="6">
                  <c:v>8056747.9362874199</c:v>
                </c:pt>
                <c:pt idx="7">
                  <c:v>7875108.6328249704</c:v>
                </c:pt>
                <c:pt idx="8">
                  <c:v>6517384.97198244</c:v>
                </c:pt>
                <c:pt idx="9">
                  <c:v>11009125.9215506</c:v>
                </c:pt>
                <c:pt idx="10">
                  <c:v>5295664.4688814702</c:v>
                </c:pt>
                <c:pt idx="11">
                  <c:v>6841452.8232403798</c:v>
                </c:pt>
                <c:pt idx="12">
                  <c:v>7131392.6788024297</c:v>
                </c:pt>
                <c:pt idx="13">
                  <c:v>16383262.450867699</c:v>
                </c:pt>
                <c:pt idx="14">
                  <c:v>5501423.6332726497</c:v>
                </c:pt>
                <c:pt idx="15">
                  <c:v>5961331.5628851</c:v>
                </c:pt>
                <c:pt idx="16">
                  <c:v>5337408.0246238699</c:v>
                </c:pt>
                <c:pt idx="17">
                  <c:v>6378572.9793339903</c:v>
                </c:pt>
                <c:pt idx="18">
                  <c:v>4384756.8373485496</c:v>
                </c:pt>
                <c:pt idx="19">
                  <c:v>4397409.2334057698</c:v>
                </c:pt>
                <c:pt idx="20">
                  <c:v>4989333.9589989502</c:v>
                </c:pt>
                <c:pt idx="21">
                  <c:v>5526918.4259051904</c:v>
                </c:pt>
                <c:pt idx="22">
                  <c:v>4486449.31395882</c:v>
                </c:pt>
                <c:pt idx="23">
                  <c:v>4741634.5054063099</c:v>
                </c:pt>
                <c:pt idx="24">
                  <c:v>5013569.9542877404</c:v>
                </c:pt>
                <c:pt idx="25">
                  <c:v>5950278.9636033</c:v>
                </c:pt>
                <c:pt idx="26">
                  <c:v>3926960.8127812599</c:v>
                </c:pt>
                <c:pt idx="27">
                  <c:v>3993557.7597326799</c:v>
                </c:pt>
                <c:pt idx="28">
                  <c:v>5914953.5137579404</c:v>
                </c:pt>
                <c:pt idx="29">
                  <c:v>7797134.6219710102</c:v>
                </c:pt>
                <c:pt idx="30">
                  <c:v>4086701.0032922002</c:v>
                </c:pt>
                <c:pt idx="31">
                  <c:v>4378735.7094547302</c:v>
                </c:pt>
                <c:pt idx="32">
                  <c:v>19442897.8680964</c:v>
                </c:pt>
                <c:pt idx="33">
                  <c:v>19470854.3054334</c:v>
                </c:pt>
                <c:pt idx="34">
                  <c:v>8804939.1492255107</c:v>
                </c:pt>
                <c:pt idx="35">
                  <c:v>9287902.3168659694</c:v>
                </c:pt>
                <c:pt idx="36">
                  <c:v>18482478.629764002</c:v>
                </c:pt>
                <c:pt idx="37">
                  <c:v>18587755.536563199</c:v>
                </c:pt>
                <c:pt idx="38">
                  <c:v>9065336.7316496093</c:v>
                </c:pt>
                <c:pt idx="39">
                  <c:v>9628718.6758367494</c:v>
                </c:pt>
                <c:pt idx="40">
                  <c:v>19923125.654141199</c:v>
                </c:pt>
                <c:pt idx="41">
                  <c:v>19366660.224896599</c:v>
                </c:pt>
                <c:pt idx="42">
                  <c:v>9775615.8234457001</c:v>
                </c:pt>
                <c:pt idx="43">
                  <c:v>9960784.8596400805</c:v>
                </c:pt>
                <c:pt idx="44">
                  <c:v>19101919.710503101</c:v>
                </c:pt>
                <c:pt idx="45">
                  <c:v>19676608.076409899</c:v>
                </c:pt>
                <c:pt idx="46">
                  <c:v>9760804.1087622102</c:v>
                </c:pt>
                <c:pt idx="47">
                  <c:v>10418230.682326701</c:v>
                </c:pt>
                <c:pt idx="48">
                  <c:v>12712074.155863101</c:v>
                </c:pt>
                <c:pt idx="49">
                  <c:v>12712074.155863101</c:v>
                </c:pt>
                <c:pt idx="50">
                  <c:v>6582219.8630843703</c:v>
                </c:pt>
                <c:pt idx="51">
                  <c:v>6582219.8630843703</c:v>
                </c:pt>
                <c:pt idx="52">
                  <c:v>12908913.5087843</c:v>
                </c:pt>
                <c:pt idx="53">
                  <c:v>12553221.2061192</c:v>
                </c:pt>
                <c:pt idx="54">
                  <c:v>6410840.6334572798</c:v>
                </c:pt>
                <c:pt idx="55">
                  <c:v>6410840.6334572798</c:v>
                </c:pt>
                <c:pt idx="56">
                  <c:v>13713764.6016274</c:v>
                </c:pt>
                <c:pt idx="57">
                  <c:v>13713764.6016274</c:v>
                </c:pt>
                <c:pt idx="58">
                  <c:v>7199822.1405656803</c:v>
                </c:pt>
                <c:pt idx="59">
                  <c:v>7199822.1405656803</c:v>
                </c:pt>
                <c:pt idx="60">
                  <c:v>13532822.267656</c:v>
                </c:pt>
                <c:pt idx="61">
                  <c:v>13532822.267656</c:v>
                </c:pt>
                <c:pt idx="62">
                  <c:v>6912866.9303601803</c:v>
                </c:pt>
                <c:pt idx="63">
                  <c:v>6927404.42800151</c:v>
                </c:pt>
                <c:pt idx="64">
                  <c:v>21556336.058362</c:v>
                </c:pt>
                <c:pt idx="65">
                  <c:v>21146013.442159399</c:v>
                </c:pt>
                <c:pt idx="66">
                  <c:v>11387424.539475</c:v>
                </c:pt>
                <c:pt idx="67">
                  <c:v>10567362.488749299</c:v>
                </c:pt>
                <c:pt idx="68">
                  <c:v>23496909.369991001</c:v>
                </c:pt>
                <c:pt idx="69">
                  <c:v>22438439.547102898</c:v>
                </c:pt>
                <c:pt idx="70">
                  <c:v>10796713.8331175</c:v>
                </c:pt>
                <c:pt idx="71">
                  <c:v>10308108.669684101</c:v>
                </c:pt>
                <c:pt idx="72">
                  <c:v>23053149.774319399</c:v>
                </c:pt>
                <c:pt idx="73">
                  <c:v>22756492.816640399</c:v>
                </c:pt>
                <c:pt idx="74">
                  <c:v>12683548.668361301</c:v>
                </c:pt>
                <c:pt idx="75">
                  <c:v>10543696.5370482</c:v>
                </c:pt>
                <c:pt idx="76">
                  <c:v>22046951.575263299</c:v>
                </c:pt>
                <c:pt idx="77">
                  <c:v>21809785.377733201</c:v>
                </c:pt>
                <c:pt idx="78">
                  <c:v>11933027.5023244</c:v>
                </c:pt>
                <c:pt idx="79">
                  <c:v>10848259.829345001</c:v>
                </c:pt>
                <c:pt idx="80">
                  <c:v>16882120.846648902</c:v>
                </c:pt>
                <c:pt idx="81">
                  <c:v>16030662.788935</c:v>
                </c:pt>
                <c:pt idx="82">
                  <c:v>8944218.2669921592</c:v>
                </c:pt>
                <c:pt idx="83">
                  <c:v>8322387.4417445296</c:v>
                </c:pt>
                <c:pt idx="84">
                  <c:v>16154341.3130347</c:v>
                </c:pt>
                <c:pt idx="85">
                  <c:v>16189588.846561801</c:v>
                </c:pt>
                <c:pt idx="86">
                  <c:v>8468722.8258324806</c:v>
                </c:pt>
                <c:pt idx="87">
                  <c:v>7937821.9849208901</c:v>
                </c:pt>
                <c:pt idx="88">
                  <c:v>18704919.659489602</c:v>
                </c:pt>
                <c:pt idx="89">
                  <c:v>18703971.790360101</c:v>
                </c:pt>
                <c:pt idx="90">
                  <c:v>9300063.0754520502</c:v>
                </c:pt>
                <c:pt idx="91">
                  <c:v>9017586.6765397806</c:v>
                </c:pt>
                <c:pt idx="92">
                  <c:v>17710513.648871802</c:v>
                </c:pt>
                <c:pt idx="93">
                  <c:v>16280107.232778201</c:v>
                </c:pt>
                <c:pt idx="94">
                  <c:v>9173795.9984365106</c:v>
                </c:pt>
                <c:pt idx="95">
                  <c:v>8536772.3655629605</c:v>
                </c:pt>
                <c:pt idx="96">
                  <c:v>7755040.2873828001</c:v>
                </c:pt>
                <c:pt idx="97">
                  <c:v>8284156.8750839904</c:v>
                </c:pt>
                <c:pt idx="98">
                  <c:v>7146329.5232064202</c:v>
                </c:pt>
                <c:pt idx="99">
                  <c:v>8124390.9000574099</c:v>
                </c:pt>
                <c:pt idx="100">
                  <c:v>7816405.8238301799</c:v>
                </c:pt>
                <c:pt idx="101">
                  <c:v>8701447.4416097291</c:v>
                </c:pt>
                <c:pt idx="102">
                  <c:v>6486029.2101214603</c:v>
                </c:pt>
                <c:pt idx="103">
                  <c:v>6674538.97746382</c:v>
                </c:pt>
                <c:pt idx="104">
                  <c:v>7307717.4252950503</c:v>
                </c:pt>
                <c:pt idx="105">
                  <c:v>9199320.8707563393</c:v>
                </c:pt>
                <c:pt idx="106">
                  <c:v>6012871.7266017403</c:v>
                </c:pt>
                <c:pt idx="107">
                  <c:v>6440741.0276818704</c:v>
                </c:pt>
                <c:pt idx="108">
                  <c:v>8633534.8944895007</c:v>
                </c:pt>
                <c:pt idx="109">
                  <c:v>10740839.363754399</c:v>
                </c:pt>
                <c:pt idx="110">
                  <c:v>6252528.4474631799</c:v>
                </c:pt>
                <c:pt idx="111">
                  <c:v>6756837.8968831701</c:v>
                </c:pt>
                <c:pt idx="112">
                  <c:v>5971741.3645932702</c:v>
                </c:pt>
                <c:pt idx="113">
                  <c:v>7773500.3388776397</c:v>
                </c:pt>
                <c:pt idx="114">
                  <c:v>4378212.0967790196</c:v>
                </c:pt>
                <c:pt idx="115">
                  <c:v>4452254.5970137101</c:v>
                </c:pt>
                <c:pt idx="116">
                  <c:v>4829847.0987820104</c:v>
                </c:pt>
                <c:pt idx="117">
                  <c:v>5378038.2109220903</c:v>
                </c:pt>
                <c:pt idx="118">
                  <c:v>4015730.50242119</c:v>
                </c:pt>
                <c:pt idx="119">
                  <c:v>4408899.1403371496</c:v>
                </c:pt>
                <c:pt idx="120">
                  <c:v>5642548.1068459097</c:v>
                </c:pt>
                <c:pt idx="121">
                  <c:v>7243450.7840845101</c:v>
                </c:pt>
                <c:pt idx="122">
                  <c:v>3634443.2522369502</c:v>
                </c:pt>
                <c:pt idx="123">
                  <c:v>3745951.8065314698</c:v>
                </c:pt>
                <c:pt idx="124">
                  <c:v>5518596.4000974298</c:v>
                </c:pt>
                <c:pt idx="125">
                  <c:v>6979706.49288557</c:v>
                </c:pt>
                <c:pt idx="126">
                  <c:v>3876456.8729921002</c:v>
                </c:pt>
                <c:pt idx="127">
                  <c:v>4093954.9183850298</c:v>
                </c:pt>
                <c:pt idx="128">
                  <c:v>18435799.055436</c:v>
                </c:pt>
                <c:pt idx="129">
                  <c:v>18435799.055436</c:v>
                </c:pt>
                <c:pt idx="130">
                  <c:v>9784023.2870957498</c:v>
                </c:pt>
                <c:pt idx="131">
                  <c:v>9784023.2870957498</c:v>
                </c:pt>
                <c:pt idx="132">
                  <c:v>19211092.6403706</c:v>
                </c:pt>
                <c:pt idx="133">
                  <c:v>19211092.6403706</c:v>
                </c:pt>
                <c:pt idx="134">
                  <c:v>9567914.8420090303</c:v>
                </c:pt>
                <c:pt idx="135">
                  <c:v>9567914.8420090303</c:v>
                </c:pt>
                <c:pt idx="136">
                  <c:v>19792475.973113898</c:v>
                </c:pt>
                <c:pt idx="137">
                  <c:v>19792475.973113898</c:v>
                </c:pt>
                <c:pt idx="138">
                  <c:v>10497373.8198584</c:v>
                </c:pt>
                <c:pt idx="139">
                  <c:v>10497373.8198584</c:v>
                </c:pt>
                <c:pt idx="140">
                  <c:v>19054042.464482401</c:v>
                </c:pt>
                <c:pt idx="141">
                  <c:v>19054042.464482401</c:v>
                </c:pt>
                <c:pt idx="142">
                  <c:v>9591766.6810400803</c:v>
                </c:pt>
                <c:pt idx="143">
                  <c:v>9591766.6810400803</c:v>
                </c:pt>
                <c:pt idx="144">
                  <c:v>12818213.375251999</c:v>
                </c:pt>
                <c:pt idx="145">
                  <c:v>12818213.375251999</c:v>
                </c:pt>
                <c:pt idx="146">
                  <c:v>7123936.05422178</c:v>
                </c:pt>
                <c:pt idx="147">
                  <c:v>7123936.05422178</c:v>
                </c:pt>
                <c:pt idx="148">
                  <c:v>13052609.736393999</c:v>
                </c:pt>
                <c:pt idx="149">
                  <c:v>13052609.736393999</c:v>
                </c:pt>
                <c:pt idx="150">
                  <c:v>6628393.9519749703</c:v>
                </c:pt>
                <c:pt idx="151">
                  <c:v>6628393.9519749703</c:v>
                </c:pt>
                <c:pt idx="152">
                  <c:v>13066322.9943357</c:v>
                </c:pt>
                <c:pt idx="153">
                  <c:v>13066322.9943357</c:v>
                </c:pt>
                <c:pt idx="154">
                  <c:v>7131238.5590937696</c:v>
                </c:pt>
                <c:pt idx="155">
                  <c:v>7131238.5590937696</c:v>
                </c:pt>
                <c:pt idx="156">
                  <c:v>13146327.282641601</c:v>
                </c:pt>
                <c:pt idx="157">
                  <c:v>13146327.282641601</c:v>
                </c:pt>
                <c:pt idx="158">
                  <c:v>7425597.9823034499</c:v>
                </c:pt>
                <c:pt idx="159">
                  <c:v>7425597.9823034499</c:v>
                </c:pt>
                <c:pt idx="160">
                  <c:v>21244867.441321898</c:v>
                </c:pt>
                <c:pt idx="161">
                  <c:v>21244867.441321898</c:v>
                </c:pt>
                <c:pt idx="162">
                  <c:v>10997496.827051699</c:v>
                </c:pt>
                <c:pt idx="163">
                  <c:v>10997496.827051699</c:v>
                </c:pt>
                <c:pt idx="164">
                  <c:v>21586230.566376101</c:v>
                </c:pt>
                <c:pt idx="165">
                  <c:v>21586230.566376101</c:v>
                </c:pt>
                <c:pt idx="166">
                  <c:v>10958867.321188901</c:v>
                </c:pt>
                <c:pt idx="167">
                  <c:v>10958867.321188901</c:v>
                </c:pt>
                <c:pt idx="168">
                  <c:v>22933074.3460683</c:v>
                </c:pt>
                <c:pt idx="169">
                  <c:v>22933074.3460683</c:v>
                </c:pt>
                <c:pt idx="170">
                  <c:v>12057053.5984466</c:v>
                </c:pt>
                <c:pt idx="171">
                  <c:v>12057053.5984466</c:v>
                </c:pt>
                <c:pt idx="172">
                  <c:v>21544737.033042099</c:v>
                </c:pt>
                <c:pt idx="173">
                  <c:v>21544737.033042099</c:v>
                </c:pt>
                <c:pt idx="174">
                  <c:v>10961923.5</c:v>
                </c:pt>
                <c:pt idx="175">
                  <c:v>10961923.5</c:v>
                </c:pt>
                <c:pt idx="176">
                  <c:v>15108723.0479038</c:v>
                </c:pt>
                <c:pt idx="177">
                  <c:v>15108723.0479038</c:v>
                </c:pt>
                <c:pt idx="178">
                  <c:v>7741040.6036523497</c:v>
                </c:pt>
                <c:pt idx="179">
                  <c:v>7741040.6036523497</c:v>
                </c:pt>
                <c:pt idx="180">
                  <c:v>15217867.497408999</c:v>
                </c:pt>
                <c:pt idx="181">
                  <c:v>15217867.497408999</c:v>
                </c:pt>
                <c:pt idx="182">
                  <c:v>8199017.0380506897</c:v>
                </c:pt>
                <c:pt idx="183">
                  <c:v>8199017.0380506897</c:v>
                </c:pt>
                <c:pt idx="184">
                  <c:v>14980768.5053828</c:v>
                </c:pt>
                <c:pt idx="185">
                  <c:v>14980768.5053828</c:v>
                </c:pt>
                <c:pt idx="186">
                  <c:v>8480716.5341788102</c:v>
                </c:pt>
                <c:pt idx="187">
                  <c:v>8480716.5341788102</c:v>
                </c:pt>
                <c:pt idx="188">
                  <c:v>15927272.992327999</c:v>
                </c:pt>
                <c:pt idx="189">
                  <c:v>15927272.992327999</c:v>
                </c:pt>
                <c:pt idx="190">
                  <c:v>9149276.4150017407</c:v>
                </c:pt>
                <c:pt idx="191">
                  <c:v>9149276.4150017407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C-B94C-AE17-0AA21D6DA092}"/>
            </c:ext>
          </c:extLst>
        </c:ser>
        <c:ser>
          <c:idx val="1"/>
          <c:order val="1"/>
          <c:tx>
            <c:strRef>
              <c:f>'Removed 15'!$AA$1</c:f>
              <c:strCache>
                <c:ptCount val="1"/>
                <c:pt idx="0">
                  <c:v>m_independent_earning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'Removed 15'!$AA$2:$AA$193</c:f>
              <c:numCache>
                <c:formatCode>General</c:formatCode>
                <c:ptCount val="192"/>
                <c:pt idx="0">
                  <c:v>149504618.46551001</c:v>
                </c:pt>
                <c:pt idx="1">
                  <c:v>473810874.02922899</c:v>
                </c:pt>
                <c:pt idx="2">
                  <c:v>68232273.178485006</c:v>
                </c:pt>
                <c:pt idx="3">
                  <c:v>67646763.9224042</c:v>
                </c:pt>
                <c:pt idx="4">
                  <c:v>197522764.90679699</c:v>
                </c:pt>
                <c:pt idx="5">
                  <c:v>505957820.37454599</c:v>
                </c:pt>
                <c:pt idx="6">
                  <c:v>0</c:v>
                </c:pt>
                <c:pt idx="7">
                  <c:v>0</c:v>
                </c:pt>
                <c:pt idx="8">
                  <c:v>226579456.72574499</c:v>
                </c:pt>
                <c:pt idx="9">
                  <c:v>478322830.74017501</c:v>
                </c:pt>
                <c:pt idx="10">
                  <c:v>106782795.743122</c:v>
                </c:pt>
                <c:pt idx="11">
                  <c:v>145569116.64368701</c:v>
                </c:pt>
                <c:pt idx="12">
                  <c:v>252986457.98386899</c:v>
                </c:pt>
                <c:pt idx="13">
                  <c:v>356298744.74996501</c:v>
                </c:pt>
                <c:pt idx="14">
                  <c:v>103732564.510766</c:v>
                </c:pt>
                <c:pt idx="15">
                  <c:v>165036339.04774401</c:v>
                </c:pt>
                <c:pt idx="16">
                  <c:v>122648614.496218</c:v>
                </c:pt>
                <c:pt idx="17">
                  <c:v>247216786.47250199</c:v>
                </c:pt>
                <c:pt idx="18">
                  <c:v>31151019.535946999</c:v>
                </c:pt>
                <c:pt idx="19">
                  <c:v>62302039.071894102</c:v>
                </c:pt>
                <c:pt idx="20">
                  <c:v>148283534.382723</c:v>
                </c:pt>
                <c:pt idx="21">
                  <c:v>296567068.76544702</c:v>
                </c:pt>
                <c:pt idx="22">
                  <c:v>27721561.732592899</c:v>
                </c:pt>
                <c:pt idx="23">
                  <c:v>55443123.465185903</c:v>
                </c:pt>
                <c:pt idx="24">
                  <c:v>132333993.223244</c:v>
                </c:pt>
                <c:pt idx="25">
                  <c:v>264667986.44648901</c:v>
                </c:pt>
                <c:pt idx="26">
                  <c:v>52176672.538540401</c:v>
                </c:pt>
                <c:pt idx="27">
                  <c:v>104353345.07708</c:v>
                </c:pt>
                <c:pt idx="28">
                  <c:v>110532066.82939699</c:v>
                </c:pt>
                <c:pt idx="29">
                  <c:v>221064133.658795</c:v>
                </c:pt>
                <c:pt idx="30">
                  <c:v>46163236.145649001</c:v>
                </c:pt>
                <c:pt idx="31">
                  <c:v>92326472.291298106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169541653.29869601</c:v>
                </c:pt>
                <c:pt idx="97">
                  <c:v>356820395.16383803</c:v>
                </c:pt>
                <c:pt idx="98">
                  <c:v>53834769.424228899</c:v>
                </c:pt>
                <c:pt idx="99">
                  <c:v>107669538.84845699</c:v>
                </c:pt>
                <c:pt idx="100">
                  <c:v>198685725.32852399</c:v>
                </c:pt>
                <c:pt idx="101">
                  <c:v>397371450.65704799</c:v>
                </c:pt>
                <c:pt idx="102">
                  <c:v>63274040.415482499</c:v>
                </c:pt>
                <c:pt idx="103">
                  <c:v>126548080.830965</c:v>
                </c:pt>
                <c:pt idx="104">
                  <c:v>230563600.89242801</c:v>
                </c:pt>
                <c:pt idx="105">
                  <c:v>461127201.78485602</c:v>
                </c:pt>
                <c:pt idx="106">
                  <c:v>63408636.897882</c:v>
                </c:pt>
                <c:pt idx="107">
                  <c:v>126817273.795764</c:v>
                </c:pt>
                <c:pt idx="108">
                  <c:v>160358575.51492599</c:v>
                </c:pt>
                <c:pt idx="109">
                  <c:v>396089791.67850399</c:v>
                </c:pt>
                <c:pt idx="110">
                  <c:v>69570621.1665833</c:v>
                </c:pt>
                <c:pt idx="111">
                  <c:v>139141242.333166</c:v>
                </c:pt>
                <c:pt idx="112">
                  <c:v>115990092.190375</c:v>
                </c:pt>
                <c:pt idx="113">
                  <c:v>231980184.38075101</c:v>
                </c:pt>
                <c:pt idx="114">
                  <c:v>32805878.247428901</c:v>
                </c:pt>
                <c:pt idx="115">
                  <c:v>65611756.494857803</c:v>
                </c:pt>
                <c:pt idx="116">
                  <c:v>138470916.62101299</c:v>
                </c:pt>
                <c:pt idx="117">
                  <c:v>276941833.24202698</c:v>
                </c:pt>
                <c:pt idx="118">
                  <c:v>52322706.174108803</c:v>
                </c:pt>
                <c:pt idx="119">
                  <c:v>104645412.348217</c:v>
                </c:pt>
                <c:pt idx="120">
                  <c:v>111520661.05204</c:v>
                </c:pt>
                <c:pt idx="121">
                  <c:v>223041322.10407999</c:v>
                </c:pt>
                <c:pt idx="122">
                  <c:v>36323546.924106002</c:v>
                </c:pt>
                <c:pt idx="123">
                  <c:v>72647093.848212093</c:v>
                </c:pt>
                <c:pt idx="124">
                  <c:v>133216435.939318</c:v>
                </c:pt>
                <c:pt idx="125">
                  <c:v>266432871.878636</c:v>
                </c:pt>
                <c:pt idx="126">
                  <c:v>55984490.432678401</c:v>
                </c:pt>
                <c:pt idx="127">
                  <c:v>111968980.865356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3C-B94C-AE17-0AA21D6DA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329968"/>
        <c:axId val="515917712"/>
      </c:lineChart>
      <c:catAx>
        <c:axId val="40332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15917712"/>
        <c:crosses val="autoZero"/>
        <c:auto val="1"/>
        <c:lblAlgn val="ctr"/>
        <c:lblOffset val="100"/>
        <c:noMultiLvlLbl val="0"/>
      </c:catAx>
      <c:valAx>
        <c:axId val="51591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40332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'Removed 15'!$O$1</c:f>
              <c:strCache>
                <c:ptCount val="1"/>
                <c:pt idx="0">
                  <c:v>Native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'Removed 15'!$O$2:$O$193</c:f>
              <c:numCache>
                <c:formatCode>General</c:formatCode>
                <c:ptCount val="192"/>
                <c:pt idx="0">
                  <c:v>190521</c:v>
                </c:pt>
                <c:pt idx="1">
                  <c:v>199218</c:v>
                </c:pt>
                <c:pt idx="2">
                  <c:v>195385</c:v>
                </c:pt>
                <c:pt idx="3">
                  <c:v>207709</c:v>
                </c:pt>
                <c:pt idx="4">
                  <c:v>187873</c:v>
                </c:pt>
                <c:pt idx="5">
                  <c:v>198091</c:v>
                </c:pt>
                <c:pt idx="6">
                  <c:v>201115</c:v>
                </c:pt>
                <c:pt idx="7">
                  <c:v>207989</c:v>
                </c:pt>
                <c:pt idx="8">
                  <c:v>183550</c:v>
                </c:pt>
                <c:pt idx="9">
                  <c:v>192508</c:v>
                </c:pt>
                <c:pt idx="10">
                  <c:v>193564</c:v>
                </c:pt>
                <c:pt idx="11">
                  <c:v>205075</c:v>
                </c:pt>
                <c:pt idx="12">
                  <c:v>180183</c:v>
                </c:pt>
                <c:pt idx="13">
                  <c:v>198599</c:v>
                </c:pt>
                <c:pt idx="14">
                  <c:v>195091</c:v>
                </c:pt>
                <c:pt idx="15">
                  <c:v>202411</c:v>
                </c:pt>
                <c:pt idx="16">
                  <c:v>167416</c:v>
                </c:pt>
                <c:pt idx="17">
                  <c:v>167482</c:v>
                </c:pt>
                <c:pt idx="18">
                  <c:v>173806</c:v>
                </c:pt>
                <c:pt idx="19">
                  <c:v>173806</c:v>
                </c:pt>
                <c:pt idx="20">
                  <c:v>164661</c:v>
                </c:pt>
                <c:pt idx="21">
                  <c:v>164661</c:v>
                </c:pt>
                <c:pt idx="22">
                  <c:v>173840</c:v>
                </c:pt>
                <c:pt idx="23">
                  <c:v>173840</c:v>
                </c:pt>
                <c:pt idx="24">
                  <c:v>165472</c:v>
                </c:pt>
                <c:pt idx="25">
                  <c:v>165472</c:v>
                </c:pt>
                <c:pt idx="26">
                  <c:v>173349</c:v>
                </c:pt>
                <c:pt idx="27">
                  <c:v>173349</c:v>
                </c:pt>
                <c:pt idx="28">
                  <c:v>165738</c:v>
                </c:pt>
                <c:pt idx="29">
                  <c:v>165738</c:v>
                </c:pt>
                <c:pt idx="30">
                  <c:v>173188</c:v>
                </c:pt>
                <c:pt idx="31">
                  <c:v>173188</c:v>
                </c:pt>
                <c:pt idx="32">
                  <c:v>224970</c:v>
                </c:pt>
                <c:pt idx="33">
                  <c:v>215180</c:v>
                </c:pt>
                <c:pt idx="34">
                  <c:v>222386</c:v>
                </c:pt>
                <c:pt idx="35">
                  <c:v>221143</c:v>
                </c:pt>
                <c:pt idx="36">
                  <c:v>224763</c:v>
                </c:pt>
                <c:pt idx="37">
                  <c:v>216069</c:v>
                </c:pt>
                <c:pt idx="38">
                  <c:v>218940</c:v>
                </c:pt>
                <c:pt idx="39">
                  <c:v>221687</c:v>
                </c:pt>
                <c:pt idx="40">
                  <c:v>209422</c:v>
                </c:pt>
                <c:pt idx="41">
                  <c:v>222334</c:v>
                </c:pt>
                <c:pt idx="42">
                  <c:v>221163</c:v>
                </c:pt>
                <c:pt idx="43">
                  <c:v>213370</c:v>
                </c:pt>
                <c:pt idx="44">
                  <c:v>217304</c:v>
                </c:pt>
                <c:pt idx="45">
                  <c:v>199684</c:v>
                </c:pt>
                <c:pt idx="46">
                  <c:v>220382</c:v>
                </c:pt>
                <c:pt idx="47">
                  <c:v>218220</c:v>
                </c:pt>
                <c:pt idx="48">
                  <c:v>167666</c:v>
                </c:pt>
                <c:pt idx="49">
                  <c:v>167666</c:v>
                </c:pt>
                <c:pt idx="50">
                  <c:v>179667</c:v>
                </c:pt>
                <c:pt idx="51">
                  <c:v>179667</c:v>
                </c:pt>
                <c:pt idx="52">
                  <c:v>185838</c:v>
                </c:pt>
                <c:pt idx="53">
                  <c:v>165590</c:v>
                </c:pt>
                <c:pt idx="54">
                  <c:v>183366</c:v>
                </c:pt>
                <c:pt idx="55">
                  <c:v>183366</c:v>
                </c:pt>
                <c:pt idx="56">
                  <c:v>178097</c:v>
                </c:pt>
                <c:pt idx="57">
                  <c:v>178097</c:v>
                </c:pt>
                <c:pt idx="58">
                  <c:v>176624</c:v>
                </c:pt>
                <c:pt idx="59">
                  <c:v>176624</c:v>
                </c:pt>
                <c:pt idx="60">
                  <c:v>182766</c:v>
                </c:pt>
                <c:pt idx="61">
                  <c:v>182766</c:v>
                </c:pt>
                <c:pt idx="62">
                  <c:v>184784</c:v>
                </c:pt>
                <c:pt idx="63">
                  <c:v>184958</c:v>
                </c:pt>
                <c:pt idx="64">
                  <c:v>226893</c:v>
                </c:pt>
                <c:pt idx="65">
                  <c:v>220873</c:v>
                </c:pt>
                <c:pt idx="66">
                  <c:v>215709</c:v>
                </c:pt>
                <c:pt idx="67">
                  <c:v>213740</c:v>
                </c:pt>
                <c:pt idx="68">
                  <c:v>228438</c:v>
                </c:pt>
                <c:pt idx="69">
                  <c:v>222067</c:v>
                </c:pt>
                <c:pt idx="70">
                  <c:v>214864</c:v>
                </c:pt>
                <c:pt idx="71">
                  <c:v>218583</c:v>
                </c:pt>
                <c:pt idx="72">
                  <c:v>225414</c:v>
                </c:pt>
                <c:pt idx="73">
                  <c:v>215672</c:v>
                </c:pt>
                <c:pt idx="74">
                  <c:v>214908</c:v>
                </c:pt>
                <c:pt idx="75">
                  <c:v>213538</c:v>
                </c:pt>
                <c:pt idx="76">
                  <c:v>216470</c:v>
                </c:pt>
                <c:pt idx="77">
                  <c:v>213628</c:v>
                </c:pt>
                <c:pt idx="78">
                  <c:v>215084</c:v>
                </c:pt>
                <c:pt idx="79">
                  <c:v>220440</c:v>
                </c:pt>
                <c:pt idx="80">
                  <c:v>187009</c:v>
                </c:pt>
                <c:pt idx="81">
                  <c:v>192547</c:v>
                </c:pt>
                <c:pt idx="82">
                  <c:v>185029</c:v>
                </c:pt>
                <c:pt idx="83">
                  <c:v>182287</c:v>
                </c:pt>
                <c:pt idx="84">
                  <c:v>187042</c:v>
                </c:pt>
                <c:pt idx="85">
                  <c:v>191658</c:v>
                </c:pt>
                <c:pt idx="86">
                  <c:v>187590</c:v>
                </c:pt>
                <c:pt idx="87">
                  <c:v>188640</c:v>
                </c:pt>
                <c:pt idx="88">
                  <c:v>188402</c:v>
                </c:pt>
                <c:pt idx="89">
                  <c:v>196908</c:v>
                </c:pt>
                <c:pt idx="90">
                  <c:v>186886</c:v>
                </c:pt>
                <c:pt idx="91">
                  <c:v>190396</c:v>
                </c:pt>
                <c:pt idx="92">
                  <c:v>185223</c:v>
                </c:pt>
                <c:pt idx="93">
                  <c:v>186596</c:v>
                </c:pt>
                <c:pt idx="94">
                  <c:v>183614</c:v>
                </c:pt>
                <c:pt idx="95">
                  <c:v>182033</c:v>
                </c:pt>
                <c:pt idx="96">
                  <c:v>190663</c:v>
                </c:pt>
                <c:pt idx="97">
                  <c:v>190094</c:v>
                </c:pt>
                <c:pt idx="98">
                  <c:v>205474</c:v>
                </c:pt>
                <c:pt idx="99">
                  <c:v>205474</c:v>
                </c:pt>
                <c:pt idx="100">
                  <c:v>189966</c:v>
                </c:pt>
                <c:pt idx="101">
                  <c:v>189966</c:v>
                </c:pt>
                <c:pt idx="102">
                  <c:v>205116</c:v>
                </c:pt>
                <c:pt idx="103">
                  <c:v>205116</c:v>
                </c:pt>
                <c:pt idx="104">
                  <c:v>184910</c:v>
                </c:pt>
                <c:pt idx="105">
                  <c:v>184910</c:v>
                </c:pt>
                <c:pt idx="106">
                  <c:v>202705</c:v>
                </c:pt>
                <c:pt idx="107">
                  <c:v>202705</c:v>
                </c:pt>
                <c:pt idx="108">
                  <c:v>194217</c:v>
                </c:pt>
                <c:pt idx="109">
                  <c:v>192514</c:v>
                </c:pt>
                <c:pt idx="110">
                  <c:v>204158</c:v>
                </c:pt>
                <c:pt idx="111">
                  <c:v>204158</c:v>
                </c:pt>
                <c:pt idx="112">
                  <c:v>166190</c:v>
                </c:pt>
                <c:pt idx="113">
                  <c:v>166190</c:v>
                </c:pt>
                <c:pt idx="114">
                  <c:v>173467</c:v>
                </c:pt>
                <c:pt idx="115">
                  <c:v>173467</c:v>
                </c:pt>
                <c:pt idx="116">
                  <c:v>166469</c:v>
                </c:pt>
                <c:pt idx="117">
                  <c:v>166469</c:v>
                </c:pt>
                <c:pt idx="118">
                  <c:v>172842</c:v>
                </c:pt>
                <c:pt idx="119">
                  <c:v>172842</c:v>
                </c:pt>
                <c:pt idx="120">
                  <c:v>166863</c:v>
                </c:pt>
                <c:pt idx="121">
                  <c:v>166863</c:v>
                </c:pt>
                <c:pt idx="122">
                  <c:v>174006</c:v>
                </c:pt>
                <c:pt idx="123">
                  <c:v>174006</c:v>
                </c:pt>
                <c:pt idx="124">
                  <c:v>166694</c:v>
                </c:pt>
                <c:pt idx="125">
                  <c:v>166694</c:v>
                </c:pt>
                <c:pt idx="126">
                  <c:v>172000</c:v>
                </c:pt>
                <c:pt idx="127">
                  <c:v>172000</c:v>
                </c:pt>
                <c:pt idx="128">
                  <c:v>219592</c:v>
                </c:pt>
                <c:pt idx="129">
                  <c:v>219592</c:v>
                </c:pt>
                <c:pt idx="130">
                  <c:v>222740</c:v>
                </c:pt>
                <c:pt idx="131">
                  <c:v>222740</c:v>
                </c:pt>
                <c:pt idx="132">
                  <c:v>223798</c:v>
                </c:pt>
                <c:pt idx="133">
                  <c:v>223798</c:v>
                </c:pt>
                <c:pt idx="134">
                  <c:v>222732</c:v>
                </c:pt>
                <c:pt idx="135">
                  <c:v>222732</c:v>
                </c:pt>
                <c:pt idx="136">
                  <c:v>217804</c:v>
                </c:pt>
                <c:pt idx="137">
                  <c:v>217804</c:v>
                </c:pt>
                <c:pt idx="138">
                  <c:v>206449</c:v>
                </c:pt>
                <c:pt idx="139">
                  <c:v>206449</c:v>
                </c:pt>
                <c:pt idx="140">
                  <c:v>218810</c:v>
                </c:pt>
                <c:pt idx="141">
                  <c:v>218810</c:v>
                </c:pt>
                <c:pt idx="142">
                  <c:v>214836</c:v>
                </c:pt>
                <c:pt idx="143">
                  <c:v>214836</c:v>
                </c:pt>
                <c:pt idx="144">
                  <c:v>187046</c:v>
                </c:pt>
                <c:pt idx="145">
                  <c:v>187046</c:v>
                </c:pt>
                <c:pt idx="146">
                  <c:v>185528</c:v>
                </c:pt>
                <c:pt idx="147">
                  <c:v>185528</c:v>
                </c:pt>
                <c:pt idx="148">
                  <c:v>174376</c:v>
                </c:pt>
                <c:pt idx="149">
                  <c:v>174376</c:v>
                </c:pt>
                <c:pt idx="150">
                  <c:v>179958</c:v>
                </c:pt>
                <c:pt idx="151">
                  <c:v>179958</c:v>
                </c:pt>
                <c:pt idx="152">
                  <c:v>181694</c:v>
                </c:pt>
                <c:pt idx="153">
                  <c:v>181694</c:v>
                </c:pt>
                <c:pt idx="154">
                  <c:v>184724</c:v>
                </c:pt>
                <c:pt idx="155">
                  <c:v>184724</c:v>
                </c:pt>
                <c:pt idx="156">
                  <c:v>181347</c:v>
                </c:pt>
                <c:pt idx="157">
                  <c:v>181347</c:v>
                </c:pt>
                <c:pt idx="158">
                  <c:v>183607</c:v>
                </c:pt>
                <c:pt idx="159">
                  <c:v>183607</c:v>
                </c:pt>
                <c:pt idx="160">
                  <c:v>217218</c:v>
                </c:pt>
                <c:pt idx="161">
                  <c:v>217218</c:v>
                </c:pt>
                <c:pt idx="162">
                  <c:v>215518</c:v>
                </c:pt>
                <c:pt idx="163">
                  <c:v>215518</c:v>
                </c:pt>
                <c:pt idx="164">
                  <c:v>230116</c:v>
                </c:pt>
                <c:pt idx="165">
                  <c:v>230116</c:v>
                </c:pt>
                <c:pt idx="166">
                  <c:v>215095</c:v>
                </c:pt>
                <c:pt idx="167">
                  <c:v>215095</c:v>
                </c:pt>
                <c:pt idx="168">
                  <c:v>215142</c:v>
                </c:pt>
                <c:pt idx="169">
                  <c:v>215142</c:v>
                </c:pt>
                <c:pt idx="170">
                  <c:v>215995</c:v>
                </c:pt>
                <c:pt idx="171">
                  <c:v>215995</c:v>
                </c:pt>
                <c:pt idx="172">
                  <c:v>221139</c:v>
                </c:pt>
                <c:pt idx="173">
                  <c:v>221139</c:v>
                </c:pt>
                <c:pt idx="174">
                  <c:v>214678</c:v>
                </c:pt>
                <c:pt idx="175">
                  <c:v>214678</c:v>
                </c:pt>
                <c:pt idx="176">
                  <c:v>183488</c:v>
                </c:pt>
                <c:pt idx="177">
                  <c:v>183488</c:v>
                </c:pt>
                <c:pt idx="178">
                  <c:v>180704</c:v>
                </c:pt>
                <c:pt idx="179">
                  <c:v>180704</c:v>
                </c:pt>
                <c:pt idx="180">
                  <c:v>189500</c:v>
                </c:pt>
                <c:pt idx="181">
                  <c:v>189500</c:v>
                </c:pt>
                <c:pt idx="182">
                  <c:v>182928</c:v>
                </c:pt>
                <c:pt idx="183">
                  <c:v>182928</c:v>
                </c:pt>
                <c:pt idx="184">
                  <c:v>185619</c:v>
                </c:pt>
                <c:pt idx="185">
                  <c:v>185619</c:v>
                </c:pt>
                <c:pt idx="186">
                  <c:v>186720</c:v>
                </c:pt>
                <c:pt idx="187">
                  <c:v>186720</c:v>
                </c:pt>
                <c:pt idx="188">
                  <c:v>188659</c:v>
                </c:pt>
                <c:pt idx="189">
                  <c:v>188659</c:v>
                </c:pt>
                <c:pt idx="190">
                  <c:v>181887</c:v>
                </c:pt>
                <c:pt idx="191">
                  <c:v>181887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4B-F342-9D21-F71FB1D61D16}"/>
            </c:ext>
          </c:extLst>
        </c:ser>
        <c:ser>
          <c:idx val="1"/>
          <c:order val="1"/>
          <c:tx>
            <c:strRef>
              <c:f>'Removed 15'!$T$1</c:f>
              <c:strCache>
                <c:ptCount val="1"/>
                <c:pt idx="0">
                  <c:v>Exotic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'Removed 15'!$T$2:$T$193</c:f>
              <c:numCache>
                <c:formatCode>General</c:formatCode>
                <c:ptCount val="192"/>
                <c:pt idx="0">
                  <c:v>96449</c:v>
                </c:pt>
                <c:pt idx="1">
                  <c:v>72223</c:v>
                </c:pt>
                <c:pt idx="2">
                  <c:v>105857</c:v>
                </c:pt>
                <c:pt idx="3">
                  <c:v>87909</c:v>
                </c:pt>
                <c:pt idx="4">
                  <c:v>93176</c:v>
                </c:pt>
                <c:pt idx="5">
                  <c:v>72465</c:v>
                </c:pt>
                <c:pt idx="6">
                  <c:v>85031</c:v>
                </c:pt>
                <c:pt idx="7">
                  <c:v>89934</c:v>
                </c:pt>
                <c:pt idx="8">
                  <c:v>86964</c:v>
                </c:pt>
                <c:pt idx="9">
                  <c:v>71117</c:v>
                </c:pt>
                <c:pt idx="10">
                  <c:v>102948</c:v>
                </c:pt>
                <c:pt idx="11">
                  <c:v>84660</c:v>
                </c:pt>
                <c:pt idx="12">
                  <c:v>84880</c:v>
                </c:pt>
                <c:pt idx="13">
                  <c:v>76188</c:v>
                </c:pt>
                <c:pt idx="14">
                  <c:v>104376</c:v>
                </c:pt>
                <c:pt idx="15">
                  <c:v>83340</c:v>
                </c:pt>
                <c:pt idx="16">
                  <c:v>83849</c:v>
                </c:pt>
                <c:pt idx="17">
                  <c:v>83815</c:v>
                </c:pt>
                <c:pt idx="18">
                  <c:v>93924</c:v>
                </c:pt>
                <c:pt idx="19">
                  <c:v>93924</c:v>
                </c:pt>
                <c:pt idx="20">
                  <c:v>81873</c:v>
                </c:pt>
                <c:pt idx="21">
                  <c:v>81873</c:v>
                </c:pt>
                <c:pt idx="22">
                  <c:v>93855</c:v>
                </c:pt>
                <c:pt idx="23">
                  <c:v>93855</c:v>
                </c:pt>
                <c:pt idx="24">
                  <c:v>83400</c:v>
                </c:pt>
                <c:pt idx="25">
                  <c:v>83400</c:v>
                </c:pt>
                <c:pt idx="26">
                  <c:v>92336</c:v>
                </c:pt>
                <c:pt idx="27">
                  <c:v>92336</c:v>
                </c:pt>
                <c:pt idx="28">
                  <c:v>83773</c:v>
                </c:pt>
                <c:pt idx="29">
                  <c:v>83773</c:v>
                </c:pt>
                <c:pt idx="30">
                  <c:v>92175</c:v>
                </c:pt>
                <c:pt idx="31">
                  <c:v>92175</c:v>
                </c:pt>
                <c:pt idx="32">
                  <c:v>106633</c:v>
                </c:pt>
                <c:pt idx="33">
                  <c:v>109256</c:v>
                </c:pt>
                <c:pt idx="34">
                  <c:v>105772</c:v>
                </c:pt>
                <c:pt idx="35">
                  <c:v>105890</c:v>
                </c:pt>
                <c:pt idx="36">
                  <c:v>106565</c:v>
                </c:pt>
                <c:pt idx="37">
                  <c:v>109224</c:v>
                </c:pt>
                <c:pt idx="38">
                  <c:v>104143</c:v>
                </c:pt>
                <c:pt idx="39">
                  <c:v>105948</c:v>
                </c:pt>
                <c:pt idx="40">
                  <c:v>110334</c:v>
                </c:pt>
                <c:pt idx="41">
                  <c:v>105429</c:v>
                </c:pt>
                <c:pt idx="42">
                  <c:v>106494</c:v>
                </c:pt>
                <c:pt idx="43">
                  <c:v>100058</c:v>
                </c:pt>
                <c:pt idx="44">
                  <c:v>108710</c:v>
                </c:pt>
                <c:pt idx="45">
                  <c:v>112885</c:v>
                </c:pt>
                <c:pt idx="46">
                  <c:v>106126</c:v>
                </c:pt>
                <c:pt idx="47">
                  <c:v>105144</c:v>
                </c:pt>
                <c:pt idx="48">
                  <c:v>95977</c:v>
                </c:pt>
                <c:pt idx="49">
                  <c:v>95977</c:v>
                </c:pt>
                <c:pt idx="50">
                  <c:v>91502</c:v>
                </c:pt>
                <c:pt idx="51">
                  <c:v>91502</c:v>
                </c:pt>
                <c:pt idx="52">
                  <c:v>90302</c:v>
                </c:pt>
                <c:pt idx="53">
                  <c:v>94649</c:v>
                </c:pt>
                <c:pt idx="54">
                  <c:v>88947</c:v>
                </c:pt>
                <c:pt idx="55">
                  <c:v>88947</c:v>
                </c:pt>
                <c:pt idx="56">
                  <c:v>84738</c:v>
                </c:pt>
                <c:pt idx="57">
                  <c:v>84738</c:v>
                </c:pt>
                <c:pt idx="58">
                  <c:v>83897</c:v>
                </c:pt>
                <c:pt idx="59">
                  <c:v>83897</c:v>
                </c:pt>
                <c:pt idx="60">
                  <c:v>88190</c:v>
                </c:pt>
                <c:pt idx="61">
                  <c:v>88190</c:v>
                </c:pt>
                <c:pt idx="62">
                  <c:v>89714</c:v>
                </c:pt>
                <c:pt idx="63">
                  <c:v>90152</c:v>
                </c:pt>
                <c:pt idx="64">
                  <c:v>90588</c:v>
                </c:pt>
                <c:pt idx="65">
                  <c:v>118336</c:v>
                </c:pt>
                <c:pt idx="66">
                  <c:v>114740</c:v>
                </c:pt>
                <c:pt idx="67">
                  <c:v>113852</c:v>
                </c:pt>
                <c:pt idx="68">
                  <c:v>100626</c:v>
                </c:pt>
                <c:pt idx="69">
                  <c:v>110982</c:v>
                </c:pt>
                <c:pt idx="70">
                  <c:v>115833</c:v>
                </c:pt>
                <c:pt idx="71">
                  <c:v>87972</c:v>
                </c:pt>
                <c:pt idx="72">
                  <c:v>91754</c:v>
                </c:pt>
                <c:pt idx="73">
                  <c:v>114736</c:v>
                </c:pt>
                <c:pt idx="74">
                  <c:v>115904</c:v>
                </c:pt>
                <c:pt idx="75">
                  <c:v>113165</c:v>
                </c:pt>
                <c:pt idx="76">
                  <c:v>114519</c:v>
                </c:pt>
                <c:pt idx="77">
                  <c:v>112750</c:v>
                </c:pt>
                <c:pt idx="78">
                  <c:v>115868</c:v>
                </c:pt>
                <c:pt idx="79">
                  <c:v>89344</c:v>
                </c:pt>
                <c:pt idx="80">
                  <c:v>99936</c:v>
                </c:pt>
                <c:pt idx="81">
                  <c:v>96988</c:v>
                </c:pt>
                <c:pt idx="82">
                  <c:v>99696</c:v>
                </c:pt>
                <c:pt idx="83">
                  <c:v>96729</c:v>
                </c:pt>
                <c:pt idx="84">
                  <c:v>99629</c:v>
                </c:pt>
                <c:pt idx="85">
                  <c:v>97700</c:v>
                </c:pt>
                <c:pt idx="86">
                  <c:v>93431</c:v>
                </c:pt>
                <c:pt idx="87">
                  <c:v>95602</c:v>
                </c:pt>
                <c:pt idx="88">
                  <c:v>93947</c:v>
                </c:pt>
                <c:pt idx="89">
                  <c:v>92569</c:v>
                </c:pt>
                <c:pt idx="90">
                  <c:v>94215</c:v>
                </c:pt>
                <c:pt idx="91">
                  <c:v>96696</c:v>
                </c:pt>
                <c:pt idx="92">
                  <c:v>98469</c:v>
                </c:pt>
                <c:pt idx="93">
                  <c:v>100207</c:v>
                </c:pt>
                <c:pt idx="94">
                  <c:v>98066</c:v>
                </c:pt>
                <c:pt idx="95">
                  <c:v>96846</c:v>
                </c:pt>
                <c:pt idx="96">
                  <c:v>74255</c:v>
                </c:pt>
                <c:pt idx="97">
                  <c:v>74144</c:v>
                </c:pt>
                <c:pt idx="98">
                  <c:v>85412</c:v>
                </c:pt>
                <c:pt idx="99">
                  <c:v>85412</c:v>
                </c:pt>
                <c:pt idx="100">
                  <c:v>73379</c:v>
                </c:pt>
                <c:pt idx="101">
                  <c:v>73379</c:v>
                </c:pt>
                <c:pt idx="102">
                  <c:v>85294</c:v>
                </c:pt>
                <c:pt idx="103">
                  <c:v>85294</c:v>
                </c:pt>
                <c:pt idx="104">
                  <c:v>69673</c:v>
                </c:pt>
                <c:pt idx="105">
                  <c:v>69673</c:v>
                </c:pt>
                <c:pt idx="106">
                  <c:v>84344</c:v>
                </c:pt>
                <c:pt idx="107">
                  <c:v>84344</c:v>
                </c:pt>
                <c:pt idx="108">
                  <c:v>75337</c:v>
                </c:pt>
                <c:pt idx="109">
                  <c:v>73087</c:v>
                </c:pt>
                <c:pt idx="110">
                  <c:v>83669</c:v>
                </c:pt>
                <c:pt idx="111">
                  <c:v>83669</c:v>
                </c:pt>
                <c:pt idx="112">
                  <c:v>84645</c:v>
                </c:pt>
                <c:pt idx="113">
                  <c:v>84645</c:v>
                </c:pt>
                <c:pt idx="114">
                  <c:v>93569</c:v>
                </c:pt>
                <c:pt idx="115">
                  <c:v>93569</c:v>
                </c:pt>
                <c:pt idx="116">
                  <c:v>83749</c:v>
                </c:pt>
                <c:pt idx="117">
                  <c:v>83749</c:v>
                </c:pt>
                <c:pt idx="118">
                  <c:v>91278</c:v>
                </c:pt>
                <c:pt idx="119">
                  <c:v>91278</c:v>
                </c:pt>
                <c:pt idx="120">
                  <c:v>85246</c:v>
                </c:pt>
                <c:pt idx="121">
                  <c:v>85246</c:v>
                </c:pt>
                <c:pt idx="122">
                  <c:v>93212</c:v>
                </c:pt>
                <c:pt idx="123">
                  <c:v>93212</c:v>
                </c:pt>
                <c:pt idx="124">
                  <c:v>83865</c:v>
                </c:pt>
                <c:pt idx="125">
                  <c:v>83865</c:v>
                </c:pt>
                <c:pt idx="126">
                  <c:v>91454</c:v>
                </c:pt>
                <c:pt idx="127">
                  <c:v>91454</c:v>
                </c:pt>
                <c:pt idx="128">
                  <c:v>109895</c:v>
                </c:pt>
                <c:pt idx="129">
                  <c:v>109895</c:v>
                </c:pt>
                <c:pt idx="130">
                  <c:v>106888</c:v>
                </c:pt>
                <c:pt idx="131">
                  <c:v>106888</c:v>
                </c:pt>
                <c:pt idx="132">
                  <c:v>106716</c:v>
                </c:pt>
                <c:pt idx="133">
                  <c:v>106716</c:v>
                </c:pt>
                <c:pt idx="134">
                  <c:v>106949</c:v>
                </c:pt>
                <c:pt idx="135">
                  <c:v>106949</c:v>
                </c:pt>
                <c:pt idx="136">
                  <c:v>102201</c:v>
                </c:pt>
                <c:pt idx="137">
                  <c:v>102201</c:v>
                </c:pt>
                <c:pt idx="138">
                  <c:v>111351</c:v>
                </c:pt>
                <c:pt idx="139">
                  <c:v>111351</c:v>
                </c:pt>
                <c:pt idx="140">
                  <c:v>110747</c:v>
                </c:pt>
                <c:pt idx="141">
                  <c:v>110747</c:v>
                </c:pt>
                <c:pt idx="142">
                  <c:v>109165</c:v>
                </c:pt>
                <c:pt idx="143">
                  <c:v>109165</c:v>
                </c:pt>
                <c:pt idx="144">
                  <c:v>91328</c:v>
                </c:pt>
                <c:pt idx="145">
                  <c:v>91328</c:v>
                </c:pt>
                <c:pt idx="146">
                  <c:v>90230</c:v>
                </c:pt>
                <c:pt idx="147">
                  <c:v>90230</c:v>
                </c:pt>
                <c:pt idx="148">
                  <c:v>93890</c:v>
                </c:pt>
                <c:pt idx="149">
                  <c:v>93890</c:v>
                </c:pt>
                <c:pt idx="150">
                  <c:v>91289</c:v>
                </c:pt>
                <c:pt idx="151">
                  <c:v>91289</c:v>
                </c:pt>
                <c:pt idx="152">
                  <c:v>92513</c:v>
                </c:pt>
                <c:pt idx="153">
                  <c:v>92513</c:v>
                </c:pt>
                <c:pt idx="154">
                  <c:v>90840</c:v>
                </c:pt>
                <c:pt idx="155">
                  <c:v>90840</c:v>
                </c:pt>
                <c:pt idx="156">
                  <c:v>92439</c:v>
                </c:pt>
                <c:pt idx="157">
                  <c:v>92439</c:v>
                </c:pt>
                <c:pt idx="158">
                  <c:v>89180</c:v>
                </c:pt>
                <c:pt idx="159">
                  <c:v>89180</c:v>
                </c:pt>
                <c:pt idx="160">
                  <c:v>115709</c:v>
                </c:pt>
                <c:pt idx="161">
                  <c:v>115709</c:v>
                </c:pt>
                <c:pt idx="162">
                  <c:v>117240</c:v>
                </c:pt>
                <c:pt idx="163">
                  <c:v>117240</c:v>
                </c:pt>
                <c:pt idx="164">
                  <c:v>109566</c:v>
                </c:pt>
                <c:pt idx="165">
                  <c:v>109566</c:v>
                </c:pt>
                <c:pt idx="166">
                  <c:v>117624</c:v>
                </c:pt>
                <c:pt idx="167">
                  <c:v>117624</c:v>
                </c:pt>
                <c:pt idx="168">
                  <c:v>113722</c:v>
                </c:pt>
                <c:pt idx="169">
                  <c:v>113722</c:v>
                </c:pt>
                <c:pt idx="170">
                  <c:v>116839</c:v>
                </c:pt>
                <c:pt idx="171">
                  <c:v>116839</c:v>
                </c:pt>
                <c:pt idx="172">
                  <c:v>119332</c:v>
                </c:pt>
                <c:pt idx="173">
                  <c:v>119332</c:v>
                </c:pt>
                <c:pt idx="174">
                  <c:v>115518</c:v>
                </c:pt>
                <c:pt idx="175">
                  <c:v>115518</c:v>
                </c:pt>
                <c:pt idx="176">
                  <c:v>96479</c:v>
                </c:pt>
                <c:pt idx="177">
                  <c:v>96479</c:v>
                </c:pt>
                <c:pt idx="178">
                  <c:v>94956</c:v>
                </c:pt>
                <c:pt idx="179">
                  <c:v>94956</c:v>
                </c:pt>
                <c:pt idx="180">
                  <c:v>96036</c:v>
                </c:pt>
                <c:pt idx="181">
                  <c:v>96036</c:v>
                </c:pt>
                <c:pt idx="182">
                  <c:v>98458</c:v>
                </c:pt>
                <c:pt idx="183">
                  <c:v>98458</c:v>
                </c:pt>
                <c:pt idx="184">
                  <c:v>98935</c:v>
                </c:pt>
                <c:pt idx="185">
                  <c:v>98935</c:v>
                </c:pt>
                <c:pt idx="186">
                  <c:v>94179</c:v>
                </c:pt>
                <c:pt idx="187">
                  <c:v>94179</c:v>
                </c:pt>
                <c:pt idx="188">
                  <c:v>94228</c:v>
                </c:pt>
                <c:pt idx="189">
                  <c:v>94228</c:v>
                </c:pt>
                <c:pt idx="190">
                  <c:v>96451</c:v>
                </c:pt>
                <c:pt idx="191">
                  <c:v>96451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4B-F342-9D21-F71FB1D61D16}"/>
            </c:ext>
          </c:extLst>
        </c:ser>
        <c:ser>
          <c:idx val="2"/>
          <c:order val="2"/>
          <c:tx>
            <c:strRef>
              <c:f>'Removed 15'!$U$1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'Removed 15'!$U$2:$U$193</c:f>
              <c:numCache>
                <c:formatCode>General</c:formatCode>
                <c:ptCount val="192"/>
                <c:pt idx="0">
                  <c:v>286970</c:v>
                </c:pt>
                <c:pt idx="1">
                  <c:v>271441</c:v>
                </c:pt>
                <c:pt idx="2">
                  <c:v>301242</c:v>
                </c:pt>
                <c:pt idx="3">
                  <c:v>295618</c:v>
                </c:pt>
                <c:pt idx="4">
                  <c:v>281049</c:v>
                </c:pt>
                <c:pt idx="5">
                  <c:v>270556</c:v>
                </c:pt>
                <c:pt idx="6">
                  <c:v>286146</c:v>
                </c:pt>
                <c:pt idx="7">
                  <c:v>297923</c:v>
                </c:pt>
                <c:pt idx="8">
                  <c:v>270514</c:v>
                </c:pt>
                <c:pt idx="9">
                  <c:v>263625</c:v>
                </c:pt>
                <c:pt idx="10">
                  <c:v>296512</c:v>
                </c:pt>
                <c:pt idx="11">
                  <c:v>289735</c:v>
                </c:pt>
                <c:pt idx="12">
                  <c:v>265063</c:v>
                </c:pt>
                <c:pt idx="13">
                  <c:v>274787</c:v>
                </c:pt>
                <c:pt idx="14">
                  <c:v>299467</c:v>
                </c:pt>
                <c:pt idx="15">
                  <c:v>285751</c:v>
                </c:pt>
                <c:pt idx="16">
                  <c:v>251265</c:v>
                </c:pt>
                <c:pt idx="17">
                  <c:v>251297</c:v>
                </c:pt>
                <c:pt idx="18">
                  <c:v>267730</c:v>
                </c:pt>
                <c:pt idx="19">
                  <c:v>267730</c:v>
                </c:pt>
                <c:pt idx="20">
                  <c:v>246534</c:v>
                </c:pt>
                <c:pt idx="21">
                  <c:v>246534</c:v>
                </c:pt>
                <c:pt idx="22">
                  <c:v>267695</c:v>
                </c:pt>
                <c:pt idx="23">
                  <c:v>267695</c:v>
                </c:pt>
                <c:pt idx="24">
                  <c:v>248872</c:v>
                </c:pt>
                <c:pt idx="25">
                  <c:v>248872</c:v>
                </c:pt>
                <c:pt idx="26">
                  <c:v>265685</c:v>
                </c:pt>
                <c:pt idx="27">
                  <c:v>265685</c:v>
                </c:pt>
                <c:pt idx="28">
                  <c:v>249511</c:v>
                </c:pt>
                <c:pt idx="29">
                  <c:v>249511</c:v>
                </c:pt>
                <c:pt idx="30">
                  <c:v>265363</c:v>
                </c:pt>
                <c:pt idx="31">
                  <c:v>265363</c:v>
                </c:pt>
                <c:pt idx="32">
                  <c:v>331603</c:v>
                </c:pt>
                <c:pt idx="33">
                  <c:v>324436</c:v>
                </c:pt>
                <c:pt idx="34">
                  <c:v>328158</c:v>
                </c:pt>
                <c:pt idx="35">
                  <c:v>327033</c:v>
                </c:pt>
                <c:pt idx="36">
                  <c:v>331328</c:v>
                </c:pt>
                <c:pt idx="37">
                  <c:v>325293</c:v>
                </c:pt>
                <c:pt idx="38">
                  <c:v>323083</c:v>
                </c:pt>
                <c:pt idx="39">
                  <c:v>327635</c:v>
                </c:pt>
                <c:pt idx="40">
                  <c:v>319756</c:v>
                </c:pt>
                <c:pt idx="41">
                  <c:v>327763</c:v>
                </c:pt>
                <c:pt idx="42">
                  <c:v>327657</c:v>
                </c:pt>
                <c:pt idx="43">
                  <c:v>313428</c:v>
                </c:pt>
                <c:pt idx="44">
                  <c:v>326014</c:v>
                </c:pt>
                <c:pt idx="45">
                  <c:v>312569</c:v>
                </c:pt>
                <c:pt idx="46">
                  <c:v>326508</c:v>
                </c:pt>
                <c:pt idx="47">
                  <c:v>323364</c:v>
                </c:pt>
                <c:pt idx="48">
                  <c:v>263643</c:v>
                </c:pt>
                <c:pt idx="49">
                  <c:v>263643</c:v>
                </c:pt>
                <c:pt idx="50">
                  <c:v>271169</c:v>
                </c:pt>
                <c:pt idx="51">
                  <c:v>271169</c:v>
                </c:pt>
                <c:pt idx="52">
                  <c:v>276140</c:v>
                </c:pt>
                <c:pt idx="53">
                  <c:v>260239</c:v>
                </c:pt>
                <c:pt idx="54">
                  <c:v>272313</c:v>
                </c:pt>
                <c:pt idx="55">
                  <c:v>272313</c:v>
                </c:pt>
                <c:pt idx="56">
                  <c:v>262835</c:v>
                </c:pt>
                <c:pt idx="57">
                  <c:v>262835</c:v>
                </c:pt>
                <c:pt idx="58">
                  <c:v>260521</c:v>
                </c:pt>
                <c:pt idx="59">
                  <c:v>260521</c:v>
                </c:pt>
                <c:pt idx="60">
                  <c:v>270956</c:v>
                </c:pt>
                <c:pt idx="61">
                  <c:v>270956</c:v>
                </c:pt>
                <c:pt idx="62">
                  <c:v>274498</c:v>
                </c:pt>
                <c:pt idx="63">
                  <c:v>275110</c:v>
                </c:pt>
                <c:pt idx="64">
                  <c:v>317481</c:v>
                </c:pt>
                <c:pt idx="65">
                  <c:v>339209</c:v>
                </c:pt>
                <c:pt idx="66">
                  <c:v>330449</c:v>
                </c:pt>
                <c:pt idx="67">
                  <c:v>327592</c:v>
                </c:pt>
                <c:pt idx="68">
                  <c:v>329064</c:v>
                </c:pt>
                <c:pt idx="69">
                  <c:v>333049</c:v>
                </c:pt>
                <c:pt idx="70">
                  <c:v>330697</c:v>
                </c:pt>
                <c:pt idx="71">
                  <c:v>306555</c:v>
                </c:pt>
                <c:pt idx="72">
                  <c:v>317168</c:v>
                </c:pt>
                <c:pt idx="73">
                  <c:v>330408</c:v>
                </c:pt>
                <c:pt idx="74">
                  <c:v>330812</c:v>
                </c:pt>
                <c:pt idx="75">
                  <c:v>326703</c:v>
                </c:pt>
                <c:pt idx="76">
                  <c:v>330989</c:v>
                </c:pt>
                <c:pt idx="77">
                  <c:v>326378</c:v>
                </c:pt>
                <c:pt idx="78">
                  <c:v>330952</c:v>
                </c:pt>
                <c:pt idx="79">
                  <c:v>309784</c:v>
                </c:pt>
                <c:pt idx="80">
                  <c:v>286945</c:v>
                </c:pt>
                <c:pt idx="81">
                  <c:v>289535</c:v>
                </c:pt>
                <c:pt idx="82">
                  <c:v>284725</c:v>
                </c:pt>
                <c:pt idx="83">
                  <c:v>279016</c:v>
                </c:pt>
                <c:pt idx="84">
                  <c:v>286671</c:v>
                </c:pt>
                <c:pt idx="85">
                  <c:v>289358</c:v>
                </c:pt>
                <c:pt idx="86">
                  <c:v>281021</c:v>
                </c:pt>
                <c:pt idx="87">
                  <c:v>284242</c:v>
                </c:pt>
                <c:pt idx="88">
                  <c:v>282349</c:v>
                </c:pt>
                <c:pt idx="89">
                  <c:v>289477</c:v>
                </c:pt>
                <c:pt idx="90">
                  <c:v>281101</c:v>
                </c:pt>
                <c:pt idx="91">
                  <c:v>287092</c:v>
                </c:pt>
                <c:pt idx="92">
                  <c:v>283692</c:v>
                </c:pt>
                <c:pt idx="93">
                  <c:v>286803</c:v>
                </c:pt>
                <c:pt idx="94">
                  <c:v>281680</c:v>
                </c:pt>
                <c:pt idx="95">
                  <c:v>278879</c:v>
                </c:pt>
                <c:pt idx="96">
                  <c:v>264918</c:v>
                </c:pt>
                <c:pt idx="97">
                  <c:v>264238</c:v>
                </c:pt>
                <c:pt idx="98">
                  <c:v>290886</c:v>
                </c:pt>
                <c:pt idx="99">
                  <c:v>290886</c:v>
                </c:pt>
                <c:pt idx="100">
                  <c:v>263345</c:v>
                </c:pt>
                <c:pt idx="101">
                  <c:v>263345</c:v>
                </c:pt>
                <c:pt idx="102">
                  <c:v>290410</c:v>
                </c:pt>
                <c:pt idx="103">
                  <c:v>290410</c:v>
                </c:pt>
                <c:pt idx="104">
                  <c:v>254583</c:v>
                </c:pt>
                <c:pt idx="105">
                  <c:v>254583</c:v>
                </c:pt>
                <c:pt idx="106">
                  <c:v>287049</c:v>
                </c:pt>
                <c:pt idx="107">
                  <c:v>287049</c:v>
                </c:pt>
                <c:pt idx="108">
                  <c:v>269554</c:v>
                </c:pt>
                <c:pt idx="109">
                  <c:v>265601</c:v>
                </c:pt>
                <c:pt idx="110">
                  <c:v>287827</c:v>
                </c:pt>
                <c:pt idx="111">
                  <c:v>287827</c:v>
                </c:pt>
                <c:pt idx="112">
                  <c:v>250835</c:v>
                </c:pt>
                <c:pt idx="113">
                  <c:v>250835</c:v>
                </c:pt>
                <c:pt idx="114">
                  <c:v>267036</c:v>
                </c:pt>
                <c:pt idx="115">
                  <c:v>267036</c:v>
                </c:pt>
                <c:pt idx="116">
                  <c:v>250218</c:v>
                </c:pt>
                <c:pt idx="117">
                  <c:v>250218</c:v>
                </c:pt>
                <c:pt idx="118">
                  <c:v>264120</c:v>
                </c:pt>
                <c:pt idx="119">
                  <c:v>264120</c:v>
                </c:pt>
                <c:pt idx="120">
                  <c:v>252109</c:v>
                </c:pt>
                <c:pt idx="121">
                  <c:v>252109</c:v>
                </c:pt>
                <c:pt idx="122">
                  <c:v>267218</c:v>
                </c:pt>
                <c:pt idx="123">
                  <c:v>267218</c:v>
                </c:pt>
                <c:pt idx="124">
                  <c:v>250559</c:v>
                </c:pt>
                <c:pt idx="125">
                  <c:v>250559</c:v>
                </c:pt>
                <c:pt idx="126">
                  <c:v>263454</c:v>
                </c:pt>
                <c:pt idx="127">
                  <c:v>263454</c:v>
                </c:pt>
                <c:pt idx="128">
                  <c:v>329487</c:v>
                </c:pt>
                <c:pt idx="129">
                  <c:v>329487</c:v>
                </c:pt>
                <c:pt idx="130">
                  <c:v>329628</c:v>
                </c:pt>
                <c:pt idx="131">
                  <c:v>329628</c:v>
                </c:pt>
                <c:pt idx="132">
                  <c:v>330514</c:v>
                </c:pt>
                <c:pt idx="133">
                  <c:v>330514</c:v>
                </c:pt>
                <c:pt idx="134">
                  <c:v>329681</c:v>
                </c:pt>
                <c:pt idx="135">
                  <c:v>329681</c:v>
                </c:pt>
                <c:pt idx="136">
                  <c:v>320005</c:v>
                </c:pt>
                <c:pt idx="137">
                  <c:v>320005</c:v>
                </c:pt>
                <c:pt idx="138">
                  <c:v>317800</c:v>
                </c:pt>
                <c:pt idx="139">
                  <c:v>317800</c:v>
                </c:pt>
                <c:pt idx="140">
                  <c:v>329557</c:v>
                </c:pt>
                <c:pt idx="141">
                  <c:v>329557</c:v>
                </c:pt>
                <c:pt idx="142">
                  <c:v>324001</c:v>
                </c:pt>
                <c:pt idx="143">
                  <c:v>324001</c:v>
                </c:pt>
                <c:pt idx="144">
                  <c:v>278374</c:v>
                </c:pt>
                <c:pt idx="145">
                  <c:v>278374</c:v>
                </c:pt>
                <c:pt idx="146">
                  <c:v>275758</c:v>
                </c:pt>
                <c:pt idx="147">
                  <c:v>275758</c:v>
                </c:pt>
                <c:pt idx="148">
                  <c:v>268266</c:v>
                </c:pt>
                <c:pt idx="149">
                  <c:v>268266</c:v>
                </c:pt>
                <c:pt idx="150">
                  <c:v>271247</c:v>
                </c:pt>
                <c:pt idx="151">
                  <c:v>271247</c:v>
                </c:pt>
                <c:pt idx="152">
                  <c:v>274207</c:v>
                </c:pt>
                <c:pt idx="153">
                  <c:v>274207</c:v>
                </c:pt>
                <c:pt idx="154">
                  <c:v>275564</c:v>
                </c:pt>
                <c:pt idx="155">
                  <c:v>275564</c:v>
                </c:pt>
                <c:pt idx="156">
                  <c:v>273786</c:v>
                </c:pt>
                <c:pt idx="157">
                  <c:v>273786</c:v>
                </c:pt>
                <c:pt idx="158">
                  <c:v>272787</c:v>
                </c:pt>
                <c:pt idx="159">
                  <c:v>272787</c:v>
                </c:pt>
                <c:pt idx="160">
                  <c:v>332927</c:v>
                </c:pt>
                <c:pt idx="161">
                  <c:v>332927</c:v>
                </c:pt>
                <c:pt idx="162">
                  <c:v>332758</c:v>
                </c:pt>
                <c:pt idx="163">
                  <c:v>332758</c:v>
                </c:pt>
                <c:pt idx="164">
                  <c:v>339682</c:v>
                </c:pt>
                <c:pt idx="165">
                  <c:v>339682</c:v>
                </c:pt>
                <c:pt idx="166">
                  <c:v>332719</c:v>
                </c:pt>
                <c:pt idx="167">
                  <c:v>332719</c:v>
                </c:pt>
                <c:pt idx="168">
                  <c:v>328864</c:v>
                </c:pt>
                <c:pt idx="169">
                  <c:v>328864</c:v>
                </c:pt>
                <c:pt idx="170">
                  <c:v>332834</c:v>
                </c:pt>
                <c:pt idx="171">
                  <c:v>332834</c:v>
                </c:pt>
                <c:pt idx="172">
                  <c:v>340471</c:v>
                </c:pt>
                <c:pt idx="173">
                  <c:v>340471</c:v>
                </c:pt>
                <c:pt idx="174">
                  <c:v>330196</c:v>
                </c:pt>
                <c:pt idx="175">
                  <c:v>330196</c:v>
                </c:pt>
                <c:pt idx="176">
                  <c:v>279967</c:v>
                </c:pt>
                <c:pt idx="177">
                  <c:v>279967</c:v>
                </c:pt>
                <c:pt idx="178">
                  <c:v>275660</c:v>
                </c:pt>
                <c:pt idx="179">
                  <c:v>275660</c:v>
                </c:pt>
                <c:pt idx="180">
                  <c:v>285536</c:v>
                </c:pt>
                <c:pt idx="181">
                  <c:v>285536</c:v>
                </c:pt>
                <c:pt idx="182">
                  <c:v>281386</c:v>
                </c:pt>
                <c:pt idx="183">
                  <c:v>281386</c:v>
                </c:pt>
                <c:pt idx="184">
                  <c:v>284554</c:v>
                </c:pt>
                <c:pt idx="185">
                  <c:v>284554</c:v>
                </c:pt>
                <c:pt idx="186">
                  <c:v>280899</c:v>
                </c:pt>
                <c:pt idx="187">
                  <c:v>280899</c:v>
                </c:pt>
                <c:pt idx="188">
                  <c:v>282887</c:v>
                </c:pt>
                <c:pt idx="189">
                  <c:v>282887</c:v>
                </c:pt>
                <c:pt idx="190">
                  <c:v>278338</c:v>
                </c:pt>
                <c:pt idx="191">
                  <c:v>278338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4B-F342-9D21-F71FB1D61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245808"/>
        <c:axId val="494754016"/>
      </c:lineChart>
      <c:catAx>
        <c:axId val="23324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494754016"/>
        <c:crosses val="autoZero"/>
        <c:auto val="1"/>
        <c:lblAlgn val="ctr"/>
        <c:lblOffset val="100"/>
        <c:noMultiLvlLbl val="0"/>
      </c:catAx>
      <c:valAx>
        <c:axId val="49475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3324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Economic Profitability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'Removed 15'!$X$1</c:f>
              <c:strCache>
                <c:ptCount val="1"/>
                <c:pt idx="0">
                  <c:v>net_running_earning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'Removed 15'!$X$2:$X$193</c:f>
              <c:numCache>
                <c:formatCode>General</c:formatCode>
                <c:ptCount val="192"/>
                <c:pt idx="0">
                  <c:v>-6008210.6666773902</c:v>
                </c:pt>
                <c:pt idx="1">
                  <c:v>-2226463.71958119</c:v>
                </c:pt>
                <c:pt idx="2">
                  <c:v>-3514462.4063154799</c:v>
                </c:pt>
                <c:pt idx="3">
                  <c:v>-1318106.49796594</c:v>
                </c:pt>
                <c:pt idx="4">
                  <c:v>-4960278.39680319</c:v>
                </c:pt>
                <c:pt idx="5">
                  <c:v>-1215352.3036076999</c:v>
                </c:pt>
                <c:pt idx="6">
                  <c:v>-5974492.3968924396</c:v>
                </c:pt>
                <c:pt idx="7">
                  <c:v>-1544892.6627976601</c:v>
                </c:pt>
                <c:pt idx="8">
                  <c:v>-4476062.4315690696</c:v>
                </c:pt>
                <c:pt idx="9">
                  <c:v>-2181099.3046876201</c:v>
                </c:pt>
                <c:pt idx="10">
                  <c:v>-3661440.4197137398</c:v>
                </c:pt>
                <c:pt idx="11">
                  <c:v>-1152616.01706024</c:v>
                </c:pt>
                <c:pt idx="12">
                  <c:v>-4762404.5410334095</c:v>
                </c:pt>
                <c:pt idx="13">
                  <c:v>-1955303.3913334101</c:v>
                </c:pt>
                <c:pt idx="14">
                  <c:v>-2892275.2056253902</c:v>
                </c:pt>
                <c:pt idx="15">
                  <c:v>-1044387.04607036</c:v>
                </c:pt>
                <c:pt idx="16">
                  <c:v>-3867336.1222373699</c:v>
                </c:pt>
                <c:pt idx="17">
                  <c:v>-737271.60576047795</c:v>
                </c:pt>
                <c:pt idx="18">
                  <c:v>-3692584.0172194298</c:v>
                </c:pt>
                <c:pt idx="19">
                  <c:v>-290215.34044157399</c:v>
                </c:pt>
                <c:pt idx="20">
                  <c:v>-3896510.9025310702</c:v>
                </c:pt>
                <c:pt idx="21">
                  <c:v>-631893.482482736</c:v>
                </c:pt>
                <c:pt idx="22">
                  <c:v>-3798910.5966586899</c:v>
                </c:pt>
                <c:pt idx="23">
                  <c:v>-399716.43229213799</c:v>
                </c:pt>
                <c:pt idx="24">
                  <c:v>-3421838.1989288498</c:v>
                </c:pt>
                <c:pt idx="25">
                  <c:v>-765491.710157722</c:v>
                </c:pt>
                <c:pt idx="26">
                  <c:v>-3071535.9401856698</c:v>
                </c:pt>
                <c:pt idx="27">
                  <c:v>-183828.0881733</c:v>
                </c:pt>
                <c:pt idx="28">
                  <c:v>-3528778.2664687699</c:v>
                </c:pt>
                <c:pt idx="29">
                  <c:v>-578196.95047355397</c:v>
                </c:pt>
                <c:pt idx="30">
                  <c:v>-3136389.7896056101</c:v>
                </c:pt>
                <c:pt idx="31">
                  <c:v>-365762.15896714502</c:v>
                </c:pt>
                <c:pt idx="32">
                  <c:v>-24522697.161589701</c:v>
                </c:pt>
                <c:pt idx="33">
                  <c:v>-23111679.3806432</c:v>
                </c:pt>
                <c:pt idx="34">
                  <c:v>-14409038.315890901</c:v>
                </c:pt>
                <c:pt idx="35">
                  <c:v>-5701973.7889199601</c:v>
                </c:pt>
                <c:pt idx="36">
                  <c:v>-23616961.7569708</c:v>
                </c:pt>
                <c:pt idx="37">
                  <c:v>-14738337.957829</c:v>
                </c:pt>
                <c:pt idx="38">
                  <c:v>-16185813.691105301</c:v>
                </c:pt>
                <c:pt idx="39">
                  <c:v>-9591073.8837270793</c:v>
                </c:pt>
                <c:pt idx="40">
                  <c:v>-23436106.6515688</c:v>
                </c:pt>
                <c:pt idx="41">
                  <c:v>-19390903.014087901</c:v>
                </c:pt>
                <c:pt idx="42">
                  <c:v>-15389529.574526301</c:v>
                </c:pt>
                <c:pt idx="43">
                  <c:v>-6145353.8788149701</c:v>
                </c:pt>
                <c:pt idx="44">
                  <c:v>-23465887.264296498</c:v>
                </c:pt>
                <c:pt idx="45">
                  <c:v>-19020914.156463601</c:v>
                </c:pt>
                <c:pt idx="46">
                  <c:v>-14850741.0589558</c:v>
                </c:pt>
                <c:pt idx="47">
                  <c:v>-12064141.982137199</c:v>
                </c:pt>
                <c:pt idx="48">
                  <c:v>-17204280.8398146</c:v>
                </c:pt>
                <c:pt idx="49">
                  <c:v>-12213039.7346834</c:v>
                </c:pt>
                <c:pt idx="50">
                  <c:v>-9271899.3296105396</c:v>
                </c:pt>
                <c:pt idx="51">
                  <c:v>-800888.352726012</c:v>
                </c:pt>
                <c:pt idx="52">
                  <c:v>-17248156.857731</c:v>
                </c:pt>
                <c:pt idx="53">
                  <c:v>-10491377.7480458</c:v>
                </c:pt>
                <c:pt idx="54">
                  <c:v>-11342833.0499044</c:v>
                </c:pt>
                <c:pt idx="55">
                  <c:v>-4592503.0875552399</c:v>
                </c:pt>
                <c:pt idx="56">
                  <c:v>-18298511.5323929</c:v>
                </c:pt>
                <c:pt idx="57">
                  <c:v>-11985627.9824761</c:v>
                </c:pt>
                <c:pt idx="58">
                  <c:v>-11605074.0758244</c:v>
                </c:pt>
                <c:pt idx="59">
                  <c:v>-5450628.6861798996</c:v>
                </c:pt>
                <c:pt idx="60">
                  <c:v>-17460630.958448</c:v>
                </c:pt>
                <c:pt idx="61">
                  <c:v>-11053779.614103399</c:v>
                </c:pt>
                <c:pt idx="62">
                  <c:v>-11692529.647662601</c:v>
                </c:pt>
                <c:pt idx="63">
                  <c:v>-6404940.1159643298</c:v>
                </c:pt>
                <c:pt idx="64">
                  <c:v>-17265413.607921802</c:v>
                </c:pt>
                <c:pt idx="65">
                  <c:v>1862194.2969678601</c:v>
                </c:pt>
                <c:pt idx="66">
                  <c:v>-9016562.1111332309</c:v>
                </c:pt>
                <c:pt idx="67">
                  <c:v>7522804.8313032398</c:v>
                </c:pt>
                <c:pt idx="68">
                  <c:v>-19595989.240176</c:v>
                </c:pt>
                <c:pt idx="69">
                  <c:v>-955560.83602998406</c:v>
                </c:pt>
                <c:pt idx="70">
                  <c:v>-11582334.912451699</c:v>
                </c:pt>
                <c:pt idx="71">
                  <c:v>7307197.7347641299</c:v>
                </c:pt>
                <c:pt idx="72">
                  <c:v>-17663244.453501798</c:v>
                </c:pt>
                <c:pt idx="73">
                  <c:v>2546061.7661335599</c:v>
                </c:pt>
                <c:pt idx="74">
                  <c:v>-9746664.7355291806</c:v>
                </c:pt>
                <c:pt idx="75">
                  <c:v>3586615.5197462798</c:v>
                </c:pt>
                <c:pt idx="76">
                  <c:v>-19112182.802078899</c:v>
                </c:pt>
                <c:pt idx="77">
                  <c:v>-5147157.8306112802</c:v>
                </c:pt>
                <c:pt idx="78">
                  <c:v>-10152300.9506237</c:v>
                </c:pt>
                <c:pt idx="79">
                  <c:v>10725375.157743201</c:v>
                </c:pt>
                <c:pt idx="80">
                  <c:v>-9626744.3713502791</c:v>
                </c:pt>
                <c:pt idx="81">
                  <c:v>7203482.55524287</c:v>
                </c:pt>
                <c:pt idx="82">
                  <c:v>-4173663.1735776002</c:v>
                </c:pt>
                <c:pt idx="83">
                  <c:v>10247666.430360399</c:v>
                </c:pt>
                <c:pt idx="84">
                  <c:v>-12682096.6035682</c:v>
                </c:pt>
                <c:pt idx="85">
                  <c:v>5027981.9994443199</c:v>
                </c:pt>
                <c:pt idx="86">
                  <c:v>-4394634.0540949199</c:v>
                </c:pt>
                <c:pt idx="87">
                  <c:v>8607008.4551449604</c:v>
                </c:pt>
                <c:pt idx="88">
                  <c:v>-12273013.4507873</c:v>
                </c:pt>
                <c:pt idx="89">
                  <c:v>8443952.3618720006</c:v>
                </c:pt>
                <c:pt idx="90">
                  <c:v>-5312229.9800461996</c:v>
                </c:pt>
                <c:pt idx="91">
                  <c:v>9289267.0736725107</c:v>
                </c:pt>
                <c:pt idx="92">
                  <c:v>-12541037.4335576</c:v>
                </c:pt>
                <c:pt idx="93">
                  <c:v>566683.02125297405</c:v>
                </c:pt>
                <c:pt idx="94">
                  <c:v>-7118988.9567914903</c:v>
                </c:pt>
                <c:pt idx="95">
                  <c:v>6683050.9779901197</c:v>
                </c:pt>
                <c:pt idx="96">
                  <c:v>-6244128.82765585</c:v>
                </c:pt>
                <c:pt idx="97">
                  <c:v>-2529386.9010072099</c:v>
                </c:pt>
                <c:pt idx="98">
                  <c:v>-5857986.2871804098</c:v>
                </c:pt>
                <c:pt idx="99">
                  <c:v>-1813775.02869329</c:v>
                </c:pt>
                <c:pt idx="100">
                  <c:v>-6263711.5121136904</c:v>
                </c:pt>
                <c:pt idx="101">
                  <c:v>-2628173.1218560501</c:v>
                </c:pt>
                <c:pt idx="102">
                  <c:v>-5947821.5216993196</c:v>
                </c:pt>
                <c:pt idx="103">
                  <c:v>-1908044.5250359699</c:v>
                </c:pt>
                <c:pt idx="104">
                  <c:v>-4691112.15936282</c:v>
                </c:pt>
                <c:pt idx="105">
                  <c:v>-1429550.0713174299</c:v>
                </c:pt>
                <c:pt idx="106">
                  <c:v>-5007544.5655724499</c:v>
                </c:pt>
                <c:pt idx="107">
                  <c:v>-1493262.3808554299</c:v>
                </c:pt>
                <c:pt idx="108">
                  <c:v>-6105487.8886871599</c:v>
                </c:pt>
                <c:pt idx="109">
                  <c:v>-2105980.7612768598</c:v>
                </c:pt>
                <c:pt idx="110">
                  <c:v>-5065147.8844894702</c:v>
                </c:pt>
                <c:pt idx="111">
                  <c:v>-1735057.3988842</c:v>
                </c:pt>
                <c:pt idx="112">
                  <c:v>-3625577.9137155102</c:v>
                </c:pt>
                <c:pt idx="113">
                  <c:v>-278830.640409065</c:v>
                </c:pt>
                <c:pt idx="114">
                  <c:v>-3968109.9315485698</c:v>
                </c:pt>
                <c:pt idx="115">
                  <c:v>-725019.23598106497</c:v>
                </c:pt>
                <c:pt idx="116">
                  <c:v>-4017633.4433928099</c:v>
                </c:pt>
                <c:pt idx="117">
                  <c:v>-1050196.3412311601</c:v>
                </c:pt>
                <c:pt idx="118">
                  <c:v>-3846803.5529510798</c:v>
                </c:pt>
                <c:pt idx="119">
                  <c:v>-613701.08464689204</c:v>
                </c:pt>
                <c:pt idx="120">
                  <c:v>-3798739.2199531598</c:v>
                </c:pt>
                <c:pt idx="121">
                  <c:v>-979908.46126717096</c:v>
                </c:pt>
                <c:pt idx="122">
                  <c:v>-2890383.1591584301</c:v>
                </c:pt>
                <c:pt idx="123">
                  <c:v>-158105.969455204</c:v>
                </c:pt>
                <c:pt idx="124">
                  <c:v>-3687871.4510681401</c:v>
                </c:pt>
                <c:pt idx="125">
                  <c:v>-949628.15575508296</c:v>
                </c:pt>
                <c:pt idx="126">
                  <c:v>-3349028.9260307201</c:v>
                </c:pt>
                <c:pt idx="127">
                  <c:v>-640143.21928439499</c:v>
                </c:pt>
                <c:pt idx="128">
                  <c:v>-25113500.0683752</c:v>
                </c:pt>
                <c:pt idx="129">
                  <c:v>-15392843.687766301</c:v>
                </c:pt>
                <c:pt idx="130">
                  <c:v>-16388512.1243612</c:v>
                </c:pt>
                <c:pt idx="131">
                  <c:v>-7383922.5531748896</c:v>
                </c:pt>
                <c:pt idx="132">
                  <c:v>-27300393.069280598</c:v>
                </c:pt>
                <c:pt idx="133">
                  <c:v>-20490101.3847243</c:v>
                </c:pt>
                <c:pt idx="134">
                  <c:v>-16702853.112005901</c:v>
                </c:pt>
                <c:pt idx="135">
                  <c:v>-8598733.5081687197</c:v>
                </c:pt>
                <c:pt idx="136">
                  <c:v>-28400424.0590038</c:v>
                </c:pt>
                <c:pt idx="137">
                  <c:v>-22979641.5021444</c:v>
                </c:pt>
                <c:pt idx="138">
                  <c:v>-17405760.9807746</c:v>
                </c:pt>
                <c:pt idx="139">
                  <c:v>-11929689.630590299</c:v>
                </c:pt>
                <c:pt idx="140">
                  <c:v>-25475272.993709799</c:v>
                </c:pt>
                <c:pt idx="141">
                  <c:v>-16784897.5674196</c:v>
                </c:pt>
                <c:pt idx="142">
                  <c:v>-16763877.8760057</c:v>
                </c:pt>
                <c:pt idx="143">
                  <c:v>-8314940.8299227199</c:v>
                </c:pt>
                <c:pt idx="144">
                  <c:v>-16628773.795462299</c:v>
                </c:pt>
                <c:pt idx="145">
                  <c:v>-8280527.8364047902</c:v>
                </c:pt>
                <c:pt idx="146">
                  <c:v>-12077468.748538701</c:v>
                </c:pt>
                <c:pt idx="147">
                  <c:v>-6459371.31168711</c:v>
                </c:pt>
                <c:pt idx="148">
                  <c:v>-17248819.412798401</c:v>
                </c:pt>
                <c:pt idx="149">
                  <c:v>-10580659.858106701</c:v>
                </c:pt>
                <c:pt idx="150">
                  <c:v>-11663238.894511599</c:v>
                </c:pt>
                <c:pt idx="151">
                  <c:v>-5573881.1315389704</c:v>
                </c:pt>
                <c:pt idx="152">
                  <c:v>-17099028.415247999</c:v>
                </c:pt>
                <c:pt idx="153">
                  <c:v>-10424802.2263931</c:v>
                </c:pt>
                <c:pt idx="154">
                  <c:v>-11158004.903894501</c:v>
                </c:pt>
                <c:pt idx="155">
                  <c:v>-5434883.3823614102</c:v>
                </c:pt>
                <c:pt idx="156">
                  <c:v>-17190861.233777501</c:v>
                </c:pt>
                <c:pt idx="157">
                  <c:v>-9838270.8431167491</c:v>
                </c:pt>
                <c:pt idx="158">
                  <c:v>-11982502.791957</c:v>
                </c:pt>
                <c:pt idx="159">
                  <c:v>-7131889.1528320303</c:v>
                </c:pt>
                <c:pt idx="160">
                  <c:v>-20201179.4009142</c:v>
                </c:pt>
                <c:pt idx="161">
                  <c:v>395607.45520912798</c:v>
                </c:pt>
                <c:pt idx="162">
                  <c:v>-12744911.3568167</c:v>
                </c:pt>
                <c:pt idx="163">
                  <c:v>2606726.93029114</c:v>
                </c:pt>
                <c:pt idx="164">
                  <c:v>-22147497.758752801</c:v>
                </c:pt>
                <c:pt idx="165">
                  <c:v>-6201819.6112927701</c:v>
                </c:pt>
                <c:pt idx="166">
                  <c:v>-12728483.245796699</c:v>
                </c:pt>
                <c:pt idx="167">
                  <c:v>1678259.11953279</c:v>
                </c:pt>
                <c:pt idx="168">
                  <c:v>-20735001.854872901</c:v>
                </c:pt>
                <c:pt idx="169">
                  <c:v>-971070.11319386901</c:v>
                </c:pt>
                <c:pt idx="170">
                  <c:v>-12684631.7971233</c:v>
                </c:pt>
                <c:pt idx="171">
                  <c:v>2515433.0139842401</c:v>
                </c:pt>
                <c:pt idx="172">
                  <c:v>-19771917.9529512</c:v>
                </c:pt>
                <c:pt idx="173">
                  <c:v>-1047183.73360159</c:v>
                </c:pt>
                <c:pt idx="174">
                  <c:v>-11441068</c:v>
                </c:pt>
                <c:pt idx="175">
                  <c:v>4644820.62</c:v>
                </c:pt>
                <c:pt idx="176">
                  <c:v>-13347249.137737401</c:v>
                </c:pt>
                <c:pt idx="177">
                  <c:v>3402999.5806408599</c:v>
                </c:pt>
                <c:pt idx="178">
                  <c:v>-7510568.5664857598</c:v>
                </c:pt>
                <c:pt idx="179">
                  <c:v>6894782.3562030504</c:v>
                </c:pt>
                <c:pt idx="180">
                  <c:v>-14276375.4441486</c:v>
                </c:pt>
                <c:pt idx="181">
                  <c:v>-503175.34114941902</c:v>
                </c:pt>
                <c:pt idx="182">
                  <c:v>-8060479.4419509098</c:v>
                </c:pt>
                <c:pt idx="183">
                  <c:v>4963176.5530960597</c:v>
                </c:pt>
                <c:pt idx="184">
                  <c:v>-13562225.8457934</c:v>
                </c:pt>
                <c:pt idx="185">
                  <c:v>1417898.7359905499</c:v>
                </c:pt>
                <c:pt idx="186">
                  <c:v>-6974263.57304784</c:v>
                </c:pt>
                <c:pt idx="187">
                  <c:v>6533435.0059205201</c:v>
                </c:pt>
                <c:pt idx="188">
                  <c:v>-13976982.812697699</c:v>
                </c:pt>
                <c:pt idx="189">
                  <c:v>1787074.11357131</c:v>
                </c:pt>
                <c:pt idx="190">
                  <c:v>-9025009.5163706299</c:v>
                </c:pt>
                <c:pt idx="191">
                  <c:v>2295437.5056450302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8A-5545-8184-2B5406FFFC65}"/>
            </c:ext>
          </c:extLst>
        </c:ser>
        <c:ser>
          <c:idx val="1"/>
          <c:order val="1"/>
          <c:tx>
            <c:strRef>
              <c:f>'Removed 15'!$AH$1</c:f>
              <c:strCache>
                <c:ptCount val="1"/>
                <c:pt idx="0">
                  <c:v>total net investor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'Removed 15'!$AH$2:$AH$193</c:f>
              <c:numCache>
                <c:formatCode>General</c:formatCode>
                <c:ptCount val="192"/>
                <c:pt idx="0">
                  <c:v>105790.32363295392</c:v>
                </c:pt>
                <c:pt idx="1">
                  <c:v>946605.07285615988</c:v>
                </c:pt>
                <c:pt idx="2">
                  <c:v>-101877.30908827507</c:v>
                </c:pt>
                <c:pt idx="3">
                  <c:v>2320755.1345768999</c:v>
                </c:pt>
                <c:pt idx="4">
                  <c:v>425959.59889578004</c:v>
                </c:pt>
                <c:pt idx="5">
                  <c:v>-434464.29269467207</c:v>
                </c:pt>
                <c:pt idx="6">
                  <c:v>351982.76370852999</c:v>
                </c:pt>
                <c:pt idx="7">
                  <c:v>2593940.8452696903</c:v>
                </c:pt>
                <c:pt idx="8">
                  <c:v>221368.31562428991</c:v>
                </c:pt>
                <c:pt idx="9">
                  <c:v>830909.51135657006</c:v>
                </c:pt>
                <c:pt idx="10">
                  <c:v>305874.72744875005</c:v>
                </c:pt>
                <c:pt idx="11">
                  <c:v>2100755.3846502798</c:v>
                </c:pt>
                <c:pt idx="12">
                  <c:v>-141431.7196874501</c:v>
                </c:pt>
                <c:pt idx="13">
                  <c:v>1102097.7030372201</c:v>
                </c:pt>
                <c:pt idx="14">
                  <c:v>449514.34502455988</c:v>
                </c:pt>
                <c:pt idx="15">
                  <c:v>2206049.3917189604</c:v>
                </c:pt>
                <c:pt idx="16">
                  <c:v>-213671.38409102103</c:v>
                </c:pt>
                <c:pt idx="17">
                  <c:v>142222.03181795799</c:v>
                </c:pt>
                <c:pt idx="18">
                  <c:v>372361.56079930998</c:v>
                </c:pt>
                <c:pt idx="19">
                  <c:v>1314287.9215986109</c:v>
                </c:pt>
                <c:pt idx="20">
                  <c:v>-83069.233799024019</c:v>
                </c:pt>
                <c:pt idx="21">
                  <c:v>403426.33240195201</c:v>
                </c:pt>
                <c:pt idx="22">
                  <c:v>372361.56079930998</c:v>
                </c:pt>
                <c:pt idx="23">
                  <c:v>1314287.9215986109</c:v>
                </c:pt>
                <c:pt idx="24">
                  <c:v>-164879.824666981</c:v>
                </c:pt>
                <c:pt idx="25">
                  <c:v>239805.15066603804</c:v>
                </c:pt>
                <c:pt idx="26">
                  <c:v>372361.56079930998</c:v>
                </c:pt>
                <c:pt idx="27">
                  <c:v>1314287.9215986109</c:v>
                </c:pt>
                <c:pt idx="28">
                  <c:v>88894.812525867019</c:v>
                </c:pt>
                <c:pt idx="29">
                  <c:v>747354.42505173094</c:v>
                </c:pt>
                <c:pt idx="30">
                  <c:v>272007.08533595898</c:v>
                </c:pt>
                <c:pt idx="31">
                  <c:v>1113578.9706719108</c:v>
                </c:pt>
                <c:pt idx="32">
                  <c:v>-2384078.33253473</c:v>
                </c:pt>
                <c:pt idx="33">
                  <c:v>-2891540.9700854397</c:v>
                </c:pt>
                <c:pt idx="34">
                  <c:v>-446106.53509801999</c:v>
                </c:pt>
                <c:pt idx="35">
                  <c:v>1372901.1405454502</c:v>
                </c:pt>
                <c:pt idx="36">
                  <c:v>-377571.54975118022</c:v>
                </c:pt>
                <c:pt idx="37">
                  <c:v>3401009.0468886709</c:v>
                </c:pt>
                <c:pt idx="38">
                  <c:v>-2303830.4572056299</c:v>
                </c:pt>
                <c:pt idx="39">
                  <c:v>-428044.44900781009</c:v>
                </c:pt>
                <c:pt idx="40">
                  <c:v>-856217.01374004968</c:v>
                </c:pt>
                <c:pt idx="41">
                  <c:v>-1644255.2275936599</c:v>
                </c:pt>
                <c:pt idx="42">
                  <c:v>-262783.33906336967</c:v>
                </c:pt>
                <c:pt idx="43">
                  <c:v>2748731.8240662403</c:v>
                </c:pt>
                <c:pt idx="44">
                  <c:v>1055835.27864818</c:v>
                </c:pt>
                <c:pt idx="45">
                  <c:v>-1686427.9130748697</c:v>
                </c:pt>
                <c:pt idx="46">
                  <c:v>344241.52482432034</c:v>
                </c:pt>
                <c:pt idx="47">
                  <c:v>-1591725.1566957496</c:v>
                </c:pt>
                <c:pt idx="48">
                  <c:v>-3012653.3877545651</c:v>
                </c:pt>
                <c:pt idx="49">
                  <c:v>-2607917.9755091402</c:v>
                </c:pt>
                <c:pt idx="50">
                  <c:v>-1670675.8320846101</c:v>
                </c:pt>
                <c:pt idx="51">
                  <c:v>76037.135830769781</c:v>
                </c:pt>
                <c:pt idx="52">
                  <c:v>-2784200.792783435</c:v>
                </c:pt>
                <c:pt idx="53">
                  <c:v>-2122701.92326971</c:v>
                </c:pt>
                <c:pt idx="54">
                  <c:v>-2266059.7788770003</c:v>
                </c:pt>
                <c:pt idx="55">
                  <c:v>-1114730.7577540101</c:v>
                </c:pt>
                <c:pt idx="56">
                  <c:v>-2029176.46751889</c:v>
                </c:pt>
                <c:pt idx="57">
                  <c:v>-640964.13503777981</c:v>
                </c:pt>
                <c:pt idx="58">
                  <c:v>-1829655.16938267</c:v>
                </c:pt>
                <c:pt idx="59">
                  <c:v>-241921.53876534989</c:v>
                </c:pt>
                <c:pt idx="60">
                  <c:v>-2803229.1777697471</c:v>
                </c:pt>
                <c:pt idx="61">
                  <c:v>-2189069.5555395102</c:v>
                </c:pt>
                <c:pt idx="62">
                  <c:v>-1455953.6402044802</c:v>
                </c:pt>
                <c:pt idx="63">
                  <c:v>525380.14450976998</c:v>
                </c:pt>
                <c:pt idx="64">
                  <c:v>157370.62181469053</c:v>
                </c:pt>
                <c:pt idx="65">
                  <c:v>5204121.5123507008</c:v>
                </c:pt>
                <c:pt idx="66">
                  <c:v>1070660.5791799594</c:v>
                </c:pt>
                <c:pt idx="67">
                  <c:v>5388306.2382727992</c:v>
                </c:pt>
                <c:pt idx="68">
                  <c:v>710110.09006071091</c:v>
                </c:pt>
                <c:pt idx="69">
                  <c:v>4753733.4711025003</c:v>
                </c:pt>
                <c:pt idx="70">
                  <c:v>-869462.7180409804</c:v>
                </c:pt>
                <c:pt idx="71">
                  <c:v>10357803.574388001</c:v>
                </c:pt>
                <c:pt idx="72">
                  <c:v>137257.05154350959</c:v>
                </c:pt>
                <c:pt idx="73">
                  <c:v>8678776.1926127002</c:v>
                </c:pt>
                <c:pt idx="74">
                  <c:v>2446648.4746118002</c:v>
                </c:pt>
                <c:pt idx="75">
                  <c:v>3745260.1128029004</c:v>
                </c:pt>
                <c:pt idx="76">
                  <c:v>-388493.5490547698</c:v>
                </c:pt>
                <c:pt idx="77">
                  <c:v>3066842.2481404003</c:v>
                </c:pt>
                <c:pt idx="78">
                  <c:v>-78510.733770850115</c:v>
                </c:pt>
                <c:pt idx="79">
                  <c:v>12297393.289602999</c:v>
                </c:pt>
                <c:pt idx="80">
                  <c:v>3667650.0882001808</c:v>
                </c:pt>
                <c:pt idx="81">
                  <c:v>5886499.9118545102</c:v>
                </c:pt>
                <c:pt idx="82">
                  <c:v>1888629.7872077599</c:v>
                </c:pt>
                <c:pt idx="83">
                  <c:v>4033769.1285724295</c:v>
                </c:pt>
                <c:pt idx="84">
                  <c:v>-610571.25992564019</c:v>
                </c:pt>
                <c:pt idx="85">
                  <c:v>4752007.5910040094</c:v>
                </c:pt>
                <c:pt idx="86">
                  <c:v>3476349.0604542596</c:v>
                </c:pt>
                <c:pt idx="87">
                  <c:v>5548976.2866277108</c:v>
                </c:pt>
                <c:pt idx="88">
                  <c:v>3072234.9305619104</c:v>
                </c:pt>
                <c:pt idx="89">
                  <c:v>13606648.267535612</c:v>
                </c:pt>
                <c:pt idx="90">
                  <c:v>3167231.43833311</c:v>
                </c:pt>
                <c:pt idx="91">
                  <c:v>5432525.8925176105</c:v>
                </c:pt>
                <c:pt idx="92">
                  <c:v>3708708.907193481</c:v>
                </c:pt>
                <c:pt idx="93">
                  <c:v>3840824.5573194912</c:v>
                </c:pt>
                <c:pt idx="94">
                  <c:v>-652019.35459349956</c:v>
                </c:pt>
                <c:pt idx="95">
                  <c:v>1869643.5493179699</c:v>
                </c:pt>
                <c:pt idx="96">
                  <c:v>353283.39026382007</c:v>
                </c:pt>
                <c:pt idx="97">
                  <c:v>1542846.33052765</c:v>
                </c:pt>
                <c:pt idx="98">
                  <c:v>1389457.8724484399</c:v>
                </c:pt>
                <c:pt idx="99">
                  <c:v>3615195.2948968802</c:v>
                </c:pt>
                <c:pt idx="100">
                  <c:v>232959.85226754006</c:v>
                </c:pt>
                <c:pt idx="101">
                  <c:v>1302199.2545350802</c:v>
                </c:pt>
                <c:pt idx="102">
                  <c:v>1378415.7648151501</c:v>
                </c:pt>
                <c:pt idx="103">
                  <c:v>3593111.0796303004</c:v>
                </c:pt>
                <c:pt idx="104">
                  <c:v>420539.2156718499</c:v>
                </c:pt>
                <c:pt idx="105">
                  <c:v>1677357.9813437101</c:v>
                </c:pt>
                <c:pt idx="106">
                  <c:v>1363970.4485740198</c:v>
                </c:pt>
                <c:pt idx="107">
                  <c:v>3564220.4471480399</c:v>
                </c:pt>
                <c:pt idx="108">
                  <c:v>867699.64225079003</c:v>
                </c:pt>
                <c:pt idx="109">
                  <c:v>2175767.1521514701</c:v>
                </c:pt>
                <c:pt idx="110">
                  <c:v>1118381.51642501</c:v>
                </c:pt>
                <c:pt idx="111">
                  <c:v>3073042.5828500297</c:v>
                </c:pt>
                <c:pt idx="112">
                  <c:v>294262.85086346196</c:v>
                </c:pt>
                <c:pt idx="113">
                  <c:v>1158090.5017269212</c:v>
                </c:pt>
                <c:pt idx="114">
                  <c:v>688413.10038673098</c:v>
                </c:pt>
                <c:pt idx="115">
                  <c:v>1946391.0007734611</c:v>
                </c:pt>
                <c:pt idx="116">
                  <c:v>-211484.04399627098</c:v>
                </c:pt>
                <c:pt idx="117">
                  <c:v>146596.71200745797</c:v>
                </c:pt>
                <c:pt idx="118">
                  <c:v>669965.70550070109</c:v>
                </c:pt>
                <c:pt idx="119">
                  <c:v>1909496.2110014111</c:v>
                </c:pt>
                <c:pt idx="120">
                  <c:v>276588.59772349999</c:v>
                </c:pt>
                <c:pt idx="121">
                  <c:v>1122741.9954469912</c:v>
                </c:pt>
                <c:pt idx="122">
                  <c:v>688413.10038673098</c:v>
                </c:pt>
                <c:pt idx="123">
                  <c:v>1946391.0007734611</c:v>
                </c:pt>
                <c:pt idx="124">
                  <c:v>169138.64655958803</c:v>
                </c:pt>
                <c:pt idx="125">
                  <c:v>907842.0931191711</c:v>
                </c:pt>
                <c:pt idx="126">
                  <c:v>657224.45644419093</c:v>
                </c:pt>
                <c:pt idx="127">
                  <c:v>1884013.712888381</c:v>
                </c:pt>
                <c:pt idx="128">
                  <c:v>45598.877288170159</c:v>
                </c:pt>
                <c:pt idx="129">
                  <c:v>5108875.054576301</c:v>
                </c:pt>
                <c:pt idx="130">
                  <c:v>265845.44359546062</c:v>
                </c:pt>
                <c:pt idx="131">
                  <c:v>5549368.1871909006</c:v>
                </c:pt>
                <c:pt idx="132">
                  <c:v>-1727585.9106108299</c:v>
                </c:pt>
                <c:pt idx="133">
                  <c:v>1562505.4787783399</c:v>
                </c:pt>
                <c:pt idx="134">
                  <c:v>80837.628068850376</c:v>
                </c:pt>
                <c:pt idx="135">
                  <c:v>5179352.5561377006</c:v>
                </c:pt>
                <c:pt idx="136">
                  <c:v>-3514632.0741298702</c:v>
                </c:pt>
                <c:pt idx="137">
                  <c:v>-2011586.84825974</c:v>
                </c:pt>
                <c:pt idx="138">
                  <c:v>-2797807.16053994</c:v>
                </c:pt>
                <c:pt idx="139">
                  <c:v>-577937.02107986994</c:v>
                </c:pt>
                <c:pt idx="140">
                  <c:v>215310.81850360055</c:v>
                </c:pt>
                <c:pt idx="141">
                  <c:v>5448298.9370072009</c:v>
                </c:pt>
                <c:pt idx="142">
                  <c:v>196961.22501615994</c:v>
                </c:pt>
                <c:pt idx="143">
                  <c:v>5411599.7500323011</c:v>
                </c:pt>
                <c:pt idx="144">
                  <c:v>200839.78595797997</c:v>
                </c:pt>
                <c:pt idx="145">
                  <c:v>3819068.37191595</c:v>
                </c:pt>
                <c:pt idx="146">
                  <c:v>-1328440.29580003</c:v>
                </c:pt>
                <c:pt idx="147">
                  <c:v>760508.20839993982</c:v>
                </c:pt>
                <c:pt idx="148">
                  <c:v>-1559937.98004614</c:v>
                </c:pt>
                <c:pt idx="149">
                  <c:v>297512.83990771975</c:v>
                </c:pt>
                <c:pt idx="150">
                  <c:v>-413371.19333409984</c:v>
                </c:pt>
                <c:pt idx="151">
                  <c:v>2590646.4133317904</c:v>
                </c:pt>
                <c:pt idx="152">
                  <c:v>-1527170.0042813499</c:v>
                </c:pt>
                <c:pt idx="153">
                  <c:v>363048.79143729014</c:v>
                </c:pt>
                <c:pt idx="154">
                  <c:v>-836437.71808699006</c:v>
                </c:pt>
                <c:pt idx="155">
                  <c:v>1744513.3638260099</c:v>
                </c:pt>
                <c:pt idx="156">
                  <c:v>118762.39204978989</c:v>
                </c:pt>
                <c:pt idx="157">
                  <c:v>3654913.5840995801</c:v>
                </c:pt>
                <c:pt idx="158">
                  <c:v>-1807906.92712866</c:v>
                </c:pt>
                <c:pt idx="159">
                  <c:v>-198425.05425732024</c:v>
                </c:pt>
                <c:pt idx="160">
                  <c:v>4511327.6995886993</c:v>
                </c:pt>
                <c:pt idx="161">
                  <c:v>17385450.899177499</c:v>
                </c:pt>
                <c:pt idx="162">
                  <c:v>1100583.2070490606</c:v>
                </c:pt>
                <c:pt idx="163">
                  <c:v>10563961.914098099</c:v>
                </c:pt>
                <c:pt idx="164">
                  <c:v>166598.6942931395</c:v>
                </c:pt>
                <c:pt idx="165">
                  <c:v>8695992.8885862008</c:v>
                </c:pt>
                <c:pt idx="166">
                  <c:v>-256861.97005049977</c:v>
                </c:pt>
                <c:pt idx="167">
                  <c:v>7849071.5598990005</c:v>
                </c:pt>
                <c:pt idx="168">
                  <c:v>4578402.8878399003</c:v>
                </c:pt>
                <c:pt idx="169">
                  <c:v>17519601.275679901</c:v>
                </c:pt>
                <c:pt idx="170">
                  <c:v>647364.19014888071</c:v>
                </c:pt>
                <c:pt idx="171">
                  <c:v>9657523.8802977018</c:v>
                </c:pt>
                <c:pt idx="172">
                  <c:v>1839754.7727179006</c:v>
                </c:pt>
                <c:pt idx="173">
                  <c:v>12042305.045435902</c:v>
                </c:pt>
                <c:pt idx="174">
                  <c:v>162974.55000000075</c:v>
                </c:pt>
                <c:pt idx="175">
                  <c:v>8688744.6000000015</c:v>
                </c:pt>
                <c:pt idx="176">
                  <c:v>2905083.1006705808</c:v>
                </c:pt>
                <c:pt idx="177">
                  <c:v>11505814.201341111</c:v>
                </c:pt>
                <c:pt idx="178">
                  <c:v>1034493.8497600099</c:v>
                </c:pt>
                <c:pt idx="179">
                  <c:v>7764635.6995200096</c:v>
                </c:pt>
                <c:pt idx="180">
                  <c:v>1755858.6757243602</c:v>
                </c:pt>
                <c:pt idx="181">
                  <c:v>9207365.351448711</c:v>
                </c:pt>
                <c:pt idx="182">
                  <c:v>527612.17846629024</c:v>
                </c:pt>
                <c:pt idx="183">
                  <c:v>6750872.3569325106</c:v>
                </c:pt>
                <c:pt idx="184">
                  <c:v>183326.39699420985</c:v>
                </c:pt>
                <c:pt idx="185">
                  <c:v>6062300.7939884095</c:v>
                </c:pt>
                <c:pt idx="186">
                  <c:v>755189.71484986041</c:v>
                </c:pt>
                <c:pt idx="187">
                  <c:v>7206027.4296997106</c:v>
                </c:pt>
                <c:pt idx="188">
                  <c:v>396598.69742485043</c:v>
                </c:pt>
                <c:pt idx="189">
                  <c:v>6488845.3948496105</c:v>
                </c:pt>
                <c:pt idx="190">
                  <c:v>417348.02350276057</c:v>
                </c:pt>
                <c:pt idx="191">
                  <c:v>6530344.0470055109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8A-5545-8184-2B5406FFF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5331456"/>
        <c:axId val="525333184"/>
      </c:lineChart>
      <c:catAx>
        <c:axId val="52533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25333184"/>
        <c:crosses val="autoZero"/>
        <c:auto val="1"/>
        <c:lblAlgn val="ctr"/>
        <c:lblOffset val="100"/>
        <c:noMultiLvlLbl val="0"/>
      </c:catAx>
      <c:valAx>
        <c:axId val="525333184"/>
        <c:scaling>
          <c:orientation val="minMax"/>
          <c:min val="-3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2533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Environmental</a:t>
            </a:r>
            <a:r>
              <a:rPr lang="en-GB" baseline="0"/>
              <a:t> Sustainability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'Removed 15'!$O$1</c:f>
              <c:strCache>
                <c:ptCount val="1"/>
                <c:pt idx="0">
                  <c:v>Native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'Removed 15'!$O$2:$O$193</c:f>
              <c:numCache>
                <c:formatCode>General</c:formatCode>
                <c:ptCount val="192"/>
                <c:pt idx="0">
                  <c:v>190521</c:v>
                </c:pt>
                <c:pt idx="1">
                  <c:v>199218</c:v>
                </c:pt>
                <c:pt idx="2">
                  <c:v>195385</c:v>
                </c:pt>
                <c:pt idx="3">
                  <c:v>207709</c:v>
                </c:pt>
                <c:pt idx="4">
                  <c:v>187873</c:v>
                </c:pt>
                <c:pt idx="5">
                  <c:v>198091</c:v>
                </c:pt>
                <c:pt idx="6">
                  <c:v>201115</c:v>
                </c:pt>
                <c:pt idx="7">
                  <c:v>207989</c:v>
                </c:pt>
                <c:pt idx="8">
                  <c:v>183550</c:v>
                </c:pt>
                <c:pt idx="9">
                  <c:v>192508</c:v>
                </c:pt>
                <c:pt idx="10">
                  <c:v>193564</c:v>
                </c:pt>
                <c:pt idx="11">
                  <c:v>205075</c:v>
                </c:pt>
                <c:pt idx="12">
                  <c:v>180183</c:v>
                </c:pt>
                <c:pt idx="13">
                  <c:v>198599</c:v>
                </c:pt>
                <c:pt idx="14">
                  <c:v>195091</c:v>
                </c:pt>
                <c:pt idx="15">
                  <c:v>202411</c:v>
                </c:pt>
                <c:pt idx="16">
                  <c:v>167416</c:v>
                </c:pt>
                <c:pt idx="17">
                  <c:v>167482</c:v>
                </c:pt>
                <c:pt idx="18">
                  <c:v>173806</c:v>
                </c:pt>
                <c:pt idx="19">
                  <c:v>173806</c:v>
                </c:pt>
                <c:pt idx="20">
                  <c:v>164661</c:v>
                </c:pt>
                <c:pt idx="21">
                  <c:v>164661</c:v>
                </c:pt>
                <c:pt idx="22">
                  <c:v>173840</c:v>
                </c:pt>
                <c:pt idx="23">
                  <c:v>173840</c:v>
                </c:pt>
                <c:pt idx="24">
                  <c:v>165472</c:v>
                </c:pt>
                <c:pt idx="25">
                  <c:v>165472</c:v>
                </c:pt>
                <c:pt idx="26">
                  <c:v>173349</c:v>
                </c:pt>
                <c:pt idx="27">
                  <c:v>173349</c:v>
                </c:pt>
                <c:pt idx="28">
                  <c:v>165738</c:v>
                </c:pt>
                <c:pt idx="29">
                  <c:v>165738</c:v>
                </c:pt>
                <c:pt idx="30">
                  <c:v>173188</c:v>
                </c:pt>
                <c:pt idx="31">
                  <c:v>173188</c:v>
                </c:pt>
                <c:pt idx="32">
                  <c:v>224970</c:v>
                </c:pt>
                <c:pt idx="33">
                  <c:v>215180</c:v>
                </c:pt>
                <c:pt idx="34">
                  <c:v>222386</c:v>
                </c:pt>
                <c:pt idx="35">
                  <c:v>221143</c:v>
                </c:pt>
                <c:pt idx="36">
                  <c:v>224763</c:v>
                </c:pt>
                <c:pt idx="37">
                  <c:v>216069</c:v>
                </c:pt>
                <c:pt idx="38">
                  <c:v>218940</c:v>
                </c:pt>
                <c:pt idx="39">
                  <c:v>221687</c:v>
                </c:pt>
                <c:pt idx="40">
                  <c:v>209422</c:v>
                </c:pt>
                <c:pt idx="41">
                  <c:v>222334</c:v>
                </c:pt>
                <c:pt idx="42">
                  <c:v>221163</c:v>
                </c:pt>
                <c:pt idx="43">
                  <c:v>213370</c:v>
                </c:pt>
                <c:pt idx="44">
                  <c:v>217304</c:v>
                </c:pt>
                <c:pt idx="45">
                  <c:v>199684</c:v>
                </c:pt>
                <c:pt idx="46">
                  <c:v>220382</c:v>
                </c:pt>
                <c:pt idx="47">
                  <c:v>218220</c:v>
                </c:pt>
                <c:pt idx="48">
                  <c:v>167666</c:v>
                </c:pt>
                <c:pt idx="49">
                  <c:v>167666</c:v>
                </c:pt>
                <c:pt idx="50">
                  <c:v>179667</c:v>
                </c:pt>
                <c:pt idx="51">
                  <c:v>179667</c:v>
                </c:pt>
                <c:pt idx="52">
                  <c:v>185838</c:v>
                </c:pt>
                <c:pt idx="53">
                  <c:v>165590</c:v>
                </c:pt>
                <c:pt idx="54">
                  <c:v>183366</c:v>
                </c:pt>
                <c:pt idx="55">
                  <c:v>183366</c:v>
                </c:pt>
                <c:pt idx="56">
                  <c:v>178097</c:v>
                </c:pt>
                <c:pt idx="57">
                  <c:v>178097</c:v>
                </c:pt>
                <c:pt idx="58">
                  <c:v>176624</c:v>
                </c:pt>
                <c:pt idx="59">
                  <c:v>176624</c:v>
                </c:pt>
                <c:pt idx="60">
                  <c:v>182766</c:v>
                </c:pt>
                <c:pt idx="61">
                  <c:v>182766</c:v>
                </c:pt>
                <c:pt idx="62">
                  <c:v>184784</c:v>
                </c:pt>
                <c:pt idx="63">
                  <c:v>184958</c:v>
                </c:pt>
                <c:pt idx="64">
                  <c:v>226893</c:v>
                </c:pt>
                <c:pt idx="65">
                  <c:v>220873</c:v>
                </c:pt>
                <c:pt idx="66">
                  <c:v>215709</c:v>
                </c:pt>
                <c:pt idx="67">
                  <c:v>213740</c:v>
                </c:pt>
                <c:pt idx="68">
                  <c:v>228438</c:v>
                </c:pt>
                <c:pt idx="69">
                  <c:v>222067</c:v>
                </c:pt>
                <c:pt idx="70">
                  <c:v>214864</c:v>
                </c:pt>
                <c:pt idx="71">
                  <c:v>218583</c:v>
                </c:pt>
                <c:pt idx="72">
                  <c:v>225414</c:v>
                </c:pt>
                <c:pt idx="73">
                  <c:v>215672</c:v>
                </c:pt>
                <c:pt idx="74">
                  <c:v>214908</c:v>
                </c:pt>
                <c:pt idx="75">
                  <c:v>213538</c:v>
                </c:pt>
                <c:pt idx="76">
                  <c:v>216470</c:v>
                </c:pt>
                <c:pt idx="77">
                  <c:v>213628</c:v>
                </c:pt>
                <c:pt idx="78">
                  <c:v>215084</c:v>
                </c:pt>
                <c:pt idx="79">
                  <c:v>220440</c:v>
                </c:pt>
                <c:pt idx="80">
                  <c:v>187009</c:v>
                </c:pt>
                <c:pt idx="81">
                  <c:v>192547</c:v>
                </c:pt>
                <c:pt idx="82">
                  <c:v>185029</c:v>
                </c:pt>
                <c:pt idx="83">
                  <c:v>182287</c:v>
                </c:pt>
                <c:pt idx="84">
                  <c:v>187042</c:v>
                </c:pt>
                <c:pt idx="85">
                  <c:v>191658</c:v>
                </c:pt>
                <c:pt idx="86">
                  <c:v>187590</c:v>
                </c:pt>
                <c:pt idx="87">
                  <c:v>188640</c:v>
                </c:pt>
                <c:pt idx="88">
                  <c:v>188402</c:v>
                </c:pt>
                <c:pt idx="89">
                  <c:v>196908</c:v>
                </c:pt>
                <c:pt idx="90">
                  <c:v>186886</c:v>
                </c:pt>
                <c:pt idx="91">
                  <c:v>190396</c:v>
                </c:pt>
                <c:pt idx="92">
                  <c:v>185223</c:v>
                </c:pt>
                <c:pt idx="93">
                  <c:v>186596</c:v>
                </c:pt>
                <c:pt idx="94">
                  <c:v>183614</c:v>
                </c:pt>
                <c:pt idx="95">
                  <c:v>182033</c:v>
                </c:pt>
                <c:pt idx="96">
                  <c:v>190663</c:v>
                </c:pt>
                <c:pt idx="97">
                  <c:v>190094</c:v>
                </c:pt>
                <c:pt idx="98">
                  <c:v>205474</c:v>
                </c:pt>
                <c:pt idx="99">
                  <c:v>205474</c:v>
                </c:pt>
                <c:pt idx="100">
                  <c:v>189966</c:v>
                </c:pt>
                <c:pt idx="101">
                  <c:v>189966</c:v>
                </c:pt>
                <c:pt idx="102">
                  <c:v>205116</c:v>
                </c:pt>
                <c:pt idx="103">
                  <c:v>205116</c:v>
                </c:pt>
                <c:pt idx="104">
                  <c:v>184910</c:v>
                </c:pt>
                <c:pt idx="105">
                  <c:v>184910</c:v>
                </c:pt>
                <c:pt idx="106">
                  <c:v>202705</c:v>
                </c:pt>
                <c:pt idx="107">
                  <c:v>202705</c:v>
                </c:pt>
                <c:pt idx="108">
                  <c:v>194217</c:v>
                </c:pt>
                <c:pt idx="109">
                  <c:v>192514</c:v>
                </c:pt>
                <c:pt idx="110">
                  <c:v>204158</c:v>
                </c:pt>
                <c:pt idx="111">
                  <c:v>204158</c:v>
                </c:pt>
                <c:pt idx="112">
                  <c:v>166190</c:v>
                </c:pt>
                <c:pt idx="113">
                  <c:v>166190</c:v>
                </c:pt>
                <c:pt idx="114">
                  <c:v>173467</c:v>
                </c:pt>
                <c:pt idx="115">
                  <c:v>173467</c:v>
                </c:pt>
                <c:pt idx="116">
                  <c:v>166469</c:v>
                </c:pt>
                <c:pt idx="117">
                  <c:v>166469</c:v>
                </c:pt>
                <c:pt idx="118">
                  <c:v>172842</c:v>
                </c:pt>
                <c:pt idx="119">
                  <c:v>172842</c:v>
                </c:pt>
                <c:pt idx="120">
                  <c:v>166863</c:v>
                </c:pt>
                <c:pt idx="121">
                  <c:v>166863</c:v>
                </c:pt>
                <c:pt idx="122">
                  <c:v>174006</c:v>
                </c:pt>
                <c:pt idx="123">
                  <c:v>174006</c:v>
                </c:pt>
                <c:pt idx="124">
                  <c:v>166694</c:v>
                </c:pt>
                <c:pt idx="125">
                  <c:v>166694</c:v>
                </c:pt>
                <c:pt idx="126">
                  <c:v>172000</c:v>
                </c:pt>
                <c:pt idx="127">
                  <c:v>172000</c:v>
                </c:pt>
                <c:pt idx="128">
                  <c:v>219592</c:v>
                </c:pt>
                <c:pt idx="129">
                  <c:v>219592</c:v>
                </c:pt>
                <c:pt idx="130">
                  <c:v>222740</c:v>
                </c:pt>
                <c:pt idx="131">
                  <c:v>222740</c:v>
                </c:pt>
                <c:pt idx="132">
                  <c:v>223798</c:v>
                </c:pt>
                <c:pt idx="133">
                  <c:v>223798</c:v>
                </c:pt>
                <c:pt idx="134">
                  <c:v>222732</c:v>
                </c:pt>
                <c:pt idx="135">
                  <c:v>222732</c:v>
                </c:pt>
                <c:pt idx="136">
                  <c:v>217804</c:v>
                </c:pt>
                <c:pt idx="137">
                  <c:v>217804</c:v>
                </c:pt>
                <c:pt idx="138">
                  <c:v>206449</c:v>
                </c:pt>
                <c:pt idx="139">
                  <c:v>206449</c:v>
                </c:pt>
                <c:pt idx="140">
                  <c:v>218810</c:v>
                </c:pt>
                <c:pt idx="141">
                  <c:v>218810</c:v>
                </c:pt>
                <c:pt idx="142">
                  <c:v>214836</c:v>
                </c:pt>
                <c:pt idx="143">
                  <c:v>214836</c:v>
                </c:pt>
                <c:pt idx="144">
                  <c:v>187046</c:v>
                </c:pt>
                <c:pt idx="145">
                  <c:v>187046</c:v>
                </c:pt>
                <c:pt idx="146">
                  <c:v>185528</c:v>
                </c:pt>
                <c:pt idx="147">
                  <c:v>185528</c:v>
                </c:pt>
                <c:pt idx="148">
                  <c:v>174376</c:v>
                </c:pt>
                <c:pt idx="149">
                  <c:v>174376</c:v>
                </c:pt>
                <c:pt idx="150">
                  <c:v>179958</c:v>
                </c:pt>
                <c:pt idx="151">
                  <c:v>179958</c:v>
                </c:pt>
                <c:pt idx="152">
                  <c:v>181694</c:v>
                </c:pt>
                <c:pt idx="153">
                  <c:v>181694</c:v>
                </c:pt>
                <c:pt idx="154">
                  <c:v>184724</c:v>
                </c:pt>
                <c:pt idx="155">
                  <c:v>184724</c:v>
                </c:pt>
                <c:pt idx="156">
                  <c:v>181347</c:v>
                </c:pt>
                <c:pt idx="157">
                  <c:v>181347</c:v>
                </c:pt>
                <c:pt idx="158">
                  <c:v>183607</c:v>
                </c:pt>
                <c:pt idx="159">
                  <c:v>183607</c:v>
                </c:pt>
                <c:pt idx="160">
                  <c:v>217218</c:v>
                </c:pt>
                <c:pt idx="161">
                  <c:v>217218</c:v>
                </c:pt>
                <c:pt idx="162">
                  <c:v>215518</c:v>
                </c:pt>
                <c:pt idx="163">
                  <c:v>215518</c:v>
                </c:pt>
                <c:pt idx="164">
                  <c:v>230116</c:v>
                </c:pt>
                <c:pt idx="165">
                  <c:v>230116</c:v>
                </c:pt>
                <c:pt idx="166">
                  <c:v>215095</c:v>
                </c:pt>
                <c:pt idx="167">
                  <c:v>215095</c:v>
                </c:pt>
                <c:pt idx="168">
                  <c:v>215142</c:v>
                </c:pt>
                <c:pt idx="169">
                  <c:v>215142</c:v>
                </c:pt>
                <c:pt idx="170">
                  <c:v>215995</c:v>
                </c:pt>
                <c:pt idx="171">
                  <c:v>215995</c:v>
                </c:pt>
                <c:pt idx="172">
                  <c:v>221139</c:v>
                </c:pt>
                <c:pt idx="173">
                  <c:v>221139</c:v>
                </c:pt>
                <c:pt idx="174">
                  <c:v>214678</c:v>
                </c:pt>
                <c:pt idx="175">
                  <c:v>214678</c:v>
                </c:pt>
                <c:pt idx="176">
                  <c:v>183488</c:v>
                </c:pt>
                <c:pt idx="177">
                  <c:v>183488</c:v>
                </c:pt>
                <c:pt idx="178">
                  <c:v>180704</c:v>
                </c:pt>
                <c:pt idx="179">
                  <c:v>180704</c:v>
                </c:pt>
                <c:pt idx="180">
                  <c:v>189500</c:v>
                </c:pt>
                <c:pt idx="181">
                  <c:v>189500</c:v>
                </c:pt>
                <c:pt idx="182">
                  <c:v>182928</c:v>
                </c:pt>
                <c:pt idx="183">
                  <c:v>182928</c:v>
                </c:pt>
                <c:pt idx="184">
                  <c:v>185619</c:v>
                </c:pt>
                <c:pt idx="185">
                  <c:v>185619</c:v>
                </c:pt>
                <c:pt idx="186">
                  <c:v>186720</c:v>
                </c:pt>
                <c:pt idx="187">
                  <c:v>186720</c:v>
                </c:pt>
                <c:pt idx="188">
                  <c:v>188659</c:v>
                </c:pt>
                <c:pt idx="189">
                  <c:v>188659</c:v>
                </c:pt>
                <c:pt idx="190">
                  <c:v>181887</c:v>
                </c:pt>
                <c:pt idx="191">
                  <c:v>181887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9-F948-8CD6-4F7A2FC73907}"/>
            </c:ext>
          </c:extLst>
        </c:ser>
        <c:ser>
          <c:idx val="1"/>
          <c:order val="1"/>
          <c:tx>
            <c:strRef>
              <c:f>'Removed 15'!$T$1</c:f>
              <c:strCache>
                <c:ptCount val="1"/>
                <c:pt idx="0">
                  <c:v>Exotic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'Removed 15'!$T$2:$T$193</c:f>
              <c:numCache>
                <c:formatCode>General</c:formatCode>
                <c:ptCount val="192"/>
                <c:pt idx="0">
                  <c:v>96449</c:v>
                </c:pt>
                <c:pt idx="1">
                  <c:v>72223</c:v>
                </c:pt>
                <c:pt idx="2">
                  <c:v>105857</c:v>
                </c:pt>
                <c:pt idx="3">
                  <c:v>87909</c:v>
                </c:pt>
                <c:pt idx="4">
                  <c:v>93176</c:v>
                </c:pt>
                <c:pt idx="5">
                  <c:v>72465</c:v>
                </c:pt>
                <c:pt idx="6">
                  <c:v>85031</c:v>
                </c:pt>
                <c:pt idx="7">
                  <c:v>89934</c:v>
                </c:pt>
                <c:pt idx="8">
                  <c:v>86964</c:v>
                </c:pt>
                <c:pt idx="9">
                  <c:v>71117</c:v>
                </c:pt>
                <c:pt idx="10">
                  <c:v>102948</c:v>
                </c:pt>
                <c:pt idx="11">
                  <c:v>84660</c:v>
                </c:pt>
                <c:pt idx="12">
                  <c:v>84880</c:v>
                </c:pt>
                <c:pt idx="13">
                  <c:v>76188</c:v>
                </c:pt>
                <c:pt idx="14">
                  <c:v>104376</c:v>
                </c:pt>
                <c:pt idx="15">
                  <c:v>83340</c:v>
                </c:pt>
                <c:pt idx="16">
                  <c:v>83849</c:v>
                </c:pt>
                <c:pt idx="17">
                  <c:v>83815</c:v>
                </c:pt>
                <c:pt idx="18">
                  <c:v>93924</c:v>
                </c:pt>
                <c:pt idx="19">
                  <c:v>93924</c:v>
                </c:pt>
                <c:pt idx="20">
                  <c:v>81873</c:v>
                </c:pt>
                <c:pt idx="21">
                  <c:v>81873</c:v>
                </c:pt>
                <c:pt idx="22">
                  <c:v>93855</c:v>
                </c:pt>
                <c:pt idx="23">
                  <c:v>93855</c:v>
                </c:pt>
                <c:pt idx="24">
                  <c:v>83400</c:v>
                </c:pt>
                <c:pt idx="25">
                  <c:v>83400</c:v>
                </c:pt>
                <c:pt idx="26">
                  <c:v>92336</c:v>
                </c:pt>
                <c:pt idx="27">
                  <c:v>92336</c:v>
                </c:pt>
                <c:pt idx="28">
                  <c:v>83773</c:v>
                </c:pt>
                <c:pt idx="29">
                  <c:v>83773</c:v>
                </c:pt>
                <c:pt idx="30">
                  <c:v>92175</c:v>
                </c:pt>
                <c:pt idx="31">
                  <c:v>92175</c:v>
                </c:pt>
                <c:pt idx="32">
                  <c:v>106633</c:v>
                </c:pt>
                <c:pt idx="33">
                  <c:v>109256</c:v>
                </c:pt>
                <c:pt idx="34">
                  <c:v>105772</c:v>
                </c:pt>
                <c:pt idx="35">
                  <c:v>105890</c:v>
                </c:pt>
                <c:pt idx="36">
                  <c:v>106565</c:v>
                </c:pt>
                <c:pt idx="37">
                  <c:v>109224</c:v>
                </c:pt>
                <c:pt idx="38">
                  <c:v>104143</c:v>
                </c:pt>
                <c:pt idx="39">
                  <c:v>105948</c:v>
                </c:pt>
                <c:pt idx="40">
                  <c:v>110334</c:v>
                </c:pt>
                <c:pt idx="41">
                  <c:v>105429</c:v>
                </c:pt>
                <c:pt idx="42">
                  <c:v>106494</c:v>
                </c:pt>
                <c:pt idx="43">
                  <c:v>100058</c:v>
                </c:pt>
                <c:pt idx="44">
                  <c:v>108710</c:v>
                </c:pt>
                <c:pt idx="45">
                  <c:v>112885</c:v>
                </c:pt>
                <c:pt idx="46">
                  <c:v>106126</c:v>
                </c:pt>
                <c:pt idx="47">
                  <c:v>105144</c:v>
                </c:pt>
                <c:pt idx="48">
                  <c:v>95977</c:v>
                </c:pt>
                <c:pt idx="49">
                  <c:v>95977</c:v>
                </c:pt>
                <c:pt idx="50">
                  <c:v>91502</c:v>
                </c:pt>
                <c:pt idx="51">
                  <c:v>91502</c:v>
                </c:pt>
                <c:pt idx="52">
                  <c:v>90302</c:v>
                </c:pt>
                <c:pt idx="53">
                  <c:v>94649</c:v>
                </c:pt>
                <c:pt idx="54">
                  <c:v>88947</c:v>
                </c:pt>
                <c:pt idx="55">
                  <c:v>88947</c:v>
                </c:pt>
                <c:pt idx="56">
                  <c:v>84738</c:v>
                </c:pt>
                <c:pt idx="57">
                  <c:v>84738</c:v>
                </c:pt>
                <c:pt idx="58">
                  <c:v>83897</c:v>
                </c:pt>
                <c:pt idx="59">
                  <c:v>83897</c:v>
                </c:pt>
                <c:pt idx="60">
                  <c:v>88190</c:v>
                </c:pt>
                <c:pt idx="61">
                  <c:v>88190</c:v>
                </c:pt>
                <c:pt idx="62">
                  <c:v>89714</c:v>
                </c:pt>
                <c:pt idx="63">
                  <c:v>90152</c:v>
                </c:pt>
                <c:pt idx="64">
                  <c:v>90588</c:v>
                </c:pt>
                <c:pt idx="65">
                  <c:v>118336</c:v>
                </c:pt>
                <c:pt idx="66">
                  <c:v>114740</c:v>
                </c:pt>
                <c:pt idx="67">
                  <c:v>113852</c:v>
                </c:pt>
                <c:pt idx="68">
                  <c:v>100626</c:v>
                </c:pt>
                <c:pt idx="69">
                  <c:v>110982</c:v>
                </c:pt>
                <c:pt idx="70">
                  <c:v>115833</c:v>
                </c:pt>
                <c:pt idx="71">
                  <c:v>87972</c:v>
                </c:pt>
                <c:pt idx="72">
                  <c:v>91754</c:v>
                </c:pt>
                <c:pt idx="73">
                  <c:v>114736</c:v>
                </c:pt>
                <c:pt idx="74">
                  <c:v>115904</c:v>
                </c:pt>
                <c:pt idx="75">
                  <c:v>113165</c:v>
                </c:pt>
                <c:pt idx="76">
                  <c:v>114519</c:v>
                </c:pt>
                <c:pt idx="77">
                  <c:v>112750</c:v>
                </c:pt>
                <c:pt idx="78">
                  <c:v>115868</c:v>
                </c:pt>
                <c:pt idx="79">
                  <c:v>89344</c:v>
                </c:pt>
                <c:pt idx="80">
                  <c:v>99936</c:v>
                </c:pt>
                <c:pt idx="81">
                  <c:v>96988</c:v>
                </c:pt>
                <c:pt idx="82">
                  <c:v>99696</c:v>
                </c:pt>
                <c:pt idx="83">
                  <c:v>96729</c:v>
                </c:pt>
                <c:pt idx="84">
                  <c:v>99629</c:v>
                </c:pt>
                <c:pt idx="85">
                  <c:v>97700</c:v>
                </c:pt>
                <c:pt idx="86">
                  <c:v>93431</c:v>
                </c:pt>
                <c:pt idx="87">
                  <c:v>95602</c:v>
                </c:pt>
                <c:pt idx="88">
                  <c:v>93947</c:v>
                </c:pt>
                <c:pt idx="89">
                  <c:v>92569</c:v>
                </c:pt>
                <c:pt idx="90">
                  <c:v>94215</c:v>
                </c:pt>
                <c:pt idx="91">
                  <c:v>96696</c:v>
                </c:pt>
                <c:pt idx="92">
                  <c:v>98469</c:v>
                </c:pt>
                <c:pt idx="93">
                  <c:v>100207</c:v>
                </c:pt>
                <c:pt idx="94">
                  <c:v>98066</c:v>
                </c:pt>
                <c:pt idx="95">
                  <c:v>96846</c:v>
                </c:pt>
                <c:pt idx="96">
                  <c:v>74255</c:v>
                </c:pt>
                <c:pt idx="97">
                  <c:v>74144</c:v>
                </c:pt>
                <c:pt idx="98">
                  <c:v>85412</c:v>
                </c:pt>
                <c:pt idx="99">
                  <c:v>85412</c:v>
                </c:pt>
                <c:pt idx="100">
                  <c:v>73379</c:v>
                </c:pt>
                <c:pt idx="101">
                  <c:v>73379</c:v>
                </c:pt>
                <c:pt idx="102">
                  <c:v>85294</c:v>
                </c:pt>
                <c:pt idx="103">
                  <c:v>85294</c:v>
                </c:pt>
                <c:pt idx="104">
                  <c:v>69673</c:v>
                </c:pt>
                <c:pt idx="105">
                  <c:v>69673</c:v>
                </c:pt>
                <c:pt idx="106">
                  <c:v>84344</c:v>
                </c:pt>
                <c:pt idx="107">
                  <c:v>84344</c:v>
                </c:pt>
                <c:pt idx="108">
                  <c:v>75337</c:v>
                </c:pt>
                <c:pt idx="109">
                  <c:v>73087</c:v>
                </c:pt>
                <c:pt idx="110">
                  <c:v>83669</c:v>
                </c:pt>
                <c:pt idx="111">
                  <c:v>83669</c:v>
                </c:pt>
                <c:pt idx="112">
                  <c:v>84645</c:v>
                </c:pt>
                <c:pt idx="113">
                  <c:v>84645</c:v>
                </c:pt>
                <c:pt idx="114">
                  <c:v>93569</c:v>
                </c:pt>
                <c:pt idx="115">
                  <c:v>93569</c:v>
                </c:pt>
                <c:pt idx="116">
                  <c:v>83749</c:v>
                </c:pt>
                <c:pt idx="117">
                  <c:v>83749</c:v>
                </c:pt>
                <c:pt idx="118">
                  <c:v>91278</c:v>
                </c:pt>
                <c:pt idx="119">
                  <c:v>91278</c:v>
                </c:pt>
                <c:pt idx="120">
                  <c:v>85246</c:v>
                </c:pt>
                <c:pt idx="121">
                  <c:v>85246</c:v>
                </c:pt>
                <c:pt idx="122">
                  <c:v>93212</c:v>
                </c:pt>
                <c:pt idx="123">
                  <c:v>93212</c:v>
                </c:pt>
                <c:pt idx="124">
                  <c:v>83865</c:v>
                </c:pt>
                <c:pt idx="125">
                  <c:v>83865</c:v>
                </c:pt>
                <c:pt idx="126">
                  <c:v>91454</c:v>
                </c:pt>
                <c:pt idx="127">
                  <c:v>91454</c:v>
                </c:pt>
                <c:pt idx="128">
                  <c:v>109895</c:v>
                </c:pt>
                <c:pt idx="129">
                  <c:v>109895</c:v>
                </c:pt>
                <c:pt idx="130">
                  <c:v>106888</c:v>
                </c:pt>
                <c:pt idx="131">
                  <c:v>106888</c:v>
                </c:pt>
                <c:pt idx="132">
                  <c:v>106716</c:v>
                </c:pt>
                <c:pt idx="133">
                  <c:v>106716</c:v>
                </c:pt>
                <c:pt idx="134">
                  <c:v>106949</c:v>
                </c:pt>
                <c:pt idx="135">
                  <c:v>106949</c:v>
                </c:pt>
                <c:pt idx="136">
                  <c:v>102201</c:v>
                </c:pt>
                <c:pt idx="137">
                  <c:v>102201</c:v>
                </c:pt>
                <c:pt idx="138">
                  <c:v>111351</c:v>
                </c:pt>
                <c:pt idx="139">
                  <c:v>111351</c:v>
                </c:pt>
                <c:pt idx="140">
                  <c:v>110747</c:v>
                </c:pt>
                <c:pt idx="141">
                  <c:v>110747</c:v>
                </c:pt>
                <c:pt idx="142">
                  <c:v>109165</c:v>
                </c:pt>
                <c:pt idx="143">
                  <c:v>109165</c:v>
                </c:pt>
                <c:pt idx="144">
                  <c:v>91328</c:v>
                </c:pt>
                <c:pt idx="145">
                  <c:v>91328</c:v>
                </c:pt>
                <c:pt idx="146">
                  <c:v>90230</c:v>
                </c:pt>
                <c:pt idx="147">
                  <c:v>90230</c:v>
                </c:pt>
                <c:pt idx="148">
                  <c:v>93890</c:v>
                </c:pt>
                <c:pt idx="149">
                  <c:v>93890</c:v>
                </c:pt>
                <c:pt idx="150">
                  <c:v>91289</c:v>
                </c:pt>
                <c:pt idx="151">
                  <c:v>91289</c:v>
                </c:pt>
                <c:pt idx="152">
                  <c:v>92513</c:v>
                </c:pt>
                <c:pt idx="153">
                  <c:v>92513</c:v>
                </c:pt>
                <c:pt idx="154">
                  <c:v>90840</c:v>
                </c:pt>
                <c:pt idx="155">
                  <c:v>90840</c:v>
                </c:pt>
                <c:pt idx="156">
                  <c:v>92439</c:v>
                </c:pt>
                <c:pt idx="157">
                  <c:v>92439</c:v>
                </c:pt>
                <c:pt idx="158">
                  <c:v>89180</c:v>
                </c:pt>
                <c:pt idx="159">
                  <c:v>89180</c:v>
                </c:pt>
                <c:pt idx="160">
                  <c:v>115709</c:v>
                </c:pt>
                <c:pt idx="161">
                  <c:v>115709</c:v>
                </c:pt>
                <c:pt idx="162">
                  <c:v>117240</c:v>
                </c:pt>
                <c:pt idx="163">
                  <c:v>117240</c:v>
                </c:pt>
                <c:pt idx="164">
                  <c:v>109566</c:v>
                </c:pt>
                <c:pt idx="165">
                  <c:v>109566</c:v>
                </c:pt>
                <c:pt idx="166">
                  <c:v>117624</c:v>
                </c:pt>
                <c:pt idx="167">
                  <c:v>117624</c:v>
                </c:pt>
                <c:pt idx="168">
                  <c:v>113722</c:v>
                </c:pt>
                <c:pt idx="169">
                  <c:v>113722</c:v>
                </c:pt>
                <c:pt idx="170">
                  <c:v>116839</c:v>
                </c:pt>
                <c:pt idx="171">
                  <c:v>116839</c:v>
                </c:pt>
                <c:pt idx="172">
                  <c:v>119332</c:v>
                </c:pt>
                <c:pt idx="173">
                  <c:v>119332</c:v>
                </c:pt>
                <c:pt idx="174">
                  <c:v>115518</c:v>
                </c:pt>
                <c:pt idx="175">
                  <c:v>115518</c:v>
                </c:pt>
                <c:pt idx="176">
                  <c:v>96479</c:v>
                </c:pt>
                <c:pt idx="177">
                  <c:v>96479</c:v>
                </c:pt>
                <c:pt idx="178">
                  <c:v>94956</c:v>
                </c:pt>
                <c:pt idx="179">
                  <c:v>94956</c:v>
                </c:pt>
                <c:pt idx="180">
                  <c:v>96036</c:v>
                </c:pt>
                <c:pt idx="181">
                  <c:v>96036</c:v>
                </c:pt>
                <c:pt idx="182">
                  <c:v>98458</c:v>
                </c:pt>
                <c:pt idx="183">
                  <c:v>98458</c:v>
                </c:pt>
                <c:pt idx="184">
                  <c:v>98935</c:v>
                </c:pt>
                <c:pt idx="185">
                  <c:v>98935</c:v>
                </c:pt>
                <c:pt idx="186">
                  <c:v>94179</c:v>
                </c:pt>
                <c:pt idx="187">
                  <c:v>94179</c:v>
                </c:pt>
                <c:pt idx="188">
                  <c:v>94228</c:v>
                </c:pt>
                <c:pt idx="189">
                  <c:v>94228</c:v>
                </c:pt>
                <c:pt idx="190">
                  <c:v>96451</c:v>
                </c:pt>
                <c:pt idx="191">
                  <c:v>96451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19-F948-8CD6-4F7A2FC73907}"/>
            </c:ext>
          </c:extLst>
        </c:ser>
        <c:ser>
          <c:idx val="2"/>
          <c:order val="2"/>
          <c:tx>
            <c:strRef>
              <c:f>'Removed 15'!$U$1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'Removed 15'!$U$2:$U$193</c:f>
              <c:numCache>
                <c:formatCode>General</c:formatCode>
                <c:ptCount val="192"/>
                <c:pt idx="0">
                  <c:v>286970</c:v>
                </c:pt>
                <c:pt idx="1">
                  <c:v>271441</c:v>
                </c:pt>
                <c:pt idx="2">
                  <c:v>301242</c:v>
                </c:pt>
                <c:pt idx="3">
                  <c:v>295618</c:v>
                </c:pt>
                <c:pt idx="4">
                  <c:v>281049</c:v>
                </c:pt>
                <c:pt idx="5">
                  <c:v>270556</c:v>
                </c:pt>
                <c:pt idx="6">
                  <c:v>286146</c:v>
                </c:pt>
                <c:pt idx="7">
                  <c:v>297923</c:v>
                </c:pt>
                <c:pt idx="8">
                  <c:v>270514</c:v>
                </c:pt>
                <c:pt idx="9">
                  <c:v>263625</c:v>
                </c:pt>
                <c:pt idx="10">
                  <c:v>296512</c:v>
                </c:pt>
                <c:pt idx="11">
                  <c:v>289735</c:v>
                </c:pt>
                <c:pt idx="12">
                  <c:v>265063</c:v>
                </c:pt>
                <c:pt idx="13">
                  <c:v>274787</c:v>
                </c:pt>
                <c:pt idx="14">
                  <c:v>299467</c:v>
                </c:pt>
                <c:pt idx="15">
                  <c:v>285751</c:v>
                </c:pt>
                <c:pt idx="16">
                  <c:v>251265</c:v>
                </c:pt>
                <c:pt idx="17">
                  <c:v>251297</c:v>
                </c:pt>
                <c:pt idx="18">
                  <c:v>267730</c:v>
                </c:pt>
                <c:pt idx="19">
                  <c:v>267730</c:v>
                </c:pt>
                <c:pt idx="20">
                  <c:v>246534</c:v>
                </c:pt>
                <c:pt idx="21">
                  <c:v>246534</c:v>
                </c:pt>
                <c:pt idx="22">
                  <c:v>267695</c:v>
                </c:pt>
                <c:pt idx="23">
                  <c:v>267695</c:v>
                </c:pt>
                <c:pt idx="24">
                  <c:v>248872</c:v>
                </c:pt>
                <c:pt idx="25">
                  <c:v>248872</c:v>
                </c:pt>
                <c:pt idx="26">
                  <c:v>265685</c:v>
                </c:pt>
                <c:pt idx="27">
                  <c:v>265685</c:v>
                </c:pt>
                <c:pt idx="28">
                  <c:v>249511</c:v>
                </c:pt>
                <c:pt idx="29">
                  <c:v>249511</c:v>
                </c:pt>
                <c:pt idx="30">
                  <c:v>265363</c:v>
                </c:pt>
                <c:pt idx="31">
                  <c:v>265363</c:v>
                </c:pt>
                <c:pt idx="32">
                  <c:v>331603</c:v>
                </c:pt>
                <c:pt idx="33">
                  <c:v>324436</c:v>
                </c:pt>
                <c:pt idx="34">
                  <c:v>328158</c:v>
                </c:pt>
                <c:pt idx="35">
                  <c:v>327033</c:v>
                </c:pt>
                <c:pt idx="36">
                  <c:v>331328</c:v>
                </c:pt>
                <c:pt idx="37">
                  <c:v>325293</c:v>
                </c:pt>
                <c:pt idx="38">
                  <c:v>323083</c:v>
                </c:pt>
                <c:pt idx="39">
                  <c:v>327635</c:v>
                </c:pt>
                <c:pt idx="40">
                  <c:v>319756</c:v>
                </c:pt>
                <c:pt idx="41">
                  <c:v>327763</c:v>
                </c:pt>
                <c:pt idx="42">
                  <c:v>327657</c:v>
                </c:pt>
                <c:pt idx="43">
                  <c:v>313428</c:v>
                </c:pt>
                <c:pt idx="44">
                  <c:v>326014</c:v>
                </c:pt>
                <c:pt idx="45">
                  <c:v>312569</c:v>
                </c:pt>
                <c:pt idx="46">
                  <c:v>326508</c:v>
                </c:pt>
                <c:pt idx="47">
                  <c:v>323364</c:v>
                </c:pt>
                <c:pt idx="48">
                  <c:v>263643</c:v>
                </c:pt>
                <c:pt idx="49">
                  <c:v>263643</c:v>
                </c:pt>
                <c:pt idx="50">
                  <c:v>271169</c:v>
                </c:pt>
                <c:pt idx="51">
                  <c:v>271169</c:v>
                </c:pt>
                <c:pt idx="52">
                  <c:v>276140</c:v>
                </c:pt>
                <c:pt idx="53">
                  <c:v>260239</c:v>
                </c:pt>
                <c:pt idx="54">
                  <c:v>272313</c:v>
                </c:pt>
                <c:pt idx="55">
                  <c:v>272313</c:v>
                </c:pt>
                <c:pt idx="56">
                  <c:v>262835</c:v>
                </c:pt>
                <c:pt idx="57">
                  <c:v>262835</c:v>
                </c:pt>
                <c:pt idx="58">
                  <c:v>260521</c:v>
                </c:pt>
                <c:pt idx="59">
                  <c:v>260521</c:v>
                </c:pt>
                <c:pt idx="60">
                  <c:v>270956</c:v>
                </c:pt>
                <c:pt idx="61">
                  <c:v>270956</c:v>
                </c:pt>
                <c:pt idx="62">
                  <c:v>274498</c:v>
                </c:pt>
                <c:pt idx="63">
                  <c:v>275110</c:v>
                </c:pt>
                <c:pt idx="64">
                  <c:v>317481</c:v>
                </c:pt>
                <c:pt idx="65">
                  <c:v>339209</c:v>
                </c:pt>
                <c:pt idx="66">
                  <c:v>330449</c:v>
                </c:pt>
                <c:pt idx="67">
                  <c:v>327592</c:v>
                </c:pt>
                <c:pt idx="68">
                  <c:v>329064</c:v>
                </c:pt>
                <c:pt idx="69">
                  <c:v>333049</c:v>
                </c:pt>
                <c:pt idx="70">
                  <c:v>330697</c:v>
                </c:pt>
                <c:pt idx="71">
                  <c:v>306555</c:v>
                </c:pt>
                <c:pt idx="72">
                  <c:v>317168</c:v>
                </c:pt>
                <c:pt idx="73">
                  <c:v>330408</c:v>
                </c:pt>
                <c:pt idx="74">
                  <c:v>330812</c:v>
                </c:pt>
                <c:pt idx="75">
                  <c:v>326703</c:v>
                </c:pt>
                <c:pt idx="76">
                  <c:v>330989</c:v>
                </c:pt>
                <c:pt idx="77">
                  <c:v>326378</c:v>
                </c:pt>
                <c:pt idx="78">
                  <c:v>330952</c:v>
                </c:pt>
                <c:pt idx="79">
                  <c:v>309784</c:v>
                </c:pt>
                <c:pt idx="80">
                  <c:v>286945</c:v>
                </c:pt>
                <c:pt idx="81">
                  <c:v>289535</c:v>
                </c:pt>
                <c:pt idx="82">
                  <c:v>284725</c:v>
                </c:pt>
                <c:pt idx="83">
                  <c:v>279016</c:v>
                </c:pt>
                <c:pt idx="84">
                  <c:v>286671</c:v>
                </c:pt>
                <c:pt idx="85">
                  <c:v>289358</c:v>
                </c:pt>
                <c:pt idx="86">
                  <c:v>281021</c:v>
                </c:pt>
                <c:pt idx="87">
                  <c:v>284242</c:v>
                </c:pt>
                <c:pt idx="88">
                  <c:v>282349</c:v>
                </c:pt>
                <c:pt idx="89">
                  <c:v>289477</c:v>
                </c:pt>
                <c:pt idx="90">
                  <c:v>281101</c:v>
                </c:pt>
                <c:pt idx="91">
                  <c:v>287092</c:v>
                </c:pt>
                <c:pt idx="92">
                  <c:v>283692</c:v>
                </c:pt>
                <c:pt idx="93">
                  <c:v>286803</c:v>
                </c:pt>
                <c:pt idx="94">
                  <c:v>281680</c:v>
                </c:pt>
                <c:pt idx="95">
                  <c:v>278879</c:v>
                </c:pt>
                <c:pt idx="96">
                  <c:v>264918</c:v>
                </c:pt>
                <c:pt idx="97">
                  <c:v>264238</c:v>
                </c:pt>
                <c:pt idx="98">
                  <c:v>290886</c:v>
                </c:pt>
                <c:pt idx="99">
                  <c:v>290886</c:v>
                </c:pt>
                <c:pt idx="100">
                  <c:v>263345</c:v>
                </c:pt>
                <c:pt idx="101">
                  <c:v>263345</c:v>
                </c:pt>
                <c:pt idx="102">
                  <c:v>290410</c:v>
                </c:pt>
                <c:pt idx="103">
                  <c:v>290410</c:v>
                </c:pt>
                <c:pt idx="104">
                  <c:v>254583</c:v>
                </c:pt>
                <c:pt idx="105">
                  <c:v>254583</c:v>
                </c:pt>
                <c:pt idx="106">
                  <c:v>287049</c:v>
                </c:pt>
                <c:pt idx="107">
                  <c:v>287049</c:v>
                </c:pt>
                <c:pt idx="108">
                  <c:v>269554</c:v>
                </c:pt>
                <c:pt idx="109">
                  <c:v>265601</c:v>
                </c:pt>
                <c:pt idx="110">
                  <c:v>287827</c:v>
                </c:pt>
                <c:pt idx="111">
                  <c:v>287827</c:v>
                </c:pt>
                <c:pt idx="112">
                  <c:v>250835</c:v>
                </c:pt>
                <c:pt idx="113">
                  <c:v>250835</c:v>
                </c:pt>
                <c:pt idx="114">
                  <c:v>267036</c:v>
                </c:pt>
                <c:pt idx="115">
                  <c:v>267036</c:v>
                </c:pt>
                <c:pt idx="116">
                  <c:v>250218</c:v>
                </c:pt>
                <c:pt idx="117">
                  <c:v>250218</c:v>
                </c:pt>
                <c:pt idx="118">
                  <c:v>264120</c:v>
                </c:pt>
                <c:pt idx="119">
                  <c:v>264120</c:v>
                </c:pt>
                <c:pt idx="120">
                  <c:v>252109</c:v>
                </c:pt>
                <c:pt idx="121">
                  <c:v>252109</c:v>
                </c:pt>
                <c:pt idx="122">
                  <c:v>267218</c:v>
                </c:pt>
                <c:pt idx="123">
                  <c:v>267218</c:v>
                </c:pt>
                <c:pt idx="124">
                  <c:v>250559</c:v>
                </c:pt>
                <c:pt idx="125">
                  <c:v>250559</c:v>
                </c:pt>
                <c:pt idx="126">
                  <c:v>263454</c:v>
                </c:pt>
                <c:pt idx="127">
                  <c:v>263454</c:v>
                </c:pt>
                <c:pt idx="128">
                  <c:v>329487</c:v>
                </c:pt>
                <c:pt idx="129">
                  <c:v>329487</c:v>
                </c:pt>
                <c:pt idx="130">
                  <c:v>329628</c:v>
                </c:pt>
                <c:pt idx="131">
                  <c:v>329628</c:v>
                </c:pt>
                <c:pt idx="132">
                  <c:v>330514</c:v>
                </c:pt>
                <c:pt idx="133">
                  <c:v>330514</c:v>
                </c:pt>
                <c:pt idx="134">
                  <c:v>329681</c:v>
                </c:pt>
                <c:pt idx="135">
                  <c:v>329681</c:v>
                </c:pt>
                <c:pt idx="136">
                  <c:v>320005</c:v>
                </c:pt>
                <c:pt idx="137">
                  <c:v>320005</c:v>
                </c:pt>
                <c:pt idx="138">
                  <c:v>317800</c:v>
                </c:pt>
                <c:pt idx="139">
                  <c:v>317800</c:v>
                </c:pt>
                <c:pt idx="140">
                  <c:v>329557</c:v>
                </c:pt>
                <c:pt idx="141">
                  <c:v>329557</c:v>
                </c:pt>
                <c:pt idx="142">
                  <c:v>324001</c:v>
                </c:pt>
                <c:pt idx="143">
                  <c:v>324001</c:v>
                </c:pt>
                <c:pt idx="144">
                  <c:v>278374</c:v>
                </c:pt>
                <c:pt idx="145">
                  <c:v>278374</c:v>
                </c:pt>
                <c:pt idx="146">
                  <c:v>275758</c:v>
                </c:pt>
                <c:pt idx="147">
                  <c:v>275758</c:v>
                </c:pt>
                <c:pt idx="148">
                  <c:v>268266</c:v>
                </c:pt>
                <c:pt idx="149">
                  <c:v>268266</c:v>
                </c:pt>
                <c:pt idx="150">
                  <c:v>271247</c:v>
                </c:pt>
                <c:pt idx="151">
                  <c:v>271247</c:v>
                </c:pt>
                <c:pt idx="152">
                  <c:v>274207</c:v>
                </c:pt>
                <c:pt idx="153">
                  <c:v>274207</c:v>
                </c:pt>
                <c:pt idx="154">
                  <c:v>275564</c:v>
                </c:pt>
                <c:pt idx="155">
                  <c:v>275564</c:v>
                </c:pt>
                <c:pt idx="156">
                  <c:v>273786</c:v>
                </c:pt>
                <c:pt idx="157">
                  <c:v>273786</c:v>
                </c:pt>
                <c:pt idx="158">
                  <c:v>272787</c:v>
                </c:pt>
                <c:pt idx="159">
                  <c:v>272787</c:v>
                </c:pt>
                <c:pt idx="160">
                  <c:v>332927</c:v>
                </c:pt>
                <c:pt idx="161">
                  <c:v>332927</c:v>
                </c:pt>
                <c:pt idx="162">
                  <c:v>332758</c:v>
                </c:pt>
                <c:pt idx="163">
                  <c:v>332758</c:v>
                </c:pt>
                <c:pt idx="164">
                  <c:v>339682</c:v>
                </c:pt>
                <c:pt idx="165">
                  <c:v>339682</c:v>
                </c:pt>
                <c:pt idx="166">
                  <c:v>332719</c:v>
                </c:pt>
                <c:pt idx="167">
                  <c:v>332719</c:v>
                </c:pt>
                <c:pt idx="168">
                  <c:v>328864</c:v>
                </c:pt>
                <c:pt idx="169">
                  <c:v>328864</c:v>
                </c:pt>
                <c:pt idx="170">
                  <c:v>332834</c:v>
                </c:pt>
                <c:pt idx="171">
                  <c:v>332834</c:v>
                </c:pt>
                <c:pt idx="172">
                  <c:v>340471</c:v>
                </c:pt>
                <c:pt idx="173">
                  <c:v>340471</c:v>
                </c:pt>
                <c:pt idx="174">
                  <c:v>330196</c:v>
                </c:pt>
                <c:pt idx="175">
                  <c:v>330196</c:v>
                </c:pt>
                <c:pt idx="176">
                  <c:v>279967</c:v>
                </c:pt>
                <c:pt idx="177">
                  <c:v>279967</c:v>
                </c:pt>
                <c:pt idx="178">
                  <c:v>275660</c:v>
                </c:pt>
                <c:pt idx="179">
                  <c:v>275660</c:v>
                </c:pt>
                <c:pt idx="180">
                  <c:v>285536</c:v>
                </c:pt>
                <c:pt idx="181">
                  <c:v>285536</c:v>
                </c:pt>
                <c:pt idx="182">
                  <c:v>281386</c:v>
                </c:pt>
                <c:pt idx="183">
                  <c:v>281386</c:v>
                </c:pt>
                <c:pt idx="184">
                  <c:v>284554</c:v>
                </c:pt>
                <c:pt idx="185">
                  <c:v>284554</c:v>
                </c:pt>
                <c:pt idx="186">
                  <c:v>280899</c:v>
                </c:pt>
                <c:pt idx="187">
                  <c:v>280899</c:v>
                </c:pt>
                <c:pt idx="188">
                  <c:v>282887</c:v>
                </c:pt>
                <c:pt idx="189">
                  <c:v>282887</c:v>
                </c:pt>
                <c:pt idx="190">
                  <c:v>278338</c:v>
                </c:pt>
                <c:pt idx="191">
                  <c:v>278338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19-F948-8CD6-4F7A2FC73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2521791"/>
        <c:axId val="772465247"/>
      </c:lineChart>
      <c:catAx>
        <c:axId val="77252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772465247"/>
        <c:crosses val="autoZero"/>
        <c:auto val="1"/>
        <c:lblAlgn val="ctr"/>
        <c:lblOffset val="100"/>
        <c:noMultiLvlLbl val="0"/>
      </c:catAx>
      <c:valAx>
        <c:axId val="77246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77252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Variables affecting environmental sustainability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'Removed 15'!$D$1</c:f>
              <c:strCache>
                <c:ptCount val="1"/>
                <c:pt idx="0">
                  <c:v>investor_count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'Removed 15'!$D$2:$D$193</c:f>
              <c:numCache>
                <c:formatCode>General</c:formatCode>
                <c:ptCount val="19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0-9946-A6A8-801CF9048090}"/>
            </c:ext>
          </c:extLst>
        </c:ser>
        <c:ser>
          <c:idx val="1"/>
          <c:order val="1"/>
          <c:tx>
            <c:strRef>
              <c:f>'Removed 15'!$E$1</c:f>
              <c:strCache>
                <c:ptCount val="1"/>
                <c:pt idx="0">
                  <c:v>investment_rotation_years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'Removed 15'!$E$2:$E$193</c:f>
              <c:numCache>
                <c:formatCode>General</c:formatCode>
                <c:ptCount val="192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  <c:pt idx="132">
                  <c:v>15</c:v>
                </c:pt>
                <c:pt idx="133">
                  <c:v>15</c:v>
                </c:pt>
                <c:pt idx="134">
                  <c:v>15</c:v>
                </c:pt>
                <c:pt idx="135">
                  <c:v>15</c:v>
                </c:pt>
                <c:pt idx="136">
                  <c:v>15</c:v>
                </c:pt>
                <c:pt idx="137">
                  <c:v>15</c:v>
                </c:pt>
                <c:pt idx="138">
                  <c:v>15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15</c:v>
                </c:pt>
                <c:pt idx="143">
                  <c:v>15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30-9946-A6A8-801CF9048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9179648"/>
        <c:axId val="399209328"/>
      </c:lineChart>
      <c:catAx>
        <c:axId val="39917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399209328"/>
        <c:crosses val="autoZero"/>
        <c:auto val="1"/>
        <c:lblAlgn val="ctr"/>
        <c:lblOffset val="100"/>
        <c:noMultiLvlLbl val="0"/>
      </c:catAx>
      <c:valAx>
        <c:axId val="39920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39917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Social</a:t>
            </a:r>
            <a:r>
              <a:rPr lang="en-GB" baseline="0"/>
              <a:t> Benefit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'Removed 15'!$AD$1</c:f>
              <c:strCache>
                <c:ptCount val="1"/>
                <c:pt idx="0">
                  <c:v>member_laborer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'Removed 15'!$AD$2:$AD$193</c:f>
              <c:numCache>
                <c:formatCode>General</c:formatCode>
                <c:ptCount val="192"/>
                <c:pt idx="0">
                  <c:v>1730</c:v>
                </c:pt>
                <c:pt idx="1">
                  <c:v>1635</c:v>
                </c:pt>
                <c:pt idx="2">
                  <c:v>1239</c:v>
                </c:pt>
                <c:pt idx="3">
                  <c:v>1707</c:v>
                </c:pt>
                <c:pt idx="4">
                  <c:v>1819</c:v>
                </c:pt>
                <c:pt idx="5">
                  <c:v>1333</c:v>
                </c:pt>
                <c:pt idx="6">
                  <c:v>2022</c:v>
                </c:pt>
                <c:pt idx="7">
                  <c:v>1978</c:v>
                </c:pt>
                <c:pt idx="8">
                  <c:v>1300</c:v>
                </c:pt>
                <c:pt idx="9">
                  <c:v>1490</c:v>
                </c:pt>
                <c:pt idx="10">
                  <c:v>1088</c:v>
                </c:pt>
                <c:pt idx="11">
                  <c:v>1358</c:v>
                </c:pt>
                <c:pt idx="12">
                  <c:v>1325</c:v>
                </c:pt>
                <c:pt idx="13">
                  <c:v>1545</c:v>
                </c:pt>
                <c:pt idx="14">
                  <c:v>1044</c:v>
                </c:pt>
                <c:pt idx="15">
                  <c:v>1304</c:v>
                </c:pt>
                <c:pt idx="16">
                  <c:v>1125</c:v>
                </c:pt>
                <c:pt idx="17">
                  <c:v>1125</c:v>
                </c:pt>
                <c:pt idx="18">
                  <c:v>1093</c:v>
                </c:pt>
                <c:pt idx="19">
                  <c:v>1093</c:v>
                </c:pt>
                <c:pt idx="20">
                  <c:v>1142</c:v>
                </c:pt>
                <c:pt idx="21">
                  <c:v>1142</c:v>
                </c:pt>
                <c:pt idx="22">
                  <c:v>1056</c:v>
                </c:pt>
                <c:pt idx="23">
                  <c:v>1056</c:v>
                </c:pt>
                <c:pt idx="24">
                  <c:v>996</c:v>
                </c:pt>
                <c:pt idx="25">
                  <c:v>996</c:v>
                </c:pt>
                <c:pt idx="26">
                  <c:v>900</c:v>
                </c:pt>
                <c:pt idx="27">
                  <c:v>900</c:v>
                </c:pt>
                <c:pt idx="28">
                  <c:v>1024</c:v>
                </c:pt>
                <c:pt idx="29">
                  <c:v>1024</c:v>
                </c:pt>
                <c:pt idx="30">
                  <c:v>880</c:v>
                </c:pt>
                <c:pt idx="31">
                  <c:v>880</c:v>
                </c:pt>
                <c:pt idx="32">
                  <c:v>4987</c:v>
                </c:pt>
                <c:pt idx="33">
                  <c:v>4971</c:v>
                </c:pt>
                <c:pt idx="34">
                  <c:v>2530</c:v>
                </c:pt>
                <c:pt idx="35">
                  <c:v>2539</c:v>
                </c:pt>
                <c:pt idx="36">
                  <c:v>4994</c:v>
                </c:pt>
                <c:pt idx="37">
                  <c:v>4969</c:v>
                </c:pt>
                <c:pt idx="38">
                  <c:v>2549</c:v>
                </c:pt>
                <c:pt idx="39">
                  <c:v>2543</c:v>
                </c:pt>
                <c:pt idx="40">
                  <c:v>4879</c:v>
                </c:pt>
                <c:pt idx="41">
                  <c:v>4975</c:v>
                </c:pt>
                <c:pt idx="42">
                  <c:v>2481</c:v>
                </c:pt>
                <c:pt idx="43">
                  <c:v>2534</c:v>
                </c:pt>
                <c:pt idx="44">
                  <c:v>4904</c:v>
                </c:pt>
                <c:pt idx="45">
                  <c:v>4860</c:v>
                </c:pt>
                <c:pt idx="46">
                  <c:v>2481</c:v>
                </c:pt>
                <c:pt idx="47">
                  <c:v>2499</c:v>
                </c:pt>
                <c:pt idx="48">
                  <c:v>3328</c:v>
                </c:pt>
                <c:pt idx="49">
                  <c:v>3328</c:v>
                </c:pt>
                <c:pt idx="50">
                  <c:v>1726</c:v>
                </c:pt>
                <c:pt idx="51">
                  <c:v>1726</c:v>
                </c:pt>
                <c:pt idx="52">
                  <c:v>3443</c:v>
                </c:pt>
                <c:pt idx="53">
                  <c:v>3354</c:v>
                </c:pt>
                <c:pt idx="54">
                  <c:v>1755</c:v>
                </c:pt>
                <c:pt idx="55">
                  <c:v>1755</c:v>
                </c:pt>
                <c:pt idx="56">
                  <c:v>3529</c:v>
                </c:pt>
                <c:pt idx="57">
                  <c:v>3529</c:v>
                </c:pt>
                <c:pt idx="58">
                  <c:v>1766</c:v>
                </c:pt>
                <c:pt idx="59">
                  <c:v>1766</c:v>
                </c:pt>
                <c:pt idx="60">
                  <c:v>3432</c:v>
                </c:pt>
                <c:pt idx="61">
                  <c:v>3432</c:v>
                </c:pt>
                <c:pt idx="62">
                  <c:v>1713</c:v>
                </c:pt>
                <c:pt idx="63">
                  <c:v>1713</c:v>
                </c:pt>
                <c:pt idx="64">
                  <c:v>4546</c:v>
                </c:pt>
                <c:pt idx="65">
                  <c:v>4614</c:v>
                </c:pt>
                <c:pt idx="66">
                  <c:v>2371</c:v>
                </c:pt>
                <c:pt idx="67">
                  <c:v>2372</c:v>
                </c:pt>
                <c:pt idx="68">
                  <c:v>4832</c:v>
                </c:pt>
                <c:pt idx="69">
                  <c:v>4680</c:v>
                </c:pt>
                <c:pt idx="70">
                  <c:v>2364</c:v>
                </c:pt>
                <c:pt idx="71">
                  <c:v>2341</c:v>
                </c:pt>
                <c:pt idx="72">
                  <c:v>4480</c:v>
                </c:pt>
                <c:pt idx="73">
                  <c:v>4601</c:v>
                </c:pt>
                <c:pt idx="74">
                  <c:v>2309</c:v>
                </c:pt>
                <c:pt idx="75">
                  <c:v>2283</c:v>
                </c:pt>
                <c:pt idx="76">
                  <c:v>4588</c:v>
                </c:pt>
                <c:pt idx="77">
                  <c:v>4590</c:v>
                </c:pt>
                <c:pt idx="78">
                  <c:v>2302</c:v>
                </c:pt>
                <c:pt idx="79">
                  <c:v>2262</c:v>
                </c:pt>
                <c:pt idx="80">
                  <c:v>3295</c:v>
                </c:pt>
                <c:pt idx="81">
                  <c:v>3227</c:v>
                </c:pt>
                <c:pt idx="82">
                  <c:v>1670</c:v>
                </c:pt>
                <c:pt idx="83">
                  <c:v>1683</c:v>
                </c:pt>
                <c:pt idx="84">
                  <c:v>3296</c:v>
                </c:pt>
                <c:pt idx="85">
                  <c:v>3242</c:v>
                </c:pt>
                <c:pt idx="86">
                  <c:v>1685</c:v>
                </c:pt>
                <c:pt idx="87">
                  <c:v>1665</c:v>
                </c:pt>
                <c:pt idx="88">
                  <c:v>3353</c:v>
                </c:pt>
                <c:pt idx="89">
                  <c:v>3374</c:v>
                </c:pt>
                <c:pt idx="90">
                  <c:v>1630</c:v>
                </c:pt>
                <c:pt idx="91">
                  <c:v>1613</c:v>
                </c:pt>
                <c:pt idx="92">
                  <c:v>3275</c:v>
                </c:pt>
                <c:pt idx="93">
                  <c:v>3275</c:v>
                </c:pt>
                <c:pt idx="94">
                  <c:v>1656</c:v>
                </c:pt>
                <c:pt idx="95">
                  <c:v>1653</c:v>
                </c:pt>
                <c:pt idx="96">
                  <c:v>1763</c:v>
                </c:pt>
                <c:pt idx="97">
                  <c:v>1760</c:v>
                </c:pt>
                <c:pt idx="98">
                  <c:v>1561</c:v>
                </c:pt>
                <c:pt idx="99">
                  <c:v>1561</c:v>
                </c:pt>
                <c:pt idx="100">
                  <c:v>1772</c:v>
                </c:pt>
                <c:pt idx="101">
                  <c:v>1772</c:v>
                </c:pt>
                <c:pt idx="102">
                  <c:v>1586</c:v>
                </c:pt>
                <c:pt idx="103">
                  <c:v>1586</c:v>
                </c:pt>
                <c:pt idx="104">
                  <c:v>1325</c:v>
                </c:pt>
                <c:pt idx="105">
                  <c:v>1325</c:v>
                </c:pt>
                <c:pt idx="106">
                  <c:v>1301</c:v>
                </c:pt>
                <c:pt idx="107">
                  <c:v>1301</c:v>
                </c:pt>
                <c:pt idx="108">
                  <c:v>1519</c:v>
                </c:pt>
                <c:pt idx="109">
                  <c:v>1451</c:v>
                </c:pt>
                <c:pt idx="110">
                  <c:v>1331</c:v>
                </c:pt>
                <c:pt idx="111">
                  <c:v>1331</c:v>
                </c:pt>
                <c:pt idx="112">
                  <c:v>1110</c:v>
                </c:pt>
                <c:pt idx="113">
                  <c:v>1110</c:v>
                </c:pt>
                <c:pt idx="114">
                  <c:v>1080</c:v>
                </c:pt>
                <c:pt idx="115">
                  <c:v>1080</c:v>
                </c:pt>
                <c:pt idx="116">
                  <c:v>1126</c:v>
                </c:pt>
                <c:pt idx="117">
                  <c:v>1126</c:v>
                </c:pt>
                <c:pt idx="118">
                  <c:v>934</c:v>
                </c:pt>
                <c:pt idx="119">
                  <c:v>934</c:v>
                </c:pt>
                <c:pt idx="120">
                  <c:v>988</c:v>
                </c:pt>
                <c:pt idx="121">
                  <c:v>988</c:v>
                </c:pt>
                <c:pt idx="122">
                  <c:v>819</c:v>
                </c:pt>
                <c:pt idx="123">
                  <c:v>819</c:v>
                </c:pt>
                <c:pt idx="124">
                  <c:v>1006</c:v>
                </c:pt>
                <c:pt idx="125">
                  <c:v>1006</c:v>
                </c:pt>
                <c:pt idx="126">
                  <c:v>846</c:v>
                </c:pt>
                <c:pt idx="127">
                  <c:v>846</c:v>
                </c:pt>
                <c:pt idx="128">
                  <c:v>4972</c:v>
                </c:pt>
                <c:pt idx="129">
                  <c:v>4972</c:v>
                </c:pt>
                <c:pt idx="130">
                  <c:v>2539</c:v>
                </c:pt>
                <c:pt idx="131">
                  <c:v>2539</c:v>
                </c:pt>
                <c:pt idx="132">
                  <c:v>5032</c:v>
                </c:pt>
                <c:pt idx="133">
                  <c:v>5032</c:v>
                </c:pt>
                <c:pt idx="134">
                  <c:v>2541</c:v>
                </c:pt>
                <c:pt idx="135">
                  <c:v>2541</c:v>
                </c:pt>
                <c:pt idx="136">
                  <c:v>5041</c:v>
                </c:pt>
                <c:pt idx="137">
                  <c:v>5041</c:v>
                </c:pt>
                <c:pt idx="138">
                  <c:v>2456</c:v>
                </c:pt>
                <c:pt idx="139">
                  <c:v>2456</c:v>
                </c:pt>
                <c:pt idx="140">
                  <c:v>4913</c:v>
                </c:pt>
                <c:pt idx="141">
                  <c:v>4913</c:v>
                </c:pt>
                <c:pt idx="142">
                  <c:v>2468</c:v>
                </c:pt>
                <c:pt idx="143">
                  <c:v>2468</c:v>
                </c:pt>
                <c:pt idx="144">
                  <c:v>3445</c:v>
                </c:pt>
                <c:pt idx="145">
                  <c:v>3445</c:v>
                </c:pt>
                <c:pt idx="146">
                  <c:v>1750</c:v>
                </c:pt>
                <c:pt idx="147">
                  <c:v>1750</c:v>
                </c:pt>
                <c:pt idx="148">
                  <c:v>3380</c:v>
                </c:pt>
                <c:pt idx="149">
                  <c:v>3380</c:v>
                </c:pt>
                <c:pt idx="150">
                  <c:v>1733</c:v>
                </c:pt>
                <c:pt idx="151">
                  <c:v>1733</c:v>
                </c:pt>
                <c:pt idx="152">
                  <c:v>3375</c:v>
                </c:pt>
                <c:pt idx="153">
                  <c:v>3375</c:v>
                </c:pt>
                <c:pt idx="154">
                  <c:v>1704</c:v>
                </c:pt>
                <c:pt idx="155">
                  <c:v>1704</c:v>
                </c:pt>
                <c:pt idx="156">
                  <c:v>3375</c:v>
                </c:pt>
                <c:pt idx="157">
                  <c:v>3375</c:v>
                </c:pt>
                <c:pt idx="158">
                  <c:v>1715</c:v>
                </c:pt>
                <c:pt idx="159">
                  <c:v>1715</c:v>
                </c:pt>
                <c:pt idx="160">
                  <c:v>5514</c:v>
                </c:pt>
                <c:pt idx="161">
                  <c:v>5514</c:v>
                </c:pt>
                <c:pt idx="162">
                  <c:v>2790</c:v>
                </c:pt>
                <c:pt idx="163">
                  <c:v>2790</c:v>
                </c:pt>
                <c:pt idx="164">
                  <c:v>5611</c:v>
                </c:pt>
                <c:pt idx="165">
                  <c:v>5611</c:v>
                </c:pt>
                <c:pt idx="166">
                  <c:v>2785</c:v>
                </c:pt>
                <c:pt idx="167">
                  <c:v>2785</c:v>
                </c:pt>
                <c:pt idx="168">
                  <c:v>5473</c:v>
                </c:pt>
                <c:pt idx="169">
                  <c:v>5473</c:v>
                </c:pt>
                <c:pt idx="170">
                  <c:v>2725</c:v>
                </c:pt>
                <c:pt idx="171">
                  <c:v>2725</c:v>
                </c:pt>
                <c:pt idx="172">
                  <c:v>5400</c:v>
                </c:pt>
                <c:pt idx="173">
                  <c:v>5400</c:v>
                </c:pt>
                <c:pt idx="174">
                  <c:v>2306</c:v>
                </c:pt>
                <c:pt idx="175">
                  <c:v>2306</c:v>
                </c:pt>
                <c:pt idx="176">
                  <c:v>3944</c:v>
                </c:pt>
                <c:pt idx="177">
                  <c:v>3944</c:v>
                </c:pt>
                <c:pt idx="178">
                  <c:v>2025</c:v>
                </c:pt>
                <c:pt idx="179">
                  <c:v>2025</c:v>
                </c:pt>
                <c:pt idx="180">
                  <c:v>3832</c:v>
                </c:pt>
                <c:pt idx="181">
                  <c:v>3832</c:v>
                </c:pt>
                <c:pt idx="182">
                  <c:v>1997</c:v>
                </c:pt>
                <c:pt idx="183">
                  <c:v>1997</c:v>
                </c:pt>
                <c:pt idx="184">
                  <c:v>3885</c:v>
                </c:pt>
                <c:pt idx="185">
                  <c:v>3885</c:v>
                </c:pt>
                <c:pt idx="186">
                  <c:v>1909</c:v>
                </c:pt>
                <c:pt idx="187">
                  <c:v>1909</c:v>
                </c:pt>
                <c:pt idx="188">
                  <c:v>3932</c:v>
                </c:pt>
                <c:pt idx="189">
                  <c:v>3932</c:v>
                </c:pt>
                <c:pt idx="190">
                  <c:v>1971</c:v>
                </c:pt>
                <c:pt idx="191">
                  <c:v>1971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9-0845-8E5D-68FB2C0F6ED1}"/>
            </c:ext>
          </c:extLst>
        </c:ser>
        <c:ser>
          <c:idx val="1"/>
          <c:order val="1"/>
          <c:tx>
            <c:strRef>
              <c:f>'Removed 15'!$AE$1</c:f>
              <c:strCache>
                <c:ptCount val="1"/>
                <c:pt idx="0">
                  <c:v>independent_laborer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'Removed 15'!$AE$2:$AE$193</c:f>
              <c:numCache>
                <c:formatCode>General</c:formatCode>
                <c:ptCount val="192"/>
                <c:pt idx="0">
                  <c:v>1579</c:v>
                </c:pt>
                <c:pt idx="1">
                  <c:v>1907</c:v>
                </c:pt>
                <c:pt idx="2">
                  <c:v>696</c:v>
                </c:pt>
                <c:pt idx="3">
                  <c:v>201</c:v>
                </c:pt>
                <c:pt idx="4">
                  <c:v>1946</c:v>
                </c:pt>
                <c:pt idx="5">
                  <c:v>2073</c:v>
                </c:pt>
                <c:pt idx="6">
                  <c:v>0</c:v>
                </c:pt>
                <c:pt idx="7">
                  <c:v>0</c:v>
                </c:pt>
                <c:pt idx="8">
                  <c:v>2274</c:v>
                </c:pt>
                <c:pt idx="9">
                  <c:v>2106</c:v>
                </c:pt>
                <c:pt idx="10">
                  <c:v>862</c:v>
                </c:pt>
                <c:pt idx="11">
                  <c:v>488</c:v>
                </c:pt>
                <c:pt idx="12">
                  <c:v>2412</c:v>
                </c:pt>
                <c:pt idx="13">
                  <c:v>1635</c:v>
                </c:pt>
                <c:pt idx="14">
                  <c:v>801</c:v>
                </c:pt>
                <c:pt idx="15">
                  <c:v>632</c:v>
                </c:pt>
                <c:pt idx="16">
                  <c:v>1316</c:v>
                </c:pt>
                <c:pt idx="17">
                  <c:v>1316</c:v>
                </c:pt>
                <c:pt idx="18">
                  <c:v>202</c:v>
                </c:pt>
                <c:pt idx="19">
                  <c:v>202</c:v>
                </c:pt>
                <c:pt idx="20">
                  <c:v>1418</c:v>
                </c:pt>
                <c:pt idx="21">
                  <c:v>1418</c:v>
                </c:pt>
                <c:pt idx="22">
                  <c:v>229</c:v>
                </c:pt>
                <c:pt idx="23">
                  <c:v>229</c:v>
                </c:pt>
                <c:pt idx="24">
                  <c:v>1450</c:v>
                </c:pt>
                <c:pt idx="25">
                  <c:v>1450</c:v>
                </c:pt>
                <c:pt idx="26">
                  <c:v>352</c:v>
                </c:pt>
                <c:pt idx="27">
                  <c:v>352</c:v>
                </c:pt>
                <c:pt idx="28">
                  <c:v>1318</c:v>
                </c:pt>
                <c:pt idx="29">
                  <c:v>1318</c:v>
                </c:pt>
                <c:pt idx="30">
                  <c:v>348</c:v>
                </c:pt>
                <c:pt idx="31">
                  <c:v>348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1774</c:v>
                </c:pt>
                <c:pt idx="97">
                  <c:v>1875</c:v>
                </c:pt>
                <c:pt idx="98">
                  <c:v>371</c:v>
                </c:pt>
                <c:pt idx="99">
                  <c:v>371</c:v>
                </c:pt>
                <c:pt idx="100">
                  <c:v>1955</c:v>
                </c:pt>
                <c:pt idx="101">
                  <c:v>1955</c:v>
                </c:pt>
                <c:pt idx="102">
                  <c:v>432</c:v>
                </c:pt>
                <c:pt idx="103">
                  <c:v>432</c:v>
                </c:pt>
                <c:pt idx="104">
                  <c:v>2333</c:v>
                </c:pt>
                <c:pt idx="105">
                  <c:v>2333</c:v>
                </c:pt>
                <c:pt idx="106">
                  <c:v>551</c:v>
                </c:pt>
                <c:pt idx="107">
                  <c:v>551</c:v>
                </c:pt>
                <c:pt idx="108">
                  <c:v>1779</c:v>
                </c:pt>
                <c:pt idx="109">
                  <c:v>2011</c:v>
                </c:pt>
                <c:pt idx="110">
                  <c:v>544</c:v>
                </c:pt>
                <c:pt idx="111">
                  <c:v>544</c:v>
                </c:pt>
                <c:pt idx="112">
                  <c:v>1174</c:v>
                </c:pt>
                <c:pt idx="113">
                  <c:v>1174</c:v>
                </c:pt>
                <c:pt idx="114">
                  <c:v>223</c:v>
                </c:pt>
                <c:pt idx="115">
                  <c:v>223</c:v>
                </c:pt>
                <c:pt idx="116">
                  <c:v>1289</c:v>
                </c:pt>
                <c:pt idx="117">
                  <c:v>1289</c:v>
                </c:pt>
                <c:pt idx="118">
                  <c:v>376</c:v>
                </c:pt>
                <c:pt idx="119">
                  <c:v>376</c:v>
                </c:pt>
                <c:pt idx="120">
                  <c:v>1214</c:v>
                </c:pt>
                <c:pt idx="121">
                  <c:v>1214</c:v>
                </c:pt>
                <c:pt idx="122">
                  <c:v>313</c:v>
                </c:pt>
                <c:pt idx="123">
                  <c:v>313</c:v>
                </c:pt>
                <c:pt idx="124">
                  <c:v>1339</c:v>
                </c:pt>
                <c:pt idx="125">
                  <c:v>1339</c:v>
                </c:pt>
                <c:pt idx="126">
                  <c:v>462</c:v>
                </c:pt>
                <c:pt idx="127">
                  <c:v>462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B9-0845-8E5D-68FB2C0F6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7030159"/>
        <c:axId val="648991503"/>
      </c:lineChart>
      <c:catAx>
        <c:axId val="67703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648991503"/>
        <c:crosses val="autoZero"/>
        <c:auto val="1"/>
        <c:lblAlgn val="ctr"/>
        <c:lblOffset val="100"/>
        <c:noMultiLvlLbl val="0"/>
      </c:catAx>
      <c:valAx>
        <c:axId val="64899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67703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Variables affecting social</a:t>
            </a:r>
            <a:r>
              <a:rPr lang="en-GB" baseline="0"/>
              <a:t> benefit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'Removed 15'!$D$1</c:f>
              <c:strCache>
                <c:ptCount val="1"/>
                <c:pt idx="0">
                  <c:v>investor_count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'Removed 15'!$D$2:$D$193</c:f>
              <c:numCache>
                <c:formatCode>General</c:formatCode>
                <c:ptCount val="19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82-C941-BF41-F60E4DD151A9}"/>
            </c:ext>
          </c:extLst>
        </c:ser>
        <c:ser>
          <c:idx val="1"/>
          <c:order val="1"/>
          <c:tx>
            <c:strRef>
              <c:f>'Removed 15'!$H$1</c:f>
              <c:strCache>
                <c:ptCount val="1"/>
                <c:pt idx="0">
                  <c:v>member_count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'Removed 15'!$H$2:$H$193</c:f>
              <c:numCache>
                <c:formatCode>General</c:formatCode>
                <c:ptCount val="192"/>
                <c:pt idx="0">
                  <c:v>30</c:v>
                </c:pt>
                <c:pt idx="1">
                  <c:v>30</c:v>
                </c:pt>
                <c:pt idx="2">
                  <c:v>15</c:v>
                </c:pt>
                <c:pt idx="3">
                  <c:v>15</c:v>
                </c:pt>
                <c:pt idx="4">
                  <c:v>30</c:v>
                </c:pt>
                <c:pt idx="5">
                  <c:v>30</c:v>
                </c:pt>
                <c:pt idx="6">
                  <c:v>15</c:v>
                </c:pt>
                <c:pt idx="7">
                  <c:v>15</c:v>
                </c:pt>
                <c:pt idx="8">
                  <c:v>30</c:v>
                </c:pt>
                <c:pt idx="9">
                  <c:v>30</c:v>
                </c:pt>
                <c:pt idx="10">
                  <c:v>15</c:v>
                </c:pt>
                <c:pt idx="11">
                  <c:v>15</c:v>
                </c:pt>
                <c:pt idx="12">
                  <c:v>30</c:v>
                </c:pt>
                <c:pt idx="13">
                  <c:v>30</c:v>
                </c:pt>
                <c:pt idx="14">
                  <c:v>15</c:v>
                </c:pt>
                <c:pt idx="15">
                  <c:v>15</c:v>
                </c:pt>
                <c:pt idx="16">
                  <c:v>30</c:v>
                </c:pt>
                <c:pt idx="17">
                  <c:v>30</c:v>
                </c:pt>
                <c:pt idx="18">
                  <c:v>15</c:v>
                </c:pt>
                <c:pt idx="19">
                  <c:v>15</c:v>
                </c:pt>
                <c:pt idx="20">
                  <c:v>30</c:v>
                </c:pt>
                <c:pt idx="21">
                  <c:v>30</c:v>
                </c:pt>
                <c:pt idx="22">
                  <c:v>15</c:v>
                </c:pt>
                <c:pt idx="23">
                  <c:v>15</c:v>
                </c:pt>
                <c:pt idx="24">
                  <c:v>30</c:v>
                </c:pt>
                <c:pt idx="25">
                  <c:v>30</c:v>
                </c:pt>
                <c:pt idx="26">
                  <c:v>15</c:v>
                </c:pt>
                <c:pt idx="27">
                  <c:v>15</c:v>
                </c:pt>
                <c:pt idx="28">
                  <c:v>30</c:v>
                </c:pt>
                <c:pt idx="29">
                  <c:v>30</c:v>
                </c:pt>
                <c:pt idx="30">
                  <c:v>15</c:v>
                </c:pt>
                <c:pt idx="31">
                  <c:v>15</c:v>
                </c:pt>
                <c:pt idx="32">
                  <c:v>30</c:v>
                </c:pt>
                <c:pt idx="33">
                  <c:v>30</c:v>
                </c:pt>
                <c:pt idx="34">
                  <c:v>15</c:v>
                </c:pt>
                <c:pt idx="35">
                  <c:v>15</c:v>
                </c:pt>
                <c:pt idx="36">
                  <c:v>30</c:v>
                </c:pt>
                <c:pt idx="37">
                  <c:v>30</c:v>
                </c:pt>
                <c:pt idx="38">
                  <c:v>15</c:v>
                </c:pt>
                <c:pt idx="39">
                  <c:v>15</c:v>
                </c:pt>
                <c:pt idx="40">
                  <c:v>30</c:v>
                </c:pt>
                <c:pt idx="41">
                  <c:v>30</c:v>
                </c:pt>
                <c:pt idx="42">
                  <c:v>15</c:v>
                </c:pt>
                <c:pt idx="43">
                  <c:v>15</c:v>
                </c:pt>
                <c:pt idx="44">
                  <c:v>30</c:v>
                </c:pt>
                <c:pt idx="45">
                  <c:v>30</c:v>
                </c:pt>
                <c:pt idx="46">
                  <c:v>15</c:v>
                </c:pt>
                <c:pt idx="47">
                  <c:v>15</c:v>
                </c:pt>
                <c:pt idx="48">
                  <c:v>30</c:v>
                </c:pt>
                <c:pt idx="49">
                  <c:v>30</c:v>
                </c:pt>
                <c:pt idx="50">
                  <c:v>15</c:v>
                </c:pt>
                <c:pt idx="51">
                  <c:v>15</c:v>
                </c:pt>
                <c:pt idx="52">
                  <c:v>30</c:v>
                </c:pt>
                <c:pt idx="53">
                  <c:v>30</c:v>
                </c:pt>
                <c:pt idx="54">
                  <c:v>15</c:v>
                </c:pt>
                <c:pt idx="55">
                  <c:v>15</c:v>
                </c:pt>
                <c:pt idx="56">
                  <c:v>30</c:v>
                </c:pt>
                <c:pt idx="57">
                  <c:v>30</c:v>
                </c:pt>
                <c:pt idx="58">
                  <c:v>15</c:v>
                </c:pt>
                <c:pt idx="59">
                  <c:v>15</c:v>
                </c:pt>
                <c:pt idx="60">
                  <c:v>30</c:v>
                </c:pt>
                <c:pt idx="61">
                  <c:v>30</c:v>
                </c:pt>
                <c:pt idx="62">
                  <c:v>15</c:v>
                </c:pt>
                <c:pt idx="63">
                  <c:v>15</c:v>
                </c:pt>
                <c:pt idx="64">
                  <c:v>30</c:v>
                </c:pt>
                <c:pt idx="65">
                  <c:v>30</c:v>
                </c:pt>
                <c:pt idx="66">
                  <c:v>15</c:v>
                </c:pt>
                <c:pt idx="67">
                  <c:v>15</c:v>
                </c:pt>
                <c:pt idx="68">
                  <c:v>30</c:v>
                </c:pt>
                <c:pt idx="69">
                  <c:v>30</c:v>
                </c:pt>
                <c:pt idx="70">
                  <c:v>15</c:v>
                </c:pt>
                <c:pt idx="71">
                  <c:v>15</c:v>
                </c:pt>
                <c:pt idx="72">
                  <c:v>30</c:v>
                </c:pt>
                <c:pt idx="73">
                  <c:v>30</c:v>
                </c:pt>
                <c:pt idx="74">
                  <c:v>15</c:v>
                </c:pt>
                <c:pt idx="75">
                  <c:v>15</c:v>
                </c:pt>
                <c:pt idx="76">
                  <c:v>30</c:v>
                </c:pt>
                <c:pt idx="77">
                  <c:v>30</c:v>
                </c:pt>
                <c:pt idx="78">
                  <c:v>15</c:v>
                </c:pt>
                <c:pt idx="79">
                  <c:v>15</c:v>
                </c:pt>
                <c:pt idx="80">
                  <c:v>30</c:v>
                </c:pt>
                <c:pt idx="81">
                  <c:v>30</c:v>
                </c:pt>
                <c:pt idx="82">
                  <c:v>15</c:v>
                </c:pt>
                <c:pt idx="83">
                  <c:v>15</c:v>
                </c:pt>
                <c:pt idx="84">
                  <c:v>30</c:v>
                </c:pt>
                <c:pt idx="85">
                  <c:v>30</c:v>
                </c:pt>
                <c:pt idx="86">
                  <c:v>15</c:v>
                </c:pt>
                <c:pt idx="87">
                  <c:v>15</c:v>
                </c:pt>
                <c:pt idx="88">
                  <c:v>30</c:v>
                </c:pt>
                <c:pt idx="89">
                  <c:v>30</c:v>
                </c:pt>
                <c:pt idx="90">
                  <c:v>15</c:v>
                </c:pt>
                <c:pt idx="91">
                  <c:v>15</c:v>
                </c:pt>
                <c:pt idx="92">
                  <c:v>30</c:v>
                </c:pt>
                <c:pt idx="93">
                  <c:v>30</c:v>
                </c:pt>
                <c:pt idx="94">
                  <c:v>15</c:v>
                </c:pt>
                <c:pt idx="95">
                  <c:v>15</c:v>
                </c:pt>
                <c:pt idx="96">
                  <c:v>30</c:v>
                </c:pt>
                <c:pt idx="97">
                  <c:v>30</c:v>
                </c:pt>
                <c:pt idx="98">
                  <c:v>15</c:v>
                </c:pt>
                <c:pt idx="99">
                  <c:v>15</c:v>
                </c:pt>
                <c:pt idx="100">
                  <c:v>30</c:v>
                </c:pt>
                <c:pt idx="101">
                  <c:v>30</c:v>
                </c:pt>
                <c:pt idx="102">
                  <c:v>15</c:v>
                </c:pt>
                <c:pt idx="103">
                  <c:v>15</c:v>
                </c:pt>
                <c:pt idx="104">
                  <c:v>30</c:v>
                </c:pt>
                <c:pt idx="105">
                  <c:v>30</c:v>
                </c:pt>
                <c:pt idx="106">
                  <c:v>15</c:v>
                </c:pt>
                <c:pt idx="107">
                  <c:v>15</c:v>
                </c:pt>
                <c:pt idx="108">
                  <c:v>30</c:v>
                </c:pt>
                <c:pt idx="109">
                  <c:v>30</c:v>
                </c:pt>
                <c:pt idx="110">
                  <c:v>15</c:v>
                </c:pt>
                <c:pt idx="111">
                  <c:v>15</c:v>
                </c:pt>
                <c:pt idx="112">
                  <c:v>30</c:v>
                </c:pt>
                <c:pt idx="113">
                  <c:v>30</c:v>
                </c:pt>
                <c:pt idx="114">
                  <c:v>15</c:v>
                </c:pt>
                <c:pt idx="115">
                  <c:v>15</c:v>
                </c:pt>
                <c:pt idx="116">
                  <c:v>30</c:v>
                </c:pt>
                <c:pt idx="117">
                  <c:v>30</c:v>
                </c:pt>
                <c:pt idx="118">
                  <c:v>15</c:v>
                </c:pt>
                <c:pt idx="119">
                  <c:v>15</c:v>
                </c:pt>
                <c:pt idx="120">
                  <c:v>30</c:v>
                </c:pt>
                <c:pt idx="121">
                  <c:v>30</c:v>
                </c:pt>
                <c:pt idx="122">
                  <c:v>15</c:v>
                </c:pt>
                <c:pt idx="123">
                  <c:v>15</c:v>
                </c:pt>
                <c:pt idx="124">
                  <c:v>30</c:v>
                </c:pt>
                <c:pt idx="125">
                  <c:v>30</c:v>
                </c:pt>
                <c:pt idx="126">
                  <c:v>15</c:v>
                </c:pt>
                <c:pt idx="127">
                  <c:v>15</c:v>
                </c:pt>
                <c:pt idx="128">
                  <c:v>30</c:v>
                </c:pt>
                <c:pt idx="129">
                  <c:v>30</c:v>
                </c:pt>
                <c:pt idx="130">
                  <c:v>15</c:v>
                </c:pt>
                <c:pt idx="131">
                  <c:v>15</c:v>
                </c:pt>
                <c:pt idx="132">
                  <c:v>30</c:v>
                </c:pt>
                <c:pt idx="133">
                  <c:v>30</c:v>
                </c:pt>
                <c:pt idx="134">
                  <c:v>15</c:v>
                </c:pt>
                <c:pt idx="135">
                  <c:v>15</c:v>
                </c:pt>
                <c:pt idx="136">
                  <c:v>30</c:v>
                </c:pt>
                <c:pt idx="137">
                  <c:v>30</c:v>
                </c:pt>
                <c:pt idx="138">
                  <c:v>15</c:v>
                </c:pt>
                <c:pt idx="139">
                  <c:v>15</c:v>
                </c:pt>
                <c:pt idx="140">
                  <c:v>30</c:v>
                </c:pt>
                <c:pt idx="141">
                  <c:v>30</c:v>
                </c:pt>
                <c:pt idx="142">
                  <c:v>15</c:v>
                </c:pt>
                <c:pt idx="143">
                  <c:v>15</c:v>
                </c:pt>
                <c:pt idx="144">
                  <c:v>30</c:v>
                </c:pt>
                <c:pt idx="145">
                  <c:v>30</c:v>
                </c:pt>
                <c:pt idx="146">
                  <c:v>15</c:v>
                </c:pt>
                <c:pt idx="147">
                  <c:v>15</c:v>
                </c:pt>
                <c:pt idx="148">
                  <c:v>30</c:v>
                </c:pt>
                <c:pt idx="149">
                  <c:v>30</c:v>
                </c:pt>
                <c:pt idx="150">
                  <c:v>15</c:v>
                </c:pt>
                <c:pt idx="151">
                  <c:v>15</c:v>
                </c:pt>
                <c:pt idx="152">
                  <c:v>30</c:v>
                </c:pt>
                <c:pt idx="153">
                  <c:v>30</c:v>
                </c:pt>
                <c:pt idx="154">
                  <c:v>15</c:v>
                </c:pt>
                <c:pt idx="155">
                  <c:v>15</c:v>
                </c:pt>
                <c:pt idx="156">
                  <c:v>30</c:v>
                </c:pt>
                <c:pt idx="157">
                  <c:v>30</c:v>
                </c:pt>
                <c:pt idx="158">
                  <c:v>15</c:v>
                </c:pt>
                <c:pt idx="159">
                  <c:v>15</c:v>
                </c:pt>
                <c:pt idx="160">
                  <c:v>30</c:v>
                </c:pt>
                <c:pt idx="161">
                  <c:v>30</c:v>
                </c:pt>
                <c:pt idx="162">
                  <c:v>15</c:v>
                </c:pt>
                <c:pt idx="163">
                  <c:v>15</c:v>
                </c:pt>
                <c:pt idx="164">
                  <c:v>30</c:v>
                </c:pt>
                <c:pt idx="165">
                  <c:v>30</c:v>
                </c:pt>
                <c:pt idx="166">
                  <c:v>15</c:v>
                </c:pt>
                <c:pt idx="167">
                  <c:v>15</c:v>
                </c:pt>
                <c:pt idx="168">
                  <c:v>30</c:v>
                </c:pt>
                <c:pt idx="169">
                  <c:v>30</c:v>
                </c:pt>
                <c:pt idx="170">
                  <c:v>15</c:v>
                </c:pt>
                <c:pt idx="171">
                  <c:v>15</c:v>
                </c:pt>
                <c:pt idx="172">
                  <c:v>30</c:v>
                </c:pt>
                <c:pt idx="173">
                  <c:v>30</c:v>
                </c:pt>
                <c:pt idx="174">
                  <c:v>15</c:v>
                </c:pt>
                <c:pt idx="175">
                  <c:v>15</c:v>
                </c:pt>
                <c:pt idx="176">
                  <c:v>30</c:v>
                </c:pt>
                <c:pt idx="177">
                  <c:v>30</c:v>
                </c:pt>
                <c:pt idx="178">
                  <c:v>15</c:v>
                </c:pt>
                <c:pt idx="179">
                  <c:v>15</c:v>
                </c:pt>
                <c:pt idx="180">
                  <c:v>30</c:v>
                </c:pt>
                <c:pt idx="181">
                  <c:v>30</c:v>
                </c:pt>
                <c:pt idx="182">
                  <c:v>15</c:v>
                </c:pt>
                <c:pt idx="183">
                  <c:v>15</c:v>
                </c:pt>
                <c:pt idx="184">
                  <c:v>30</c:v>
                </c:pt>
                <c:pt idx="185">
                  <c:v>30</c:v>
                </c:pt>
                <c:pt idx="186">
                  <c:v>15</c:v>
                </c:pt>
                <c:pt idx="187">
                  <c:v>15</c:v>
                </c:pt>
                <c:pt idx="188">
                  <c:v>30</c:v>
                </c:pt>
                <c:pt idx="189">
                  <c:v>30</c:v>
                </c:pt>
                <c:pt idx="190">
                  <c:v>15</c:v>
                </c:pt>
                <c:pt idx="19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82-C941-BF41-F60E4DD15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5412448"/>
        <c:axId val="233356272"/>
      </c:lineChart>
      <c:catAx>
        <c:axId val="57541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33356272"/>
        <c:crosses val="autoZero"/>
        <c:auto val="1"/>
        <c:lblAlgn val="ctr"/>
        <c:lblOffset val="100"/>
        <c:noMultiLvlLbl val="0"/>
      </c:catAx>
      <c:valAx>
        <c:axId val="2333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7541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Variables</a:t>
            </a:r>
            <a:r>
              <a:rPr lang="en-GB" baseline="0"/>
              <a:t> affecting economic profitability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'Removed 15'!$D$1</c:f>
              <c:strCache>
                <c:ptCount val="1"/>
                <c:pt idx="0">
                  <c:v>investor_count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'Removed 15'!$D$2:$D$193</c:f>
              <c:numCache>
                <c:formatCode>General</c:formatCode>
                <c:ptCount val="19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97-0747-976E-F4E838DA69E9}"/>
            </c:ext>
          </c:extLst>
        </c:ser>
        <c:ser>
          <c:idx val="1"/>
          <c:order val="1"/>
          <c:tx>
            <c:strRef>
              <c:f>'Removed 15'!$I$1</c:f>
              <c:strCache>
                <c:ptCount val="1"/>
                <c:pt idx="0">
                  <c:v>exotic_price_per_bdft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'Removed 15'!$I$2:$I$193</c:f>
              <c:numCache>
                <c:formatCode>General</c:formatCode>
                <c:ptCount val="192"/>
                <c:pt idx="0">
                  <c:v>45.06</c:v>
                </c:pt>
                <c:pt idx="1">
                  <c:v>90.12</c:v>
                </c:pt>
                <c:pt idx="2">
                  <c:v>45.06</c:v>
                </c:pt>
                <c:pt idx="3">
                  <c:v>90.12</c:v>
                </c:pt>
                <c:pt idx="4">
                  <c:v>45.06</c:v>
                </c:pt>
                <c:pt idx="5">
                  <c:v>90.12</c:v>
                </c:pt>
                <c:pt idx="6">
                  <c:v>45.06</c:v>
                </c:pt>
                <c:pt idx="7">
                  <c:v>90.12</c:v>
                </c:pt>
                <c:pt idx="8">
                  <c:v>45.06</c:v>
                </c:pt>
                <c:pt idx="9">
                  <c:v>90.12</c:v>
                </c:pt>
                <c:pt idx="10">
                  <c:v>45.06</c:v>
                </c:pt>
                <c:pt idx="11">
                  <c:v>90.12</c:v>
                </c:pt>
                <c:pt idx="12">
                  <c:v>45.06</c:v>
                </c:pt>
                <c:pt idx="13">
                  <c:v>90.12</c:v>
                </c:pt>
                <c:pt idx="14">
                  <c:v>45.06</c:v>
                </c:pt>
                <c:pt idx="15">
                  <c:v>90.12</c:v>
                </c:pt>
                <c:pt idx="16">
                  <c:v>45.06</c:v>
                </c:pt>
                <c:pt idx="17">
                  <c:v>90.12</c:v>
                </c:pt>
                <c:pt idx="18">
                  <c:v>45.06</c:v>
                </c:pt>
                <c:pt idx="19">
                  <c:v>90.12</c:v>
                </c:pt>
                <c:pt idx="20">
                  <c:v>45.06</c:v>
                </c:pt>
                <c:pt idx="21">
                  <c:v>90.12</c:v>
                </c:pt>
                <c:pt idx="22">
                  <c:v>45.06</c:v>
                </c:pt>
                <c:pt idx="23">
                  <c:v>90.12</c:v>
                </c:pt>
                <c:pt idx="24">
                  <c:v>45.06</c:v>
                </c:pt>
                <c:pt idx="25">
                  <c:v>90.12</c:v>
                </c:pt>
                <c:pt idx="26">
                  <c:v>45.06</c:v>
                </c:pt>
                <c:pt idx="27">
                  <c:v>90.12</c:v>
                </c:pt>
                <c:pt idx="28">
                  <c:v>45.06</c:v>
                </c:pt>
                <c:pt idx="29">
                  <c:v>90.12</c:v>
                </c:pt>
                <c:pt idx="30">
                  <c:v>45.06</c:v>
                </c:pt>
                <c:pt idx="31">
                  <c:v>90.12</c:v>
                </c:pt>
                <c:pt idx="32">
                  <c:v>45.06</c:v>
                </c:pt>
                <c:pt idx="33">
                  <c:v>90.12</c:v>
                </c:pt>
                <c:pt idx="34">
                  <c:v>45.06</c:v>
                </c:pt>
                <c:pt idx="35">
                  <c:v>90.12</c:v>
                </c:pt>
                <c:pt idx="36">
                  <c:v>45.06</c:v>
                </c:pt>
                <c:pt idx="37">
                  <c:v>90.12</c:v>
                </c:pt>
                <c:pt idx="38">
                  <c:v>45.06</c:v>
                </c:pt>
                <c:pt idx="39">
                  <c:v>90.12</c:v>
                </c:pt>
                <c:pt idx="40">
                  <c:v>45.06</c:v>
                </c:pt>
                <c:pt idx="41">
                  <c:v>90.12</c:v>
                </c:pt>
                <c:pt idx="42">
                  <c:v>45.06</c:v>
                </c:pt>
                <c:pt idx="43">
                  <c:v>90.12</c:v>
                </c:pt>
                <c:pt idx="44">
                  <c:v>45.06</c:v>
                </c:pt>
                <c:pt idx="45">
                  <c:v>90.12</c:v>
                </c:pt>
                <c:pt idx="46">
                  <c:v>45.06</c:v>
                </c:pt>
                <c:pt idx="47">
                  <c:v>90.12</c:v>
                </c:pt>
                <c:pt idx="48">
                  <c:v>45.06</c:v>
                </c:pt>
                <c:pt idx="49">
                  <c:v>90.12</c:v>
                </c:pt>
                <c:pt idx="50">
                  <c:v>45.06</c:v>
                </c:pt>
                <c:pt idx="51">
                  <c:v>90.12</c:v>
                </c:pt>
                <c:pt idx="52">
                  <c:v>45.06</c:v>
                </c:pt>
                <c:pt idx="53">
                  <c:v>90.12</c:v>
                </c:pt>
                <c:pt idx="54">
                  <c:v>45.06</c:v>
                </c:pt>
                <c:pt idx="55">
                  <c:v>90.12</c:v>
                </c:pt>
                <c:pt idx="56">
                  <c:v>45.06</c:v>
                </c:pt>
                <c:pt idx="57">
                  <c:v>90.12</c:v>
                </c:pt>
                <c:pt idx="58">
                  <c:v>45.06</c:v>
                </c:pt>
                <c:pt idx="59">
                  <c:v>90.12</c:v>
                </c:pt>
                <c:pt idx="60">
                  <c:v>45.06</c:v>
                </c:pt>
                <c:pt idx="61">
                  <c:v>90.12</c:v>
                </c:pt>
                <c:pt idx="62">
                  <c:v>45.06</c:v>
                </c:pt>
                <c:pt idx="63">
                  <c:v>90.12</c:v>
                </c:pt>
                <c:pt idx="64">
                  <c:v>45.06</c:v>
                </c:pt>
                <c:pt idx="65">
                  <c:v>90.12</c:v>
                </c:pt>
                <c:pt idx="66">
                  <c:v>45.06</c:v>
                </c:pt>
                <c:pt idx="67">
                  <c:v>90.12</c:v>
                </c:pt>
                <c:pt idx="68">
                  <c:v>45.06</c:v>
                </c:pt>
                <c:pt idx="69">
                  <c:v>90.12</c:v>
                </c:pt>
                <c:pt idx="70">
                  <c:v>45.06</c:v>
                </c:pt>
                <c:pt idx="71">
                  <c:v>90.12</c:v>
                </c:pt>
                <c:pt idx="72">
                  <c:v>45.06</c:v>
                </c:pt>
                <c:pt idx="73">
                  <c:v>90.12</c:v>
                </c:pt>
                <c:pt idx="74">
                  <c:v>45.06</c:v>
                </c:pt>
                <c:pt idx="75">
                  <c:v>90.12</c:v>
                </c:pt>
                <c:pt idx="76">
                  <c:v>45.06</c:v>
                </c:pt>
                <c:pt idx="77">
                  <c:v>90.12</c:v>
                </c:pt>
                <c:pt idx="78">
                  <c:v>45.06</c:v>
                </c:pt>
                <c:pt idx="79">
                  <c:v>90.12</c:v>
                </c:pt>
                <c:pt idx="80">
                  <c:v>45.06</c:v>
                </c:pt>
                <c:pt idx="81">
                  <c:v>90.12</c:v>
                </c:pt>
                <c:pt idx="82">
                  <c:v>45.06</c:v>
                </c:pt>
                <c:pt idx="83">
                  <c:v>90.12</c:v>
                </c:pt>
                <c:pt idx="84">
                  <c:v>45.06</c:v>
                </c:pt>
                <c:pt idx="85">
                  <c:v>90.12</c:v>
                </c:pt>
                <c:pt idx="86">
                  <c:v>45.06</c:v>
                </c:pt>
                <c:pt idx="87">
                  <c:v>90.12</c:v>
                </c:pt>
                <c:pt idx="88">
                  <c:v>45.06</c:v>
                </c:pt>
                <c:pt idx="89">
                  <c:v>90.12</c:v>
                </c:pt>
                <c:pt idx="90">
                  <c:v>45.06</c:v>
                </c:pt>
                <c:pt idx="91">
                  <c:v>90.12</c:v>
                </c:pt>
                <c:pt idx="92">
                  <c:v>45.06</c:v>
                </c:pt>
                <c:pt idx="93">
                  <c:v>90.12</c:v>
                </c:pt>
                <c:pt idx="94">
                  <c:v>45.06</c:v>
                </c:pt>
                <c:pt idx="95">
                  <c:v>90.12</c:v>
                </c:pt>
                <c:pt idx="96">
                  <c:v>45.06</c:v>
                </c:pt>
                <c:pt idx="97">
                  <c:v>90.12</c:v>
                </c:pt>
                <c:pt idx="98">
                  <c:v>45.06</c:v>
                </c:pt>
                <c:pt idx="99">
                  <c:v>90.12</c:v>
                </c:pt>
                <c:pt idx="100">
                  <c:v>45.06</c:v>
                </c:pt>
                <c:pt idx="101">
                  <c:v>90.12</c:v>
                </c:pt>
                <c:pt idx="102">
                  <c:v>45.06</c:v>
                </c:pt>
                <c:pt idx="103">
                  <c:v>90.12</c:v>
                </c:pt>
                <c:pt idx="104">
                  <c:v>45.06</c:v>
                </c:pt>
                <c:pt idx="105">
                  <c:v>90.12</c:v>
                </c:pt>
                <c:pt idx="106">
                  <c:v>45.06</c:v>
                </c:pt>
                <c:pt idx="107">
                  <c:v>90.12</c:v>
                </c:pt>
                <c:pt idx="108">
                  <c:v>45.06</c:v>
                </c:pt>
                <c:pt idx="109">
                  <c:v>90.12</c:v>
                </c:pt>
                <c:pt idx="110">
                  <c:v>45.06</c:v>
                </c:pt>
                <c:pt idx="111">
                  <c:v>90.12</c:v>
                </c:pt>
                <c:pt idx="112">
                  <c:v>45.06</c:v>
                </c:pt>
                <c:pt idx="113">
                  <c:v>90.12</c:v>
                </c:pt>
                <c:pt idx="114">
                  <c:v>45.06</c:v>
                </c:pt>
                <c:pt idx="115">
                  <c:v>90.12</c:v>
                </c:pt>
                <c:pt idx="116">
                  <c:v>45.06</c:v>
                </c:pt>
                <c:pt idx="117">
                  <c:v>90.12</c:v>
                </c:pt>
                <c:pt idx="118">
                  <c:v>45.06</c:v>
                </c:pt>
                <c:pt idx="119">
                  <c:v>90.12</c:v>
                </c:pt>
                <c:pt idx="120">
                  <c:v>45.06</c:v>
                </c:pt>
                <c:pt idx="121">
                  <c:v>90.12</c:v>
                </c:pt>
                <c:pt idx="122">
                  <c:v>45.06</c:v>
                </c:pt>
                <c:pt idx="123">
                  <c:v>90.12</c:v>
                </c:pt>
                <c:pt idx="124">
                  <c:v>45.06</c:v>
                </c:pt>
                <c:pt idx="125">
                  <c:v>90.12</c:v>
                </c:pt>
                <c:pt idx="126">
                  <c:v>45.06</c:v>
                </c:pt>
                <c:pt idx="127">
                  <c:v>90.12</c:v>
                </c:pt>
                <c:pt idx="128">
                  <c:v>45.06</c:v>
                </c:pt>
                <c:pt idx="129">
                  <c:v>90.12</c:v>
                </c:pt>
                <c:pt idx="130">
                  <c:v>45.06</c:v>
                </c:pt>
                <c:pt idx="131">
                  <c:v>90.12</c:v>
                </c:pt>
                <c:pt idx="132">
                  <c:v>45.06</c:v>
                </c:pt>
                <c:pt idx="133">
                  <c:v>90.12</c:v>
                </c:pt>
                <c:pt idx="134">
                  <c:v>45.06</c:v>
                </c:pt>
                <c:pt idx="135">
                  <c:v>90.12</c:v>
                </c:pt>
                <c:pt idx="136">
                  <c:v>45.06</c:v>
                </c:pt>
                <c:pt idx="137">
                  <c:v>90.12</c:v>
                </c:pt>
                <c:pt idx="138">
                  <c:v>45.06</c:v>
                </c:pt>
                <c:pt idx="139">
                  <c:v>90.12</c:v>
                </c:pt>
                <c:pt idx="140">
                  <c:v>45.06</c:v>
                </c:pt>
                <c:pt idx="141">
                  <c:v>90.12</c:v>
                </c:pt>
                <c:pt idx="142">
                  <c:v>45.06</c:v>
                </c:pt>
                <c:pt idx="143">
                  <c:v>90.12</c:v>
                </c:pt>
                <c:pt idx="144">
                  <c:v>45.06</c:v>
                </c:pt>
                <c:pt idx="145">
                  <c:v>90.12</c:v>
                </c:pt>
                <c:pt idx="146">
                  <c:v>45.06</c:v>
                </c:pt>
                <c:pt idx="147">
                  <c:v>90.12</c:v>
                </c:pt>
                <c:pt idx="148">
                  <c:v>45.06</c:v>
                </c:pt>
                <c:pt idx="149">
                  <c:v>90.12</c:v>
                </c:pt>
                <c:pt idx="150">
                  <c:v>45.06</c:v>
                </c:pt>
                <c:pt idx="151">
                  <c:v>90.12</c:v>
                </c:pt>
                <c:pt idx="152">
                  <c:v>45.06</c:v>
                </c:pt>
                <c:pt idx="153">
                  <c:v>90.12</c:v>
                </c:pt>
                <c:pt idx="154">
                  <c:v>45.06</c:v>
                </c:pt>
                <c:pt idx="155">
                  <c:v>90.12</c:v>
                </c:pt>
                <c:pt idx="156">
                  <c:v>45.06</c:v>
                </c:pt>
                <c:pt idx="157">
                  <c:v>90.12</c:v>
                </c:pt>
                <c:pt idx="158">
                  <c:v>45.06</c:v>
                </c:pt>
                <c:pt idx="159">
                  <c:v>90.12</c:v>
                </c:pt>
                <c:pt idx="160">
                  <c:v>45.06</c:v>
                </c:pt>
                <c:pt idx="161">
                  <c:v>90.12</c:v>
                </c:pt>
                <c:pt idx="162">
                  <c:v>45.06</c:v>
                </c:pt>
                <c:pt idx="163">
                  <c:v>90.12</c:v>
                </c:pt>
                <c:pt idx="164">
                  <c:v>45.06</c:v>
                </c:pt>
                <c:pt idx="165">
                  <c:v>90.12</c:v>
                </c:pt>
                <c:pt idx="166">
                  <c:v>45.06</c:v>
                </c:pt>
                <c:pt idx="167">
                  <c:v>90.12</c:v>
                </c:pt>
                <c:pt idx="168">
                  <c:v>45.06</c:v>
                </c:pt>
                <c:pt idx="169">
                  <c:v>90.12</c:v>
                </c:pt>
                <c:pt idx="170">
                  <c:v>45.06</c:v>
                </c:pt>
                <c:pt idx="171">
                  <c:v>90.12</c:v>
                </c:pt>
                <c:pt idx="172">
                  <c:v>45.06</c:v>
                </c:pt>
                <c:pt idx="173">
                  <c:v>90.12</c:v>
                </c:pt>
                <c:pt idx="174">
                  <c:v>45.06</c:v>
                </c:pt>
                <c:pt idx="175">
                  <c:v>90.12</c:v>
                </c:pt>
                <c:pt idx="176">
                  <c:v>45.06</c:v>
                </c:pt>
                <c:pt idx="177">
                  <c:v>90.12</c:v>
                </c:pt>
                <c:pt idx="178">
                  <c:v>45.06</c:v>
                </c:pt>
                <c:pt idx="179">
                  <c:v>90.12</c:v>
                </c:pt>
                <c:pt idx="180">
                  <c:v>45.06</c:v>
                </c:pt>
                <c:pt idx="181">
                  <c:v>90.12</c:v>
                </c:pt>
                <c:pt idx="182">
                  <c:v>45.06</c:v>
                </c:pt>
                <c:pt idx="183">
                  <c:v>90.12</c:v>
                </c:pt>
                <c:pt idx="184">
                  <c:v>45.06</c:v>
                </c:pt>
                <c:pt idx="185">
                  <c:v>90.12</c:v>
                </c:pt>
                <c:pt idx="186">
                  <c:v>45.06</c:v>
                </c:pt>
                <c:pt idx="187">
                  <c:v>90.12</c:v>
                </c:pt>
                <c:pt idx="188">
                  <c:v>45.06</c:v>
                </c:pt>
                <c:pt idx="189">
                  <c:v>90.12</c:v>
                </c:pt>
                <c:pt idx="190">
                  <c:v>45.06</c:v>
                </c:pt>
                <c:pt idx="191">
                  <c:v>90.12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97-0747-976E-F4E838DA6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5065008"/>
        <c:axId val="458247456"/>
      </c:lineChart>
      <c:catAx>
        <c:axId val="57506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458247456"/>
        <c:crosses val="autoZero"/>
        <c:auto val="1"/>
        <c:lblAlgn val="ctr"/>
        <c:lblOffset val="100"/>
        <c:noMultiLvlLbl val="0"/>
      </c:catAx>
      <c:valAx>
        <c:axId val="45824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7506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68145</xdr:colOff>
      <xdr:row>0</xdr:row>
      <xdr:rowOff>91998</xdr:rowOff>
    </xdr:from>
    <xdr:to>
      <xdr:col>72</xdr:col>
      <xdr:colOff>15488</xdr:colOff>
      <xdr:row>32</xdr:row>
      <xdr:rowOff>30975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54EA37-BE50-15F8-FE9F-E602E8B41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52</xdr:col>
      <xdr:colOff>796072</xdr:colOff>
      <xdr:row>32</xdr:row>
      <xdr:rowOff>138459</xdr:rowOff>
    </xdr:from>
    <xdr:to>
      <xdr:col>70</xdr:col>
      <xdr:colOff>480122</xdr:colOff>
      <xdr:row>64</xdr:row>
      <xdr:rowOff>154877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E48999-8331-A342-8936-0860515343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21683</xdr:colOff>
      <xdr:row>65</xdr:row>
      <xdr:rowOff>76510</xdr:rowOff>
    </xdr:from>
    <xdr:to>
      <xdr:col>48</xdr:col>
      <xdr:colOff>805366</xdr:colOff>
      <xdr:row>90</xdr:row>
      <xdr:rowOff>77439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89EF8A-6627-73CA-39B6-7416724E3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49</xdr:col>
      <xdr:colOff>161072</xdr:colOff>
      <xdr:row>65</xdr:row>
      <xdr:rowOff>61022</xdr:rowOff>
    </xdr:from>
    <xdr:to>
      <xdr:col>57</xdr:col>
      <xdr:colOff>743413</xdr:colOff>
      <xdr:row>90</xdr:row>
      <xdr:rowOff>46462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DA21116-BD38-2D69-AD53-19C165073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734122</xdr:colOff>
      <xdr:row>90</xdr:row>
      <xdr:rowOff>169437</xdr:rowOff>
    </xdr:from>
    <xdr:to>
      <xdr:col>48</xdr:col>
      <xdr:colOff>727927</xdr:colOff>
      <xdr:row>115</xdr:row>
      <xdr:rowOff>92927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43840E-45C5-3D63-8AAF-48496FCE4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49</xdr:col>
      <xdr:colOff>161073</xdr:colOff>
      <xdr:row>90</xdr:row>
      <xdr:rowOff>184923</xdr:rowOff>
    </xdr:from>
    <xdr:to>
      <xdr:col>57</xdr:col>
      <xdr:colOff>712439</xdr:colOff>
      <xdr:row>115</xdr:row>
      <xdr:rowOff>108414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5AD231B-59A4-EDB3-5AC4-36BD31575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58</xdr:col>
      <xdr:colOff>6196</xdr:colOff>
      <xdr:row>65</xdr:row>
      <xdr:rowOff>61021</xdr:rowOff>
    </xdr:from>
    <xdr:to>
      <xdr:col>70</xdr:col>
      <xdr:colOff>154878</xdr:colOff>
      <xdr:row>90</xdr:row>
      <xdr:rowOff>108413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B533C88-BD84-CBDA-B0F8-ED4008192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68146</xdr:colOff>
      <xdr:row>32</xdr:row>
      <xdr:rowOff>169436</xdr:rowOff>
    </xdr:from>
    <xdr:to>
      <xdr:col>52</xdr:col>
      <xdr:colOff>604024</xdr:colOff>
      <xdr:row>64</xdr:row>
      <xdr:rowOff>77439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CC6A78A-8C35-5ACB-17ED-4B548D102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24</xdr:row>
      <xdr:rowOff>38100</xdr:rowOff>
    </xdr:from>
    <xdr:to>
      <xdr:col>6</xdr:col>
      <xdr:colOff>1511300</xdr:colOff>
      <xdr:row>40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02F7EC-C0B4-1F40-9956-D661562CC5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42</xdr:row>
      <xdr:rowOff>1</xdr:rowOff>
    </xdr:from>
    <xdr:to>
      <xdr:col>6</xdr:col>
      <xdr:colOff>1485901</xdr:colOff>
      <xdr:row>68</xdr:row>
      <xdr:rowOff>76201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642A96-478F-6849-B198-3F91B32B48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</xdr:colOff>
      <xdr:row>47</xdr:row>
      <xdr:rowOff>139700</xdr:rowOff>
    </xdr:from>
    <xdr:to>
      <xdr:col>10</xdr:col>
      <xdr:colOff>812800</xdr:colOff>
      <xdr:row>61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5DA28D-82DD-0947-AD9C-38CCC80F7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70</xdr:row>
      <xdr:rowOff>0</xdr:rowOff>
    </xdr:from>
    <xdr:to>
      <xdr:col>6</xdr:col>
      <xdr:colOff>1422400</xdr:colOff>
      <xdr:row>93</xdr:row>
      <xdr:rowOff>177799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8A76328-EBE7-994E-A1B8-05E708772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101600</xdr:colOff>
      <xdr:row>76</xdr:row>
      <xdr:rowOff>101600</xdr:rowOff>
    </xdr:from>
    <xdr:to>
      <xdr:col>11</xdr:col>
      <xdr:colOff>520700</xdr:colOff>
      <xdr:row>92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08A2FD0-AE3E-0345-A411-54CE5D1F1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317500</xdr:colOff>
      <xdr:row>26</xdr:row>
      <xdr:rowOff>38100</xdr:rowOff>
    </xdr:from>
    <xdr:to>
      <xdr:col>14</xdr:col>
      <xdr:colOff>762000</xdr:colOff>
      <xdr:row>39</xdr:row>
      <xdr:rowOff>139700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78D4E4C-6604-EB40-A36E-66EFF74C4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CE65-C44F-CC47-8B2D-DE3AF22D9DC7}">
  <dimension ref="A1:AM193"/>
  <sheetViews>
    <sheetView topLeftCell="A148" zoomScale="82" workbookViewId="0">
      <selection activeCell="I1" activeCellId="1" sqref="D1:D193 I1:I193"/>
    </sheetView>
  </sheetViews>
  <sheetFormatPr baseColWidth="10" defaultRowHeight="16" x14ac:dyDescent="0.2"/>
  <cols>
    <col min="2" max="2" width="10.83203125" customWidth="1"/>
    <col min="5" max="5" width="23.6640625" bestFit="1" customWidth="1"/>
    <col min="24" max="24" width="18.5" bestFit="1" customWidth="1"/>
    <col min="26" max="26" width="25.33203125" bestFit="1" customWidth="1"/>
    <col min="30" max="30" width="10.33203125" customWidth="1"/>
  </cols>
  <sheetData>
    <row r="1" spans="1:39" x14ac:dyDescent="0.2">
      <c r="A1" s="2" t="s">
        <v>26</v>
      </c>
      <c r="B1" s="2" t="s">
        <v>0</v>
      </c>
      <c r="C1" s="2" t="s">
        <v>8</v>
      </c>
      <c r="D1" s="2" t="s">
        <v>5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6</v>
      </c>
      <c r="J1" s="2" t="s">
        <v>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33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34</v>
      </c>
      <c r="U1" s="2" t="s">
        <v>35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36</v>
      </c>
      <c r="AA1" s="2" t="s">
        <v>21</v>
      </c>
      <c r="AB1" s="2" t="s">
        <v>37</v>
      </c>
      <c r="AC1" s="2" t="s">
        <v>28</v>
      </c>
      <c r="AD1" s="2" t="s">
        <v>29</v>
      </c>
      <c r="AE1" s="2" t="s">
        <v>30</v>
      </c>
      <c r="AF1" s="2" t="s">
        <v>22</v>
      </c>
      <c r="AG1" s="2" t="s">
        <v>23</v>
      </c>
      <c r="AH1" s="2" t="s">
        <v>68</v>
      </c>
      <c r="AI1" s="2" t="s">
        <v>32</v>
      </c>
      <c r="AJ1" s="2" t="s">
        <v>24</v>
      </c>
      <c r="AK1" s="2" t="s">
        <v>25</v>
      </c>
      <c r="AL1" s="2" t="s">
        <v>27</v>
      </c>
      <c r="AM1" s="2" t="s">
        <v>69</v>
      </c>
    </row>
    <row r="2" spans="1:39" x14ac:dyDescent="0.2">
      <c r="A2">
        <v>10</v>
      </c>
      <c r="B2">
        <v>193</v>
      </c>
      <c r="C2">
        <v>0.3</v>
      </c>
      <c r="D2">
        <v>5</v>
      </c>
      <c r="E2">
        <v>15</v>
      </c>
      <c r="F2">
        <v>3</v>
      </c>
      <c r="G2">
        <v>3</v>
      </c>
      <c r="H2">
        <v>30</v>
      </c>
      <c r="I2">
        <v>45.06</v>
      </c>
      <c r="J2">
        <v>49.35</v>
      </c>
      <c r="K2">
        <v>56130</v>
      </c>
      <c r="L2">
        <v>96236</v>
      </c>
      <c r="M2">
        <v>28211</v>
      </c>
      <c r="N2">
        <v>9944</v>
      </c>
      <c r="O2">
        <f>SUM(K2:N2)</f>
        <v>190521</v>
      </c>
      <c r="P2">
        <v>29180</v>
      </c>
      <c r="Q2">
        <v>32631</v>
      </c>
      <c r="R2">
        <v>3480</v>
      </c>
      <c r="S2">
        <v>31158</v>
      </c>
      <c r="T2">
        <f>SUM(P2:S2)</f>
        <v>96449</v>
      </c>
      <c r="U2">
        <f>O2+T2</f>
        <v>286970</v>
      </c>
      <c r="V2">
        <v>10795377.451585401</v>
      </c>
      <c r="W2">
        <v>4787166.7849080199</v>
      </c>
      <c r="X2">
        <v>-6008210.6666773902</v>
      </c>
      <c r="Y2">
        <v>10515649.014485501</v>
      </c>
      <c r="Z2">
        <f>Y2/AD2</f>
        <v>6078.4098349627175</v>
      </c>
      <c r="AA2">
        <v>149504618.46551001</v>
      </c>
      <c r="AB2">
        <f>AA2/AE2</f>
        <v>94683.102258081068</v>
      </c>
      <c r="AC2">
        <v>724</v>
      </c>
      <c r="AD2">
        <v>1730</v>
      </c>
      <c r="AE2">
        <v>1579</v>
      </c>
      <c r="AF2">
        <v>942069.87363295397</v>
      </c>
      <c r="AG2">
        <v>836279.55</v>
      </c>
      <c r="AH2">
        <f>AF2-AG2</f>
        <v>105790.32363295392</v>
      </c>
      <c r="AI2">
        <f t="shared" ref="AI2:AI33" si="0">AH2/D2</f>
        <v>21158.064726590783</v>
      </c>
      <c r="AJ2">
        <v>5</v>
      </c>
      <c r="AK2">
        <v>0</v>
      </c>
      <c r="AL2" t="b">
        <v>1</v>
      </c>
      <c r="AM2" s="2">
        <f>IF('MANOVA '!M44, 1, 0)</f>
        <v>0</v>
      </c>
    </row>
    <row r="3" spans="1:39" x14ac:dyDescent="0.2">
      <c r="A3">
        <v>10</v>
      </c>
      <c r="B3">
        <v>188</v>
      </c>
      <c r="C3">
        <v>0.3</v>
      </c>
      <c r="D3">
        <v>5</v>
      </c>
      <c r="E3">
        <v>15</v>
      </c>
      <c r="F3">
        <v>3</v>
      </c>
      <c r="G3">
        <v>3</v>
      </c>
      <c r="H3">
        <v>30</v>
      </c>
      <c r="I3">
        <v>90.12</v>
      </c>
      <c r="J3">
        <v>98.7</v>
      </c>
      <c r="K3">
        <v>76141</v>
      </c>
      <c r="L3">
        <v>84920</v>
      </c>
      <c r="M3">
        <v>28577</v>
      </c>
      <c r="N3">
        <v>9580</v>
      </c>
      <c r="O3">
        <f t="shared" ref="O3:O17" si="1">SUM(K3:N3)</f>
        <v>199218</v>
      </c>
      <c r="P3">
        <v>4767</v>
      </c>
      <c r="Q3">
        <v>35386</v>
      </c>
      <c r="R3">
        <v>3891</v>
      </c>
      <c r="S3">
        <v>28179</v>
      </c>
      <c r="T3">
        <f t="shared" ref="T3:T17" si="2">SUM(P3:S3)</f>
        <v>72223</v>
      </c>
      <c r="U3">
        <f t="shared" ref="U3:U17" si="3">O3+T3</f>
        <v>271441</v>
      </c>
      <c r="V3">
        <v>10797014.6318835</v>
      </c>
      <c r="W3">
        <v>8570550.9123023599</v>
      </c>
      <c r="X3">
        <v>-2226463.71958119</v>
      </c>
      <c r="Y3">
        <v>12649331.8274744</v>
      </c>
      <c r="Z3">
        <f t="shared" ref="Z3:Z17" si="4">Y3/AD3</f>
        <v>7736.5943898925998</v>
      </c>
      <c r="AA3">
        <v>473810874.02922899</v>
      </c>
      <c r="AB3">
        <f t="shared" ref="AB3:AB17" si="5">AA3/AE3</f>
        <v>248458.7698108175</v>
      </c>
      <c r="AC3">
        <v>583</v>
      </c>
      <c r="AD3">
        <v>1635</v>
      </c>
      <c r="AE3">
        <v>1907</v>
      </c>
      <c r="AF3">
        <v>1782884.6228561599</v>
      </c>
      <c r="AG3">
        <v>836279.55</v>
      </c>
      <c r="AH3">
        <f>AF3-AG3</f>
        <v>946605.07285615988</v>
      </c>
      <c r="AI3">
        <f t="shared" si="0"/>
        <v>189321.01457123196</v>
      </c>
      <c r="AJ3">
        <v>5</v>
      </c>
      <c r="AK3">
        <v>0</v>
      </c>
      <c r="AL3" t="b">
        <v>1</v>
      </c>
      <c r="AM3" s="2">
        <f>IF('MANOVA '!M45, 1, 0)</f>
        <v>0</v>
      </c>
    </row>
    <row r="4" spans="1:39" x14ac:dyDescent="0.2">
      <c r="A4">
        <v>10</v>
      </c>
      <c r="B4">
        <v>193</v>
      </c>
      <c r="C4">
        <v>0.3</v>
      </c>
      <c r="D4">
        <v>5</v>
      </c>
      <c r="E4">
        <v>15</v>
      </c>
      <c r="F4">
        <v>3</v>
      </c>
      <c r="G4">
        <v>3</v>
      </c>
      <c r="H4">
        <v>15</v>
      </c>
      <c r="I4">
        <v>45.06</v>
      </c>
      <c r="J4">
        <v>49.35</v>
      </c>
      <c r="K4">
        <v>60779</v>
      </c>
      <c r="L4">
        <v>96973</v>
      </c>
      <c r="M4">
        <v>26668</v>
      </c>
      <c r="N4">
        <v>10965</v>
      </c>
      <c r="O4">
        <f t="shared" si="1"/>
        <v>195385</v>
      </c>
      <c r="P4">
        <v>32250</v>
      </c>
      <c r="Q4">
        <v>35659</v>
      </c>
      <c r="R4">
        <v>3391</v>
      </c>
      <c r="S4">
        <v>34557</v>
      </c>
      <c r="T4">
        <f t="shared" si="2"/>
        <v>105857</v>
      </c>
      <c r="U4">
        <f t="shared" si="3"/>
        <v>301242</v>
      </c>
      <c r="V4">
        <v>8062891.9167983998</v>
      </c>
      <c r="W4">
        <v>4548429.5104829101</v>
      </c>
      <c r="X4">
        <v>-3514462.4063154799</v>
      </c>
      <c r="Y4">
        <v>5096634.5222348701</v>
      </c>
      <c r="Z4">
        <f t="shared" si="4"/>
        <v>4113.5064747658353</v>
      </c>
      <c r="AA4">
        <v>68232273.178485006</v>
      </c>
      <c r="AB4">
        <f t="shared" si="5"/>
        <v>98034.875256443978</v>
      </c>
      <c r="AC4">
        <v>344</v>
      </c>
      <c r="AD4">
        <v>1239</v>
      </c>
      <c r="AE4">
        <v>696</v>
      </c>
      <c r="AF4">
        <v>734402.24091172498</v>
      </c>
      <c r="AG4">
        <v>836279.55</v>
      </c>
      <c r="AH4">
        <f>AF4-AG4</f>
        <v>-101877.30908827507</v>
      </c>
      <c r="AI4">
        <f t="shared" si="0"/>
        <v>-20375.461817655014</v>
      </c>
      <c r="AJ4">
        <v>5</v>
      </c>
      <c r="AK4">
        <v>0</v>
      </c>
      <c r="AL4" t="b">
        <v>1</v>
      </c>
      <c r="AM4" s="2">
        <f>IF('MANOVA '!M46, 1, 0)</f>
        <v>0</v>
      </c>
    </row>
    <row r="5" spans="1:39" x14ac:dyDescent="0.2">
      <c r="A5">
        <v>10</v>
      </c>
      <c r="B5">
        <v>188</v>
      </c>
      <c r="C5">
        <v>0.3</v>
      </c>
      <c r="D5">
        <v>5</v>
      </c>
      <c r="E5">
        <v>15</v>
      </c>
      <c r="F5">
        <v>3</v>
      </c>
      <c r="G5">
        <v>3</v>
      </c>
      <c r="H5">
        <v>15</v>
      </c>
      <c r="I5">
        <v>90.12</v>
      </c>
      <c r="J5">
        <v>98.7</v>
      </c>
      <c r="K5">
        <v>83744</v>
      </c>
      <c r="L5">
        <v>84954</v>
      </c>
      <c r="M5">
        <v>27765</v>
      </c>
      <c r="N5">
        <v>11246</v>
      </c>
      <c r="O5">
        <f t="shared" si="1"/>
        <v>207709</v>
      </c>
      <c r="P5">
        <v>5219</v>
      </c>
      <c r="Q5">
        <v>42636</v>
      </c>
      <c r="R5">
        <v>4010</v>
      </c>
      <c r="S5">
        <v>36044</v>
      </c>
      <c r="T5">
        <f t="shared" si="2"/>
        <v>87909</v>
      </c>
      <c r="U5">
        <f t="shared" si="3"/>
        <v>295618</v>
      </c>
      <c r="V5">
        <v>10589209.0870985</v>
      </c>
      <c r="W5">
        <v>9271102.5891325697</v>
      </c>
      <c r="X5">
        <v>-1318106.49796594</v>
      </c>
      <c r="Y5">
        <v>6858424.80608992</v>
      </c>
      <c r="Z5">
        <f t="shared" si="4"/>
        <v>4017.8235536554894</v>
      </c>
      <c r="AA5">
        <v>67646763.9224042</v>
      </c>
      <c r="AB5">
        <f t="shared" si="5"/>
        <v>336551.06429056817</v>
      </c>
      <c r="AC5">
        <v>174</v>
      </c>
      <c r="AD5">
        <v>1707</v>
      </c>
      <c r="AE5">
        <v>201</v>
      </c>
      <c r="AF5">
        <v>3157034.6845769002</v>
      </c>
      <c r="AG5">
        <v>836279.55</v>
      </c>
      <c r="AH5">
        <f>AF5-AG5</f>
        <v>2320755.1345768999</v>
      </c>
      <c r="AI5">
        <f t="shared" si="0"/>
        <v>464151.02691537997</v>
      </c>
      <c r="AJ5">
        <v>5</v>
      </c>
      <c r="AK5">
        <v>10</v>
      </c>
      <c r="AL5" t="b">
        <v>1</v>
      </c>
      <c r="AM5" s="2">
        <f>IF('MANOVA '!M47, 1, 0)</f>
        <v>0</v>
      </c>
    </row>
    <row r="6" spans="1:39" x14ac:dyDescent="0.2">
      <c r="A6">
        <v>10</v>
      </c>
      <c r="B6">
        <v>193</v>
      </c>
      <c r="C6">
        <v>0.3</v>
      </c>
      <c r="D6">
        <v>5</v>
      </c>
      <c r="E6">
        <v>15</v>
      </c>
      <c r="F6">
        <v>3</v>
      </c>
      <c r="G6">
        <v>1</v>
      </c>
      <c r="H6">
        <v>30</v>
      </c>
      <c r="I6">
        <v>45.06</v>
      </c>
      <c r="J6">
        <v>49.35</v>
      </c>
      <c r="K6">
        <v>55624</v>
      </c>
      <c r="L6">
        <v>93590</v>
      </c>
      <c r="M6">
        <v>29025</v>
      </c>
      <c r="N6">
        <v>9634</v>
      </c>
      <c r="O6">
        <f t="shared" si="1"/>
        <v>187873</v>
      </c>
      <c r="P6">
        <v>27538</v>
      </c>
      <c r="Q6">
        <v>32831</v>
      </c>
      <c r="R6">
        <v>3271</v>
      </c>
      <c r="S6">
        <v>29536</v>
      </c>
      <c r="T6">
        <f t="shared" si="2"/>
        <v>93176</v>
      </c>
      <c r="U6">
        <f t="shared" si="3"/>
        <v>281049</v>
      </c>
      <c r="V6">
        <v>10124349.439728299</v>
      </c>
      <c r="W6">
        <v>5164071.0429251604</v>
      </c>
      <c r="X6">
        <v>-4960278.39680319</v>
      </c>
      <c r="Y6">
        <v>7813527.1152670002</v>
      </c>
      <c r="Z6">
        <f t="shared" si="4"/>
        <v>4295.5069352759756</v>
      </c>
      <c r="AA6">
        <v>197522764.90679699</v>
      </c>
      <c r="AB6">
        <f t="shared" si="5"/>
        <v>101501.93469002929</v>
      </c>
      <c r="AC6">
        <v>586</v>
      </c>
      <c r="AD6">
        <v>1819</v>
      </c>
      <c r="AE6">
        <v>1946</v>
      </c>
      <c r="AF6">
        <v>1262239.1488957801</v>
      </c>
      <c r="AG6">
        <v>836279.55</v>
      </c>
      <c r="AH6">
        <f t="shared" ref="AH6:AH17" si="6">AF6-AG6</f>
        <v>425959.59889578004</v>
      </c>
      <c r="AI6">
        <f t="shared" si="0"/>
        <v>85191.919779156015</v>
      </c>
      <c r="AJ6">
        <v>5</v>
      </c>
      <c r="AK6">
        <v>0</v>
      </c>
      <c r="AL6" t="b">
        <v>1</v>
      </c>
      <c r="AM6" s="2">
        <f>IF('MANOVA '!M48, 1, 0)</f>
        <v>0</v>
      </c>
    </row>
    <row r="7" spans="1:39" x14ac:dyDescent="0.2">
      <c r="A7">
        <v>10</v>
      </c>
      <c r="B7">
        <v>188</v>
      </c>
      <c r="C7">
        <v>0.3</v>
      </c>
      <c r="D7">
        <v>5</v>
      </c>
      <c r="E7">
        <v>15</v>
      </c>
      <c r="F7">
        <v>3</v>
      </c>
      <c r="G7">
        <v>1</v>
      </c>
      <c r="H7">
        <v>30</v>
      </c>
      <c r="I7">
        <v>90.12</v>
      </c>
      <c r="J7">
        <v>98.7</v>
      </c>
      <c r="K7">
        <v>75087</v>
      </c>
      <c r="L7">
        <v>85301</v>
      </c>
      <c r="M7">
        <v>28287</v>
      </c>
      <c r="N7">
        <v>9416</v>
      </c>
      <c r="O7">
        <f t="shared" si="1"/>
        <v>198091</v>
      </c>
      <c r="P7">
        <v>4646</v>
      </c>
      <c r="Q7">
        <v>36258</v>
      </c>
      <c r="R7">
        <v>3905</v>
      </c>
      <c r="S7">
        <v>27656</v>
      </c>
      <c r="T7">
        <f t="shared" si="2"/>
        <v>72465</v>
      </c>
      <c r="U7">
        <f t="shared" si="3"/>
        <v>270556</v>
      </c>
      <c r="V7">
        <v>8181738.8836000897</v>
      </c>
      <c r="W7">
        <v>6966386.57999238</v>
      </c>
      <c r="X7">
        <v>-1215352.3036076999</v>
      </c>
      <c r="Y7">
        <v>8982624.9589376897</v>
      </c>
      <c r="Z7">
        <f t="shared" si="4"/>
        <v>6738.6533825489041</v>
      </c>
      <c r="AA7">
        <v>505957820.37454599</v>
      </c>
      <c r="AB7">
        <f t="shared" si="5"/>
        <v>244070.34267947226</v>
      </c>
      <c r="AC7">
        <v>588</v>
      </c>
      <c r="AD7">
        <v>1333</v>
      </c>
      <c r="AE7">
        <v>2073</v>
      </c>
      <c r="AF7">
        <v>401815.25730532798</v>
      </c>
      <c r="AG7">
        <v>836279.55</v>
      </c>
      <c r="AH7">
        <f t="shared" si="6"/>
        <v>-434464.29269467207</v>
      </c>
      <c r="AI7">
        <f t="shared" si="0"/>
        <v>-86892.858538934408</v>
      </c>
      <c r="AJ7">
        <v>5</v>
      </c>
      <c r="AK7">
        <v>46</v>
      </c>
      <c r="AL7" t="b">
        <v>1</v>
      </c>
      <c r="AM7" s="2">
        <f>IF('MANOVA '!M49, 1, 0)</f>
        <v>0</v>
      </c>
    </row>
    <row r="8" spans="1:39" x14ac:dyDescent="0.2">
      <c r="A8">
        <v>10</v>
      </c>
      <c r="B8">
        <v>192</v>
      </c>
      <c r="C8">
        <v>0.3</v>
      </c>
      <c r="D8">
        <v>5</v>
      </c>
      <c r="E8">
        <v>15</v>
      </c>
      <c r="F8">
        <v>3</v>
      </c>
      <c r="G8">
        <v>1</v>
      </c>
      <c r="H8">
        <v>15</v>
      </c>
      <c r="I8">
        <v>45.06</v>
      </c>
      <c r="J8">
        <v>49.35</v>
      </c>
      <c r="K8">
        <v>65860</v>
      </c>
      <c r="L8">
        <v>96265</v>
      </c>
      <c r="M8">
        <v>27488</v>
      </c>
      <c r="N8">
        <v>11502</v>
      </c>
      <c r="O8">
        <f t="shared" si="1"/>
        <v>201115</v>
      </c>
      <c r="P8">
        <v>4753</v>
      </c>
      <c r="Q8">
        <v>39124</v>
      </c>
      <c r="R8">
        <v>3563</v>
      </c>
      <c r="S8">
        <v>37591</v>
      </c>
      <c r="T8">
        <f t="shared" si="2"/>
        <v>85031</v>
      </c>
      <c r="U8">
        <f t="shared" si="3"/>
        <v>286146</v>
      </c>
      <c r="V8">
        <v>11197638.2958603</v>
      </c>
      <c r="W8">
        <v>5223145.8989679199</v>
      </c>
      <c r="X8">
        <v>-5974492.3968924396</v>
      </c>
      <c r="Y8">
        <v>8056747.9362874199</v>
      </c>
      <c r="Z8">
        <f t="shared" si="4"/>
        <v>3984.5439843162312</v>
      </c>
      <c r="AA8">
        <v>0</v>
      </c>
      <c r="AB8">
        <v>0</v>
      </c>
      <c r="AC8">
        <v>144</v>
      </c>
      <c r="AD8">
        <v>2022</v>
      </c>
      <c r="AE8">
        <v>0</v>
      </c>
      <c r="AF8">
        <v>1188262.31370853</v>
      </c>
      <c r="AG8">
        <v>836279.55</v>
      </c>
      <c r="AH8">
        <f t="shared" si="6"/>
        <v>351982.76370852999</v>
      </c>
      <c r="AI8">
        <f t="shared" si="0"/>
        <v>70396.552741705993</v>
      </c>
      <c r="AJ8">
        <v>5</v>
      </c>
      <c r="AK8">
        <v>1</v>
      </c>
      <c r="AL8" t="b">
        <v>1</v>
      </c>
      <c r="AM8" s="2">
        <f>IF('MANOVA '!M50, 1, 0)</f>
        <v>0</v>
      </c>
    </row>
    <row r="9" spans="1:39" x14ac:dyDescent="0.2">
      <c r="A9">
        <v>10</v>
      </c>
      <c r="B9">
        <v>188</v>
      </c>
      <c r="C9">
        <v>0.3</v>
      </c>
      <c r="D9">
        <v>5</v>
      </c>
      <c r="E9">
        <v>15</v>
      </c>
      <c r="F9">
        <v>3</v>
      </c>
      <c r="G9">
        <v>1</v>
      </c>
      <c r="H9">
        <v>15</v>
      </c>
      <c r="I9">
        <v>90.12</v>
      </c>
      <c r="J9">
        <v>98.7</v>
      </c>
      <c r="K9">
        <v>83862</v>
      </c>
      <c r="L9">
        <v>85144</v>
      </c>
      <c r="M9">
        <v>27628</v>
      </c>
      <c r="N9">
        <v>11355</v>
      </c>
      <c r="O9">
        <f t="shared" si="1"/>
        <v>207989</v>
      </c>
      <c r="P9">
        <v>5337</v>
      </c>
      <c r="Q9">
        <v>43492</v>
      </c>
      <c r="R9">
        <v>4001</v>
      </c>
      <c r="S9">
        <v>37104</v>
      </c>
      <c r="T9">
        <f t="shared" si="2"/>
        <v>89934</v>
      </c>
      <c r="U9">
        <f t="shared" si="3"/>
        <v>297923</v>
      </c>
      <c r="V9">
        <v>11119605.8978517</v>
      </c>
      <c r="W9">
        <v>9574713.2350540403</v>
      </c>
      <c r="X9">
        <v>-1544892.6627976601</v>
      </c>
      <c r="Y9">
        <v>7875108.6328249704</v>
      </c>
      <c r="Z9">
        <f t="shared" si="4"/>
        <v>3981.3491571410368</v>
      </c>
      <c r="AA9">
        <v>0</v>
      </c>
      <c r="AB9">
        <v>0</v>
      </c>
      <c r="AC9">
        <v>136</v>
      </c>
      <c r="AD9">
        <v>1978</v>
      </c>
      <c r="AE9">
        <v>0</v>
      </c>
      <c r="AF9">
        <v>3430220.3952696901</v>
      </c>
      <c r="AG9">
        <v>836279.55</v>
      </c>
      <c r="AH9">
        <f t="shared" si="6"/>
        <v>2593940.8452696903</v>
      </c>
      <c r="AI9">
        <f t="shared" si="0"/>
        <v>518788.16905393807</v>
      </c>
      <c r="AJ9">
        <v>5</v>
      </c>
      <c r="AK9">
        <v>13</v>
      </c>
      <c r="AL9" t="b">
        <v>1</v>
      </c>
      <c r="AM9" s="2">
        <f>IF('MANOVA '!M51, 1, 0)</f>
        <v>0</v>
      </c>
    </row>
    <row r="10" spans="1:39" x14ac:dyDescent="0.2">
      <c r="A10">
        <v>10</v>
      </c>
      <c r="B10">
        <v>193</v>
      </c>
      <c r="C10">
        <v>0.3</v>
      </c>
      <c r="D10">
        <v>5</v>
      </c>
      <c r="E10">
        <v>15</v>
      </c>
      <c r="F10">
        <v>1</v>
      </c>
      <c r="G10">
        <v>3</v>
      </c>
      <c r="H10">
        <v>30</v>
      </c>
      <c r="I10">
        <v>45.06</v>
      </c>
      <c r="J10">
        <v>49.35</v>
      </c>
      <c r="K10">
        <v>54206</v>
      </c>
      <c r="L10">
        <v>92569</v>
      </c>
      <c r="M10">
        <v>27471</v>
      </c>
      <c r="N10">
        <v>9304</v>
      </c>
      <c r="O10">
        <f t="shared" si="1"/>
        <v>183550</v>
      </c>
      <c r="P10">
        <v>25735</v>
      </c>
      <c r="Q10">
        <v>30154</v>
      </c>
      <c r="R10">
        <v>3302</v>
      </c>
      <c r="S10">
        <v>27773</v>
      </c>
      <c r="T10">
        <f t="shared" si="2"/>
        <v>86964</v>
      </c>
      <c r="U10">
        <f t="shared" si="3"/>
        <v>270514</v>
      </c>
      <c r="V10">
        <v>8887766.5159263294</v>
      </c>
      <c r="W10">
        <v>4411704.0843572496</v>
      </c>
      <c r="X10">
        <v>-4476062.4315690696</v>
      </c>
      <c r="Y10">
        <v>6517384.97198244</v>
      </c>
      <c r="Z10">
        <f t="shared" si="4"/>
        <v>5013.3730553711075</v>
      </c>
      <c r="AA10">
        <v>226579456.72574499</v>
      </c>
      <c r="AB10">
        <f t="shared" si="5"/>
        <v>99639.163028032097</v>
      </c>
      <c r="AC10">
        <v>617</v>
      </c>
      <c r="AD10">
        <v>1300</v>
      </c>
      <c r="AE10">
        <v>2274</v>
      </c>
      <c r="AF10">
        <v>1057647.86562429</v>
      </c>
      <c r="AG10">
        <v>836279.55</v>
      </c>
      <c r="AH10">
        <f t="shared" si="6"/>
        <v>221368.31562428991</v>
      </c>
      <c r="AI10">
        <f t="shared" si="0"/>
        <v>44273.66312485798</v>
      </c>
      <c r="AJ10">
        <v>5</v>
      </c>
      <c r="AK10">
        <v>0</v>
      </c>
      <c r="AL10" t="b">
        <v>1</v>
      </c>
      <c r="AM10" s="2">
        <f>IF('MANOVA '!M52, 1, 0)</f>
        <v>0</v>
      </c>
    </row>
    <row r="11" spans="1:39" x14ac:dyDescent="0.2">
      <c r="A11">
        <v>10</v>
      </c>
      <c r="B11">
        <v>188</v>
      </c>
      <c r="C11">
        <v>0.3</v>
      </c>
      <c r="D11">
        <v>5</v>
      </c>
      <c r="E11">
        <v>15</v>
      </c>
      <c r="F11">
        <v>1</v>
      </c>
      <c r="G11">
        <v>3</v>
      </c>
      <c r="H11">
        <v>30</v>
      </c>
      <c r="I11">
        <v>90.12</v>
      </c>
      <c r="J11">
        <v>98.7</v>
      </c>
      <c r="K11">
        <v>73479</v>
      </c>
      <c r="L11">
        <v>80058</v>
      </c>
      <c r="M11">
        <v>29606</v>
      </c>
      <c r="N11">
        <v>9365</v>
      </c>
      <c r="O11">
        <f t="shared" si="1"/>
        <v>192508</v>
      </c>
      <c r="P11">
        <v>4579</v>
      </c>
      <c r="Q11">
        <v>35130</v>
      </c>
      <c r="R11">
        <v>3834</v>
      </c>
      <c r="S11">
        <v>27574</v>
      </c>
      <c r="T11">
        <f t="shared" si="2"/>
        <v>71117</v>
      </c>
      <c r="U11">
        <f t="shared" si="3"/>
        <v>263625</v>
      </c>
      <c r="V11">
        <v>9596064.6794924904</v>
      </c>
      <c r="W11">
        <v>7414965.37480486</v>
      </c>
      <c r="X11">
        <v>-2181099.3046876201</v>
      </c>
      <c r="Y11">
        <v>11009125.9215506</v>
      </c>
      <c r="Z11">
        <f t="shared" si="4"/>
        <v>7388.6751151346307</v>
      </c>
      <c r="AA11">
        <v>478322830.74017501</v>
      </c>
      <c r="AB11">
        <f t="shared" si="5"/>
        <v>227123.85125364436</v>
      </c>
      <c r="AC11">
        <v>630</v>
      </c>
      <c r="AD11">
        <v>1490</v>
      </c>
      <c r="AE11">
        <v>2106</v>
      </c>
      <c r="AF11">
        <v>1667189.0613565701</v>
      </c>
      <c r="AG11">
        <v>836279.55</v>
      </c>
      <c r="AH11">
        <f t="shared" si="6"/>
        <v>830909.51135657006</v>
      </c>
      <c r="AI11">
        <f t="shared" si="0"/>
        <v>166181.902271314</v>
      </c>
      <c r="AJ11">
        <v>5</v>
      </c>
      <c r="AK11">
        <v>0</v>
      </c>
      <c r="AL11" t="b">
        <v>1</v>
      </c>
      <c r="AM11" s="2">
        <f>IF('MANOVA '!M53, 1, 0)</f>
        <v>0</v>
      </c>
    </row>
    <row r="12" spans="1:39" x14ac:dyDescent="0.2">
      <c r="A12">
        <v>10</v>
      </c>
      <c r="B12">
        <v>193</v>
      </c>
      <c r="C12">
        <v>0.3</v>
      </c>
      <c r="D12">
        <v>5</v>
      </c>
      <c r="E12">
        <v>15</v>
      </c>
      <c r="F12">
        <v>1</v>
      </c>
      <c r="G12">
        <v>3</v>
      </c>
      <c r="H12">
        <v>15</v>
      </c>
      <c r="I12">
        <v>45.06</v>
      </c>
      <c r="J12">
        <v>49.35</v>
      </c>
      <c r="K12">
        <v>59890</v>
      </c>
      <c r="L12">
        <v>94866</v>
      </c>
      <c r="M12">
        <v>28047</v>
      </c>
      <c r="N12">
        <v>10761</v>
      </c>
      <c r="O12">
        <f t="shared" si="1"/>
        <v>193564</v>
      </c>
      <c r="P12">
        <v>31385</v>
      </c>
      <c r="Q12">
        <v>34663</v>
      </c>
      <c r="R12">
        <v>3385</v>
      </c>
      <c r="S12">
        <v>33515</v>
      </c>
      <c r="T12">
        <f t="shared" si="2"/>
        <v>102948</v>
      </c>
      <c r="U12">
        <f t="shared" si="3"/>
        <v>296512</v>
      </c>
      <c r="V12">
        <v>8173867.3717132704</v>
      </c>
      <c r="W12">
        <v>4512426.95199952</v>
      </c>
      <c r="X12">
        <v>-3661440.4197137398</v>
      </c>
      <c r="Y12">
        <v>5295664.4688814702</v>
      </c>
      <c r="Z12">
        <f t="shared" si="4"/>
        <v>4867.3386662513512</v>
      </c>
      <c r="AA12">
        <v>106782795.743122</v>
      </c>
      <c r="AB12">
        <f t="shared" si="5"/>
        <v>123877.95329828539</v>
      </c>
      <c r="AC12">
        <v>481</v>
      </c>
      <c r="AD12">
        <v>1088</v>
      </c>
      <c r="AE12">
        <v>862</v>
      </c>
      <c r="AF12">
        <v>1142154.2774487501</v>
      </c>
      <c r="AG12">
        <v>836279.55</v>
      </c>
      <c r="AH12">
        <f t="shared" si="6"/>
        <v>305874.72744875005</v>
      </c>
      <c r="AI12">
        <f t="shared" si="0"/>
        <v>61174.945489750011</v>
      </c>
      <c r="AJ12">
        <v>5</v>
      </c>
      <c r="AK12">
        <v>0</v>
      </c>
      <c r="AL12" t="b">
        <v>1</v>
      </c>
      <c r="AM12" s="2">
        <f>IF('MANOVA '!M54, 1, 0)</f>
        <v>0</v>
      </c>
    </row>
    <row r="13" spans="1:39" x14ac:dyDescent="0.2">
      <c r="A13">
        <v>10</v>
      </c>
      <c r="B13">
        <v>188</v>
      </c>
      <c r="C13">
        <v>0.3</v>
      </c>
      <c r="D13">
        <v>5</v>
      </c>
      <c r="E13">
        <v>15</v>
      </c>
      <c r="F13">
        <v>1</v>
      </c>
      <c r="G13">
        <v>3</v>
      </c>
      <c r="H13">
        <v>15</v>
      </c>
      <c r="I13">
        <v>90.12</v>
      </c>
      <c r="J13">
        <v>98.7</v>
      </c>
      <c r="K13">
        <v>82329</v>
      </c>
      <c r="L13">
        <v>83864</v>
      </c>
      <c r="M13">
        <v>27897</v>
      </c>
      <c r="N13">
        <v>10985</v>
      </c>
      <c r="O13">
        <f t="shared" si="1"/>
        <v>205075</v>
      </c>
      <c r="P13">
        <v>5221</v>
      </c>
      <c r="Q13">
        <v>40936</v>
      </c>
      <c r="R13">
        <v>4013</v>
      </c>
      <c r="S13">
        <v>34490</v>
      </c>
      <c r="T13">
        <f t="shared" si="2"/>
        <v>84660</v>
      </c>
      <c r="U13">
        <f t="shared" si="3"/>
        <v>289735</v>
      </c>
      <c r="V13">
        <v>9143625.6957252491</v>
      </c>
      <c r="W13">
        <v>7991009.678665</v>
      </c>
      <c r="X13">
        <v>-1152616.01706024</v>
      </c>
      <c r="Y13">
        <v>6841452.8232403798</v>
      </c>
      <c r="Z13">
        <f t="shared" si="4"/>
        <v>5037.8886769074961</v>
      </c>
      <c r="AA13">
        <v>145569116.64368701</v>
      </c>
      <c r="AB13">
        <f t="shared" si="5"/>
        <v>298297.37017148978</v>
      </c>
      <c r="AC13">
        <v>252</v>
      </c>
      <c r="AD13">
        <v>1358</v>
      </c>
      <c r="AE13">
        <v>488</v>
      </c>
      <c r="AF13">
        <v>2937034.93465028</v>
      </c>
      <c r="AG13">
        <v>836279.55</v>
      </c>
      <c r="AH13">
        <f t="shared" si="6"/>
        <v>2100755.3846502798</v>
      </c>
      <c r="AI13">
        <f t="shared" si="0"/>
        <v>420151.07693005598</v>
      </c>
      <c r="AJ13">
        <v>5</v>
      </c>
      <c r="AK13">
        <v>10</v>
      </c>
      <c r="AL13" t="b">
        <v>1</v>
      </c>
      <c r="AM13" s="2">
        <f>IF('MANOVA '!M55, 1, 0)</f>
        <v>0</v>
      </c>
    </row>
    <row r="14" spans="1:39" x14ac:dyDescent="0.2">
      <c r="A14">
        <v>10</v>
      </c>
      <c r="B14">
        <v>193</v>
      </c>
      <c r="C14">
        <v>0.3</v>
      </c>
      <c r="D14">
        <v>5</v>
      </c>
      <c r="E14">
        <v>15</v>
      </c>
      <c r="F14">
        <v>1</v>
      </c>
      <c r="G14">
        <v>1</v>
      </c>
      <c r="H14">
        <v>30</v>
      </c>
      <c r="I14">
        <v>45.06</v>
      </c>
      <c r="J14">
        <v>49.35</v>
      </c>
      <c r="K14">
        <v>53401</v>
      </c>
      <c r="L14">
        <v>90211</v>
      </c>
      <c r="M14">
        <v>27370</v>
      </c>
      <c r="N14">
        <v>9201</v>
      </c>
      <c r="O14">
        <f t="shared" si="1"/>
        <v>180183</v>
      </c>
      <c r="P14">
        <v>24949</v>
      </c>
      <c r="Q14">
        <v>29523</v>
      </c>
      <c r="R14">
        <v>3381</v>
      </c>
      <c r="S14">
        <v>27027</v>
      </c>
      <c r="T14">
        <f t="shared" si="2"/>
        <v>84880</v>
      </c>
      <c r="U14">
        <f t="shared" si="3"/>
        <v>265063</v>
      </c>
      <c r="V14">
        <v>8752973.9713740405</v>
      </c>
      <c r="W14">
        <v>3990569.4303406202</v>
      </c>
      <c r="X14">
        <v>-4762404.5410334095</v>
      </c>
      <c r="Y14">
        <v>7131392.6788024297</v>
      </c>
      <c r="Z14">
        <f t="shared" si="4"/>
        <v>5382.1831538131546</v>
      </c>
      <c r="AA14">
        <v>252986457.98386899</v>
      </c>
      <c r="AB14">
        <f t="shared" si="5"/>
        <v>104886.59120392578</v>
      </c>
      <c r="AC14">
        <v>425</v>
      </c>
      <c r="AD14">
        <v>1325</v>
      </c>
      <c r="AE14">
        <v>2412</v>
      </c>
      <c r="AF14">
        <v>694847.83031254995</v>
      </c>
      <c r="AG14">
        <v>836279.55</v>
      </c>
      <c r="AH14">
        <f t="shared" si="6"/>
        <v>-141431.7196874501</v>
      </c>
      <c r="AI14">
        <f t="shared" si="0"/>
        <v>-28286.343937490019</v>
      </c>
      <c r="AJ14">
        <v>5</v>
      </c>
      <c r="AK14">
        <v>0</v>
      </c>
      <c r="AL14" t="b">
        <v>1</v>
      </c>
      <c r="AM14" s="2">
        <f>IF('MANOVA '!M56, 1, 0)</f>
        <v>0</v>
      </c>
    </row>
    <row r="15" spans="1:39" x14ac:dyDescent="0.2">
      <c r="A15">
        <v>10</v>
      </c>
      <c r="B15">
        <v>188</v>
      </c>
      <c r="C15">
        <v>0.3</v>
      </c>
      <c r="D15">
        <v>5</v>
      </c>
      <c r="E15">
        <v>15</v>
      </c>
      <c r="F15">
        <v>1</v>
      </c>
      <c r="G15">
        <v>1</v>
      </c>
      <c r="H15">
        <v>30</v>
      </c>
      <c r="I15">
        <v>90.12</v>
      </c>
      <c r="J15">
        <v>98.7</v>
      </c>
      <c r="K15">
        <v>76269</v>
      </c>
      <c r="L15">
        <v>82452</v>
      </c>
      <c r="M15">
        <v>29989</v>
      </c>
      <c r="N15">
        <v>9889</v>
      </c>
      <c r="O15">
        <f t="shared" si="1"/>
        <v>198599</v>
      </c>
      <c r="P15">
        <v>4921</v>
      </c>
      <c r="Q15">
        <v>37049</v>
      </c>
      <c r="R15">
        <v>3844</v>
      </c>
      <c r="S15">
        <v>30374</v>
      </c>
      <c r="T15">
        <f t="shared" si="2"/>
        <v>76188</v>
      </c>
      <c r="U15">
        <f t="shared" si="3"/>
        <v>274787</v>
      </c>
      <c r="V15">
        <v>9690919.0974598303</v>
      </c>
      <c r="W15">
        <v>7735615.7061264198</v>
      </c>
      <c r="X15">
        <v>-1955303.3913334101</v>
      </c>
      <c r="Y15">
        <v>16383262.450867699</v>
      </c>
      <c r="Z15">
        <f t="shared" si="4"/>
        <v>10604.053366257411</v>
      </c>
      <c r="AA15">
        <v>356298744.74996501</v>
      </c>
      <c r="AB15">
        <f t="shared" si="5"/>
        <v>217919.72155961161</v>
      </c>
      <c r="AC15">
        <v>646</v>
      </c>
      <c r="AD15">
        <v>1545</v>
      </c>
      <c r="AE15">
        <v>1635</v>
      </c>
      <c r="AF15">
        <v>1938377.2530372201</v>
      </c>
      <c r="AG15">
        <v>836279.55</v>
      </c>
      <c r="AH15">
        <f t="shared" si="6"/>
        <v>1102097.7030372201</v>
      </c>
      <c r="AI15">
        <f t="shared" si="0"/>
        <v>220419.54060744401</v>
      </c>
      <c r="AJ15">
        <v>5</v>
      </c>
      <c r="AK15">
        <v>0</v>
      </c>
      <c r="AL15" t="b">
        <v>1</v>
      </c>
      <c r="AM15" s="2">
        <f>IF('MANOVA '!M57, 1, 0)</f>
        <v>0</v>
      </c>
    </row>
    <row r="16" spans="1:39" x14ac:dyDescent="0.2">
      <c r="A16">
        <v>10</v>
      </c>
      <c r="B16">
        <v>193</v>
      </c>
      <c r="C16">
        <v>0.3</v>
      </c>
      <c r="D16">
        <v>5</v>
      </c>
      <c r="E16">
        <v>15</v>
      </c>
      <c r="F16">
        <v>1</v>
      </c>
      <c r="G16">
        <v>1</v>
      </c>
      <c r="H16">
        <v>15</v>
      </c>
      <c r="I16">
        <v>45.06</v>
      </c>
      <c r="J16">
        <v>49.35</v>
      </c>
      <c r="K16">
        <v>61037</v>
      </c>
      <c r="L16">
        <v>95544</v>
      </c>
      <c r="M16">
        <v>27732</v>
      </c>
      <c r="N16">
        <v>10778</v>
      </c>
      <c r="O16">
        <f t="shared" si="1"/>
        <v>195091</v>
      </c>
      <c r="P16">
        <v>31298</v>
      </c>
      <c r="Q16">
        <v>35952</v>
      </c>
      <c r="R16">
        <v>3456</v>
      </c>
      <c r="S16">
        <v>33670</v>
      </c>
      <c r="T16">
        <f t="shared" si="2"/>
        <v>104376</v>
      </c>
      <c r="U16">
        <f t="shared" si="3"/>
        <v>299467</v>
      </c>
      <c r="V16">
        <v>7572285.4379474605</v>
      </c>
      <c r="W16">
        <v>4680010.2323220698</v>
      </c>
      <c r="X16">
        <v>-2892275.2056253902</v>
      </c>
      <c r="Y16">
        <v>5501423.6332726497</v>
      </c>
      <c r="Z16">
        <f t="shared" si="4"/>
        <v>5269.5628671193963</v>
      </c>
      <c r="AA16">
        <v>103732564.510766</v>
      </c>
      <c r="AB16">
        <f t="shared" si="5"/>
        <v>129503.82585613732</v>
      </c>
      <c r="AC16">
        <v>308</v>
      </c>
      <c r="AD16">
        <v>1044</v>
      </c>
      <c r="AE16">
        <v>801</v>
      </c>
      <c r="AF16">
        <v>1285793.8950245599</v>
      </c>
      <c r="AG16">
        <v>836279.55</v>
      </c>
      <c r="AH16">
        <f t="shared" si="6"/>
        <v>449514.34502455988</v>
      </c>
      <c r="AI16">
        <f t="shared" si="0"/>
        <v>89902.869004911976</v>
      </c>
      <c r="AJ16">
        <v>5</v>
      </c>
      <c r="AK16">
        <v>0</v>
      </c>
      <c r="AL16" t="b">
        <v>1</v>
      </c>
      <c r="AM16" s="2">
        <f>IF('MANOVA '!M58, 1, 0)</f>
        <v>0</v>
      </c>
    </row>
    <row r="17" spans="1:39" x14ac:dyDescent="0.2">
      <c r="A17">
        <v>10</v>
      </c>
      <c r="B17">
        <v>188</v>
      </c>
      <c r="C17">
        <v>0.3</v>
      </c>
      <c r="D17">
        <v>5</v>
      </c>
      <c r="E17">
        <v>15</v>
      </c>
      <c r="F17">
        <v>1</v>
      </c>
      <c r="G17">
        <v>1</v>
      </c>
      <c r="H17">
        <v>15</v>
      </c>
      <c r="I17">
        <v>90.12</v>
      </c>
      <c r="J17">
        <v>98.7</v>
      </c>
      <c r="K17">
        <v>80557</v>
      </c>
      <c r="L17">
        <v>82953</v>
      </c>
      <c r="M17">
        <v>28137</v>
      </c>
      <c r="N17">
        <v>10764</v>
      </c>
      <c r="O17">
        <f t="shared" si="1"/>
        <v>202411</v>
      </c>
      <c r="P17">
        <v>5166</v>
      </c>
      <c r="Q17">
        <v>40266</v>
      </c>
      <c r="R17">
        <v>4024</v>
      </c>
      <c r="S17">
        <v>33884</v>
      </c>
      <c r="T17">
        <f t="shared" si="2"/>
        <v>83340</v>
      </c>
      <c r="U17">
        <f t="shared" si="3"/>
        <v>285751</v>
      </c>
      <c r="V17">
        <v>9158247.1859503593</v>
      </c>
      <c r="W17">
        <v>8113860.1398799997</v>
      </c>
      <c r="X17">
        <v>-1044387.04607036</v>
      </c>
      <c r="Y17">
        <v>5961331.5628851</v>
      </c>
      <c r="Z17">
        <f t="shared" si="4"/>
        <v>4571.5732844210888</v>
      </c>
      <c r="AA17">
        <v>165036339.04774401</v>
      </c>
      <c r="AB17">
        <f t="shared" si="5"/>
        <v>261133.44786035444</v>
      </c>
      <c r="AC17">
        <v>335</v>
      </c>
      <c r="AD17">
        <v>1304</v>
      </c>
      <c r="AE17">
        <v>632</v>
      </c>
      <c r="AF17">
        <v>3042328.9417189602</v>
      </c>
      <c r="AG17">
        <v>836279.55</v>
      </c>
      <c r="AH17">
        <f t="shared" si="6"/>
        <v>2206049.3917189604</v>
      </c>
      <c r="AI17">
        <f t="shared" si="0"/>
        <v>441209.87834379205</v>
      </c>
      <c r="AJ17">
        <v>5</v>
      </c>
      <c r="AK17">
        <v>10</v>
      </c>
      <c r="AL17" t="b">
        <v>1</v>
      </c>
      <c r="AM17" s="2">
        <f>IF('MANOVA '!M59, 1, 0)</f>
        <v>0</v>
      </c>
    </row>
    <row r="18" spans="1:39" x14ac:dyDescent="0.2">
      <c r="A18">
        <v>10</v>
      </c>
      <c r="B18">
        <v>128</v>
      </c>
      <c r="C18">
        <v>0.3</v>
      </c>
      <c r="D18">
        <v>5</v>
      </c>
      <c r="E18">
        <v>10</v>
      </c>
      <c r="F18">
        <v>3</v>
      </c>
      <c r="G18">
        <v>3</v>
      </c>
      <c r="H18">
        <v>30</v>
      </c>
      <c r="I18">
        <v>45.06</v>
      </c>
      <c r="J18">
        <v>49.35</v>
      </c>
      <c r="K18">
        <v>68759</v>
      </c>
      <c r="L18">
        <v>56477</v>
      </c>
      <c r="M18">
        <v>33213</v>
      </c>
      <c r="N18">
        <v>8967</v>
      </c>
      <c r="O18">
        <f t="shared" ref="O18:O49" si="7">SUM(K18:N18)</f>
        <v>167416</v>
      </c>
      <c r="P18">
        <v>19025</v>
      </c>
      <c r="Q18">
        <v>26741</v>
      </c>
      <c r="R18">
        <v>7991</v>
      </c>
      <c r="S18">
        <v>30092</v>
      </c>
      <c r="T18">
        <f t="shared" ref="T18:T49" si="8">SUM(P18:S18)</f>
        <v>83849</v>
      </c>
      <c r="U18">
        <f t="shared" ref="U18:U49" si="9">O18+T18</f>
        <v>251265</v>
      </c>
      <c r="V18">
        <v>7550984.74977927</v>
      </c>
      <c r="W18">
        <v>3683648.6275418899</v>
      </c>
      <c r="X18">
        <v>-3867336.1222373699</v>
      </c>
      <c r="Y18">
        <v>5337408.0246238699</v>
      </c>
      <c r="Z18">
        <f t="shared" ref="Z18:Z49" si="10">Y18/AD18</f>
        <v>4744.3626885545509</v>
      </c>
      <c r="AA18">
        <v>122648614.496218</v>
      </c>
      <c r="AB18">
        <f t="shared" ref="AB18:AB33" si="11">AA18/AE18</f>
        <v>93198.035331472638</v>
      </c>
      <c r="AC18">
        <v>446</v>
      </c>
      <c r="AD18">
        <v>1125</v>
      </c>
      <c r="AE18">
        <v>1316</v>
      </c>
      <c r="AF18">
        <v>355893.41590897797</v>
      </c>
      <c r="AG18">
        <v>569564.799999999</v>
      </c>
      <c r="AH18">
        <f>AF18-AG18</f>
        <v>-213671.38409102103</v>
      </c>
      <c r="AI18">
        <f t="shared" si="0"/>
        <v>-42734.276818204205</v>
      </c>
      <c r="AJ18">
        <v>5</v>
      </c>
      <c r="AK18">
        <v>0</v>
      </c>
      <c r="AL18" t="b">
        <v>1</v>
      </c>
      <c r="AM18" s="2">
        <f>IF('MANOVA '!M60, 1, 0)</f>
        <v>0</v>
      </c>
    </row>
    <row r="19" spans="1:39" x14ac:dyDescent="0.2">
      <c r="A19">
        <v>10</v>
      </c>
      <c r="B19">
        <v>128</v>
      </c>
      <c r="C19">
        <v>0.3</v>
      </c>
      <c r="D19">
        <v>5</v>
      </c>
      <c r="E19">
        <v>10</v>
      </c>
      <c r="F19">
        <v>3</v>
      </c>
      <c r="G19">
        <v>3</v>
      </c>
      <c r="H19">
        <v>30</v>
      </c>
      <c r="I19">
        <v>90.12</v>
      </c>
      <c r="J19">
        <v>98.7</v>
      </c>
      <c r="K19">
        <v>68786</v>
      </c>
      <c r="L19">
        <v>56490</v>
      </c>
      <c r="M19">
        <v>33230</v>
      </c>
      <c r="N19">
        <v>8976</v>
      </c>
      <c r="O19">
        <f t="shared" si="7"/>
        <v>167482</v>
      </c>
      <c r="P19">
        <v>19027</v>
      </c>
      <c r="Q19">
        <v>26737</v>
      </c>
      <c r="R19">
        <v>7988</v>
      </c>
      <c r="S19">
        <v>30063</v>
      </c>
      <c r="T19">
        <f t="shared" si="8"/>
        <v>83815</v>
      </c>
      <c r="U19">
        <f t="shared" si="9"/>
        <v>251297</v>
      </c>
      <c r="V19">
        <v>7535004.0608442696</v>
      </c>
      <c r="W19">
        <v>6797732.4550837902</v>
      </c>
      <c r="X19">
        <v>-737271.60576047795</v>
      </c>
      <c r="Y19">
        <v>6378572.9793339903</v>
      </c>
      <c r="Z19">
        <f t="shared" si="10"/>
        <v>5669.8426482968798</v>
      </c>
      <c r="AA19">
        <v>247216786.47250199</v>
      </c>
      <c r="AB19">
        <f t="shared" si="11"/>
        <v>187854.70096694681</v>
      </c>
      <c r="AC19">
        <v>446</v>
      </c>
      <c r="AD19">
        <v>1125</v>
      </c>
      <c r="AE19">
        <v>1316</v>
      </c>
      <c r="AF19">
        <v>711786.83181795699</v>
      </c>
      <c r="AG19">
        <v>569564.799999999</v>
      </c>
      <c r="AH19">
        <f>AF19-AG19</f>
        <v>142222.03181795799</v>
      </c>
      <c r="AI19">
        <f t="shared" si="0"/>
        <v>28444.406363591599</v>
      </c>
      <c r="AJ19">
        <v>5</v>
      </c>
      <c r="AK19">
        <v>0</v>
      </c>
      <c r="AL19" t="b">
        <v>1</v>
      </c>
      <c r="AM19" s="2">
        <f>IF('MANOVA '!M61, 1, 0)</f>
        <v>0</v>
      </c>
    </row>
    <row r="20" spans="1:39" x14ac:dyDescent="0.2">
      <c r="A20">
        <v>10</v>
      </c>
      <c r="B20">
        <v>128</v>
      </c>
      <c r="C20">
        <v>0.3</v>
      </c>
      <c r="D20">
        <v>5</v>
      </c>
      <c r="E20">
        <v>10</v>
      </c>
      <c r="F20">
        <v>3</v>
      </c>
      <c r="G20">
        <v>3</v>
      </c>
      <c r="H20">
        <v>15</v>
      </c>
      <c r="I20">
        <v>45.06</v>
      </c>
      <c r="J20">
        <v>49.35</v>
      </c>
      <c r="K20">
        <v>74846</v>
      </c>
      <c r="L20">
        <v>54690</v>
      </c>
      <c r="M20">
        <v>34145</v>
      </c>
      <c r="N20">
        <v>10125</v>
      </c>
      <c r="O20">
        <f t="shared" si="7"/>
        <v>173806</v>
      </c>
      <c r="P20">
        <v>22068</v>
      </c>
      <c r="Q20">
        <v>29257</v>
      </c>
      <c r="R20">
        <v>8264</v>
      </c>
      <c r="S20">
        <v>34335</v>
      </c>
      <c r="T20">
        <f t="shared" si="8"/>
        <v>93924</v>
      </c>
      <c r="U20">
        <f t="shared" si="9"/>
        <v>267730</v>
      </c>
      <c r="V20">
        <v>7664517.4939972898</v>
      </c>
      <c r="W20">
        <v>3971933.4767778502</v>
      </c>
      <c r="X20">
        <v>-3692584.0172194298</v>
      </c>
      <c r="Y20">
        <v>4384756.8373485496</v>
      </c>
      <c r="Z20">
        <f t="shared" si="10"/>
        <v>4011.6713973911706</v>
      </c>
      <c r="AA20">
        <v>31151019.535946999</v>
      </c>
      <c r="AB20">
        <f t="shared" si="11"/>
        <v>154212.96799973762</v>
      </c>
      <c r="AC20">
        <v>181</v>
      </c>
      <c r="AD20">
        <v>1093</v>
      </c>
      <c r="AE20">
        <v>202</v>
      </c>
      <c r="AF20">
        <v>941926.36079930898</v>
      </c>
      <c r="AG20">
        <v>569564.799999999</v>
      </c>
      <c r="AH20">
        <f>AF20-AG20</f>
        <v>372361.56079930998</v>
      </c>
      <c r="AI20">
        <f t="shared" si="0"/>
        <v>74472.312159861991</v>
      </c>
      <c r="AJ20">
        <v>5</v>
      </c>
      <c r="AK20">
        <v>9</v>
      </c>
      <c r="AL20" t="b">
        <v>1</v>
      </c>
      <c r="AM20" s="2">
        <f>IF('MANOVA '!M62, 1, 0)</f>
        <v>0</v>
      </c>
    </row>
    <row r="21" spans="1:39" x14ac:dyDescent="0.2">
      <c r="A21">
        <v>10</v>
      </c>
      <c r="B21">
        <v>128</v>
      </c>
      <c r="C21">
        <v>0.3</v>
      </c>
      <c r="D21">
        <v>5</v>
      </c>
      <c r="E21">
        <v>10</v>
      </c>
      <c r="F21">
        <v>3</v>
      </c>
      <c r="G21">
        <v>3</v>
      </c>
      <c r="H21">
        <v>15</v>
      </c>
      <c r="I21">
        <v>90.12</v>
      </c>
      <c r="J21">
        <v>98.7</v>
      </c>
      <c r="K21">
        <v>74846</v>
      </c>
      <c r="L21">
        <v>54690</v>
      </c>
      <c r="M21">
        <v>34145</v>
      </c>
      <c r="N21">
        <v>10125</v>
      </c>
      <c r="O21">
        <f t="shared" si="7"/>
        <v>173806</v>
      </c>
      <c r="P21">
        <v>22068</v>
      </c>
      <c r="Q21">
        <v>29257</v>
      </c>
      <c r="R21">
        <v>8264</v>
      </c>
      <c r="S21">
        <v>34335</v>
      </c>
      <c r="T21">
        <f t="shared" si="8"/>
        <v>93924</v>
      </c>
      <c r="U21">
        <f t="shared" si="9"/>
        <v>267730</v>
      </c>
      <c r="V21">
        <v>7664517.4939972898</v>
      </c>
      <c r="W21">
        <v>7374302.1535557099</v>
      </c>
      <c r="X21">
        <v>-290215.34044157399</v>
      </c>
      <c r="Y21">
        <v>4397409.2334057698</v>
      </c>
      <c r="Z21">
        <f t="shared" si="10"/>
        <v>4023.2472400784718</v>
      </c>
      <c r="AA21">
        <v>62302039.071894102</v>
      </c>
      <c r="AB21">
        <f t="shared" si="11"/>
        <v>308425.93599947577</v>
      </c>
      <c r="AC21">
        <v>181</v>
      </c>
      <c r="AD21">
        <v>1093</v>
      </c>
      <c r="AE21">
        <v>202</v>
      </c>
      <c r="AF21">
        <v>1883852.72159861</v>
      </c>
      <c r="AG21">
        <v>569564.799999999</v>
      </c>
      <c r="AH21">
        <f t="shared" ref="AH21:AH33" si="12">AF21-AG21</f>
        <v>1314287.9215986109</v>
      </c>
      <c r="AI21">
        <f t="shared" si="0"/>
        <v>262857.5843197222</v>
      </c>
      <c r="AJ21">
        <v>5</v>
      </c>
      <c r="AK21">
        <v>9</v>
      </c>
      <c r="AL21" t="b">
        <v>1</v>
      </c>
      <c r="AM21" s="2">
        <f>IF('MANOVA '!M63, 1, 0)</f>
        <v>0</v>
      </c>
    </row>
    <row r="22" spans="1:39" x14ac:dyDescent="0.2">
      <c r="A22">
        <v>10</v>
      </c>
      <c r="B22">
        <v>128</v>
      </c>
      <c r="C22">
        <v>0.3</v>
      </c>
      <c r="D22">
        <v>5</v>
      </c>
      <c r="E22">
        <v>10</v>
      </c>
      <c r="F22">
        <v>3</v>
      </c>
      <c r="G22">
        <v>1</v>
      </c>
      <c r="H22">
        <v>30</v>
      </c>
      <c r="I22">
        <v>45.06</v>
      </c>
      <c r="J22">
        <v>49.35</v>
      </c>
      <c r="K22">
        <v>68038</v>
      </c>
      <c r="L22">
        <v>54070</v>
      </c>
      <c r="M22">
        <v>33719</v>
      </c>
      <c r="N22">
        <v>8834</v>
      </c>
      <c r="O22">
        <f t="shared" si="7"/>
        <v>164661</v>
      </c>
      <c r="P22">
        <v>18415</v>
      </c>
      <c r="Q22">
        <v>26311</v>
      </c>
      <c r="R22">
        <v>8253</v>
      </c>
      <c r="S22">
        <v>28894</v>
      </c>
      <c r="T22">
        <f t="shared" si="8"/>
        <v>81873</v>
      </c>
      <c r="U22">
        <f t="shared" si="9"/>
        <v>246534</v>
      </c>
      <c r="V22">
        <v>7730693.1225794004</v>
      </c>
      <c r="W22">
        <v>3834182.2200483298</v>
      </c>
      <c r="X22">
        <v>-3896510.9025310702</v>
      </c>
      <c r="Y22">
        <v>4989333.9589989502</v>
      </c>
      <c r="Z22">
        <f t="shared" si="10"/>
        <v>4368.9439220656304</v>
      </c>
      <c r="AA22">
        <v>148283534.382723</v>
      </c>
      <c r="AB22">
        <f t="shared" si="11"/>
        <v>104572.30915565797</v>
      </c>
      <c r="AC22">
        <v>283</v>
      </c>
      <c r="AD22">
        <v>1142</v>
      </c>
      <c r="AE22">
        <v>1418</v>
      </c>
      <c r="AF22">
        <v>486495.56620097498</v>
      </c>
      <c r="AG22">
        <v>569564.799999999</v>
      </c>
      <c r="AH22">
        <f>AF22-AG22</f>
        <v>-83069.233799024019</v>
      </c>
      <c r="AI22">
        <f t="shared" si="0"/>
        <v>-16613.846759804805</v>
      </c>
      <c r="AJ22">
        <v>5</v>
      </c>
      <c r="AK22">
        <v>0</v>
      </c>
      <c r="AL22" t="b">
        <v>1</v>
      </c>
      <c r="AM22" s="2">
        <f>IF('MANOVA '!M64, 1, 0)</f>
        <v>0</v>
      </c>
    </row>
    <row r="23" spans="1:39" x14ac:dyDescent="0.2">
      <c r="A23">
        <v>10</v>
      </c>
      <c r="B23">
        <v>128</v>
      </c>
      <c r="C23">
        <v>0.3</v>
      </c>
      <c r="D23">
        <v>5</v>
      </c>
      <c r="E23">
        <v>10</v>
      </c>
      <c r="F23">
        <v>3</v>
      </c>
      <c r="G23">
        <v>1</v>
      </c>
      <c r="H23">
        <v>30</v>
      </c>
      <c r="I23">
        <v>90.12</v>
      </c>
      <c r="J23">
        <v>98.7</v>
      </c>
      <c r="K23">
        <v>68038</v>
      </c>
      <c r="L23">
        <v>54070</v>
      </c>
      <c r="M23">
        <v>33719</v>
      </c>
      <c r="N23">
        <v>8834</v>
      </c>
      <c r="O23">
        <f t="shared" si="7"/>
        <v>164661</v>
      </c>
      <c r="P23">
        <v>18415</v>
      </c>
      <c r="Q23">
        <v>26311</v>
      </c>
      <c r="R23">
        <v>8253</v>
      </c>
      <c r="S23">
        <v>28894</v>
      </c>
      <c r="T23">
        <f t="shared" si="8"/>
        <v>81873</v>
      </c>
      <c r="U23">
        <f t="shared" si="9"/>
        <v>246534</v>
      </c>
      <c r="V23">
        <v>7730693.1225794004</v>
      </c>
      <c r="W23">
        <v>7098799.64009667</v>
      </c>
      <c r="X23">
        <v>-631893.482482736</v>
      </c>
      <c r="Y23">
        <v>5526918.4259051904</v>
      </c>
      <c r="Z23">
        <f t="shared" si="10"/>
        <v>4839.6833852059463</v>
      </c>
      <c r="AA23">
        <v>296567068.76544702</v>
      </c>
      <c r="AB23">
        <f t="shared" si="11"/>
        <v>209144.61831131665</v>
      </c>
      <c r="AC23">
        <v>283</v>
      </c>
      <c r="AD23">
        <v>1142</v>
      </c>
      <c r="AE23">
        <v>1418</v>
      </c>
      <c r="AF23">
        <v>972991.13240195101</v>
      </c>
      <c r="AG23">
        <v>569564.799999999</v>
      </c>
      <c r="AH23">
        <f>AF23-AG23</f>
        <v>403426.33240195201</v>
      </c>
      <c r="AI23">
        <f t="shared" si="0"/>
        <v>80685.266480390404</v>
      </c>
      <c r="AJ23">
        <v>5</v>
      </c>
      <c r="AK23">
        <v>0</v>
      </c>
      <c r="AL23" t="b">
        <v>1</v>
      </c>
      <c r="AM23" s="2">
        <f>IF('MANOVA '!M65, 1, 0)</f>
        <v>0</v>
      </c>
    </row>
    <row r="24" spans="1:39" x14ac:dyDescent="0.2">
      <c r="A24">
        <v>10</v>
      </c>
      <c r="B24">
        <v>128</v>
      </c>
      <c r="C24">
        <v>0.3</v>
      </c>
      <c r="D24">
        <v>5</v>
      </c>
      <c r="E24">
        <v>10</v>
      </c>
      <c r="F24">
        <v>3</v>
      </c>
      <c r="G24">
        <v>1</v>
      </c>
      <c r="H24">
        <v>15</v>
      </c>
      <c r="I24">
        <v>45.06</v>
      </c>
      <c r="J24">
        <v>49.35</v>
      </c>
      <c r="K24">
        <v>74238</v>
      </c>
      <c r="L24">
        <v>55670</v>
      </c>
      <c r="M24">
        <v>33911</v>
      </c>
      <c r="N24">
        <v>10021</v>
      </c>
      <c r="O24">
        <f t="shared" si="7"/>
        <v>173840</v>
      </c>
      <c r="P24">
        <v>22017</v>
      </c>
      <c r="Q24">
        <v>29105</v>
      </c>
      <c r="R24">
        <v>8410</v>
      </c>
      <c r="S24">
        <v>34323</v>
      </c>
      <c r="T24">
        <f t="shared" si="8"/>
        <v>93855</v>
      </c>
      <c r="U24">
        <f t="shared" si="9"/>
        <v>267695</v>
      </c>
      <c r="V24">
        <v>7767669.5610252405</v>
      </c>
      <c r="W24">
        <v>3968758.9643665501</v>
      </c>
      <c r="X24">
        <v>-3798910.5966586899</v>
      </c>
      <c r="Y24">
        <v>4486449.31395882</v>
      </c>
      <c r="Z24">
        <f t="shared" si="10"/>
        <v>4248.5315473094888</v>
      </c>
      <c r="AA24">
        <v>27721561.732592899</v>
      </c>
      <c r="AB24">
        <f t="shared" si="11"/>
        <v>121054.85472747991</v>
      </c>
      <c r="AC24">
        <v>322</v>
      </c>
      <c r="AD24">
        <v>1056</v>
      </c>
      <c r="AE24">
        <v>229</v>
      </c>
      <c r="AF24">
        <v>941926.36079930898</v>
      </c>
      <c r="AG24">
        <v>569564.799999999</v>
      </c>
      <c r="AH24">
        <f>AF24-AG24</f>
        <v>372361.56079930998</v>
      </c>
      <c r="AI24">
        <f t="shared" si="0"/>
        <v>74472.312159861991</v>
      </c>
      <c r="AJ24">
        <v>5</v>
      </c>
      <c r="AK24">
        <v>9</v>
      </c>
      <c r="AL24" t="b">
        <v>1</v>
      </c>
      <c r="AM24" s="2">
        <f>IF('MANOVA '!M66, 1, 0)</f>
        <v>0</v>
      </c>
    </row>
    <row r="25" spans="1:39" x14ac:dyDescent="0.2">
      <c r="A25">
        <v>10</v>
      </c>
      <c r="B25">
        <v>128</v>
      </c>
      <c r="C25">
        <v>0.3</v>
      </c>
      <c r="D25">
        <v>5</v>
      </c>
      <c r="E25">
        <v>10</v>
      </c>
      <c r="F25">
        <v>3</v>
      </c>
      <c r="G25">
        <v>1</v>
      </c>
      <c r="H25">
        <v>15</v>
      </c>
      <c r="I25">
        <v>90.12</v>
      </c>
      <c r="J25">
        <v>98.7</v>
      </c>
      <c r="K25">
        <v>74238</v>
      </c>
      <c r="L25">
        <v>55670</v>
      </c>
      <c r="M25">
        <v>33911</v>
      </c>
      <c r="N25">
        <v>10021</v>
      </c>
      <c r="O25">
        <f t="shared" si="7"/>
        <v>173840</v>
      </c>
      <c r="P25">
        <v>22017</v>
      </c>
      <c r="Q25">
        <v>29105</v>
      </c>
      <c r="R25">
        <v>8410</v>
      </c>
      <c r="S25">
        <v>34323</v>
      </c>
      <c r="T25">
        <f t="shared" si="8"/>
        <v>93855</v>
      </c>
      <c r="U25">
        <f t="shared" si="9"/>
        <v>267695</v>
      </c>
      <c r="V25">
        <v>7767669.5610252405</v>
      </c>
      <c r="W25">
        <v>7367953.1287331004</v>
      </c>
      <c r="X25">
        <v>-399716.43229213799</v>
      </c>
      <c r="Y25">
        <v>4741634.5054063099</v>
      </c>
      <c r="Z25">
        <f t="shared" si="10"/>
        <v>4490.1841907256721</v>
      </c>
      <c r="AA25">
        <v>55443123.465185903</v>
      </c>
      <c r="AB25">
        <f t="shared" si="11"/>
        <v>242109.70945496028</v>
      </c>
      <c r="AC25">
        <v>322</v>
      </c>
      <c r="AD25">
        <v>1056</v>
      </c>
      <c r="AE25">
        <v>229</v>
      </c>
      <c r="AF25">
        <v>1883852.72159861</v>
      </c>
      <c r="AG25">
        <v>569564.799999999</v>
      </c>
      <c r="AH25">
        <f t="shared" si="12"/>
        <v>1314287.9215986109</v>
      </c>
      <c r="AI25">
        <f t="shared" si="0"/>
        <v>262857.5843197222</v>
      </c>
      <c r="AJ25">
        <v>5</v>
      </c>
      <c r="AK25">
        <v>9</v>
      </c>
      <c r="AL25" t="b">
        <v>1</v>
      </c>
      <c r="AM25" s="2">
        <f>IF('MANOVA '!M67, 1, 0)</f>
        <v>0</v>
      </c>
    </row>
    <row r="26" spans="1:39" x14ac:dyDescent="0.2">
      <c r="A26">
        <v>10</v>
      </c>
      <c r="B26">
        <v>128</v>
      </c>
      <c r="C26">
        <v>0.3</v>
      </c>
      <c r="D26">
        <v>5</v>
      </c>
      <c r="E26">
        <v>10</v>
      </c>
      <c r="F26">
        <v>1</v>
      </c>
      <c r="G26">
        <v>3</v>
      </c>
      <c r="H26">
        <v>30</v>
      </c>
      <c r="I26">
        <v>45.06</v>
      </c>
      <c r="J26">
        <v>49.35</v>
      </c>
      <c r="K26">
        <v>68125</v>
      </c>
      <c r="L26">
        <v>55110</v>
      </c>
      <c r="M26">
        <v>33295</v>
      </c>
      <c r="N26">
        <v>8942</v>
      </c>
      <c r="O26">
        <f t="shared" si="7"/>
        <v>165472</v>
      </c>
      <c r="P26">
        <v>18913</v>
      </c>
      <c r="Q26">
        <v>26814</v>
      </c>
      <c r="R26">
        <v>7944</v>
      </c>
      <c r="S26">
        <v>29729</v>
      </c>
      <c r="T26">
        <f t="shared" si="8"/>
        <v>83400</v>
      </c>
      <c r="U26">
        <f t="shared" si="9"/>
        <v>248872</v>
      </c>
      <c r="V26">
        <v>6647749.4876999799</v>
      </c>
      <c r="W26">
        <v>3225911.2887711199</v>
      </c>
      <c r="X26">
        <v>-3421838.1989288498</v>
      </c>
      <c r="Y26">
        <v>5013569.9542877404</v>
      </c>
      <c r="Z26">
        <f t="shared" si="10"/>
        <v>5033.7047733812651</v>
      </c>
      <c r="AA26">
        <v>132333993.223244</v>
      </c>
      <c r="AB26">
        <f t="shared" si="11"/>
        <v>91264.822912582065</v>
      </c>
      <c r="AC26">
        <v>372</v>
      </c>
      <c r="AD26">
        <v>996</v>
      </c>
      <c r="AE26">
        <v>1450</v>
      </c>
      <c r="AF26">
        <v>404684.975333018</v>
      </c>
      <c r="AG26">
        <v>569564.799999999</v>
      </c>
      <c r="AH26">
        <f>AF26-AG26</f>
        <v>-164879.824666981</v>
      </c>
      <c r="AI26">
        <f t="shared" si="0"/>
        <v>-32975.964933396201</v>
      </c>
      <c r="AJ26">
        <v>5</v>
      </c>
      <c r="AK26">
        <v>0</v>
      </c>
      <c r="AL26" t="b">
        <v>1</v>
      </c>
      <c r="AM26" s="2">
        <f>IF('MANOVA '!M68, 1, 0)</f>
        <v>0</v>
      </c>
    </row>
    <row r="27" spans="1:39" x14ac:dyDescent="0.2">
      <c r="A27">
        <v>10</v>
      </c>
      <c r="B27">
        <v>128</v>
      </c>
      <c r="C27">
        <v>0.3</v>
      </c>
      <c r="D27">
        <v>5</v>
      </c>
      <c r="E27">
        <v>10</v>
      </c>
      <c r="F27">
        <v>1</v>
      </c>
      <c r="G27">
        <v>3</v>
      </c>
      <c r="H27">
        <v>30</v>
      </c>
      <c r="I27">
        <v>90.12</v>
      </c>
      <c r="J27">
        <v>98.7</v>
      </c>
      <c r="K27">
        <v>68125</v>
      </c>
      <c r="L27">
        <v>55110</v>
      </c>
      <c r="M27">
        <v>33295</v>
      </c>
      <c r="N27">
        <v>8942</v>
      </c>
      <c r="O27">
        <f t="shared" si="7"/>
        <v>165472</v>
      </c>
      <c r="P27">
        <v>18913</v>
      </c>
      <c r="Q27">
        <v>26814</v>
      </c>
      <c r="R27">
        <v>7944</v>
      </c>
      <c r="S27">
        <v>29729</v>
      </c>
      <c r="T27">
        <f t="shared" si="8"/>
        <v>83400</v>
      </c>
      <c r="U27">
        <f t="shared" si="9"/>
        <v>248872</v>
      </c>
      <c r="V27">
        <v>6647749.4876999799</v>
      </c>
      <c r="W27">
        <v>5882257.7775422502</v>
      </c>
      <c r="X27">
        <v>-765491.710157722</v>
      </c>
      <c r="Y27">
        <v>5950278.9636033</v>
      </c>
      <c r="Z27">
        <f t="shared" si="10"/>
        <v>5974.1756662683738</v>
      </c>
      <c r="AA27">
        <v>264667986.44648901</v>
      </c>
      <c r="AB27">
        <f t="shared" si="11"/>
        <v>182529.64582516483</v>
      </c>
      <c r="AC27">
        <v>372</v>
      </c>
      <c r="AD27">
        <v>996</v>
      </c>
      <c r="AE27">
        <v>1450</v>
      </c>
      <c r="AF27">
        <v>809369.95066603704</v>
      </c>
      <c r="AG27">
        <v>569564.799999999</v>
      </c>
      <c r="AH27">
        <f>AF27-AG27</f>
        <v>239805.15066603804</v>
      </c>
      <c r="AI27">
        <f t="shared" si="0"/>
        <v>47961.030133207605</v>
      </c>
      <c r="AJ27">
        <v>5</v>
      </c>
      <c r="AK27">
        <v>0</v>
      </c>
      <c r="AL27" t="b">
        <v>1</v>
      </c>
      <c r="AM27" s="2">
        <f>IF('MANOVA '!M69, 1, 0)</f>
        <v>0</v>
      </c>
    </row>
    <row r="28" spans="1:39" x14ac:dyDescent="0.2">
      <c r="A28">
        <v>10</v>
      </c>
      <c r="B28">
        <v>128</v>
      </c>
      <c r="C28">
        <v>0.3</v>
      </c>
      <c r="D28">
        <v>5</v>
      </c>
      <c r="E28">
        <v>10</v>
      </c>
      <c r="F28">
        <v>1</v>
      </c>
      <c r="G28">
        <v>3</v>
      </c>
      <c r="H28">
        <v>15</v>
      </c>
      <c r="I28">
        <v>45.06</v>
      </c>
      <c r="J28">
        <v>49.35</v>
      </c>
      <c r="K28">
        <v>74170</v>
      </c>
      <c r="L28">
        <v>55164</v>
      </c>
      <c r="M28">
        <v>34080</v>
      </c>
      <c r="N28">
        <v>9935</v>
      </c>
      <c r="O28">
        <f t="shared" si="7"/>
        <v>173349</v>
      </c>
      <c r="P28">
        <v>21380</v>
      </c>
      <c r="Q28">
        <v>29066</v>
      </c>
      <c r="R28">
        <v>8364</v>
      </c>
      <c r="S28">
        <v>33526</v>
      </c>
      <c r="T28">
        <f t="shared" si="8"/>
        <v>92336</v>
      </c>
      <c r="U28">
        <f t="shared" si="9"/>
        <v>265685</v>
      </c>
      <c r="V28">
        <v>6528808.5921980403</v>
      </c>
      <c r="W28">
        <v>3457272.6520123701</v>
      </c>
      <c r="X28">
        <v>-3071535.9401856698</v>
      </c>
      <c r="Y28">
        <v>3926960.8127812599</v>
      </c>
      <c r="Z28">
        <f t="shared" si="10"/>
        <v>4363.2897919791776</v>
      </c>
      <c r="AA28">
        <v>52176672.538540401</v>
      </c>
      <c r="AB28">
        <f t="shared" si="11"/>
        <v>148229.18334812613</v>
      </c>
      <c r="AC28">
        <v>204</v>
      </c>
      <c r="AD28">
        <v>900</v>
      </c>
      <c r="AE28">
        <v>352</v>
      </c>
      <c r="AF28">
        <v>941926.36079930898</v>
      </c>
      <c r="AG28">
        <v>569564.799999999</v>
      </c>
      <c r="AH28">
        <f>AF28-AG28</f>
        <v>372361.56079930998</v>
      </c>
      <c r="AI28">
        <f t="shared" si="0"/>
        <v>74472.312159861991</v>
      </c>
      <c r="AJ28">
        <v>5</v>
      </c>
      <c r="AK28">
        <v>9</v>
      </c>
      <c r="AL28" t="b">
        <v>1</v>
      </c>
      <c r="AM28" s="2">
        <f>IF('MANOVA '!M70, 1, 0)</f>
        <v>0</v>
      </c>
    </row>
    <row r="29" spans="1:39" x14ac:dyDescent="0.2">
      <c r="A29">
        <v>10</v>
      </c>
      <c r="B29">
        <v>128</v>
      </c>
      <c r="C29">
        <v>0.3</v>
      </c>
      <c r="D29">
        <v>5</v>
      </c>
      <c r="E29">
        <v>10</v>
      </c>
      <c r="F29">
        <v>1</v>
      </c>
      <c r="G29">
        <v>3</v>
      </c>
      <c r="H29">
        <v>15</v>
      </c>
      <c r="I29">
        <v>90.12</v>
      </c>
      <c r="J29">
        <v>98.7</v>
      </c>
      <c r="K29">
        <v>74170</v>
      </c>
      <c r="L29">
        <v>55164</v>
      </c>
      <c r="M29">
        <v>34080</v>
      </c>
      <c r="N29">
        <v>9935</v>
      </c>
      <c r="O29">
        <f t="shared" si="7"/>
        <v>173349</v>
      </c>
      <c r="P29">
        <v>21380</v>
      </c>
      <c r="Q29">
        <v>29066</v>
      </c>
      <c r="R29">
        <v>8364</v>
      </c>
      <c r="S29">
        <v>33526</v>
      </c>
      <c r="T29">
        <f t="shared" si="8"/>
        <v>92336</v>
      </c>
      <c r="U29">
        <f t="shared" si="9"/>
        <v>265685</v>
      </c>
      <c r="V29">
        <v>6528808.5921980403</v>
      </c>
      <c r="W29">
        <v>6344980.5040247403</v>
      </c>
      <c r="X29">
        <v>-183828.0881733</v>
      </c>
      <c r="Y29">
        <v>3993557.7597326799</v>
      </c>
      <c r="Z29">
        <f t="shared" si="10"/>
        <v>4437.2863997029781</v>
      </c>
      <c r="AA29">
        <v>104353345.07708</v>
      </c>
      <c r="AB29">
        <f t="shared" si="11"/>
        <v>296458.36669624998</v>
      </c>
      <c r="AC29">
        <v>204</v>
      </c>
      <c r="AD29">
        <v>900</v>
      </c>
      <c r="AE29">
        <v>352</v>
      </c>
      <c r="AF29">
        <v>1883852.72159861</v>
      </c>
      <c r="AG29">
        <v>569564.799999999</v>
      </c>
      <c r="AH29">
        <f t="shared" si="12"/>
        <v>1314287.9215986109</v>
      </c>
      <c r="AI29">
        <f t="shared" si="0"/>
        <v>262857.5843197222</v>
      </c>
      <c r="AJ29">
        <v>5</v>
      </c>
      <c r="AK29">
        <v>9</v>
      </c>
      <c r="AL29" t="b">
        <v>1</v>
      </c>
      <c r="AM29" s="2">
        <f>IF('MANOVA '!M71, 1, 0)</f>
        <v>0</v>
      </c>
    </row>
    <row r="30" spans="1:39" x14ac:dyDescent="0.2">
      <c r="A30">
        <v>10</v>
      </c>
      <c r="B30">
        <v>128</v>
      </c>
      <c r="C30">
        <v>0.3</v>
      </c>
      <c r="D30">
        <v>5</v>
      </c>
      <c r="E30">
        <v>10</v>
      </c>
      <c r="F30">
        <v>1</v>
      </c>
      <c r="G30">
        <v>1</v>
      </c>
      <c r="H30">
        <v>30</v>
      </c>
      <c r="I30">
        <v>45.06</v>
      </c>
      <c r="J30">
        <v>49.35</v>
      </c>
      <c r="K30">
        <v>66709</v>
      </c>
      <c r="L30">
        <v>56831</v>
      </c>
      <c r="M30">
        <v>33231</v>
      </c>
      <c r="N30">
        <v>8967</v>
      </c>
      <c r="O30">
        <f t="shared" si="7"/>
        <v>165738</v>
      </c>
      <c r="P30">
        <v>19320</v>
      </c>
      <c r="Q30">
        <v>26212</v>
      </c>
      <c r="R30">
        <v>7978</v>
      </c>
      <c r="S30">
        <v>30263</v>
      </c>
      <c r="T30">
        <f t="shared" si="8"/>
        <v>83773</v>
      </c>
      <c r="U30">
        <f t="shared" si="9"/>
        <v>249511</v>
      </c>
      <c r="V30">
        <v>7048924.382464</v>
      </c>
      <c r="W30">
        <v>3520146.1159952199</v>
      </c>
      <c r="X30">
        <v>-3528778.2664687699</v>
      </c>
      <c r="Y30">
        <v>5914953.5137579404</v>
      </c>
      <c r="Z30">
        <f t="shared" si="10"/>
        <v>5776.3217907792387</v>
      </c>
      <c r="AA30">
        <v>110532066.82939699</v>
      </c>
      <c r="AB30">
        <f t="shared" si="11"/>
        <v>83863.480143700304</v>
      </c>
      <c r="AC30">
        <v>451</v>
      </c>
      <c r="AD30">
        <v>1024</v>
      </c>
      <c r="AE30">
        <v>1318</v>
      </c>
      <c r="AF30">
        <v>658459.61252586602</v>
      </c>
      <c r="AG30">
        <v>569564.799999999</v>
      </c>
      <c r="AH30">
        <f>AF30-AG30</f>
        <v>88894.812525867019</v>
      </c>
      <c r="AI30">
        <f t="shared" si="0"/>
        <v>17778.962505173404</v>
      </c>
      <c r="AJ30">
        <v>5</v>
      </c>
      <c r="AK30">
        <v>0</v>
      </c>
      <c r="AL30" t="b">
        <v>1</v>
      </c>
      <c r="AM30" s="2">
        <f>IF('MANOVA '!M72, 1, 0)</f>
        <v>0</v>
      </c>
    </row>
    <row r="31" spans="1:39" x14ac:dyDescent="0.2">
      <c r="A31">
        <v>10</v>
      </c>
      <c r="B31">
        <v>128</v>
      </c>
      <c r="C31">
        <v>0.3</v>
      </c>
      <c r="D31">
        <v>5</v>
      </c>
      <c r="E31">
        <v>10</v>
      </c>
      <c r="F31">
        <v>1</v>
      </c>
      <c r="G31">
        <v>1</v>
      </c>
      <c r="H31">
        <v>30</v>
      </c>
      <c r="I31">
        <v>90.12</v>
      </c>
      <c r="J31">
        <v>98.7</v>
      </c>
      <c r="K31">
        <v>66709</v>
      </c>
      <c r="L31">
        <v>56831</v>
      </c>
      <c r="M31">
        <v>33231</v>
      </c>
      <c r="N31">
        <v>8967</v>
      </c>
      <c r="O31">
        <f t="shared" si="7"/>
        <v>165738</v>
      </c>
      <c r="P31">
        <v>19320</v>
      </c>
      <c r="Q31">
        <v>26212</v>
      </c>
      <c r="R31">
        <v>7978</v>
      </c>
      <c r="S31">
        <v>30263</v>
      </c>
      <c r="T31">
        <f t="shared" si="8"/>
        <v>83773</v>
      </c>
      <c r="U31">
        <f t="shared" si="9"/>
        <v>249511</v>
      </c>
      <c r="V31">
        <v>7048924.382464</v>
      </c>
      <c r="W31">
        <v>6470727.43199044</v>
      </c>
      <c r="X31">
        <v>-578196.95047355397</v>
      </c>
      <c r="Y31">
        <v>7797134.6219710102</v>
      </c>
      <c r="Z31">
        <f t="shared" si="10"/>
        <v>7614.3892792685647</v>
      </c>
      <c r="AA31">
        <v>221064133.658795</v>
      </c>
      <c r="AB31">
        <f t="shared" si="11"/>
        <v>167726.96028740137</v>
      </c>
      <c r="AC31">
        <v>451</v>
      </c>
      <c r="AD31">
        <v>1024</v>
      </c>
      <c r="AE31">
        <v>1318</v>
      </c>
      <c r="AF31">
        <v>1316919.2250517299</v>
      </c>
      <c r="AG31">
        <v>569564.799999999</v>
      </c>
      <c r="AH31">
        <f>AF31-AG31</f>
        <v>747354.42505173094</v>
      </c>
      <c r="AI31">
        <f t="shared" si="0"/>
        <v>149470.88501034619</v>
      </c>
      <c r="AJ31">
        <v>5</v>
      </c>
      <c r="AK31">
        <v>0</v>
      </c>
      <c r="AL31" t="b">
        <v>1</v>
      </c>
      <c r="AM31" s="2">
        <f>IF('MANOVA '!M73, 1, 0)</f>
        <v>0</v>
      </c>
    </row>
    <row r="32" spans="1:39" x14ac:dyDescent="0.2">
      <c r="A32">
        <v>10</v>
      </c>
      <c r="B32">
        <v>128</v>
      </c>
      <c r="C32">
        <v>0.3</v>
      </c>
      <c r="D32">
        <v>5</v>
      </c>
      <c r="E32">
        <v>10</v>
      </c>
      <c r="F32">
        <v>1</v>
      </c>
      <c r="G32">
        <v>1</v>
      </c>
      <c r="H32">
        <v>15</v>
      </c>
      <c r="I32">
        <v>45.06</v>
      </c>
      <c r="J32">
        <v>49.35</v>
      </c>
      <c r="K32">
        <v>73979</v>
      </c>
      <c r="L32">
        <v>55194</v>
      </c>
      <c r="M32">
        <v>34104</v>
      </c>
      <c r="N32">
        <v>9911</v>
      </c>
      <c r="O32">
        <f t="shared" si="7"/>
        <v>173188</v>
      </c>
      <c r="P32">
        <v>21552</v>
      </c>
      <c r="Q32">
        <v>28608</v>
      </c>
      <c r="R32">
        <v>8443</v>
      </c>
      <c r="S32">
        <v>33572</v>
      </c>
      <c r="T32">
        <f t="shared" si="8"/>
        <v>92175</v>
      </c>
      <c r="U32">
        <f t="shared" si="9"/>
        <v>265363</v>
      </c>
      <c r="V32">
        <v>6476582.2202440696</v>
      </c>
      <c r="W32">
        <v>3340192.43063846</v>
      </c>
      <c r="X32">
        <v>-3136389.7896056101</v>
      </c>
      <c r="Y32">
        <v>4086701.0032922002</v>
      </c>
      <c r="Z32">
        <f t="shared" si="10"/>
        <v>4643.9784128320453</v>
      </c>
      <c r="AA32">
        <v>46163236.145649001</v>
      </c>
      <c r="AB32">
        <f t="shared" si="11"/>
        <v>132652.97743002587</v>
      </c>
      <c r="AC32">
        <v>228</v>
      </c>
      <c r="AD32">
        <v>880</v>
      </c>
      <c r="AE32">
        <v>348</v>
      </c>
      <c r="AF32">
        <v>841571.88533595798</v>
      </c>
      <c r="AG32">
        <v>569564.799999999</v>
      </c>
      <c r="AH32">
        <f>AF32-AG32</f>
        <v>272007.08533595898</v>
      </c>
      <c r="AI32">
        <f t="shared" si="0"/>
        <v>54401.417067191796</v>
      </c>
      <c r="AJ32">
        <v>5</v>
      </c>
      <c r="AK32">
        <v>9</v>
      </c>
      <c r="AL32" t="b">
        <v>1</v>
      </c>
      <c r="AM32" s="2">
        <f>IF('MANOVA '!M74, 1, 0)</f>
        <v>0</v>
      </c>
    </row>
    <row r="33" spans="1:39" x14ac:dyDescent="0.2">
      <c r="A33">
        <v>10</v>
      </c>
      <c r="B33">
        <v>128</v>
      </c>
      <c r="C33">
        <v>0.3</v>
      </c>
      <c r="D33">
        <v>5</v>
      </c>
      <c r="E33">
        <v>10</v>
      </c>
      <c r="F33">
        <v>1</v>
      </c>
      <c r="G33">
        <v>1</v>
      </c>
      <c r="H33">
        <v>15</v>
      </c>
      <c r="I33">
        <v>90.12</v>
      </c>
      <c r="J33">
        <v>98.7</v>
      </c>
      <c r="K33">
        <v>73979</v>
      </c>
      <c r="L33">
        <v>55194</v>
      </c>
      <c r="M33">
        <v>34104</v>
      </c>
      <c r="N33">
        <v>9911</v>
      </c>
      <c r="O33">
        <f t="shared" si="7"/>
        <v>173188</v>
      </c>
      <c r="P33">
        <v>21552</v>
      </c>
      <c r="Q33">
        <v>28608</v>
      </c>
      <c r="R33">
        <v>8443</v>
      </c>
      <c r="S33">
        <v>33572</v>
      </c>
      <c r="T33">
        <f t="shared" si="8"/>
        <v>92175</v>
      </c>
      <c r="U33">
        <f t="shared" si="9"/>
        <v>265363</v>
      </c>
      <c r="V33">
        <v>6476582.2202440696</v>
      </c>
      <c r="W33">
        <v>6110820.0612769201</v>
      </c>
      <c r="X33">
        <v>-365762.15896714502</v>
      </c>
      <c r="Y33">
        <v>4378735.7094547302</v>
      </c>
      <c r="Z33">
        <f t="shared" si="10"/>
        <v>4975.8360334712843</v>
      </c>
      <c r="AA33">
        <v>92326472.291298106</v>
      </c>
      <c r="AB33">
        <f t="shared" si="11"/>
        <v>265305.95486005204</v>
      </c>
      <c r="AC33">
        <v>228</v>
      </c>
      <c r="AD33">
        <v>880</v>
      </c>
      <c r="AE33">
        <v>348</v>
      </c>
      <c r="AF33">
        <v>1683143.7706719099</v>
      </c>
      <c r="AG33">
        <v>569564.799999999</v>
      </c>
      <c r="AH33">
        <f t="shared" si="12"/>
        <v>1113578.9706719108</v>
      </c>
      <c r="AI33">
        <f t="shared" si="0"/>
        <v>222715.79413438216</v>
      </c>
      <c r="AJ33">
        <v>5</v>
      </c>
      <c r="AK33">
        <v>9</v>
      </c>
      <c r="AL33" t="b">
        <v>1</v>
      </c>
      <c r="AM33" s="2">
        <f>IF('MANOVA '!M75, 1, 0)</f>
        <v>0</v>
      </c>
    </row>
    <row r="34" spans="1:39" x14ac:dyDescent="0.2">
      <c r="A34">
        <v>10</v>
      </c>
      <c r="B34">
        <v>199</v>
      </c>
      <c r="C34">
        <v>0.3</v>
      </c>
      <c r="D34">
        <v>30</v>
      </c>
      <c r="E34">
        <v>15</v>
      </c>
      <c r="F34">
        <v>3</v>
      </c>
      <c r="G34">
        <v>3</v>
      </c>
      <c r="H34">
        <v>30</v>
      </c>
      <c r="I34">
        <v>45.06</v>
      </c>
      <c r="J34">
        <v>49.35</v>
      </c>
      <c r="K34">
        <v>89229</v>
      </c>
      <c r="L34">
        <v>96079</v>
      </c>
      <c r="M34">
        <v>27487</v>
      </c>
      <c r="N34">
        <v>12175</v>
      </c>
      <c r="O34">
        <f t="shared" si="7"/>
        <v>224970</v>
      </c>
      <c r="P34">
        <v>25561</v>
      </c>
      <c r="Q34">
        <v>39899</v>
      </c>
      <c r="R34">
        <v>3162</v>
      </c>
      <c r="S34">
        <v>38011</v>
      </c>
      <c r="T34">
        <f t="shared" si="8"/>
        <v>106633</v>
      </c>
      <c r="U34">
        <f t="shared" si="9"/>
        <v>331603</v>
      </c>
      <c r="V34">
        <v>39766899.401008897</v>
      </c>
      <c r="W34">
        <v>15244202.239419101</v>
      </c>
      <c r="X34">
        <v>-24522697.161589701</v>
      </c>
      <c r="Y34">
        <v>19442897.8680964</v>
      </c>
      <c r="Z34">
        <f t="shared" si="10"/>
        <v>3898.7162358324445</v>
      </c>
      <c r="AA34">
        <v>0</v>
      </c>
      <c r="AB34">
        <v>0</v>
      </c>
      <c r="AC34">
        <v>3175</v>
      </c>
      <c r="AD34">
        <v>4987</v>
      </c>
      <c r="AE34">
        <v>0</v>
      </c>
      <c r="AF34">
        <v>2633598.9674652698</v>
      </c>
      <c r="AG34">
        <v>5017677.3</v>
      </c>
      <c r="AH34" s="2">
        <f>AF34-AG34</f>
        <v>-2384078.33253473</v>
      </c>
      <c r="AI34" s="2">
        <f t="shared" ref="AI34:AI65" si="13">AH34/D34</f>
        <v>-79469.277751157671</v>
      </c>
      <c r="AJ34">
        <v>30</v>
      </c>
      <c r="AK34">
        <v>492</v>
      </c>
      <c r="AL34" t="b">
        <v>1</v>
      </c>
      <c r="AM34" s="2">
        <f>IF('MANOVA '!M76, 1, 0)</f>
        <v>0</v>
      </c>
    </row>
    <row r="35" spans="1:39" x14ac:dyDescent="0.2">
      <c r="A35">
        <v>10</v>
      </c>
      <c r="B35">
        <v>198</v>
      </c>
      <c r="C35">
        <v>0.3</v>
      </c>
      <c r="D35">
        <v>30</v>
      </c>
      <c r="E35">
        <v>15</v>
      </c>
      <c r="F35">
        <v>3</v>
      </c>
      <c r="G35">
        <v>3</v>
      </c>
      <c r="H35">
        <v>30</v>
      </c>
      <c r="I35">
        <v>90.12</v>
      </c>
      <c r="J35">
        <v>98.7</v>
      </c>
      <c r="K35">
        <v>80000</v>
      </c>
      <c r="L35">
        <v>96000</v>
      </c>
      <c r="M35">
        <v>27065</v>
      </c>
      <c r="N35">
        <v>12115</v>
      </c>
      <c r="O35">
        <f t="shared" si="7"/>
        <v>215180</v>
      </c>
      <c r="P35">
        <v>26543</v>
      </c>
      <c r="Q35">
        <v>41092</v>
      </c>
      <c r="R35">
        <v>3271</v>
      </c>
      <c r="S35">
        <v>38350</v>
      </c>
      <c r="T35">
        <f t="shared" si="8"/>
        <v>109256</v>
      </c>
      <c r="U35">
        <f t="shared" si="9"/>
        <v>324436</v>
      </c>
      <c r="V35">
        <v>37692936.1476864</v>
      </c>
      <c r="W35">
        <v>14581256.767043199</v>
      </c>
      <c r="X35">
        <v>-23111679.3806432</v>
      </c>
      <c r="Y35">
        <v>19470854.3054334</v>
      </c>
      <c r="Z35">
        <f t="shared" si="10"/>
        <v>3916.8888162207604</v>
      </c>
      <c r="AA35">
        <v>0</v>
      </c>
      <c r="AB35">
        <v>0</v>
      </c>
      <c r="AC35">
        <v>3183</v>
      </c>
      <c r="AD35">
        <v>4971</v>
      </c>
      <c r="AE35">
        <v>0</v>
      </c>
      <c r="AF35">
        <v>2126136.3299145601</v>
      </c>
      <c r="AG35">
        <v>5017677.3</v>
      </c>
      <c r="AH35" s="2">
        <f>AF35-AG35</f>
        <v>-2891540.9700854397</v>
      </c>
      <c r="AI35" s="2">
        <f t="shared" si="13"/>
        <v>-96384.699002847992</v>
      </c>
      <c r="AJ35">
        <v>30</v>
      </c>
      <c r="AK35">
        <v>702</v>
      </c>
      <c r="AL35" t="b">
        <v>1</v>
      </c>
      <c r="AM35" s="2">
        <f>IF('MANOVA '!M77, 1, 0)</f>
        <v>0</v>
      </c>
    </row>
    <row r="36" spans="1:39" x14ac:dyDescent="0.2">
      <c r="A36">
        <v>10</v>
      </c>
      <c r="B36">
        <v>199</v>
      </c>
      <c r="C36">
        <v>0.3</v>
      </c>
      <c r="D36">
        <v>30</v>
      </c>
      <c r="E36">
        <v>15</v>
      </c>
      <c r="F36">
        <v>3</v>
      </c>
      <c r="G36">
        <v>3</v>
      </c>
      <c r="H36">
        <v>15</v>
      </c>
      <c r="I36">
        <v>45.06</v>
      </c>
      <c r="J36">
        <v>49.35</v>
      </c>
      <c r="K36">
        <v>88811</v>
      </c>
      <c r="L36">
        <v>94249</v>
      </c>
      <c r="M36">
        <v>27163</v>
      </c>
      <c r="N36">
        <v>12163</v>
      </c>
      <c r="O36">
        <f t="shared" si="7"/>
        <v>222386</v>
      </c>
      <c r="P36">
        <v>25488</v>
      </c>
      <c r="Q36">
        <v>39197</v>
      </c>
      <c r="R36">
        <v>3091</v>
      </c>
      <c r="S36">
        <v>37996</v>
      </c>
      <c r="T36">
        <f t="shared" si="8"/>
        <v>105772</v>
      </c>
      <c r="U36">
        <f t="shared" si="9"/>
        <v>328158</v>
      </c>
      <c r="V36">
        <v>30815601.8030851</v>
      </c>
      <c r="W36">
        <v>16406563.487194199</v>
      </c>
      <c r="X36">
        <v>-14409038.315890901</v>
      </c>
      <c r="Y36">
        <v>8804939.1492255107</v>
      </c>
      <c r="Z36">
        <f t="shared" si="10"/>
        <v>3480.2131024606761</v>
      </c>
      <c r="AA36">
        <v>0</v>
      </c>
      <c r="AB36">
        <v>0</v>
      </c>
      <c r="AC36">
        <v>3158</v>
      </c>
      <c r="AD36">
        <v>2530</v>
      </c>
      <c r="AE36">
        <v>0</v>
      </c>
      <c r="AF36">
        <v>4571570.7649019798</v>
      </c>
      <c r="AG36">
        <v>5017677.3</v>
      </c>
      <c r="AH36" s="2">
        <f>AF36-AG36</f>
        <v>-446106.53509801999</v>
      </c>
      <c r="AI36" s="2">
        <f t="shared" si="13"/>
        <v>-14870.217836600666</v>
      </c>
      <c r="AJ36">
        <v>30</v>
      </c>
      <c r="AK36">
        <v>467</v>
      </c>
      <c r="AL36" t="b">
        <v>1</v>
      </c>
      <c r="AM36" s="2">
        <f>IF('MANOVA '!M78, 1, 0)</f>
        <v>0</v>
      </c>
    </row>
    <row r="37" spans="1:39" x14ac:dyDescent="0.2">
      <c r="A37">
        <v>10</v>
      </c>
      <c r="B37">
        <v>199</v>
      </c>
      <c r="C37">
        <v>0.3</v>
      </c>
      <c r="D37">
        <v>30</v>
      </c>
      <c r="E37">
        <v>15</v>
      </c>
      <c r="F37">
        <v>3</v>
      </c>
      <c r="G37">
        <v>3</v>
      </c>
      <c r="H37">
        <v>15</v>
      </c>
      <c r="I37">
        <v>90.12</v>
      </c>
      <c r="J37">
        <v>98.7</v>
      </c>
      <c r="K37">
        <v>88241</v>
      </c>
      <c r="L37">
        <v>93888</v>
      </c>
      <c r="M37">
        <v>26924</v>
      </c>
      <c r="N37">
        <v>12090</v>
      </c>
      <c r="O37">
        <f t="shared" si="7"/>
        <v>221143</v>
      </c>
      <c r="P37">
        <v>25706</v>
      </c>
      <c r="Q37">
        <v>39128</v>
      </c>
      <c r="R37">
        <v>2996</v>
      </c>
      <c r="S37">
        <v>38060</v>
      </c>
      <c r="T37">
        <f t="shared" si="8"/>
        <v>105890</v>
      </c>
      <c r="U37">
        <f t="shared" si="9"/>
        <v>327033</v>
      </c>
      <c r="V37">
        <v>30116481.626526602</v>
      </c>
      <c r="W37">
        <v>24414507.837606601</v>
      </c>
      <c r="X37">
        <v>-5701973.7889199601</v>
      </c>
      <c r="Y37">
        <v>9287902.3168659694</v>
      </c>
      <c r="Z37">
        <f t="shared" si="10"/>
        <v>3658.0946502032175</v>
      </c>
      <c r="AA37">
        <v>0</v>
      </c>
      <c r="AB37">
        <v>0</v>
      </c>
      <c r="AC37">
        <v>3167</v>
      </c>
      <c r="AD37">
        <v>2539</v>
      </c>
      <c r="AE37">
        <v>0</v>
      </c>
      <c r="AF37">
        <v>6390578.44054545</v>
      </c>
      <c r="AG37">
        <v>5017677.3</v>
      </c>
      <c r="AH37" s="2">
        <f t="shared" ref="AH37:AH69" si="14">AF37-AG37</f>
        <v>1372901.1405454502</v>
      </c>
      <c r="AI37" s="2">
        <f t="shared" si="13"/>
        <v>45763.371351515008</v>
      </c>
      <c r="AJ37">
        <v>30</v>
      </c>
      <c r="AK37">
        <v>516</v>
      </c>
      <c r="AL37" t="b">
        <v>1</v>
      </c>
      <c r="AM37" s="2">
        <f>IF('MANOVA '!M79, 1, 0)</f>
        <v>0</v>
      </c>
    </row>
    <row r="38" spans="1:39" x14ac:dyDescent="0.2">
      <c r="A38">
        <v>10</v>
      </c>
      <c r="B38">
        <v>199</v>
      </c>
      <c r="C38">
        <v>0.3</v>
      </c>
      <c r="D38">
        <v>30</v>
      </c>
      <c r="E38">
        <v>15</v>
      </c>
      <c r="F38">
        <v>3</v>
      </c>
      <c r="G38">
        <v>1</v>
      </c>
      <c r="H38">
        <v>30</v>
      </c>
      <c r="I38">
        <v>45.06</v>
      </c>
      <c r="J38">
        <v>49.35</v>
      </c>
      <c r="K38">
        <v>89114</v>
      </c>
      <c r="L38">
        <v>95975</v>
      </c>
      <c r="M38">
        <v>27470</v>
      </c>
      <c r="N38">
        <v>12204</v>
      </c>
      <c r="O38">
        <f t="shared" si="7"/>
        <v>224763</v>
      </c>
      <c r="P38">
        <v>25616</v>
      </c>
      <c r="Q38">
        <v>39818</v>
      </c>
      <c r="R38">
        <v>3170</v>
      </c>
      <c r="S38">
        <v>37961</v>
      </c>
      <c r="T38">
        <f t="shared" si="8"/>
        <v>106565</v>
      </c>
      <c r="U38">
        <f t="shared" si="9"/>
        <v>331328</v>
      </c>
      <c r="V38">
        <v>40575933.220669903</v>
      </c>
      <c r="W38">
        <v>16958971.463699099</v>
      </c>
      <c r="X38">
        <v>-23616961.7569708</v>
      </c>
      <c r="Y38">
        <v>18482478.629764002</v>
      </c>
      <c r="Z38">
        <f t="shared" si="10"/>
        <v>3700.9368501730078</v>
      </c>
      <c r="AA38">
        <v>0</v>
      </c>
      <c r="AB38">
        <v>0</v>
      </c>
      <c r="AC38">
        <v>3174</v>
      </c>
      <c r="AD38">
        <v>4994</v>
      </c>
      <c r="AE38">
        <v>0</v>
      </c>
      <c r="AF38">
        <v>4640105.7502488196</v>
      </c>
      <c r="AG38">
        <v>5017677.3</v>
      </c>
      <c r="AH38" s="2">
        <f>AF38-AG38</f>
        <v>-377571.54975118022</v>
      </c>
      <c r="AI38" s="2">
        <f t="shared" si="13"/>
        <v>-12585.718325039341</v>
      </c>
      <c r="AJ38">
        <v>30</v>
      </c>
      <c r="AK38">
        <v>432</v>
      </c>
      <c r="AL38" t="b">
        <v>1</v>
      </c>
      <c r="AM38" s="2">
        <f>IF('MANOVA '!M80, 1, 0)</f>
        <v>0</v>
      </c>
    </row>
    <row r="39" spans="1:39" x14ac:dyDescent="0.2">
      <c r="A39">
        <v>10</v>
      </c>
      <c r="B39">
        <v>198</v>
      </c>
      <c r="C39">
        <v>0.3</v>
      </c>
      <c r="D39">
        <v>30</v>
      </c>
      <c r="E39">
        <v>15</v>
      </c>
      <c r="F39">
        <v>3</v>
      </c>
      <c r="G39">
        <v>1</v>
      </c>
      <c r="H39">
        <v>30</v>
      </c>
      <c r="I39">
        <v>90.12</v>
      </c>
      <c r="J39">
        <v>98.7</v>
      </c>
      <c r="K39">
        <v>80515</v>
      </c>
      <c r="L39">
        <v>96386</v>
      </c>
      <c r="M39">
        <v>26993</v>
      </c>
      <c r="N39">
        <v>12175</v>
      </c>
      <c r="O39">
        <f t="shared" si="7"/>
        <v>216069</v>
      </c>
      <c r="P39">
        <v>26499</v>
      </c>
      <c r="Q39">
        <v>41236</v>
      </c>
      <c r="R39">
        <v>3217</v>
      </c>
      <c r="S39">
        <v>38272</v>
      </c>
      <c r="T39">
        <f t="shared" si="8"/>
        <v>109224</v>
      </c>
      <c r="U39">
        <f t="shared" si="9"/>
        <v>325293</v>
      </c>
      <c r="V39">
        <v>39163977.096425802</v>
      </c>
      <c r="W39">
        <v>24425639.138596699</v>
      </c>
      <c r="X39">
        <v>-14738337.957829</v>
      </c>
      <c r="Y39">
        <v>18587755.536563199</v>
      </c>
      <c r="Z39">
        <f t="shared" si="10"/>
        <v>3740.743718366512</v>
      </c>
      <c r="AA39">
        <v>0</v>
      </c>
      <c r="AB39">
        <v>0</v>
      </c>
      <c r="AC39">
        <v>3171</v>
      </c>
      <c r="AD39">
        <v>4969</v>
      </c>
      <c r="AE39">
        <v>0</v>
      </c>
      <c r="AF39">
        <v>8418686.3468886707</v>
      </c>
      <c r="AG39">
        <v>5017677.3</v>
      </c>
      <c r="AH39" s="2">
        <f>AF39-AG39</f>
        <v>3401009.0468886709</v>
      </c>
      <c r="AI39" s="2">
        <f t="shared" si="13"/>
        <v>113366.96822962236</v>
      </c>
      <c r="AJ39">
        <v>30</v>
      </c>
      <c r="AK39">
        <v>533</v>
      </c>
      <c r="AL39" t="b">
        <v>1</v>
      </c>
      <c r="AM39" s="2">
        <f>IF('MANOVA '!M81, 1, 0)</f>
        <v>0</v>
      </c>
    </row>
    <row r="40" spans="1:39" x14ac:dyDescent="0.2">
      <c r="A40">
        <v>10</v>
      </c>
      <c r="B40">
        <v>200</v>
      </c>
      <c r="C40">
        <v>0.3</v>
      </c>
      <c r="D40">
        <v>30</v>
      </c>
      <c r="E40">
        <v>15</v>
      </c>
      <c r="F40">
        <v>3</v>
      </c>
      <c r="G40">
        <v>1</v>
      </c>
      <c r="H40">
        <v>15</v>
      </c>
      <c r="I40">
        <v>45.06</v>
      </c>
      <c r="J40">
        <v>49.35</v>
      </c>
      <c r="K40">
        <v>87494</v>
      </c>
      <c r="L40">
        <v>92499</v>
      </c>
      <c r="M40">
        <v>26689</v>
      </c>
      <c r="N40">
        <v>12258</v>
      </c>
      <c r="O40">
        <f t="shared" si="7"/>
        <v>218940</v>
      </c>
      <c r="P40">
        <v>24830</v>
      </c>
      <c r="Q40">
        <v>38197</v>
      </c>
      <c r="R40">
        <v>2950</v>
      </c>
      <c r="S40">
        <v>38166</v>
      </c>
      <c r="T40">
        <f t="shared" si="8"/>
        <v>104143</v>
      </c>
      <c r="U40">
        <f t="shared" si="9"/>
        <v>323083</v>
      </c>
      <c r="V40">
        <v>29922414.083046399</v>
      </c>
      <c r="W40">
        <v>13736600.3919411</v>
      </c>
      <c r="X40">
        <v>-16185813.691105301</v>
      </c>
      <c r="Y40">
        <v>9065336.7316496093</v>
      </c>
      <c r="Z40">
        <f t="shared" si="10"/>
        <v>3556.4286903293878</v>
      </c>
      <c r="AA40">
        <v>0</v>
      </c>
      <c r="AB40">
        <v>0</v>
      </c>
      <c r="AC40">
        <v>3205</v>
      </c>
      <c r="AD40">
        <v>2549</v>
      </c>
      <c r="AE40">
        <v>0</v>
      </c>
      <c r="AF40">
        <v>2713846.8427943699</v>
      </c>
      <c r="AG40">
        <v>5017677.3</v>
      </c>
      <c r="AH40" s="2">
        <f>AF40-AG40</f>
        <v>-2303830.4572056299</v>
      </c>
      <c r="AI40" s="2">
        <f t="shared" si="13"/>
        <v>-76794.348573520998</v>
      </c>
      <c r="AJ40">
        <v>30</v>
      </c>
      <c r="AK40">
        <v>558</v>
      </c>
      <c r="AL40" t="b">
        <v>1</v>
      </c>
      <c r="AM40" s="2">
        <f>IF('MANOVA '!M82, 1, 0)</f>
        <v>0</v>
      </c>
    </row>
    <row r="41" spans="1:39" x14ac:dyDescent="0.2">
      <c r="A41">
        <v>10</v>
      </c>
      <c r="B41">
        <v>199</v>
      </c>
      <c r="C41">
        <v>0.3</v>
      </c>
      <c r="D41">
        <v>30</v>
      </c>
      <c r="E41">
        <v>15</v>
      </c>
      <c r="F41">
        <v>3</v>
      </c>
      <c r="G41">
        <v>1</v>
      </c>
      <c r="H41">
        <v>15</v>
      </c>
      <c r="I41">
        <v>90.12</v>
      </c>
      <c r="J41">
        <v>98.7</v>
      </c>
      <c r="K41">
        <v>88557</v>
      </c>
      <c r="L41">
        <v>94129</v>
      </c>
      <c r="M41">
        <v>26733</v>
      </c>
      <c r="N41">
        <v>12268</v>
      </c>
      <c r="O41">
        <f t="shared" si="7"/>
        <v>221687</v>
      </c>
      <c r="P41">
        <v>25478</v>
      </c>
      <c r="Q41">
        <v>39343</v>
      </c>
      <c r="R41">
        <v>3023</v>
      </c>
      <c r="S41">
        <v>38104</v>
      </c>
      <c r="T41">
        <f t="shared" si="8"/>
        <v>105948</v>
      </c>
      <c r="U41">
        <f t="shared" si="9"/>
        <v>327635</v>
      </c>
      <c r="V41">
        <v>29641491.395477701</v>
      </c>
      <c r="W41">
        <v>20050417.511750601</v>
      </c>
      <c r="X41">
        <v>-9591073.8837270793</v>
      </c>
      <c r="Y41">
        <v>9628718.6758367494</v>
      </c>
      <c r="Z41">
        <f t="shared" si="10"/>
        <v>3786.3620431918007</v>
      </c>
      <c r="AA41">
        <v>0</v>
      </c>
      <c r="AB41">
        <v>0</v>
      </c>
      <c r="AC41">
        <v>3178</v>
      </c>
      <c r="AD41">
        <v>2543</v>
      </c>
      <c r="AE41">
        <v>0</v>
      </c>
      <c r="AF41">
        <v>4589632.8509921897</v>
      </c>
      <c r="AG41">
        <v>5017677.3</v>
      </c>
      <c r="AH41" s="2">
        <f t="shared" si="14"/>
        <v>-428044.44900781009</v>
      </c>
      <c r="AI41" s="2">
        <f t="shared" si="13"/>
        <v>-14268.148300260336</v>
      </c>
      <c r="AJ41">
        <v>30</v>
      </c>
      <c r="AK41">
        <v>598</v>
      </c>
      <c r="AL41" t="b">
        <v>1</v>
      </c>
      <c r="AM41" s="2">
        <f>IF('MANOVA '!M83, 1, 0)</f>
        <v>0</v>
      </c>
    </row>
    <row r="42" spans="1:39" x14ac:dyDescent="0.2">
      <c r="A42">
        <v>10</v>
      </c>
      <c r="B42">
        <v>197</v>
      </c>
      <c r="C42">
        <v>0.3</v>
      </c>
      <c r="D42">
        <v>30</v>
      </c>
      <c r="E42">
        <v>15</v>
      </c>
      <c r="F42">
        <v>1</v>
      </c>
      <c r="G42">
        <v>3</v>
      </c>
      <c r="H42">
        <v>30</v>
      </c>
      <c r="I42">
        <v>45.06</v>
      </c>
      <c r="J42">
        <v>49.35</v>
      </c>
      <c r="K42">
        <v>71868</v>
      </c>
      <c r="L42">
        <v>97763</v>
      </c>
      <c r="M42">
        <v>27667</v>
      </c>
      <c r="N42">
        <v>12124</v>
      </c>
      <c r="O42">
        <f t="shared" si="7"/>
        <v>209422</v>
      </c>
      <c r="P42">
        <v>27088</v>
      </c>
      <c r="Q42">
        <v>41844</v>
      </c>
      <c r="R42">
        <v>3204</v>
      </c>
      <c r="S42">
        <v>38198</v>
      </c>
      <c r="T42">
        <f t="shared" si="8"/>
        <v>110334</v>
      </c>
      <c r="U42">
        <f t="shared" si="9"/>
        <v>319756</v>
      </c>
      <c r="V42">
        <v>40000490.2905358</v>
      </c>
      <c r="W42">
        <v>16564383.638966899</v>
      </c>
      <c r="X42">
        <v>-23436106.6515688</v>
      </c>
      <c r="Y42">
        <v>19923125.654141199</v>
      </c>
      <c r="Z42">
        <f t="shared" si="10"/>
        <v>4083.444487423898</v>
      </c>
      <c r="AA42">
        <v>0</v>
      </c>
      <c r="AB42">
        <v>0</v>
      </c>
      <c r="AC42">
        <v>3133</v>
      </c>
      <c r="AD42">
        <v>4879</v>
      </c>
      <c r="AE42">
        <v>0</v>
      </c>
      <c r="AF42">
        <v>4161460.2862599501</v>
      </c>
      <c r="AG42">
        <v>5017677.3</v>
      </c>
      <c r="AH42" s="2">
        <f>AF42-AG42</f>
        <v>-856217.01374004968</v>
      </c>
      <c r="AI42" s="2">
        <f t="shared" si="13"/>
        <v>-28540.567124668323</v>
      </c>
      <c r="AJ42">
        <v>30</v>
      </c>
      <c r="AK42">
        <v>417</v>
      </c>
      <c r="AL42" t="b">
        <v>1</v>
      </c>
      <c r="AM42" s="2">
        <f>IF('MANOVA '!M84, 1, 0)</f>
        <v>0</v>
      </c>
    </row>
    <row r="43" spans="1:39" x14ac:dyDescent="0.2">
      <c r="A43">
        <v>10</v>
      </c>
      <c r="B43">
        <v>200</v>
      </c>
      <c r="C43">
        <v>0.3</v>
      </c>
      <c r="D43">
        <v>30</v>
      </c>
      <c r="E43">
        <v>15</v>
      </c>
      <c r="F43">
        <v>1</v>
      </c>
      <c r="G43">
        <v>3</v>
      </c>
      <c r="H43">
        <v>30</v>
      </c>
      <c r="I43">
        <v>90.12</v>
      </c>
      <c r="J43">
        <v>98.7</v>
      </c>
      <c r="K43">
        <v>88102</v>
      </c>
      <c r="L43">
        <v>94813</v>
      </c>
      <c r="M43">
        <v>27183</v>
      </c>
      <c r="N43">
        <v>12236</v>
      </c>
      <c r="O43">
        <f t="shared" si="7"/>
        <v>222334</v>
      </c>
      <c r="P43">
        <v>25005</v>
      </c>
      <c r="Q43">
        <v>39144</v>
      </c>
      <c r="R43">
        <v>3106</v>
      </c>
      <c r="S43">
        <v>38174</v>
      </c>
      <c r="T43">
        <f t="shared" si="8"/>
        <v>105429</v>
      </c>
      <c r="U43">
        <f t="shared" si="9"/>
        <v>327763</v>
      </c>
      <c r="V43">
        <v>38824222.1987895</v>
      </c>
      <c r="W43">
        <v>19433319.184701499</v>
      </c>
      <c r="X43">
        <v>-19390903.014087901</v>
      </c>
      <c r="Y43">
        <v>19366660.224896599</v>
      </c>
      <c r="Z43">
        <f t="shared" si="10"/>
        <v>3892.7960251048439</v>
      </c>
      <c r="AA43">
        <v>0</v>
      </c>
      <c r="AB43">
        <v>0</v>
      </c>
      <c r="AC43">
        <v>3186</v>
      </c>
      <c r="AD43">
        <v>4975</v>
      </c>
      <c r="AE43">
        <v>0</v>
      </c>
      <c r="AF43">
        <v>3373422.0724063399</v>
      </c>
      <c r="AG43">
        <v>5017677.3</v>
      </c>
      <c r="AH43" s="2">
        <f>AF43-AG43</f>
        <v>-1644255.2275936599</v>
      </c>
      <c r="AI43" s="2">
        <f t="shared" si="13"/>
        <v>-54808.507586455329</v>
      </c>
      <c r="AJ43">
        <v>30</v>
      </c>
      <c r="AK43">
        <v>568</v>
      </c>
      <c r="AL43" t="b">
        <v>1</v>
      </c>
      <c r="AM43" s="2">
        <f>IF('MANOVA '!M85, 1, 0)</f>
        <v>0</v>
      </c>
    </row>
    <row r="44" spans="1:39" x14ac:dyDescent="0.2">
      <c r="A44">
        <v>10</v>
      </c>
      <c r="B44">
        <v>199</v>
      </c>
      <c r="C44">
        <v>0.3</v>
      </c>
      <c r="D44">
        <v>30</v>
      </c>
      <c r="E44">
        <v>15</v>
      </c>
      <c r="F44">
        <v>1</v>
      </c>
      <c r="G44">
        <v>3</v>
      </c>
      <c r="H44">
        <v>15</v>
      </c>
      <c r="I44">
        <v>45.06</v>
      </c>
      <c r="J44">
        <v>49.35</v>
      </c>
      <c r="K44">
        <v>88139</v>
      </c>
      <c r="L44">
        <v>94040</v>
      </c>
      <c r="M44">
        <v>26817</v>
      </c>
      <c r="N44">
        <v>12167</v>
      </c>
      <c r="O44">
        <f t="shared" si="7"/>
        <v>221163</v>
      </c>
      <c r="P44">
        <v>25707</v>
      </c>
      <c r="Q44">
        <v>39446</v>
      </c>
      <c r="R44">
        <v>3101</v>
      </c>
      <c r="S44">
        <v>38240</v>
      </c>
      <c r="T44">
        <f t="shared" si="8"/>
        <v>106494</v>
      </c>
      <c r="U44">
        <f t="shared" si="9"/>
        <v>327657</v>
      </c>
      <c r="V44">
        <v>31148158.184110001</v>
      </c>
      <c r="W44">
        <v>15758628.609583599</v>
      </c>
      <c r="X44">
        <v>-15389529.574526301</v>
      </c>
      <c r="Y44">
        <v>9775615.8234457001</v>
      </c>
      <c r="Z44">
        <f t="shared" si="10"/>
        <v>3940.1917869591698</v>
      </c>
      <c r="AA44">
        <v>0</v>
      </c>
      <c r="AB44">
        <v>0</v>
      </c>
      <c r="AC44">
        <v>3187</v>
      </c>
      <c r="AD44">
        <v>2481</v>
      </c>
      <c r="AE44">
        <v>0</v>
      </c>
      <c r="AF44">
        <v>4754893.9609366301</v>
      </c>
      <c r="AG44">
        <v>5017677.3</v>
      </c>
      <c r="AH44" s="2">
        <f>AF44-AG44</f>
        <v>-262783.33906336967</v>
      </c>
      <c r="AI44" s="2">
        <f t="shared" si="13"/>
        <v>-8759.4446354456559</v>
      </c>
      <c r="AJ44">
        <v>30</v>
      </c>
      <c r="AK44">
        <v>458</v>
      </c>
      <c r="AL44" t="b">
        <v>1</v>
      </c>
      <c r="AM44" s="2">
        <f>IF('MANOVA '!M86, 1, 0)</f>
        <v>0</v>
      </c>
    </row>
    <row r="45" spans="1:39" x14ac:dyDescent="0.2">
      <c r="A45">
        <v>10</v>
      </c>
      <c r="B45">
        <v>203</v>
      </c>
      <c r="C45">
        <v>0.3</v>
      </c>
      <c r="D45">
        <v>30</v>
      </c>
      <c r="E45">
        <v>15</v>
      </c>
      <c r="F45">
        <v>1</v>
      </c>
      <c r="G45">
        <v>3</v>
      </c>
      <c r="H45">
        <v>15</v>
      </c>
      <c r="I45">
        <v>90.12</v>
      </c>
      <c r="J45">
        <v>98.7</v>
      </c>
      <c r="K45">
        <v>74854</v>
      </c>
      <c r="L45">
        <v>99760</v>
      </c>
      <c r="M45">
        <v>26494</v>
      </c>
      <c r="N45">
        <v>12262</v>
      </c>
      <c r="O45">
        <f t="shared" si="7"/>
        <v>213370</v>
      </c>
      <c r="P45">
        <v>22905</v>
      </c>
      <c r="Q45">
        <v>35240</v>
      </c>
      <c r="R45">
        <v>3651</v>
      </c>
      <c r="S45">
        <v>38262</v>
      </c>
      <c r="T45">
        <f t="shared" si="8"/>
        <v>100058</v>
      </c>
      <c r="U45">
        <f t="shared" si="9"/>
        <v>313428</v>
      </c>
      <c r="V45">
        <v>30885049.911348298</v>
      </c>
      <c r="W45">
        <v>24739696.032533299</v>
      </c>
      <c r="X45">
        <v>-6145353.8788149701</v>
      </c>
      <c r="Y45">
        <v>9960784.8596400805</v>
      </c>
      <c r="Z45">
        <f t="shared" si="10"/>
        <v>3930.8543250355488</v>
      </c>
      <c r="AA45">
        <v>0</v>
      </c>
      <c r="AB45">
        <v>0</v>
      </c>
      <c r="AC45">
        <v>3229</v>
      </c>
      <c r="AD45">
        <v>2534</v>
      </c>
      <c r="AE45">
        <v>0</v>
      </c>
      <c r="AF45">
        <v>7766409.1240662402</v>
      </c>
      <c r="AG45">
        <v>5017677.3</v>
      </c>
      <c r="AH45" s="2">
        <f t="shared" si="14"/>
        <v>2748731.8240662403</v>
      </c>
      <c r="AI45" s="2">
        <f t="shared" si="13"/>
        <v>91624.394135541341</v>
      </c>
      <c r="AJ45">
        <v>30</v>
      </c>
      <c r="AK45">
        <v>474</v>
      </c>
      <c r="AL45" t="b">
        <v>1</v>
      </c>
      <c r="AM45" s="2">
        <f>IF('MANOVA '!M87, 1, 0)</f>
        <v>0</v>
      </c>
    </row>
    <row r="46" spans="1:39" x14ac:dyDescent="0.2">
      <c r="A46">
        <v>10</v>
      </c>
      <c r="B46">
        <v>198</v>
      </c>
      <c r="C46">
        <v>0.3</v>
      </c>
      <c r="D46">
        <v>30</v>
      </c>
      <c r="E46">
        <v>15</v>
      </c>
      <c r="F46">
        <v>1</v>
      </c>
      <c r="G46">
        <v>1</v>
      </c>
      <c r="H46">
        <v>30</v>
      </c>
      <c r="I46">
        <v>45.06</v>
      </c>
      <c r="J46">
        <v>49.35</v>
      </c>
      <c r="K46">
        <v>80714</v>
      </c>
      <c r="L46">
        <v>96731</v>
      </c>
      <c r="M46">
        <v>27648</v>
      </c>
      <c r="N46">
        <v>12211</v>
      </c>
      <c r="O46">
        <f t="shared" si="7"/>
        <v>217304</v>
      </c>
      <c r="P46">
        <v>26284</v>
      </c>
      <c r="Q46">
        <v>41137</v>
      </c>
      <c r="R46">
        <v>3173</v>
      </c>
      <c r="S46">
        <v>38116</v>
      </c>
      <c r="T46">
        <f t="shared" si="8"/>
        <v>108710</v>
      </c>
      <c r="U46">
        <f t="shared" si="9"/>
        <v>326014</v>
      </c>
      <c r="V46">
        <v>40797792.705938302</v>
      </c>
      <c r="W46">
        <v>17331905.4416417</v>
      </c>
      <c r="X46">
        <v>-23465887.264296498</v>
      </c>
      <c r="Y46">
        <v>19101919.710503101</v>
      </c>
      <c r="Z46">
        <f t="shared" si="10"/>
        <v>3895.171229711073</v>
      </c>
      <c r="AA46">
        <v>0</v>
      </c>
      <c r="AB46">
        <v>0</v>
      </c>
      <c r="AC46">
        <v>3155</v>
      </c>
      <c r="AD46">
        <v>4904</v>
      </c>
      <c r="AE46">
        <v>0</v>
      </c>
      <c r="AF46">
        <v>6073512.5786481798</v>
      </c>
      <c r="AG46">
        <v>5017677.3</v>
      </c>
      <c r="AH46" s="2">
        <f>AF46-AG46</f>
        <v>1055835.27864818</v>
      </c>
      <c r="AI46" s="2">
        <f t="shared" si="13"/>
        <v>35194.509288272668</v>
      </c>
      <c r="AJ46">
        <v>30</v>
      </c>
      <c r="AK46">
        <v>433</v>
      </c>
      <c r="AL46" t="b">
        <v>1</v>
      </c>
      <c r="AM46" s="2">
        <f>IF('MANOVA '!M88, 1, 0)</f>
        <v>0</v>
      </c>
    </row>
    <row r="47" spans="1:39" x14ac:dyDescent="0.2">
      <c r="A47">
        <v>10</v>
      </c>
      <c r="B47">
        <v>196</v>
      </c>
      <c r="C47">
        <v>0.3</v>
      </c>
      <c r="D47">
        <v>30</v>
      </c>
      <c r="E47">
        <v>15</v>
      </c>
      <c r="F47">
        <v>1</v>
      </c>
      <c r="G47">
        <v>1</v>
      </c>
      <c r="H47">
        <v>30</v>
      </c>
      <c r="I47">
        <v>90.12</v>
      </c>
      <c r="J47">
        <v>98.7</v>
      </c>
      <c r="K47">
        <v>62223</v>
      </c>
      <c r="L47">
        <v>97820</v>
      </c>
      <c r="M47">
        <v>27576</v>
      </c>
      <c r="N47">
        <v>12065</v>
      </c>
      <c r="O47">
        <f t="shared" si="7"/>
        <v>199684</v>
      </c>
      <c r="P47">
        <v>28012</v>
      </c>
      <c r="Q47">
        <v>43250</v>
      </c>
      <c r="R47">
        <v>3374</v>
      </c>
      <c r="S47">
        <v>38249</v>
      </c>
      <c r="T47">
        <f t="shared" si="8"/>
        <v>112885</v>
      </c>
      <c r="U47">
        <f t="shared" si="9"/>
        <v>312569</v>
      </c>
      <c r="V47">
        <v>38042460.157166801</v>
      </c>
      <c r="W47">
        <v>19021546.000703201</v>
      </c>
      <c r="X47">
        <v>-19020914.156463601</v>
      </c>
      <c r="Y47">
        <v>19676608.076409899</v>
      </c>
      <c r="Z47">
        <f t="shared" si="10"/>
        <v>4048.684789384753</v>
      </c>
      <c r="AA47">
        <v>0</v>
      </c>
      <c r="AB47">
        <v>0</v>
      </c>
      <c r="AC47">
        <v>3130</v>
      </c>
      <c r="AD47">
        <v>4860</v>
      </c>
      <c r="AE47">
        <v>0</v>
      </c>
      <c r="AF47">
        <v>3331249.3869251302</v>
      </c>
      <c r="AG47">
        <v>5017677.3</v>
      </c>
      <c r="AH47" s="2">
        <f>AF47-AG47</f>
        <v>-1686427.9130748697</v>
      </c>
      <c r="AI47" s="2">
        <f t="shared" si="13"/>
        <v>-56214.263769162324</v>
      </c>
      <c r="AJ47">
        <v>30</v>
      </c>
      <c r="AK47">
        <v>598</v>
      </c>
      <c r="AL47" t="b">
        <v>1</v>
      </c>
      <c r="AM47" s="2">
        <f>IF('MANOVA '!M89, 1, 0)</f>
        <v>0</v>
      </c>
    </row>
    <row r="48" spans="1:39" x14ac:dyDescent="0.2">
      <c r="A48">
        <v>10</v>
      </c>
      <c r="B48">
        <v>199</v>
      </c>
      <c r="C48">
        <v>0.3</v>
      </c>
      <c r="D48">
        <v>30</v>
      </c>
      <c r="E48">
        <v>15</v>
      </c>
      <c r="F48">
        <v>1</v>
      </c>
      <c r="G48">
        <v>1</v>
      </c>
      <c r="H48">
        <v>15</v>
      </c>
      <c r="I48">
        <v>45.06</v>
      </c>
      <c r="J48">
        <v>49.35</v>
      </c>
      <c r="K48">
        <v>88121</v>
      </c>
      <c r="L48">
        <v>93117</v>
      </c>
      <c r="M48">
        <v>27034</v>
      </c>
      <c r="N48">
        <v>12110</v>
      </c>
      <c r="O48">
        <f t="shared" si="7"/>
        <v>220382</v>
      </c>
      <c r="P48">
        <v>25506</v>
      </c>
      <c r="Q48">
        <v>39433</v>
      </c>
      <c r="R48">
        <v>3029</v>
      </c>
      <c r="S48">
        <v>38158</v>
      </c>
      <c r="T48">
        <f t="shared" si="8"/>
        <v>106126</v>
      </c>
      <c r="U48">
        <f t="shared" si="9"/>
        <v>326508</v>
      </c>
      <c r="V48">
        <v>31072339.408988301</v>
      </c>
      <c r="W48">
        <v>16221598.3500324</v>
      </c>
      <c r="X48">
        <v>-14850741.0589558</v>
      </c>
      <c r="Y48">
        <v>9760804.1087622102</v>
      </c>
      <c r="Z48">
        <f t="shared" si="10"/>
        <v>3934.2217286425675</v>
      </c>
      <c r="AA48">
        <v>0</v>
      </c>
      <c r="AB48">
        <v>0</v>
      </c>
      <c r="AC48">
        <v>3177</v>
      </c>
      <c r="AD48">
        <v>2481</v>
      </c>
      <c r="AE48">
        <v>0</v>
      </c>
      <c r="AF48">
        <v>5361918.8248243202</v>
      </c>
      <c r="AG48">
        <v>5017677.3</v>
      </c>
      <c r="AH48" s="2">
        <f>AF48-AG48</f>
        <v>344241.52482432034</v>
      </c>
      <c r="AI48" s="2">
        <f t="shared" si="13"/>
        <v>11474.717494144012</v>
      </c>
      <c r="AJ48">
        <v>30</v>
      </c>
      <c r="AK48">
        <v>471</v>
      </c>
      <c r="AL48" t="b">
        <v>1</v>
      </c>
      <c r="AM48" s="2">
        <f>IF('MANOVA '!M90, 1, 0)</f>
        <v>0</v>
      </c>
    </row>
    <row r="49" spans="1:39" x14ac:dyDescent="0.2">
      <c r="A49">
        <v>10</v>
      </c>
      <c r="B49">
        <v>200</v>
      </c>
      <c r="C49">
        <v>0.3</v>
      </c>
      <c r="D49">
        <v>30</v>
      </c>
      <c r="E49">
        <v>15</v>
      </c>
      <c r="F49">
        <v>1</v>
      </c>
      <c r="G49">
        <v>1</v>
      </c>
      <c r="H49">
        <v>15</v>
      </c>
      <c r="I49">
        <v>90.12</v>
      </c>
      <c r="J49">
        <v>98.7</v>
      </c>
      <c r="K49">
        <v>86875</v>
      </c>
      <c r="L49">
        <v>92473</v>
      </c>
      <c r="M49">
        <v>26710</v>
      </c>
      <c r="N49">
        <v>12162</v>
      </c>
      <c r="O49">
        <f t="shared" si="7"/>
        <v>218220</v>
      </c>
      <c r="P49">
        <v>25065</v>
      </c>
      <c r="Q49">
        <v>38623</v>
      </c>
      <c r="R49">
        <v>3008</v>
      </c>
      <c r="S49">
        <v>38448</v>
      </c>
      <c r="T49">
        <f t="shared" si="8"/>
        <v>105144</v>
      </c>
      <c r="U49">
        <f t="shared" si="9"/>
        <v>323364</v>
      </c>
      <c r="V49">
        <v>28406506.144663598</v>
      </c>
      <c r="W49">
        <v>16342364.162526401</v>
      </c>
      <c r="X49">
        <v>-12064141.982137199</v>
      </c>
      <c r="Y49">
        <v>10418230.682326701</v>
      </c>
      <c r="Z49">
        <f t="shared" si="10"/>
        <v>4168.95985687343</v>
      </c>
      <c r="AA49">
        <v>0</v>
      </c>
      <c r="AB49">
        <v>0</v>
      </c>
      <c r="AC49">
        <v>3203</v>
      </c>
      <c r="AD49">
        <v>2499</v>
      </c>
      <c r="AE49">
        <v>0</v>
      </c>
      <c r="AF49">
        <v>3425952.1433042502</v>
      </c>
      <c r="AG49">
        <v>5017677.3</v>
      </c>
      <c r="AH49" s="2">
        <f t="shared" si="14"/>
        <v>-1591725.1566957496</v>
      </c>
      <c r="AI49" s="2">
        <f t="shared" si="13"/>
        <v>-53057.505223191656</v>
      </c>
      <c r="AJ49">
        <v>30</v>
      </c>
      <c r="AK49">
        <v>646</v>
      </c>
      <c r="AL49" t="b">
        <v>1</v>
      </c>
      <c r="AM49" s="2">
        <f>IF('MANOVA '!M91, 1, 0)</f>
        <v>0</v>
      </c>
    </row>
    <row r="50" spans="1:39" x14ac:dyDescent="0.2">
      <c r="A50">
        <v>10</v>
      </c>
      <c r="B50">
        <v>135</v>
      </c>
      <c r="C50">
        <v>0.3</v>
      </c>
      <c r="D50">
        <v>30</v>
      </c>
      <c r="E50">
        <v>10</v>
      </c>
      <c r="F50">
        <v>3</v>
      </c>
      <c r="G50">
        <v>3</v>
      </c>
      <c r="H50">
        <v>30</v>
      </c>
      <c r="I50">
        <v>45.06</v>
      </c>
      <c r="J50">
        <v>49.35</v>
      </c>
      <c r="K50">
        <v>57569</v>
      </c>
      <c r="L50">
        <v>65544</v>
      </c>
      <c r="M50">
        <v>34003</v>
      </c>
      <c r="N50">
        <v>10550</v>
      </c>
      <c r="O50">
        <f t="shared" ref="O50:O72" si="15">SUM(K50:N50)</f>
        <v>167666</v>
      </c>
      <c r="P50">
        <v>6530</v>
      </c>
      <c r="Q50">
        <v>45843</v>
      </c>
      <c r="R50">
        <v>7822</v>
      </c>
      <c r="S50">
        <v>35782</v>
      </c>
      <c r="T50">
        <f t="shared" ref="T50:T72" si="16">SUM(P50:S50)</f>
        <v>95977</v>
      </c>
      <c r="U50">
        <f t="shared" ref="U50:U72" si="17">O50+T50</f>
        <v>263643</v>
      </c>
      <c r="V50">
        <v>25612910.744945802</v>
      </c>
      <c r="W50">
        <v>8408629.9051311594</v>
      </c>
      <c r="X50">
        <v>-17204280.8398146</v>
      </c>
      <c r="Y50">
        <v>12712074.155863101</v>
      </c>
      <c r="Z50">
        <f t="shared" ref="Z50:Z72" si="18">Y50/AD50</f>
        <v>3819.7338208723259</v>
      </c>
      <c r="AA50">
        <v>0</v>
      </c>
      <c r="AB50">
        <v>0</v>
      </c>
      <c r="AC50">
        <v>2143</v>
      </c>
      <c r="AD50">
        <v>3328</v>
      </c>
      <c r="AE50">
        <v>0</v>
      </c>
      <c r="AF50">
        <v>404735.41224542499</v>
      </c>
      <c r="AG50">
        <v>3417388.79999999</v>
      </c>
      <c r="AH50" s="2">
        <f>AF50-AG50</f>
        <v>-3012653.3877545651</v>
      </c>
      <c r="AI50" s="2">
        <f t="shared" si="13"/>
        <v>-100421.77959181883</v>
      </c>
      <c r="AJ50">
        <v>30</v>
      </c>
      <c r="AK50">
        <v>514</v>
      </c>
      <c r="AL50" t="b">
        <v>1</v>
      </c>
      <c r="AM50" s="2">
        <f>IF('MANOVA '!M92, 1, 0)</f>
        <v>0</v>
      </c>
    </row>
    <row r="51" spans="1:39" x14ac:dyDescent="0.2">
      <c r="A51">
        <v>10</v>
      </c>
      <c r="B51">
        <v>135</v>
      </c>
      <c r="C51">
        <v>0.3</v>
      </c>
      <c r="D51">
        <v>30</v>
      </c>
      <c r="E51">
        <v>10</v>
      </c>
      <c r="F51">
        <v>3</v>
      </c>
      <c r="G51">
        <v>3</v>
      </c>
      <c r="H51">
        <v>30</v>
      </c>
      <c r="I51">
        <v>90.12</v>
      </c>
      <c r="J51">
        <v>98.7</v>
      </c>
      <c r="K51">
        <v>57569</v>
      </c>
      <c r="L51">
        <v>65544</v>
      </c>
      <c r="M51">
        <v>34003</v>
      </c>
      <c r="N51">
        <v>10550</v>
      </c>
      <c r="O51">
        <f t="shared" si="15"/>
        <v>167666</v>
      </c>
      <c r="P51">
        <v>6530</v>
      </c>
      <c r="Q51">
        <v>45843</v>
      </c>
      <c r="R51">
        <v>7822</v>
      </c>
      <c r="S51">
        <v>35782</v>
      </c>
      <c r="T51">
        <f t="shared" si="16"/>
        <v>95977</v>
      </c>
      <c r="U51">
        <f t="shared" si="17"/>
        <v>263643</v>
      </c>
      <c r="V51">
        <v>25612910.744945802</v>
      </c>
      <c r="W51">
        <v>13399871.010262299</v>
      </c>
      <c r="X51">
        <v>-12213039.7346834</v>
      </c>
      <c r="Y51">
        <v>12712074.155863101</v>
      </c>
      <c r="Z51">
        <f t="shared" si="18"/>
        <v>3819.7338208723259</v>
      </c>
      <c r="AA51">
        <v>0</v>
      </c>
      <c r="AB51">
        <v>0</v>
      </c>
      <c r="AC51">
        <v>2143</v>
      </c>
      <c r="AD51">
        <v>3328</v>
      </c>
      <c r="AE51">
        <v>0</v>
      </c>
      <c r="AF51">
        <v>809470.82449084998</v>
      </c>
      <c r="AG51">
        <v>3417388.79999999</v>
      </c>
      <c r="AH51" s="2">
        <f>AF51-AG51</f>
        <v>-2607917.9755091402</v>
      </c>
      <c r="AI51" s="2">
        <f t="shared" si="13"/>
        <v>-86930.599183638013</v>
      </c>
      <c r="AJ51">
        <v>30</v>
      </c>
      <c r="AK51">
        <v>514</v>
      </c>
      <c r="AL51" t="b">
        <v>1</v>
      </c>
      <c r="AM51" s="2">
        <f>IF('MANOVA '!M93, 1, 0)</f>
        <v>0</v>
      </c>
    </row>
    <row r="52" spans="1:39" x14ac:dyDescent="0.2">
      <c r="A52">
        <v>10</v>
      </c>
      <c r="B52">
        <v>138</v>
      </c>
      <c r="C52">
        <v>0.3</v>
      </c>
      <c r="D52">
        <v>30</v>
      </c>
      <c r="E52">
        <v>10</v>
      </c>
      <c r="F52">
        <v>3</v>
      </c>
      <c r="G52">
        <v>3</v>
      </c>
      <c r="H52">
        <v>15</v>
      </c>
      <c r="I52">
        <v>45.06</v>
      </c>
      <c r="J52">
        <v>49.35</v>
      </c>
      <c r="K52">
        <v>72622</v>
      </c>
      <c r="L52">
        <v>62729</v>
      </c>
      <c r="M52">
        <v>33727</v>
      </c>
      <c r="N52">
        <v>10589</v>
      </c>
      <c r="O52">
        <f t="shared" si="15"/>
        <v>179667</v>
      </c>
      <c r="P52">
        <v>5902</v>
      </c>
      <c r="Q52">
        <v>42215</v>
      </c>
      <c r="R52">
        <v>7823</v>
      </c>
      <c r="S52">
        <v>35562</v>
      </c>
      <c r="T52">
        <f t="shared" si="16"/>
        <v>91502</v>
      </c>
      <c r="U52">
        <f t="shared" si="17"/>
        <v>271169</v>
      </c>
      <c r="V52">
        <v>21160299.106495</v>
      </c>
      <c r="W52">
        <v>11888399.7768845</v>
      </c>
      <c r="X52">
        <v>-9271899.3296105396</v>
      </c>
      <c r="Y52">
        <v>6582219.8630843703</v>
      </c>
      <c r="Z52">
        <f t="shared" si="18"/>
        <v>3813.5688662134244</v>
      </c>
      <c r="AA52">
        <v>0</v>
      </c>
      <c r="AB52">
        <v>0</v>
      </c>
      <c r="AC52">
        <v>2145</v>
      </c>
      <c r="AD52">
        <v>1726</v>
      </c>
      <c r="AE52">
        <v>0</v>
      </c>
      <c r="AF52">
        <v>1746712.9679153799</v>
      </c>
      <c r="AG52">
        <v>3417388.79999999</v>
      </c>
      <c r="AH52" s="2">
        <f>AF52-AG52</f>
        <v>-1670675.8320846101</v>
      </c>
      <c r="AI52" s="2">
        <f t="shared" si="13"/>
        <v>-55689.194402820336</v>
      </c>
      <c r="AJ52">
        <v>30</v>
      </c>
      <c r="AK52">
        <v>368</v>
      </c>
      <c r="AL52" t="b">
        <v>1</v>
      </c>
      <c r="AM52" s="2">
        <f>IF('MANOVA '!M94, 1, 0)</f>
        <v>0</v>
      </c>
    </row>
    <row r="53" spans="1:39" x14ac:dyDescent="0.2">
      <c r="A53">
        <v>10</v>
      </c>
      <c r="B53">
        <v>138</v>
      </c>
      <c r="C53">
        <v>0.3</v>
      </c>
      <c r="D53">
        <v>30</v>
      </c>
      <c r="E53">
        <v>10</v>
      </c>
      <c r="F53">
        <v>3</v>
      </c>
      <c r="G53">
        <v>3</v>
      </c>
      <c r="H53">
        <v>15</v>
      </c>
      <c r="I53">
        <v>90.12</v>
      </c>
      <c r="J53">
        <v>98.7</v>
      </c>
      <c r="K53">
        <v>72622</v>
      </c>
      <c r="L53">
        <v>62729</v>
      </c>
      <c r="M53">
        <v>33727</v>
      </c>
      <c r="N53">
        <v>10589</v>
      </c>
      <c r="O53">
        <f t="shared" si="15"/>
        <v>179667</v>
      </c>
      <c r="P53">
        <v>5902</v>
      </c>
      <c r="Q53">
        <v>42215</v>
      </c>
      <c r="R53">
        <v>7823</v>
      </c>
      <c r="S53">
        <v>35562</v>
      </c>
      <c r="T53">
        <f t="shared" si="16"/>
        <v>91502</v>
      </c>
      <c r="U53">
        <f t="shared" si="17"/>
        <v>271169</v>
      </c>
      <c r="V53">
        <v>21160299.106495</v>
      </c>
      <c r="W53">
        <v>20359410.753768999</v>
      </c>
      <c r="X53">
        <v>-800888.352726012</v>
      </c>
      <c r="Y53">
        <v>6582219.8630843703</v>
      </c>
      <c r="Z53">
        <f t="shared" si="18"/>
        <v>3813.5688662134244</v>
      </c>
      <c r="AA53">
        <v>0</v>
      </c>
      <c r="AB53">
        <v>0</v>
      </c>
      <c r="AC53">
        <v>2145</v>
      </c>
      <c r="AD53">
        <v>1726</v>
      </c>
      <c r="AE53">
        <v>0</v>
      </c>
      <c r="AF53">
        <v>3493425.9358307598</v>
      </c>
      <c r="AG53">
        <v>3417388.79999999</v>
      </c>
      <c r="AH53" s="2">
        <f t="shared" si="14"/>
        <v>76037.135830769781</v>
      </c>
      <c r="AI53" s="2">
        <f t="shared" si="13"/>
        <v>2534.5711943589927</v>
      </c>
      <c r="AJ53">
        <v>30</v>
      </c>
      <c r="AK53">
        <v>368</v>
      </c>
      <c r="AL53" t="b">
        <v>1</v>
      </c>
      <c r="AM53" s="2">
        <f>IF('MANOVA '!M95, 1, 0)</f>
        <v>0</v>
      </c>
    </row>
    <row r="54" spans="1:39" x14ac:dyDescent="0.2">
      <c r="A54">
        <v>10</v>
      </c>
      <c r="B54">
        <v>139</v>
      </c>
      <c r="C54">
        <v>0.3</v>
      </c>
      <c r="D54">
        <v>30</v>
      </c>
      <c r="E54">
        <v>10</v>
      </c>
      <c r="F54">
        <v>3</v>
      </c>
      <c r="G54">
        <v>1</v>
      </c>
      <c r="H54">
        <v>30</v>
      </c>
      <c r="I54">
        <v>45.06</v>
      </c>
      <c r="J54">
        <v>49.35</v>
      </c>
      <c r="K54">
        <v>79262</v>
      </c>
      <c r="L54">
        <v>62287</v>
      </c>
      <c r="M54">
        <v>33668</v>
      </c>
      <c r="N54">
        <v>10621</v>
      </c>
      <c r="O54">
        <f t="shared" si="15"/>
        <v>185838</v>
      </c>
      <c r="P54">
        <v>5730</v>
      </c>
      <c r="Q54">
        <v>41436</v>
      </c>
      <c r="R54">
        <v>7123</v>
      </c>
      <c r="S54">
        <v>36013</v>
      </c>
      <c r="T54">
        <f t="shared" si="16"/>
        <v>90302</v>
      </c>
      <c r="U54">
        <f t="shared" si="17"/>
        <v>276140</v>
      </c>
      <c r="V54">
        <v>26784394.545593899</v>
      </c>
      <c r="W54">
        <v>9536237.6878629606</v>
      </c>
      <c r="X54">
        <v>-17248156.857731</v>
      </c>
      <c r="Y54">
        <v>12908913.5087843</v>
      </c>
      <c r="Z54">
        <f t="shared" si="18"/>
        <v>3749.3213792577112</v>
      </c>
      <c r="AA54">
        <v>0</v>
      </c>
      <c r="AB54">
        <v>0</v>
      </c>
      <c r="AC54">
        <v>2182</v>
      </c>
      <c r="AD54">
        <v>3443</v>
      </c>
      <c r="AE54">
        <v>0</v>
      </c>
      <c r="AF54">
        <v>633188.00721655495</v>
      </c>
      <c r="AG54">
        <v>3417388.79999999</v>
      </c>
      <c r="AH54" s="2">
        <f>AF54-AG54</f>
        <v>-2784200.792783435</v>
      </c>
      <c r="AI54" s="2">
        <f t="shared" si="13"/>
        <v>-92806.693092781163</v>
      </c>
      <c r="AJ54">
        <v>30</v>
      </c>
      <c r="AK54">
        <v>467</v>
      </c>
      <c r="AL54" t="b">
        <v>1</v>
      </c>
      <c r="AM54" s="2">
        <f>IF('MANOVA '!M96, 1, 0)</f>
        <v>0</v>
      </c>
    </row>
    <row r="55" spans="1:39" x14ac:dyDescent="0.2">
      <c r="A55">
        <v>10</v>
      </c>
      <c r="B55">
        <v>136</v>
      </c>
      <c r="C55">
        <v>0.3</v>
      </c>
      <c r="D55">
        <v>30</v>
      </c>
      <c r="E55">
        <v>10</v>
      </c>
      <c r="F55">
        <v>3</v>
      </c>
      <c r="G55">
        <v>1</v>
      </c>
      <c r="H55">
        <v>30</v>
      </c>
      <c r="I55">
        <v>90.12</v>
      </c>
      <c r="J55">
        <v>98.7</v>
      </c>
      <c r="K55">
        <v>57001</v>
      </c>
      <c r="L55">
        <v>64061</v>
      </c>
      <c r="M55">
        <v>34045</v>
      </c>
      <c r="N55">
        <v>10483</v>
      </c>
      <c r="O55">
        <f t="shared" si="15"/>
        <v>165590</v>
      </c>
      <c r="P55">
        <v>6202</v>
      </c>
      <c r="Q55">
        <v>44922</v>
      </c>
      <c r="R55">
        <v>7942</v>
      </c>
      <c r="S55">
        <v>35583</v>
      </c>
      <c r="T55">
        <f t="shared" si="16"/>
        <v>94649</v>
      </c>
      <c r="U55">
        <f t="shared" si="17"/>
        <v>260239</v>
      </c>
      <c r="V55">
        <v>26179493.6631184</v>
      </c>
      <c r="W55">
        <v>15688115.915072599</v>
      </c>
      <c r="X55">
        <v>-10491377.7480458</v>
      </c>
      <c r="Y55">
        <v>12553221.2061192</v>
      </c>
      <c r="Z55">
        <f t="shared" si="18"/>
        <v>3742.7612421345261</v>
      </c>
      <c r="AA55">
        <v>0</v>
      </c>
      <c r="AB55">
        <v>0</v>
      </c>
      <c r="AC55">
        <v>2142</v>
      </c>
      <c r="AD55">
        <v>3354</v>
      </c>
      <c r="AE55">
        <v>0</v>
      </c>
      <c r="AF55">
        <v>1294686.87673028</v>
      </c>
      <c r="AG55">
        <v>3417388.79999999</v>
      </c>
      <c r="AH55" s="2">
        <f>AF55-AG55</f>
        <v>-2122701.92326971</v>
      </c>
      <c r="AI55" s="2">
        <f t="shared" si="13"/>
        <v>-70756.730775657008</v>
      </c>
      <c r="AJ55">
        <v>30</v>
      </c>
      <c r="AK55">
        <v>466</v>
      </c>
      <c r="AL55" t="b">
        <v>1</v>
      </c>
      <c r="AM55" s="2">
        <f>IF('MANOVA '!M97, 1, 0)</f>
        <v>0</v>
      </c>
    </row>
    <row r="56" spans="1:39" x14ac:dyDescent="0.2">
      <c r="A56">
        <v>10</v>
      </c>
      <c r="B56">
        <v>140</v>
      </c>
      <c r="C56">
        <v>0.3</v>
      </c>
      <c r="D56">
        <v>30</v>
      </c>
      <c r="E56">
        <v>10</v>
      </c>
      <c r="F56">
        <v>3</v>
      </c>
      <c r="G56">
        <v>1</v>
      </c>
      <c r="H56">
        <v>15</v>
      </c>
      <c r="I56">
        <v>45.06</v>
      </c>
      <c r="J56">
        <v>49.35</v>
      </c>
      <c r="K56">
        <v>78106</v>
      </c>
      <c r="L56">
        <v>61290</v>
      </c>
      <c r="M56">
        <v>33362</v>
      </c>
      <c r="N56">
        <v>10608</v>
      </c>
      <c r="O56">
        <f t="shared" si="15"/>
        <v>183366</v>
      </c>
      <c r="P56">
        <v>5601</v>
      </c>
      <c r="Q56">
        <v>40107</v>
      </c>
      <c r="R56">
        <v>6641</v>
      </c>
      <c r="S56">
        <v>36598</v>
      </c>
      <c r="T56">
        <f t="shared" si="16"/>
        <v>88947</v>
      </c>
      <c r="U56">
        <f t="shared" si="17"/>
        <v>272313</v>
      </c>
      <c r="V56">
        <v>21510551.812253699</v>
      </c>
      <c r="W56">
        <v>10167718.7623492</v>
      </c>
      <c r="X56">
        <v>-11342833.0499044</v>
      </c>
      <c r="Y56">
        <v>6410840.6334572798</v>
      </c>
      <c r="Z56">
        <f t="shared" si="18"/>
        <v>3652.9006458446038</v>
      </c>
      <c r="AA56">
        <v>0</v>
      </c>
      <c r="AB56">
        <v>0</v>
      </c>
      <c r="AC56">
        <v>2176</v>
      </c>
      <c r="AD56">
        <v>1755</v>
      </c>
      <c r="AE56">
        <v>0</v>
      </c>
      <c r="AF56">
        <v>1151329.0211229899</v>
      </c>
      <c r="AG56">
        <v>3417388.79999999</v>
      </c>
      <c r="AH56" s="2">
        <f>AF56-AG56</f>
        <v>-2266059.7788770003</v>
      </c>
      <c r="AI56" s="2">
        <f t="shared" si="13"/>
        <v>-75535.325962566683</v>
      </c>
      <c r="AJ56">
        <v>30</v>
      </c>
      <c r="AK56">
        <v>444</v>
      </c>
      <c r="AL56" t="b">
        <v>1</v>
      </c>
      <c r="AM56" s="2">
        <f>IF('MANOVA '!M98, 1, 0)</f>
        <v>0</v>
      </c>
    </row>
    <row r="57" spans="1:39" x14ac:dyDescent="0.2">
      <c r="A57">
        <v>10</v>
      </c>
      <c r="B57">
        <v>140</v>
      </c>
      <c r="C57">
        <v>0.3</v>
      </c>
      <c r="D57">
        <v>30</v>
      </c>
      <c r="E57">
        <v>10</v>
      </c>
      <c r="F57">
        <v>3</v>
      </c>
      <c r="G57">
        <v>1</v>
      </c>
      <c r="H57">
        <v>15</v>
      </c>
      <c r="I57">
        <v>90.12</v>
      </c>
      <c r="J57">
        <v>98.7</v>
      </c>
      <c r="K57">
        <v>78106</v>
      </c>
      <c r="L57">
        <v>61290</v>
      </c>
      <c r="M57">
        <v>33362</v>
      </c>
      <c r="N57">
        <v>10608</v>
      </c>
      <c r="O57">
        <f t="shared" si="15"/>
        <v>183366</v>
      </c>
      <c r="P57">
        <v>5601</v>
      </c>
      <c r="Q57">
        <v>40107</v>
      </c>
      <c r="R57">
        <v>6641</v>
      </c>
      <c r="S57">
        <v>36598</v>
      </c>
      <c r="T57">
        <f t="shared" si="16"/>
        <v>88947</v>
      </c>
      <c r="U57">
        <f t="shared" si="17"/>
        <v>272313</v>
      </c>
      <c r="V57">
        <v>21510551.812253699</v>
      </c>
      <c r="W57">
        <v>16918048.724698499</v>
      </c>
      <c r="X57">
        <v>-4592503.0875552399</v>
      </c>
      <c r="Y57">
        <v>6410840.6334572798</v>
      </c>
      <c r="Z57">
        <f t="shared" si="18"/>
        <v>3652.9006458446038</v>
      </c>
      <c r="AA57">
        <v>0</v>
      </c>
      <c r="AB57">
        <v>0</v>
      </c>
      <c r="AC57">
        <v>2176</v>
      </c>
      <c r="AD57">
        <v>1755</v>
      </c>
      <c r="AE57">
        <v>0</v>
      </c>
      <c r="AF57">
        <v>2302658.0422459799</v>
      </c>
      <c r="AG57">
        <v>3417388.79999999</v>
      </c>
      <c r="AH57" s="2">
        <f t="shared" si="14"/>
        <v>-1114730.7577540101</v>
      </c>
      <c r="AI57" s="2">
        <f t="shared" si="13"/>
        <v>-37157.691925133673</v>
      </c>
      <c r="AJ57">
        <v>30</v>
      </c>
      <c r="AK57">
        <v>444</v>
      </c>
      <c r="AL57" t="b">
        <v>1</v>
      </c>
      <c r="AM57" s="2">
        <f>IF('MANOVA '!M99, 1, 0)</f>
        <v>0</v>
      </c>
    </row>
    <row r="58" spans="1:39" x14ac:dyDescent="0.2">
      <c r="A58">
        <v>10</v>
      </c>
      <c r="B58">
        <v>144</v>
      </c>
      <c r="C58">
        <v>0.3</v>
      </c>
      <c r="D58">
        <v>30</v>
      </c>
      <c r="E58">
        <v>10</v>
      </c>
      <c r="F58">
        <v>1</v>
      </c>
      <c r="G58">
        <v>3</v>
      </c>
      <c r="H58">
        <v>30</v>
      </c>
      <c r="I58">
        <v>45.06</v>
      </c>
      <c r="J58">
        <v>49.35</v>
      </c>
      <c r="K58">
        <v>61182</v>
      </c>
      <c r="L58">
        <v>73079</v>
      </c>
      <c r="M58">
        <v>33139</v>
      </c>
      <c r="N58">
        <v>10697</v>
      </c>
      <c r="O58">
        <f t="shared" si="15"/>
        <v>178097</v>
      </c>
      <c r="P58">
        <v>4882</v>
      </c>
      <c r="Q58">
        <v>36849</v>
      </c>
      <c r="R58">
        <v>5957</v>
      </c>
      <c r="S58">
        <v>37050</v>
      </c>
      <c r="T58">
        <f t="shared" si="16"/>
        <v>84738</v>
      </c>
      <c r="U58">
        <f t="shared" si="17"/>
        <v>262835</v>
      </c>
      <c r="V58">
        <v>28028783.882309798</v>
      </c>
      <c r="W58">
        <v>9730272.3499168605</v>
      </c>
      <c r="X58">
        <v>-18298511.5323929</v>
      </c>
      <c r="Y58">
        <v>13713764.6016274</v>
      </c>
      <c r="Z58">
        <f t="shared" si="18"/>
        <v>3886.0200061284781</v>
      </c>
      <c r="AA58">
        <v>0</v>
      </c>
      <c r="AB58">
        <v>0</v>
      </c>
      <c r="AC58">
        <v>2250</v>
      </c>
      <c r="AD58">
        <v>3529</v>
      </c>
      <c r="AE58">
        <v>0</v>
      </c>
      <c r="AF58">
        <v>1388212.3324811</v>
      </c>
      <c r="AG58">
        <v>3417388.79999999</v>
      </c>
      <c r="AH58" s="2">
        <f>AF58-AG58</f>
        <v>-2029176.46751889</v>
      </c>
      <c r="AI58" s="2">
        <f t="shared" si="13"/>
        <v>-67639.215583963</v>
      </c>
      <c r="AJ58">
        <v>30</v>
      </c>
      <c r="AK58">
        <v>436</v>
      </c>
      <c r="AL58" t="b">
        <v>1</v>
      </c>
      <c r="AM58" s="2">
        <f>IF('MANOVA '!M100, 1, 0)</f>
        <v>0</v>
      </c>
    </row>
    <row r="59" spans="1:39" x14ac:dyDescent="0.2">
      <c r="A59">
        <v>10</v>
      </c>
      <c r="B59">
        <v>144</v>
      </c>
      <c r="C59">
        <v>0.3</v>
      </c>
      <c r="D59">
        <v>30</v>
      </c>
      <c r="E59">
        <v>10</v>
      </c>
      <c r="F59">
        <v>1</v>
      </c>
      <c r="G59">
        <v>3</v>
      </c>
      <c r="H59">
        <v>30</v>
      </c>
      <c r="I59">
        <v>90.12</v>
      </c>
      <c r="J59">
        <v>98.7</v>
      </c>
      <c r="K59">
        <v>61182</v>
      </c>
      <c r="L59">
        <v>73079</v>
      </c>
      <c r="M59">
        <v>33139</v>
      </c>
      <c r="N59">
        <v>10697</v>
      </c>
      <c r="O59">
        <f t="shared" si="15"/>
        <v>178097</v>
      </c>
      <c r="P59">
        <v>4882</v>
      </c>
      <c r="Q59">
        <v>36849</v>
      </c>
      <c r="R59">
        <v>5957</v>
      </c>
      <c r="S59">
        <v>37050</v>
      </c>
      <c r="T59">
        <f t="shared" si="16"/>
        <v>84738</v>
      </c>
      <c r="U59">
        <f t="shared" si="17"/>
        <v>262835</v>
      </c>
      <c r="V59">
        <v>28028783.882309798</v>
      </c>
      <c r="W59">
        <v>16043155.8998337</v>
      </c>
      <c r="X59">
        <v>-11985627.9824761</v>
      </c>
      <c r="Y59">
        <v>13713764.6016274</v>
      </c>
      <c r="Z59">
        <f t="shared" si="18"/>
        <v>3886.0200061284781</v>
      </c>
      <c r="AA59">
        <v>0</v>
      </c>
      <c r="AB59">
        <v>0</v>
      </c>
      <c r="AC59">
        <v>2250</v>
      </c>
      <c r="AD59">
        <v>3529</v>
      </c>
      <c r="AE59">
        <v>0</v>
      </c>
      <c r="AF59">
        <v>2776424.6649622102</v>
      </c>
      <c r="AG59">
        <v>3417388.79999999</v>
      </c>
      <c r="AH59" s="2">
        <f>AF59-AG59</f>
        <v>-640964.13503777981</v>
      </c>
      <c r="AI59" s="2">
        <f t="shared" si="13"/>
        <v>-21365.471167925993</v>
      </c>
      <c r="AJ59">
        <v>30</v>
      </c>
      <c r="AK59">
        <v>436</v>
      </c>
      <c r="AL59" t="b">
        <v>1</v>
      </c>
      <c r="AM59" s="2">
        <f>IF('MANOVA '!M101, 1, 0)</f>
        <v>0</v>
      </c>
    </row>
    <row r="60" spans="1:39" x14ac:dyDescent="0.2">
      <c r="A60">
        <v>10</v>
      </c>
      <c r="B60">
        <v>144</v>
      </c>
      <c r="C60">
        <v>0.3</v>
      </c>
      <c r="D60">
        <v>30</v>
      </c>
      <c r="E60">
        <v>10</v>
      </c>
      <c r="F60">
        <v>1</v>
      </c>
      <c r="G60">
        <v>3</v>
      </c>
      <c r="H60">
        <v>15</v>
      </c>
      <c r="I60">
        <v>45.06</v>
      </c>
      <c r="J60">
        <v>49.35</v>
      </c>
      <c r="K60">
        <v>60719</v>
      </c>
      <c r="L60">
        <v>72271</v>
      </c>
      <c r="M60">
        <v>32976</v>
      </c>
      <c r="N60">
        <v>10658</v>
      </c>
      <c r="O60">
        <f t="shared" si="15"/>
        <v>176624</v>
      </c>
      <c r="P60">
        <v>4883</v>
      </c>
      <c r="Q60">
        <v>36051</v>
      </c>
      <c r="R60">
        <v>5900</v>
      </c>
      <c r="S60">
        <v>37063</v>
      </c>
      <c r="T60">
        <f t="shared" si="16"/>
        <v>83897</v>
      </c>
      <c r="U60">
        <f t="shared" si="17"/>
        <v>260521</v>
      </c>
      <c r="V60">
        <v>21176908.265469</v>
      </c>
      <c r="W60">
        <v>9571834.1896445397</v>
      </c>
      <c r="X60">
        <v>-11605074.0758244</v>
      </c>
      <c r="Y60">
        <v>7199822.1405656803</v>
      </c>
      <c r="Z60">
        <f t="shared" si="18"/>
        <v>4076.9094793690151</v>
      </c>
      <c r="AA60">
        <v>0</v>
      </c>
      <c r="AB60">
        <v>0</v>
      </c>
      <c r="AC60">
        <v>2256</v>
      </c>
      <c r="AD60">
        <v>1766</v>
      </c>
      <c r="AE60">
        <v>0</v>
      </c>
      <c r="AF60">
        <v>1587733.6306173201</v>
      </c>
      <c r="AG60">
        <v>3417388.79999999</v>
      </c>
      <c r="AH60" s="2">
        <f>AF60-AG60</f>
        <v>-1829655.16938267</v>
      </c>
      <c r="AI60" s="2">
        <f t="shared" si="13"/>
        <v>-60988.505646088997</v>
      </c>
      <c r="AJ60">
        <v>30</v>
      </c>
      <c r="AK60">
        <v>456</v>
      </c>
      <c r="AL60" t="b">
        <v>1</v>
      </c>
      <c r="AM60" s="2">
        <f>IF('MANOVA '!M102, 1, 0)</f>
        <v>0</v>
      </c>
    </row>
    <row r="61" spans="1:39" x14ac:dyDescent="0.2">
      <c r="A61">
        <v>10</v>
      </c>
      <c r="B61">
        <v>144</v>
      </c>
      <c r="C61">
        <v>0.3</v>
      </c>
      <c r="D61">
        <v>30</v>
      </c>
      <c r="E61">
        <v>10</v>
      </c>
      <c r="F61">
        <v>1</v>
      </c>
      <c r="G61">
        <v>3</v>
      </c>
      <c r="H61">
        <v>15</v>
      </c>
      <c r="I61">
        <v>90.12</v>
      </c>
      <c r="J61">
        <v>98.7</v>
      </c>
      <c r="K61">
        <v>60719</v>
      </c>
      <c r="L61">
        <v>72271</v>
      </c>
      <c r="M61">
        <v>32976</v>
      </c>
      <c r="N61">
        <v>10658</v>
      </c>
      <c r="O61">
        <f t="shared" si="15"/>
        <v>176624</v>
      </c>
      <c r="P61">
        <v>4883</v>
      </c>
      <c r="Q61">
        <v>36051</v>
      </c>
      <c r="R61">
        <v>5900</v>
      </c>
      <c r="S61">
        <v>37063</v>
      </c>
      <c r="T61">
        <f t="shared" si="16"/>
        <v>83897</v>
      </c>
      <c r="U61">
        <f t="shared" si="17"/>
        <v>260521</v>
      </c>
      <c r="V61">
        <v>21176908.265469</v>
      </c>
      <c r="W61">
        <v>15726279.579289</v>
      </c>
      <c r="X61">
        <v>-5450628.6861798996</v>
      </c>
      <c r="Y61">
        <v>7199822.1405656803</v>
      </c>
      <c r="Z61">
        <f t="shared" si="18"/>
        <v>4076.9094793690151</v>
      </c>
      <c r="AA61">
        <v>0</v>
      </c>
      <c r="AB61">
        <v>0</v>
      </c>
      <c r="AC61">
        <v>2256</v>
      </c>
      <c r="AD61">
        <v>1766</v>
      </c>
      <c r="AE61">
        <v>0</v>
      </c>
      <c r="AF61">
        <v>3175467.2612346401</v>
      </c>
      <c r="AG61">
        <v>3417388.79999999</v>
      </c>
      <c r="AH61" s="2">
        <f t="shared" si="14"/>
        <v>-241921.53876534989</v>
      </c>
      <c r="AI61" s="2">
        <f t="shared" si="13"/>
        <v>-8064.0512921783293</v>
      </c>
      <c r="AJ61">
        <v>30</v>
      </c>
      <c r="AK61">
        <v>456</v>
      </c>
      <c r="AL61" t="b">
        <v>1</v>
      </c>
      <c r="AM61" s="2">
        <f>IF('MANOVA '!M103, 1, 0)</f>
        <v>0</v>
      </c>
    </row>
    <row r="62" spans="1:39" x14ac:dyDescent="0.2">
      <c r="A62">
        <v>10</v>
      </c>
      <c r="B62">
        <v>141</v>
      </c>
      <c r="C62">
        <v>0.3</v>
      </c>
      <c r="D62">
        <v>30</v>
      </c>
      <c r="E62">
        <v>10</v>
      </c>
      <c r="F62">
        <v>1</v>
      </c>
      <c r="G62">
        <v>1</v>
      </c>
      <c r="H62">
        <v>30</v>
      </c>
      <c r="I62">
        <v>45.06</v>
      </c>
      <c r="J62">
        <v>49.35</v>
      </c>
      <c r="K62">
        <v>76490</v>
      </c>
      <c r="L62">
        <v>62100</v>
      </c>
      <c r="M62">
        <v>33509</v>
      </c>
      <c r="N62">
        <v>10667</v>
      </c>
      <c r="O62">
        <f t="shared" si="15"/>
        <v>182766</v>
      </c>
      <c r="P62">
        <v>5374</v>
      </c>
      <c r="Q62">
        <v>39560</v>
      </c>
      <c r="R62">
        <v>6329</v>
      </c>
      <c r="S62">
        <v>36927</v>
      </c>
      <c r="T62">
        <f t="shared" si="16"/>
        <v>88190</v>
      </c>
      <c r="U62">
        <f t="shared" si="17"/>
        <v>270956</v>
      </c>
      <c r="V62">
        <v>27284871.102792699</v>
      </c>
      <c r="W62">
        <v>9824240.1443446502</v>
      </c>
      <c r="X62">
        <v>-17460630.958448</v>
      </c>
      <c r="Y62">
        <v>13532822.267656</v>
      </c>
      <c r="Z62">
        <f t="shared" si="18"/>
        <v>3943.1300313682987</v>
      </c>
      <c r="AA62">
        <v>0</v>
      </c>
      <c r="AB62">
        <v>0</v>
      </c>
      <c r="AC62">
        <v>2220</v>
      </c>
      <c r="AD62">
        <v>3432</v>
      </c>
      <c r="AE62">
        <v>0</v>
      </c>
      <c r="AF62">
        <v>614159.62223024305</v>
      </c>
      <c r="AG62">
        <v>3417388.79999999</v>
      </c>
      <c r="AH62" s="2">
        <f>AF62-AG62</f>
        <v>-2803229.1777697471</v>
      </c>
      <c r="AI62" s="2">
        <f t="shared" si="13"/>
        <v>-93440.972592324906</v>
      </c>
      <c r="AJ62">
        <v>30</v>
      </c>
      <c r="AK62">
        <v>442</v>
      </c>
      <c r="AL62" t="b">
        <v>1</v>
      </c>
      <c r="AM62" s="2">
        <f>IF('MANOVA '!M104, 1, 0)</f>
        <v>0</v>
      </c>
    </row>
    <row r="63" spans="1:39" x14ac:dyDescent="0.2">
      <c r="A63">
        <v>10</v>
      </c>
      <c r="B63">
        <v>141</v>
      </c>
      <c r="C63">
        <v>0.3</v>
      </c>
      <c r="D63">
        <v>30</v>
      </c>
      <c r="E63">
        <v>10</v>
      </c>
      <c r="F63">
        <v>1</v>
      </c>
      <c r="G63">
        <v>1</v>
      </c>
      <c r="H63">
        <v>30</v>
      </c>
      <c r="I63">
        <v>90.12</v>
      </c>
      <c r="J63">
        <v>98.7</v>
      </c>
      <c r="K63">
        <v>76490</v>
      </c>
      <c r="L63">
        <v>62100</v>
      </c>
      <c r="M63">
        <v>33509</v>
      </c>
      <c r="N63">
        <v>10667</v>
      </c>
      <c r="O63">
        <f t="shared" si="15"/>
        <v>182766</v>
      </c>
      <c r="P63">
        <v>5374</v>
      </c>
      <c r="Q63">
        <v>39560</v>
      </c>
      <c r="R63">
        <v>6329</v>
      </c>
      <c r="S63">
        <v>36927</v>
      </c>
      <c r="T63">
        <f t="shared" si="16"/>
        <v>88190</v>
      </c>
      <c r="U63">
        <f t="shared" si="17"/>
        <v>270956</v>
      </c>
      <c r="V63">
        <v>27284871.102792699</v>
      </c>
      <c r="W63">
        <v>16231091.4886893</v>
      </c>
      <c r="X63">
        <v>-11053779.614103399</v>
      </c>
      <c r="Y63">
        <v>13532822.267656</v>
      </c>
      <c r="Z63">
        <f t="shared" si="18"/>
        <v>3943.1300313682987</v>
      </c>
      <c r="AA63">
        <v>0</v>
      </c>
      <c r="AB63">
        <v>0</v>
      </c>
      <c r="AC63">
        <v>2220</v>
      </c>
      <c r="AD63">
        <v>3432</v>
      </c>
      <c r="AE63">
        <v>0</v>
      </c>
      <c r="AF63">
        <v>1228319.2444604801</v>
      </c>
      <c r="AG63">
        <v>3417388.79999999</v>
      </c>
      <c r="AH63" s="2">
        <f>AF63-AG63</f>
        <v>-2189069.5555395102</v>
      </c>
      <c r="AI63" s="2">
        <f t="shared" si="13"/>
        <v>-72968.985184650344</v>
      </c>
      <c r="AJ63">
        <v>30</v>
      </c>
      <c r="AK63">
        <v>442</v>
      </c>
      <c r="AL63" t="b">
        <v>1</v>
      </c>
      <c r="AM63" s="2">
        <f>IF('MANOVA '!M105, 1, 0)</f>
        <v>0</v>
      </c>
    </row>
    <row r="64" spans="1:39" x14ac:dyDescent="0.2">
      <c r="A64">
        <v>10</v>
      </c>
      <c r="B64">
        <v>139</v>
      </c>
      <c r="C64">
        <v>0.3</v>
      </c>
      <c r="D64">
        <v>30</v>
      </c>
      <c r="E64">
        <v>10</v>
      </c>
      <c r="F64">
        <v>1</v>
      </c>
      <c r="G64">
        <v>1</v>
      </c>
      <c r="H64">
        <v>15</v>
      </c>
      <c r="I64">
        <v>45.06</v>
      </c>
      <c r="J64">
        <v>49.35</v>
      </c>
      <c r="K64">
        <v>78479</v>
      </c>
      <c r="L64">
        <v>62272</v>
      </c>
      <c r="M64">
        <v>33407</v>
      </c>
      <c r="N64">
        <v>10626</v>
      </c>
      <c r="O64">
        <f t="shared" si="15"/>
        <v>184784</v>
      </c>
      <c r="P64">
        <v>5709</v>
      </c>
      <c r="Q64">
        <v>40908</v>
      </c>
      <c r="R64">
        <v>7095</v>
      </c>
      <c r="S64">
        <v>36002</v>
      </c>
      <c r="T64">
        <f t="shared" si="16"/>
        <v>89714</v>
      </c>
      <c r="U64">
        <f t="shared" si="17"/>
        <v>274498</v>
      </c>
      <c r="V64">
        <v>20436414.1661832</v>
      </c>
      <c r="W64">
        <v>8743884.5185206607</v>
      </c>
      <c r="X64">
        <v>-11692529.647662601</v>
      </c>
      <c r="Y64">
        <v>6912866.9303601803</v>
      </c>
      <c r="Z64">
        <f t="shared" si="18"/>
        <v>4035.5323586457562</v>
      </c>
      <c r="AA64">
        <v>0</v>
      </c>
      <c r="AB64">
        <v>0</v>
      </c>
      <c r="AC64">
        <v>2183</v>
      </c>
      <c r="AD64">
        <v>1713</v>
      </c>
      <c r="AE64">
        <v>0</v>
      </c>
      <c r="AF64">
        <v>1961435.1597955099</v>
      </c>
      <c r="AG64">
        <v>3417388.79999999</v>
      </c>
      <c r="AH64" s="2">
        <f>AF64-AG64</f>
        <v>-1455953.6402044802</v>
      </c>
      <c r="AI64" s="2">
        <f t="shared" si="13"/>
        <v>-48531.788006816008</v>
      </c>
      <c r="AJ64">
        <v>30</v>
      </c>
      <c r="AK64">
        <v>489</v>
      </c>
      <c r="AL64" t="b">
        <v>1</v>
      </c>
      <c r="AM64" s="2">
        <f>IF('MANOVA '!M106, 1, 0)</f>
        <v>0</v>
      </c>
    </row>
    <row r="65" spans="1:39" x14ac:dyDescent="0.2">
      <c r="A65">
        <v>10</v>
      </c>
      <c r="B65">
        <v>139</v>
      </c>
      <c r="C65">
        <v>0.3</v>
      </c>
      <c r="D65">
        <v>30</v>
      </c>
      <c r="E65">
        <v>10</v>
      </c>
      <c r="F65">
        <v>1</v>
      </c>
      <c r="G65">
        <v>1</v>
      </c>
      <c r="H65">
        <v>15</v>
      </c>
      <c r="I65">
        <v>90.12</v>
      </c>
      <c r="J65">
        <v>98.7</v>
      </c>
      <c r="K65">
        <v>78968</v>
      </c>
      <c r="L65">
        <v>62041</v>
      </c>
      <c r="M65">
        <v>33288</v>
      </c>
      <c r="N65">
        <v>10661</v>
      </c>
      <c r="O65">
        <f t="shared" si="15"/>
        <v>184958</v>
      </c>
      <c r="P65">
        <v>5648</v>
      </c>
      <c r="Q65">
        <v>41198</v>
      </c>
      <c r="R65">
        <v>7123</v>
      </c>
      <c r="S65">
        <v>36183</v>
      </c>
      <c r="T65">
        <f t="shared" si="16"/>
        <v>90152</v>
      </c>
      <c r="U65">
        <f t="shared" si="17"/>
        <v>275110</v>
      </c>
      <c r="V65">
        <v>20498535.415410802</v>
      </c>
      <c r="W65">
        <v>14093595.299446501</v>
      </c>
      <c r="X65">
        <v>-6404940.1159643298</v>
      </c>
      <c r="Y65">
        <v>6927404.42800151</v>
      </c>
      <c r="Z65">
        <f t="shared" si="18"/>
        <v>4044.0189305321132</v>
      </c>
      <c r="AA65">
        <v>0</v>
      </c>
      <c r="AB65">
        <v>0</v>
      </c>
      <c r="AC65">
        <v>2184</v>
      </c>
      <c r="AD65">
        <v>1713</v>
      </c>
      <c r="AE65">
        <v>0</v>
      </c>
      <c r="AF65">
        <v>3942768.94450976</v>
      </c>
      <c r="AG65">
        <v>3417388.79999999</v>
      </c>
      <c r="AH65" s="2">
        <f t="shared" si="14"/>
        <v>525380.14450976998</v>
      </c>
      <c r="AI65" s="2">
        <f t="shared" si="13"/>
        <v>17512.671483659</v>
      </c>
      <c r="AJ65">
        <v>30</v>
      </c>
      <c r="AK65">
        <v>485</v>
      </c>
      <c r="AL65" t="b">
        <v>1</v>
      </c>
      <c r="AM65" s="2">
        <f>IF('MANOVA '!M107, 1, 0)</f>
        <v>0</v>
      </c>
    </row>
    <row r="66" spans="1:39" x14ac:dyDescent="0.2">
      <c r="A66">
        <v>10</v>
      </c>
      <c r="B66">
        <v>214</v>
      </c>
      <c r="C66">
        <v>0.3</v>
      </c>
      <c r="D66">
        <v>50</v>
      </c>
      <c r="E66">
        <v>15</v>
      </c>
      <c r="F66">
        <v>3</v>
      </c>
      <c r="G66">
        <v>3</v>
      </c>
      <c r="H66">
        <v>30</v>
      </c>
      <c r="I66">
        <v>45.06</v>
      </c>
      <c r="J66">
        <v>49.35</v>
      </c>
      <c r="K66">
        <v>82708</v>
      </c>
      <c r="L66">
        <v>104926</v>
      </c>
      <c r="M66">
        <v>26208</v>
      </c>
      <c r="N66">
        <v>13051</v>
      </c>
      <c r="O66">
        <f t="shared" si="15"/>
        <v>226893</v>
      </c>
      <c r="P66">
        <v>5236</v>
      </c>
      <c r="Q66">
        <v>44035</v>
      </c>
      <c r="R66">
        <v>3213</v>
      </c>
      <c r="S66">
        <v>38104</v>
      </c>
      <c r="T66">
        <f t="shared" si="16"/>
        <v>90588</v>
      </c>
      <c r="U66">
        <f t="shared" si="17"/>
        <v>317481</v>
      </c>
      <c r="V66">
        <v>47775704.882429101</v>
      </c>
      <c r="W66">
        <v>30510291.274507198</v>
      </c>
      <c r="X66">
        <v>-17265413.607921802</v>
      </c>
      <c r="Y66">
        <v>21556336.058362</v>
      </c>
      <c r="Z66">
        <f t="shared" si="18"/>
        <v>4741.8249138499777</v>
      </c>
      <c r="AA66">
        <v>0</v>
      </c>
      <c r="AB66">
        <v>0</v>
      </c>
      <c r="AC66">
        <v>3359</v>
      </c>
      <c r="AD66">
        <v>4546</v>
      </c>
      <c r="AE66">
        <v>0</v>
      </c>
      <c r="AF66">
        <v>8520166.1218146905</v>
      </c>
      <c r="AG66">
        <v>8362795.5</v>
      </c>
      <c r="AH66" s="2">
        <f>AF66-AG66</f>
        <v>157370.62181469053</v>
      </c>
      <c r="AI66" s="2">
        <f t="shared" ref="AI66:AI97" si="19">AH66/D66</f>
        <v>3147.4124362938105</v>
      </c>
      <c r="AJ66">
        <v>50</v>
      </c>
      <c r="AK66">
        <v>559</v>
      </c>
      <c r="AL66" t="b">
        <v>1</v>
      </c>
      <c r="AM66" s="2">
        <f>IF('MANOVA '!M108, 1, 0)</f>
        <v>0</v>
      </c>
    </row>
    <row r="67" spans="1:39" x14ac:dyDescent="0.2">
      <c r="A67">
        <v>10</v>
      </c>
      <c r="B67">
        <v>217</v>
      </c>
      <c r="C67">
        <v>0.3</v>
      </c>
      <c r="D67">
        <v>50</v>
      </c>
      <c r="E67">
        <v>15</v>
      </c>
      <c r="F67">
        <v>3</v>
      </c>
      <c r="G67">
        <v>3</v>
      </c>
      <c r="H67">
        <v>30</v>
      </c>
      <c r="I67">
        <v>90.12</v>
      </c>
      <c r="J67">
        <v>98.7</v>
      </c>
      <c r="K67">
        <v>68639</v>
      </c>
      <c r="L67">
        <v>112946</v>
      </c>
      <c r="M67">
        <v>26264</v>
      </c>
      <c r="N67">
        <v>13024</v>
      </c>
      <c r="O67">
        <f t="shared" si="15"/>
        <v>220873</v>
      </c>
      <c r="P67">
        <v>36019</v>
      </c>
      <c r="Q67">
        <v>40786</v>
      </c>
      <c r="R67">
        <v>3338</v>
      </c>
      <c r="S67">
        <v>38193</v>
      </c>
      <c r="T67">
        <f t="shared" si="16"/>
        <v>118336</v>
      </c>
      <c r="U67">
        <f t="shared" si="17"/>
        <v>339209</v>
      </c>
      <c r="V67">
        <v>47130654.813767903</v>
      </c>
      <c r="W67">
        <v>48992849.1107357</v>
      </c>
      <c r="X67">
        <v>1862194.2969678601</v>
      </c>
      <c r="Y67">
        <v>21146013.442159399</v>
      </c>
      <c r="Z67">
        <f t="shared" si="18"/>
        <v>4583.0111491459465</v>
      </c>
      <c r="AA67">
        <v>0</v>
      </c>
      <c r="AB67">
        <v>0</v>
      </c>
      <c r="AC67">
        <v>3406</v>
      </c>
      <c r="AD67">
        <v>4614</v>
      </c>
      <c r="AE67">
        <v>0</v>
      </c>
      <c r="AF67">
        <v>13566917.012350701</v>
      </c>
      <c r="AG67">
        <v>8362795.5</v>
      </c>
      <c r="AH67" s="2">
        <f>AF67-AG67</f>
        <v>5204121.5123507008</v>
      </c>
      <c r="AI67" s="2">
        <f t="shared" si="19"/>
        <v>104082.43024701401</v>
      </c>
      <c r="AJ67">
        <v>50</v>
      </c>
      <c r="AK67">
        <v>591</v>
      </c>
      <c r="AL67" t="b">
        <v>1</v>
      </c>
      <c r="AM67" s="2">
        <f>IF('MANOVA '!M109, 1, 0)</f>
        <v>0</v>
      </c>
    </row>
    <row r="68" spans="1:39" x14ac:dyDescent="0.2">
      <c r="A68">
        <v>10</v>
      </c>
      <c r="B68">
        <v>218</v>
      </c>
      <c r="C68">
        <v>0.3</v>
      </c>
      <c r="D68">
        <v>50</v>
      </c>
      <c r="E68">
        <v>15</v>
      </c>
      <c r="F68">
        <v>3</v>
      </c>
      <c r="G68">
        <v>3</v>
      </c>
      <c r="H68">
        <v>15</v>
      </c>
      <c r="I68">
        <v>45.06</v>
      </c>
      <c r="J68">
        <v>49.35</v>
      </c>
      <c r="K68">
        <v>67439</v>
      </c>
      <c r="L68">
        <v>109826</v>
      </c>
      <c r="M68">
        <v>25376</v>
      </c>
      <c r="N68">
        <v>13068</v>
      </c>
      <c r="O68">
        <f t="shared" si="15"/>
        <v>215709</v>
      </c>
      <c r="P68">
        <v>34663</v>
      </c>
      <c r="Q68">
        <v>39103</v>
      </c>
      <c r="R68">
        <v>3086</v>
      </c>
      <c r="S68">
        <v>37888</v>
      </c>
      <c r="T68">
        <f t="shared" si="16"/>
        <v>114740</v>
      </c>
      <c r="U68">
        <f t="shared" si="17"/>
        <v>330449</v>
      </c>
      <c r="V68">
        <v>38069350.722259797</v>
      </c>
      <c r="W68">
        <v>29052788.611126602</v>
      </c>
      <c r="X68">
        <v>-9016562.1111332309</v>
      </c>
      <c r="Y68">
        <v>11387424.539475</v>
      </c>
      <c r="Z68">
        <f t="shared" si="18"/>
        <v>4802.7939854386332</v>
      </c>
      <c r="AA68">
        <v>0</v>
      </c>
      <c r="AB68">
        <v>0</v>
      </c>
      <c r="AC68">
        <v>3465</v>
      </c>
      <c r="AD68">
        <v>2371</v>
      </c>
      <c r="AE68">
        <v>0</v>
      </c>
      <c r="AF68">
        <v>9433456.0791799594</v>
      </c>
      <c r="AG68">
        <v>8362795.5</v>
      </c>
      <c r="AH68" s="2">
        <f>AF68-AG68</f>
        <v>1070660.5791799594</v>
      </c>
      <c r="AI68" s="2">
        <f t="shared" si="19"/>
        <v>21413.211583599186</v>
      </c>
      <c r="AJ68">
        <v>50</v>
      </c>
      <c r="AK68">
        <v>646</v>
      </c>
      <c r="AL68" t="b">
        <v>1</v>
      </c>
      <c r="AM68" s="2">
        <f>IF('MANOVA '!M110, 1, 0)</f>
        <v>0</v>
      </c>
    </row>
    <row r="69" spans="1:39" x14ac:dyDescent="0.2">
      <c r="A69">
        <v>10</v>
      </c>
      <c r="B69">
        <v>219</v>
      </c>
      <c r="C69">
        <v>0.3</v>
      </c>
      <c r="D69">
        <v>50</v>
      </c>
      <c r="E69">
        <v>15</v>
      </c>
      <c r="F69">
        <v>3</v>
      </c>
      <c r="G69">
        <v>3</v>
      </c>
      <c r="H69">
        <v>15</v>
      </c>
      <c r="I69">
        <v>90.12</v>
      </c>
      <c r="J69">
        <v>98.7</v>
      </c>
      <c r="K69">
        <v>66785</v>
      </c>
      <c r="L69">
        <v>108647</v>
      </c>
      <c r="M69">
        <v>25266</v>
      </c>
      <c r="N69">
        <v>13042</v>
      </c>
      <c r="O69">
        <f t="shared" si="15"/>
        <v>213740</v>
      </c>
      <c r="P69">
        <v>29318</v>
      </c>
      <c r="Q69">
        <v>43188</v>
      </c>
      <c r="R69">
        <v>3068</v>
      </c>
      <c r="S69">
        <v>38278</v>
      </c>
      <c r="T69">
        <f t="shared" si="16"/>
        <v>113852</v>
      </c>
      <c r="U69">
        <f t="shared" si="17"/>
        <v>327592</v>
      </c>
      <c r="V69">
        <v>36839042.575356297</v>
      </c>
      <c r="W69">
        <v>44361847.406659499</v>
      </c>
      <c r="X69">
        <v>7522804.8313032398</v>
      </c>
      <c r="Y69">
        <v>10567362.488749299</v>
      </c>
      <c r="Z69">
        <f t="shared" si="18"/>
        <v>4455.0432077357918</v>
      </c>
      <c r="AA69">
        <v>0</v>
      </c>
      <c r="AB69">
        <v>0</v>
      </c>
      <c r="AC69">
        <v>3474</v>
      </c>
      <c r="AD69">
        <v>2372</v>
      </c>
      <c r="AE69">
        <v>0</v>
      </c>
      <c r="AF69">
        <v>13751101.738272799</v>
      </c>
      <c r="AG69">
        <v>8362795.5</v>
      </c>
      <c r="AH69" s="2">
        <f t="shared" si="14"/>
        <v>5388306.2382727992</v>
      </c>
      <c r="AI69" s="2">
        <f t="shared" si="19"/>
        <v>107766.12476545598</v>
      </c>
      <c r="AJ69">
        <v>50</v>
      </c>
      <c r="AK69">
        <v>714</v>
      </c>
      <c r="AL69" t="b">
        <v>1</v>
      </c>
      <c r="AM69" s="2">
        <f>IF('MANOVA '!M111, 1, 0)</f>
        <v>0</v>
      </c>
    </row>
    <row r="70" spans="1:39" x14ac:dyDescent="0.2">
      <c r="A70">
        <v>10</v>
      </c>
      <c r="B70">
        <v>227</v>
      </c>
      <c r="C70">
        <v>0.3</v>
      </c>
      <c r="D70">
        <v>50</v>
      </c>
      <c r="E70">
        <v>15</v>
      </c>
      <c r="F70">
        <v>3</v>
      </c>
      <c r="G70">
        <v>1</v>
      </c>
      <c r="H70">
        <v>30</v>
      </c>
      <c r="I70">
        <v>45.06</v>
      </c>
      <c r="J70">
        <v>49.35</v>
      </c>
      <c r="K70">
        <v>77744</v>
      </c>
      <c r="L70">
        <v>112457</v>
      </c>
      <c r="M70">
        <v>25082</v>
      </c>
      <c r="N70">
        <v>13155</v>
      </c>
      <c r="O70">
        <f t="shared" si="15"/>
        <v>228438</v>
      </c>
      <c r="P70">
        <v>23122</v>
      </c>
      <c r="Q70">
        <v>35720</v>
      </c>
      <c r="R70">
        <v>3778</v>
      </c>
      <c r="S70">
        <v>38006</v>
      </c>
      <c r="T70">
        <f t="shared" si="16"/>
        <v>100626</v>
      </c>
      <c r="U70">
        <f t="shared" si="17"/>
        <v>329064</v>
      </c>
      <c r="V70">
        <v>50594843.725469001</v>
      </c>
      <c r="W70">
        <v>30998854.485293001</v>
      </c>
      <c r="X70">
        <v>-19595989.240176</v>
      </c>
      <c r="Y70">
        <v>23496909.369991001</v>
      </c>
      <c r="Z70">
        <f t="shared" si="18"/>
        <v>4862.770978888866</v>
      </c>
      <c r="AA70">
        <v>0</v>
      </c>
      <c r="AB70">
        <v>0</v>
      </c>
      <c r="AC70">
        <v>3618</v>
      </c>
      <c r="AD70">
        <v>4832</v>
      </c>
      <c r="AE70">
        <v>0</v>
      </c>
      <c r="AF70">
        <v>9072905.5900607109</v>
      </c>
      <c r="AG70">
        <v>8362795.5</v>
      </c>
      <c r="AH70" s="2">
        <f>AF70-AG70</f>
        <v>710110.09006071091</v>
      </c>
      <c r="AI70" s="2">
        <f t="shared" si="19"/>
        <v>14202.201801214218</v>
      </c>
      <c r="AJ70">
        <v>50</v>
      </c>
      <c r="AK70">
        <v>543</v>
      </c>
      <c r="AL70" t="b">
        <v>1</v>
      </c>
      <c r="AM70" s="2">
        <f>IF('MANOVA '!M112, 1, 0)</f>
        <v>0</v>
      </c>
    </row>
    <row r="71" spans="1:39" x14ac:dyDescent="0.2">
      <c r="A71">
        <v>10</v>
      </c>
      <c r="B71">
        <v>221</v>
      </c>
      <c r="C71">
        <v>0.3</v>
      </c>
      <c r="D71">
        <v>50</v>
      </c>
      <c r="E71">
        <v>15</v>
      </c>
      <c r="F71">
        <v>3</v>
      </c>
      <c r="G71">
        <v>1</v>
      </c>
      <c r="H71">
        <v>30</v>
      </c>
      <c r="I71">
        <v>90.12</v>
      </c>
      <c r="J71">
        <v>98.7</v>
      </c>
      <c r="K71">
        <v>75199</v>
      </c>
      <c r="L71">
        <v>108158</v>
      </c>
      <c r="M71">
        <v>25600</v>
      </c>
      <c r="N71">
        <v>13110</v>
      </c>
      <c r="O71">
        <f t="shared" si="15"/>
        <v>222067</v>
      </c>
      <c r="P71">
        <v>27653</v>
      </c>
      <c r="Q71">
        <v>41906</v>
      </c>
      <c r="R71">
        <v>3192</v>
      </c>
      <c r="S71">
        <v>38231</v>
      </c>
      <c r="T71">
        <f t="shared" si="16"/>
        <v>110982</v>
      </c>
      <c r="U71">
        <f t="shared" si="17"/>
        <v>333049</v>
      </c>
      <c r="V71">
        <v>48494183.115060002</v>
      </c>
      <c r="W71">
        <v>47538622.279030003</v>
      </c>
      <c r="X71">
        <v>-955560.83602998406</v>
      </c>
      <c r="Y71">
        <v>22438439.547102898</v>
      </c>
      <c r="Z71">
        <f t="shared" si="18"/>
        <v>4794.5383647655763</v>
      </c>
      <c r="AA71">
        <v>0</v>
      </c>
      <c r="AB71">
        <v>0</v>
      </c>
      <c r="AC71">
        <v>3496</v>
      </c>
      <c r="AD71">
        <v>4680</v>
      </c>
      <c r="AE71">
        <v>0</v>
      </c>
      <c r="AF71">
        <v>13116528.9711025</v>
      </c>
      <c r="AG71">
        <v>8362795.5</v>
      </c>
      <c r="AH71" s="2">
        <f>AF71-AG71</f>
        <v>4753733.4711025003</v>
      </c>
      <c r="AI71" s="2">
        <f t="shared" si="19"/>
        <v>95074.669422050007</v>
      </c>
      <c r="AJ71">
        <v>50</v>
      </c>
      <c r="AK71">
        <v>626</v>
      </c>
      <c r="AL71" t="b">
        <v>1</v>
      </c>
      <c r="AM71" s="2">
        <f>IF('MANOVA '!M113, 1, 0)</f>
        <v>0</v>
      </c>
    </row>
    <row r="72" spans="1:39" x14ac:dyDescent="0.2">
      <c r="A72">
        <v>10</v>
      </c>
      <c r="B72">
        <v>218</v>
      </c>
      <c r="C72">
        <v>0.3</v>
      </c>
      <c r="D72">
        <v>50</v>
      </c>
      <c r="E72">
        <v>15</v>
      </c>
      <c r="F72">
        <v>3</v>
      </c>
      <c r="G72">
        <v>1</v>
      </c>
      <c r="H72">
        <v>15</v>
      </c>
      <c r="I72">
        <v>45.06</v>
      </c>
      <c r="J72">
        <v>49.35</v>
      </c>
      <c r="K72">
        <v>67236</v>
      </c>
      <c r="L72">
        <v>109326</v>
      </c>
      <c r="M72">
        <v>25227</v>
      </c>
      <c r="N72">
        <v>13075</v>
      </c>
      <c r="O72">
        <f t="shared" si="15"/>
        <v>214864</v>
      </c>
      <c r="P72">
        <v>34992</v>
      </c>
      <c r="Q72">
        <v>39313</v>
      </c>
      <c r="R72">
        <v>3152</v>
      </c>
      <c r="S72">
        <v>38376</v>
      </c>
      <c r="T72">
        <f t="shared" si="16"/>
        <v>115833</v>
      </c>
      <c r="U72">
        <f t="shared" si="17"/>
        <v>330697</v>
      </c>
      <c r="V72">
        <v>36933249.662123702</v>
      </c>
      <c r="W72">
        <v>25350914.749671999</v>
      </c>
      <c r="X72">
        <v>-11582334.912451699</v>
      </c>
      <c r="Y72">
        <v>10796713.8331175</v>
      </c>
      <c r="Z72">
        <f t="shared" si="18"/>
        <v>4567.1378312679781</v>
      </c>
      <c r="AA72">
        <v>0</v>
      </c>
      <c r="AB72">
        <v>0</v>
      </c>
      <c r="AC72">
        <v>3489</v>
      </c>
      <c r="AD72">
        <v>2364</v>
      </c>
      <c r="AE72">
        <v>0</v>
      </c>
      <c r="AF72">
        <v>7493332.7819590196</v>
      </c>
      <c r="AG72">
        <v>8362795.5</v>
      </c>
      <c r="AH72" s="2">
        <f>AF72-AG72</f>
        <v>-869462.7180409804</v>
      </c>
      <c r="AI72" s="2">
        <f t="shared" si="19"/>
        <v>-17389.254360819607</v>
      </c>
      <c r="AJ72">
        <v>50</v>
      </c>
      <c r="AK72">
        <v>775</v>
      </c>
      <c r="AL72" t="b">
        <v>1</v>
      </c>
      <c r="AM72" s="2">
        <f>IF('MANOVA '!M114, 1, 0)</f>
        <v>0</v>
      </c>
    </row>
    <row r="73" spans="1:39" x14ac:dyDescent="0.2">
      <c r="A73">
        <v>10</v>
      </c>
      <c r="B73">
        <v>216</v>
      </c>
      <c r="C73">
        <v>0.3</v>
      </c>
      <c r="D73">
        <v>50</v>
      </c>
      <c r="E73">
        <v>15</v>
      </c>
      <c r="F73">
        <v>3</v>
      </c>
      <c r="G73">
        <v>1</v>
      </c>
      <c r="H73">
        <v>15</v>
      </c>
      <c r="I73">
        <v>90.12</v>
      </c>
      <c r="J73">
        <v>98.7</v>
      </c>
      <c r="K73">
        <v>71096</v>
      </c>
      <c r="L73">
        <v>108959</v>
      </c>
      <c r="M73">
        <v>25510</v>
      </c>
      <c r="N73">
        <v>13018</v>
      </c>
      <c r="O73">
        <f t="shared" ref="O73:O81" si="20">SUM(K73:N73)</f>
        <v>218583</v>
      </c>
      <c r="P73">
        <v>4890</v>
      </c>
      <c r="Q73">
        <v>41668</v>
      </c>
      <c r="R73">
        <v>3202</v>
      </c>
      <c r="S73">
        <v>38212</v>
      </c>
      <c r="T73">
        <f t="shared" ref="T73:T81" si="21">SUM(P73:S73)</f>
        <v>87972</v>
      </c>
      <c r="U73">
        <f t="shared" ref="U73:U81" si="22">O73+T73</f>
        <v>306555</v>
      </c>
      <c r="V73">
        <v>36900485.233308397</v>
      </c>
      <c r="W73">
        <v>44207682.968072601</v>
      </c>
      <c r="X73">
        <v>7307197.7347641299</v>
      </c>
      <c r="Y73">
        <v>10308108.669684101</v>
      </c>
      <c r="Z73">
        <f t="shared" ref="Z73:Z81" si="23">Y73/AD73</f>
        <v>4403.2928960632644</v>
      </c>
      <c r="AA73">
        <v>0</v>
      </c>
      <c r="AB73">
        <v>0</v>
      </c>
      <c r="AC73">
        <v>3450</v>
      </c>
      <c r="AD73">
        <v>2341</v>
      </c>
      <c r="AE73">
        <v>0</v>
      </c>
      <c r="AF73">
        <v>18720599.074388001</v>
      </c>
      <c r="AG73">
        <v>8362795.5</v>
      </c>
      <c r="AH73" s="2">
        <f t="shared" ref="AH73:AH81" si="24">AF73-AG73</f>
        <v>10357803.574388001</v>
      </c>
      <c r="AI73" s="2">
        <f t="shared" si="19"/>
        <v>207156.07148776003</v>
      </c>
      <c r="AJ73">
        <v>50</v>
      </c>
      <c r="AK73">
        <v>767</v>
      </c>
      <c r="AL73" t="b">
        <v>1</v>
      </c>
      <c r="AM73" s="2">
        <f>IF('MANOVA '!M115, 1, 0)</f>
        <v>0</v>
      </c>
    </row>
    <row r="74" spans="1:39" x14ac:dyDescent="0.2">
      <c r="A74">
        <v>10</v>
      </c>
      <c r="B74">
        <v>214</v>
      </c>
      <c r="C74">
        <v>0.3</v>
      </c>
      <c r="D74">
        <v>50</v>
      </c>
      <c r="E74">
        <v>15</v>
      </c>
      <c r="F74">
        <v>1</v>
      </c>
      <c r="G74">
        <v>3</v>
      </c>
      <c r="H74">
        <v>30</v>
      </c>
      <c r="I74">
        <v>45.06</v>
      </c>
      <c r="J74">
        <v>49.35</v>
      </c>
      <c r="K74">
        <v>82139</v>
      </c>
      <c r="L74">
        <v>104046</v>
      </c>
      <c r="M74">
        <v>26262</v>
      </c>
      <c r="N74">
        <v>12967</v>
      </c>
      <c r="O74">
        <f>SUM(K74:N74)</f>
        <v>225414</v>
      </c>
      <c r="P74">
        <v>5306</v>
      </c>
      <c r="Q74">
        <v>44592</v>
      </c>
      <c r="R74">
        <v>3303</v>
      </c>
      <c r="S74">
        <v>38553</v>
      </c>
      <c r="T74">
        <f>SUM(P74:S74)</f>
        <v>91754</v>
      </c>
      <c r="U74">
        <f>O74+T74</f>
        <v>317168</v>
      </c>
      <c r="V74">
        <v>46617398.065269999</v>
      </c>
      <c r="W74">
        <v>28954153.6117681</v>
      </c>
      <c r="X74">
        <v>-17663244.453501798</v>
      </c>
      <c r="Y74">
        <v>23053149.774319399</v>
      </c>
      <c r="Z74">
        <f>Y74/AD74</f>
        <v>5145.7923603391519</v>
      </c>
      <c r="AA74">
        <v>0</v>
      </c>
      <c r="AB74">
        <v>0</v>
      </c>
      <c r="AC74">
        <v>3348</v>
      </c>
      <c r="AD74">
        <v>4480</v>
      </c>
      <c r="AE74">
        <v>0</v>
      </c>
      <c r="AF74">
        <v>8500052.5515435096</v>
      </c>
      <c r="AG74">
        <v>8362795.5</v>
      </c>
      <c r="AH74" s="2">
        <f>AF74-AG74</f>
        <v>137257.05154350959</v>
      </c>
      <c r="AI74" s="2">
        <f t="shared" si="19"/>
        <v>2745.1410308701916</v>
      </c>
      <c r="AJ74">
        <v>50</v>
      </c>
      <c r="AK74">
        <v>612</v>
      </c>
      <c r="AL74" t="b">
        <v>1</v>
      </c>
      <c r="AM74" s="2">
        <f>IF('MANOVA '!M116, 1, 0)</f>
        <v>0</v>
      </c>
    </row>
    <row r="75" spans="1:39" x14ac:dyDescent="0.2">
      <c r="A75">
        <v>10</v>
      </c>
      <c r="B75">
        <v>219</v>
      </c>
      <c r="C75">
        <v>0.3</v>
      </c>
      <c r="D75">
        <v>50</v>
      </c>
      <c r="E75">
        <v>15</v>
      </c>
      <c r="F75">
        <v>1</v>
      </c>
      <c r="G75">
        <v>3</v>
      </c>
      <c r="H75">
        <v>30</v>
      </c>
      <c r="I75">
        <v>90.12</v>
      </c>
      <c r="J75">
        <v>98.7</v>
      </c>
      <c r="K75">
        <v>66747</v>
      </c>
      <c r="L75">
        <v>109939</v>
      </c>
      <c r="M75">
        <v>25970</v>
      </c>
      <c r="N75">
        <v>13016</v>
      </c>
      <c r="O75">
        <f>SUM(K75:N75)</f>
        <v>215672</v>
      </c>
      <c r="P75">
        <v>29392</v>
      </c>
      <c r="Q75">
        <v>43637</v>
      </c>
      <c r="R75">
        <v>3369</v>
      </c>
      <c r="S75">
        <v>38338</v>
      </c>
      <c r="T75">
        <f>SUM(P75:S75)</f>
        <v>114736</v>
      </c>
      <c r="U75">
        <f>O75+T75</f>
        <v>330408</v>
      </c>
      <c r="V75">
        <v>48310465.655351698</v>
      </c>
      <c r="W75">
        <v>50856527.421485297</v>
      </c>
      <c r="X75">
        <v>2546061.7661335599</v>
      </c>
      <c r="Y75">
        <v>22756492.816640399</v>
      </c>
      <c r="Z75">
        <f>Y75/AD75</f>
        <v>4945.9884409129318</v>
      </c>
      <c r="AA75">
        <v>0</v>
      </c>
      <c r="AB75">
        <v>0</v>
      </c>
      <c r="AC75">
        <v>3444</v>
      </c>
      <c r="AD75">
        <v>4601</v>
      </c>
      <c r="AE75">
        <v>0</v>
      </c>
      <c r="AF75">
        <v>17041571.6926127</v>
      </c>
      <c r="AG75">
        <v>8362795.5</v>
      </c>
      <c r="AH75" s="2">
        <f>AF75-AG75</f>
        <v>8678776.1926127002</v>
      </c>
      <c r="AI75" s="2">
        <f t="shared" si="19"/>
        <v>173575.523852254</v>
      </c>
      <c r="AJ75">
        <v>50</v>
      </c>
      <c r="AK75">
        <v>551</v>
      </c>
      <c r="AL75" t="b">
        <v>1</v>
      </c>
      <c r="AM75" s="2">
        <f>IF('MANOVA '!M117, 1, 0)</f>
        <v>0</v>
      </c>
    </row>
    <row r="76" spans="1:39" x14ac:dyDescent="0.2">
      <c r="A76">
        <v>10</v>
      </c>
      <c r="B76">
        <v>218</v>
      </c>
      <c r="C76">
        <v>0.3</v>
      </c>
      <c r="D76">
        <v>50</v>
      </c>
      <c r="E76">
        <v>15</v>
      </c>
      <c r="F76">
        <v>1</v>
      </c>
      <c r="G76">
        <v>3</v>
      </c>
      <c r="H76">
        <v>15</v>
      </c>
      <c r="I76">
        <v>45.06</v>
      </c>
      <c r="J76">
        <v>49.35</v>
      </c>
      <c r="K76">
        <v>67249</v>
      </c>
      <c r="L76">
        <v>109430</v>
      </c>
      <c r="M76">
        <v>25140</v>
      </c>
      <c r="N76">
        <v>13089</v>
      </c>
      <c r="O76">
        <f>SUM(K76:N76)</f>
        <v>214908</v>
      </c>
      <c r="P76">
        <v>34884</v>
      </c>
      <c r="Q76">
        <v>39664</v>
      </c>
      <c r="R76">
        <v>3159</v>
      </c>
      <c r="S76">
        <v>38197</v>
      </c>
      <c r="T76">
        <f>SUM(P76:S76)</f>
        <v>115904</v>
      </c>
      <c r="U76">
        <f>O76+T76</f>
        <v>330812</v>
      </c>
      <c r="V76">
        <v>38513652.439644597</v>
      </c>
      <c r="W76">
        <v>28766987.704115398</v>
      </c>
      <c r="X76">
        <v>-9746664.7355291806</v>
      </c>
      <c r="Y76">
        <v>12683548.668361301</v>
      </c>
      <c r="Z76">
        <f>Y76/AD76</f>
        <v>5493.0916710096581</v>
      </c>
      <c r="AA76">
        <v>0</v>
      </c>
      <c r="AB76">
        <v>0</v>
      </c>
      <c r="AC76">
        <v>3480</v>
      </c>
      <c r="AD76">
        <v>2309</v>
      </c>
      <c r="AE76">
        <v>0</v>
      </c>
      <c r="AF76">
        <v>10809443.9746118</v>
      </c>
      <c r="AG76">
        <v>8362795.5</v>
      </c>
      <c r="AH76" s="2">
        <f>AF76-AG76</f>
        <v>2446648.4746118002</v>
      </c>
      <c r="AI76" s="2">
        <f t="shared" si="19"/>
        <v>48932.969492236007</v>
      </c>
      <c r="AJ76">
        <v>50</v>
      </c>
      <c r="AK76">
        <v>673</v>
      </c>
      <c r="AL76" t="b">
        <v>1</v>
      </c>
      <c r="AM76" s="2">
        <f>IF('MANOVA '!M118, 1, 0)</f>
        <v>0</v>
      </c>
    </row>
    <row r="77" spans="1:39" x14ac:dyDescent="0.2">
      <c r="A77">
        <v>10</v>
      </c>
      <c r="B77">
        <v>219</v>
      </c>
      <c r="C77">
        <v>0.3</v>
      </c>
      <c r="D77">
        <v>50</v>
      </c>
      <c r="E77">
        <v>15</v>
      </c>
      <c r="F77">
        <v>1</v>
      </c>
      <c r="G77">
        <v>3</v>
      </c>
      <c r="H77">
        <v>15</v>
      </c>
      <c r="I77">
        <v>90.12</v>
      </c>
      <c r="J77">
        <v>98.7</v>
      </c>
      <c r="K77">
        <v>66437</v>
      </c>
      <c r="L77">
        <v>108611</v>
      </c>
      <c r="M77">
        <v>25505</v>
      </c>
      <c r="N77">
        <v>12985</v>
      </c>
      <c r="O77">
        <f t="shared" si="20"/>
        <v>213538</v>
      </c>
      <c r="P77">
        <v>29269</v>
      </c>
      <c r="Q77">
        <v>42779</v>
      </c>
      <c r="R77">
        <v>3077</v>
      </c>
      <c r="S77">
        <v>38040</v>
      </c>
      <c r="T77">
        <f t="shared" si="21"/>
        <v>113165</v>
      </c>
      <c r="U77">
        <f t="shared" si="22"/>
        <v>326703</v>
      </c>
      <c r="V77">
        <v>35279297.496927001</v>
      </c>
      <c r="W77">
        <v>38865913.0166732</v>
      </c>
      <c r="X77">
        <v>3586615.5197462798</v>
      </c>
      <c r="Y77">
        <v>10543696.5370482</v>
      </c>
      <c r="Z77">
        <f t="shared" si="23"/>
        <v>4618.3515273973717</v>
      </c>
      <c r="AA77">
        <v>0</v>
      </c>
      <c r="AB77">
        <v>0</v>
      </c>
      <c r="AC77">
        <v>3483</v>
      </c>
      <c r="AD77">
        <v>2283</v>
      </c>
      <c r="AE77">
        <v>0</v>
      </c>
      <c r="AF77">
        <v>12108055.6128029</v>
      </c>
      <c r="AG77">
        <v>8362795.5</v>
      </c>
      <c r="AH77" s="2">
        <f t="shared" si="24"/>
        <v>3745260.1128029004</v>
      </c>
      <c r="AI77" s="2">
        <f t="shared" si="19"/>
        <v>74905.202256058008</v>
      </c>
      <c r="AJ77">
        <v>50</v>
      </c>
      <c r="AK77">
        <v>803</v>
      </c>
      <c r="AL77" t="b">
        <v>1</v>
      </c>
      <c r="AM77" s="2">
        <f>IF('MANOVA '!M119, 1, 0)</f>
        <v>0</v>
      </c>
    </row>
    <row r="78" spans="1:39" x14ac:dyDescent="0.2">
      <c r="A78">
        <v>10</v>
      </c>
      <c r="B78">
        <v>219</v>
      </c>
      <c r="C78">
        <v>0.3</v>
      </c>
      <c r="D78">
        <v>50</v>
      </c>
      <c r="E78">
        <v>15</v>
      </c>
      <c r="F78">
        <v>1</v>
      </c>
      <c r="G78">
        <v>1</v>
      </c>
      <c r="H78">
        <v>30</v>
      </c>
      <c r="I78">
        <v>45.06</v>
      </c>
      <c r="J78">
        <v>49.35</v>
      </c>
      <c r="K78">
        <v>66922</v>
      </c>
      <c r="L78">
        <v>110482</v>
      </c>
      <c r="M78">
        <v>26058</v>
      </c>
      <c r="N78">
        <v>13008</v>
      </c>
      <c r="O78">
        <f>SUM(K78:N78)</f>
        <v>216470</v>
      </c>
      <c r="P78">
        <v>29417</v>
      </c>
      <c r="Q78">
        <v>43485</v>
      </c>
      <c r="R78">
        <v>3424</v>
      </c>
      <c r="S78">
        <v>38193</v>
      </c>
      <c r="T78">
        <f>SUM(P78:S78)</f>
        <v>114519</v>
      </c>
      <c r="U78">
        <f>O78+T78</f>
        <v>330989</v>
      </c>
      <c r="V78">
        <v>49047165.8767545</v>
      </c>
      <c r="W78">
        <v>29934983.074675601</v>
      </c>
      <c r="X78">
        <v>-19112182.802078899</v>
      </c>
      <c r="Y78">
        <v>22046951.575263299</v>
      </c>
      <c r="Z78">
        <f>Y78/AD78</f>
        <v>4805.3512587757841</v>
      </c>
      <c r="AA78">
        <v>0</v>
      </c>
      <c r="AB78">
        <v>0</v>
      </c>
      <c r="AC78">
        <v>3460</v>
      </c>
      <c r="AD78">
        <v>4588</v>
      </c>
      <c r="AE78">
        <v>0</v>
      </c>
      <c r="AF78">
        <v>7974301.9509452302</v>
      </c>
      <c r="AG78">
        <v>8362795.5</v>
      </c>
      <c r="AH78" s="2">
        <f>AF78-AG78</f>
        <v>-388493.5490547698</v>
      </c>
      <c r="AI78" s="2">
        <f t="shared" si="19"/>
        <v>-7769.870981095396</v>
      </c>
      <c r="AJ78">
        <v>50</v>
      </c>
      <c r="AK78">
        <v>538</v>
      </c>
      <c r="AL78" t="b">
        <v>1</v>
      </c>
      <c r="AM78" s="2">
        <f>IF('MANOVA '!M120, 1, 0)</f>
        <v>0</v>
      </c>
    </row>
    <row r="79" spans="1:39" x14ac:dyDescent="0.2">
      <c r="A79">
        <v>10</v>
      </c>
      <c r="B79">
        <v>220</v>
      </c>
      <c r="C79">
        <v>0.3</v>
      </c>
      <c r="D79">
        <v>50</v>
      </c>
      <c r="E79">
        <v>15</v>
      </c>
      <c r="F79">
        <v>1</v>
      </c>
      <c r="G79">
        <v>1</v>
      </c>
      <c r="H79">
        <v>30</v>
      </c>
      <c r="I79">
        <v>90.12</v>
      </c>
      <c r="J79">
        <v>98.7</v>
      </c>
      <c r="K79">
        <v>66327</v>
      </c>
      <c r="L79">
        <v>108557</v>
      </c>
      <c r="M79">
        <v>25635</v>
      </c>
      <c r="N79">
        <v>13109</v>
      </c>
      <c r="O79">
        <f>SUM(K79:N79)</f>
        <v>213628</v>
      </c>
      <c r="P79">
        <v>28612</v>
      </c>
      <c r="Q79">
        <v>42462</v>
      </c>
      <c r="R79">
        <v>3342</v>
      </c>
      <c r="S79">
        <v>38334</v>
      </c>
      <c r="T79">
        <f>SUM(P79:S79)</f>
        <v>112750</v>
      </c>
      <c r="U79">
        <f>O79+T79</f>
        <v>326378</v>
      </c>
      <c r="V79">
        <v>46288324.877170898</v>
      </c>
      <c r="W79">
        <v>41141167.046559602</v>
      </c>
      <c r="X79">
        <v>-5147157.8306112802</v>
      </c>
      <c r="Y79">
        <v>21809785.377733201</v>
      </c>
      <c r="Z79">
        <f>Y79/AD79</f>
        <v>4751.587228264314</v>
      </c>
      <c r="AA79">
        <v>0</v>
      </c>
      <c r="AB79">
        <v>0</v>
      </c>
      <c r="AC79">
        <v>3492</v>
      </c>
      <c r="AD79">
        <v>4590</v>
      </c>
      <c r="AE79">
        <v>0</v>
      </c>
      <c r="AF79">
        <v>11429637.7481404</v>
      </c>
      <c r="AG79">
        <v>8362795.5</v>
      </c>
      <c r="AH79" s="2">
        <f>AF79-AG79</f>
        <v>3066842.2481404003</v>
      </c>
      <c r="AI79" s="2">
        <f t="shared" si="19"/>
        <v>61336.844962808005</v>
      </c>
      <c r="AJ79">
        <v>50</v>
      </c>
      <c r="AK79">
        <v>759</v>
      </c>
      <c r="AL79" t="b">
        <v>1</v>
      </c>
      <c r="AM79" s="2">
        <f>IF('MANOVA '!M121, 1, 0)</f>
        <v>0</v>
      </c>
    </row>
    <row r="80" spans="1:39" x14ac:dyDescent="0.2">
      <c r="A80">
        <v>10</v>
      </c>
      <c r="B80">
        <v>218</v>
      </c>
      <c r="C80">
        <v>0.3</v>
      </c>
      <c r="D80">
        <v>50</v>
      </c>
      <c r="E80">
        <v>15</v>
      </c>
      <c r="F80">
        <v>1</v>
      </c>
      <c r="G80">
        <v>1</v>
      </c>
      <c r="H80">
        <v>15</v>
      </c>
      <c r="I80">
        <v>45.06</v>
      </c>
      <c r="J80">
        <v>49.35</v>
      </c>
      <c r="K80">
        <v>67405</v>
      </c>
      <c r="L80">
        <v>109488</v>
      </c>
      <c r="M80">
        <v>25164</v>
      </c>
      <c r="N80">
        <v>13027</v>
      </c>
      <c r="O80">
        <f>SUM(K80:N80)</f>
        <v>215084</v>
      </c>
      <c r="P80">
        <v>34934</v>
      </c>
      <c r="Q80">
        <v>39532</v>
      </c>
      <c r="R80">
        <v>3167</v>
      </c>
      <c r="S80">
        <v>38235</v>
      </c>
      <c r="T80">
        <f>SUM(P80:S80)</f>
        <v>115868</v>
      </c>
      <c r="U80">
        <f>O80+T80</f>
        <v>330952</v>
      </c>
      <c r="V80">
        <v>37994174.486437201</v>
      </c>
      <c r="W80">
        <v>27841873.535813399</v>
      </c>
      <c r="X80">
        <v>-10152300.9506237</v>
      </c>
      <c r="Y80">
        <v>11933027.5023244</v>
      </c>
      <c r="Z80">
        <f>Y80/AD80</f>
        <v>5183.7652051800178</v>
      </c>
      <c r="AA80">
        <v>0</v>
      </c>
      <c r="AB80">
        <v>0</v>
      </c>
      <c r="AC80">
        <v>3463</v>
      </c>
      <c r="AD80">
        <v>2302</v>
      </c>
      <c r="AE80">
        <v>0</v>
      </c>
      <c r="AF80">
        <v>8284284.7662291499</v>
      </c>
      <c r="AG80">
        <v>8362795.5</v>
      </c>
      <c r="AH80" s="2">
        <f>AF80-AG80</f>
        <v>-78510.733770850115</v>
      </c>
      <c r="AI80" s="2">
        <f t="shared" si="19"/>
        <v>-1570.2146754170024</v>
      </c>
      <c r="AJ80">
        <v>50</v>
      </c>
      <c r="AK80">
        <v>649</v>
      </c>
      <c r="AL80" t="b">
        <v>1</v>
      </c>
      <c r="AM80" s="2">
        <f>IF('MANOVA '!M122, 1, 0)</f>
        <v>0</v>
      </c>
    </row>
    <row r="81" spans="1:39" x14ac:dyDescent="0.2">
      <c r="A81" s="1">
        <v>10</v>
      </c>
      <c r="B81" s="1">
        <v>215</v>
      </c>
      <c r="C81" s="1">
        <v>0.3</v>
      </c>
      <c r="D81" s="1">
        <v>50</v>
      </c>
      <c r="E81" s="1">
        <v>15</v>
      </c>
      <c r="F81" s="1">
        <v>1</v>
      </c>
      <c r="G81" s="1">
        <v>1</v>
      </c>
      <c r="H81" s="1">
        <v>15</v>
      </c>
      <c r="I81" s="1">
        <v>90.12</v>
      </c>
      <c r="J81" s="1">
        <v>98.7</v>
      </c>
      <c r="K81" s="1">
        <v>76775</v>
      </c>
      <c r="L81" s="1">
        <v>105230</v>
      </c>
      <c r="M81" s="1">
        <v>25406</v>
      </c>
      <c r="N81" s="1">
        <v>13029</v>
      </c>
      <c r="O81">
        <f t="shared" si="20"/>
        <v>220440</v>
      </c>
      <c r="P81" s="1">
        <v>5253</v>
      </c>
      <c r="Q81" s="1">
        <v>42591</v>
      </c>
      <c r="R81" s="1">
        <v>3114</v>
      </c>
      <c r="S81" s="1">
        <v>38386</v>
      </c>
      <c r="T81">
        <f t="shared" si="21"/>
        <v>89344</v>
      </c>
      <c r="U81">
        <f t="shared" si="22"/>
        <v>309784</v>
      </c>
      <c r="V81" s="1">
        <v>36394592.4257375</v>
      </c>
      <c r="W81" s="1">
        <v>47119967.583480701</v>
      </c>
      <c r="X81" s="1">
        <v>10725375.157743201</v>
      </c>
      <c r="Y81" s="1">
        <v>10848259.829345001</v>
      </c>
      <c r="Z81">
        <f t="shared" si="23"/>
        <v>4795.8708352541998</v>
      </c>
      <c r="AA81" s="1">
        <v>0</v>
      </c>
      <c r="AB81">
        <v>0</v>
      </c>
      <c r="AC81" s="1">
        <v>3412</v>
      </c>
      <c r="AD81" s="1">
        <v>2262</v>
      </c>
      <c r="AE81" s="1">
        <v>0</v>
      </c>
      <c r="AF81" s="1">
        <v>20660188.789602999</v>
      </c>
      <c r="AG81" s="1">
        <v>8362795.5</v>
      </c>
      <c r="AH81" s="3">
        <f t="shared" si="24"/>
        <v>12297393.289602999</v>
      </c>
      <c r="AI81" s="2">
        <f t="shared" si="19"/>
        <v>245947.86579205998</v>
      </c>
      <c r="AJ81" s="1">
        <v>50</v>
      </c>
      <c r="AK81" s="1">
        <v>712</v>
      </c>
      <c r="AL81" s="1" t="b">
        <v>1</v>
      </c>
      <c r="AM81" s="2">
        <f>IF('MANOVA '!M123, 1, 0)</f>
        <v>0</v>
      </c>
    </row>
    <row r="82" spans="1:39" x14ac:dyDescent="0.2">
      <c r="A82">
        <v>10</v>
      </c>
      <c r="B82">
        <v>157</v>
      </c>
      <c r="C82">
        <v>0.3</v>
      </c>
      <c r="D82">
        <v>50</v>
      </c>
      <c r="E82">
        <v>10</v>
      </c>
      <c r="F82">
        <v>3</v>
      </c>
      <c r="G82">
        <v>3</v>
      </c>
      <c r="H82">
        <v>30</v>
      </c>
      <c r="I82">
        <v>45.06</v>
      </c>
      <c r="J82">
        <v>49.35</v>
      </c>
      <c r="K82">
        <v>61467</v>
      </c>
      <c r="L82">
        <v>81817</v>
      </c>
      <c r="M82">
        <v>32519</v>
      </c>
      <c r="N82">
        <v>11206</v>
      </c>
      <c r="O82">
        <f t="shared" ref="O82:O113" si="25">SUM(K82:N82)</f>
        <v>187009</v>
      </c>
      <c r="P82">
        <v>27122</v>
      </c>
      <c r="Q82">
        <v>30669</v>
      </c>
      <c r="R82">
        <v>4826</v>
      </c>
      <c r="S82">
        <v>37319</v>
      </c>
      <c r="T82">
        <f t="shared" ref="T82:T113" si="26">SUM(P82:S82)</f>
        <v>99936</v>
      </c>
      <c r="U82">
        <f t="shared" ref="U82:U113" si="27">O82+T82</f>
        <v>286945</v>
      </c>
      <c r="V82">
        <v>36874673.547138304</v>
      </c>
      <c r="W82">
        <v>27247929.175788</v>
      </c>
      <c r="X82">
        <v>-9626744.3713502791</v>
      </c>
      <c r="Y82">
        <v>16882120.846648902</v>
      </c>
      <c r="Z82">
        <f t="shared" ref="Z82:Z113" si="28">Y82/AD82</f>
        <v>5123.5571613501979</v>
      </c>
      <c r="AA82">
        <v>0</v>
      </c>
      <c r="AB82">
        <v>0</v>
      </c>
      <c r="AC82">
        <v>2444</v>
      </c>
      <c r="AD82">
        <v>3295</v>
      </c>
      <c r="AE82">
        <v>0</v>
      </c>
      <c r="AF82">
        <v>9363298.0882001705</v>
      </c>
      <c r="AG82">
        <v>5695647.9999999898</v>
      </c>
      <c r="AH82" s="2">
        <f t="shared" ref="AH82:AH129" si="29">AF82-AG82</f>
        <v>3667650.0882001808</v>
      </c>
      <c r="AI82" s="2">
        <f t="shared" si="19"/>
        <v>73353.001764003609</v>
      </c>
      <c r="AJ82">
        <v>50</v>
      </c>
      <c r="AK82">
        <v>341</v>
      </c>
      <c r="AL82" t="b">
        <v>1</v>
      </c>
      <c r="AM82" s="2">
        <f>IF('MANOVA '!M124, 1, 0)</f>
        <v>0</v>
      </c>
    </row>
    <row r="83" spans="1:39" x14ac:dyDescent="0.2">
      <c r="A83">
        <v>10</v>
      </c>
      <c r="B83">
        <v>154</v>
      </c>
      <c r="C83">
        <v>0.3</v>
      </c>
      <c r="D83">
        <v>50</v>
      </c>
      <c r="E83">
        <v>10</v>
      </c>
      <c r="F83">
        <v>3</v>
      </c>
      <c r="G83">
        <v>3</v>
      </c>
      <c r="H83">
        <v>30</v>
      </c>
      <c r="I83">
        <v>90.12</v>
      </c>
      <c r="J83">
        <v>98.7</v>
      </c>
      <c r="K83">
        <v>74848</v>
      </c>
      <c r="L83">
        <v>73523</v>
      </c>
      <c r="M83">
        <v>33046</v>
      </c>
      <c r="N83">
        <v>11130</v>
      </c>
      <c r="O83">
        <f t="shared" si="25"/>
        <v>192547</v>
      </c>
      <c r="P83">
        <v>21860</v>
      </c>
      <c r="Q83">
        <v>32718</v>
      </c>
      <c r="R83">
        <v>4851</v>
      </c>
      <c r="S83">
        <v>37559</v>
      </c>
      <c r="T83">
        <f t="shared" si="26"/>
        <v>96988</v>
      </c>
      <c r="U83">
        <f t="shared" si="27"/>
        <v>289535</v>
      </c>
      <c r="V83">
        <v>34834250.653181903</v>
      </c>
      <c r="W83">
        <v>42037733.208424799</v>
      </c>
      <c r="X83">
        <v>7203482.55524287</v>
      </c>
      <c r="Y83">
        <v>16030662.788935</v>
      </c>
      <c r="Z83">
        <f t="shared" si="28"/>
        <v>4967.6674276216299</v>
      </c>
      <c r="AA83">
        <v>0</v>
      </c>
      <c r="AB83">
        <v>0</v>
      </c>
      <c r="AC83">
        <v>2392</v>
      </c>
      <c r="AD83">
        <v>3227</v>
      </c>
      <c r="AE83">
        <v>0</v>
      </c>
      <c r="AF83">
        <v>11582147.9118545</v>
      </c>
      <c r="AG83">
        <v>5695647.9999999898</v>
      </c>
      <c r="AH83" s="2">
        <f t="shared" si="29"/>
        <v>5886499.9118545102</v>
      </c>
      <c r="AI83" s="2">
        <f t="shared" si="19"/>
        <v>117729.9982370902</v>
      </c>
      <c r="AJ83">
        <v>50</v>
      </c>
      <c r="AK83">
        <v>428</v>
      </c>
      <c r="AL83" t="b">
        <v>1</v>
      </c>
      <c r="AM83" s="2">
        <f>IF('MANOVA '!M125, 1, 0)</f>
        <v>0</v>
      </c>
    </row>
    <row r="84" spans="1:39" x14ac:dyDescent="0.2">
      <c r="A84">
        <v>10</v>
      </c>
      <c r="B84">
        <v>157</v>
      </c>
      <c r="C84">
        <v>0.3</v>
      </c>
      <c r="D84">
        <v>50</v>
      </c>
      <c r="E84">
        <v>10</v>
      </c>
      <c r="F84">
        <v>3</v>
      </c>
      <c r="G84">
        <v>3</v>
      </c>
      <c r="H84">
        <v>15</v>
      </c>
      <c r="I84">
        <v>45.06</v>
      </c>
      <c r="J84">
        <v>49.35</v>
      </c>
      <c r="K84">
        <v>60887</v>
      </c>
      <c r="L84">
        <v>81180</v>
      </c>
      <c r="M84">
        <v>31820</v>
      </c>
      <c r="N84">
        <v>11142</v>
      </c>
      <c r="O84">
        <f t="shared" si="25"/>
        <v>185029</v>
      </c>
      <c r="P84">
        <v>27213</v>
      </c>
      <c r="Q84">
        <v>30126</v>
      </c>
      <c r="R84">
        <v>4763</v>
      </c>
      <c r="S84">
        <v>37594</v>
      </c>
      <c r="T84">
        <f t="shared" si="26"/>
        <v>99696</v>
      </c>
      <c r="U84">
        <f t="shared" si="27"/>
        <v>284725</v>
      </c>
      <c r="V84">
        <v>28195499.529406499</v>
      </c>
      <c r="W84">
        <v>24021836.3558289</v>
      </c>
      <c r="X84">
        <v>-4173663.1735776002</v>
      </c>
      <c r="Y84">
        <v>8944218.2669921592</v>
      </c>
      <c r="Z84">
        <f t="shared" si="28"/>
        <v>5355.8193215521915</v>
      </c>
      <c r="AA84">
        <v>0</v>
      </c>
      <c r="AB84">
        <v>0</v>
      </c>
      <c r="AC84">
        <v>2447</v>
      </c>
      <c r="AD84">
        <v>1670</v>
      </c>
      <c r="AE84">
        <v>0</v>
      </c>
      <c r="AF84">
        <v>7584277.7872077497</v>
      </c>
      <c r="AG84">
        <v>5695647.9999999898</v>
      </c>
      <c r="AH84" s="2">
        <f t="shared" si="29"/>
        <v>1888629.7872077599</v>
      </c>
      <c r="AI84" s="2">
        <f t="shared" si="19"/>
        <v>37772.595744155202</v>
      </c>
      <c r="AJ84">
        <v>50</v>
      </c>
      <c r="AK84">
        <v>462</v>
      </c>
      <c r="AL84" t="b">
        <v>1</v>
      </c>
      <c r="AM84" s="2">
        <f>IF('MANOVA '!M126, 1, 0)</f>
        <v>0</v>
      </c>
    </row>
    <row r="85" spans="1:39" x14ac:dyDescent="0.2">
      <c r="A85">
        <v>10</v>
      </c>
      <c r="B85">
        <v>159</v>
      </c>
      <c r="C85">
        <v>0.3</v>
      </c>
      <c r="D85">
        <v>50</v>
      </c>
      <c r="E85">
        <v>10</v>
      </c>
      <c r="F85">
        <v>3</v>
      </c>
      <c r="G85">
        <v>3</v>
      </c>
      <c r="H85">
        <v>15</v>
      </c>
      <c r="I85">
        <v>90.12</v>
      </c>
      <c r="J85">
        <v>98.7</v>
      </c>
      <c r="K85">
        <v>59751</v>
      </c>
      <c r="L85">
        <v>79643</v>
      </c>
      <c r="M85">
        <v>31694</v>
      </c>
      <c r="N85">
        <v>11199</v>
      </c>
      <c r="O85">
        <f t="shared" si="25"/>
        <v>182287</v>
      </c>
      <c r="P85">
        <v>6512</v>
      </c>
      <c r="Q85">
        <v>48087</v>
      </c>
      <c r="R85">
        <v>4665</v>
      </c>
      <c r="S85">
        <v>37465</v>
      </c>
      <c r="T85">
        <f t="shared" si="26"/>
        <v>96729</v>
      </c>
      <c r="U85">
        <f t="shared" si="27"/>
        <v>279016</v>
      </c>
      <c r="V85">
        <v>27038447.6851063</v>
      </c>
      <c r="W85">
        <v>37286114.115466699</v>
      </c>
      <c r="X85">
        <v>10247666.430360399</v>
      </c>
      <c r="Y85">
        <v>8322387.4417445296</v>
      </c>
      <c r="Z85">
        <f t="shared" si="28"/>
        <v>4944.9717419753597</v>
      </c>
      <c r="AA85">
        <v>0</v>
      </c>
      <c r="AB85">
        <v>0</v>
      </c>
      <c r="AC85">
        <v>2474</v>
      </c>
      <c r="AD85">
        <v>1683</v>
      </c>
      <c r="AE85">
        <v>0</v>
      </c>
      <c r="AF85">
        <v>9729417.1285724193</v>
      </c>
      <c r="AG85">
        <v>5695647.9999999898</v>
      </c>
      <c r="AH85" s="2">
        <f t="shared" si="29"/>
        <v>4033769.1285724295</v>
      </c>
      <c r="AI85" s="2">
        <f t="shared" si="19"/>
        <v>80675.382571448587</v>
      </c>
      <c r="AJ85">
        <v>50</v>
      </c>
      <c r="AK85">
        <v>525</v>
      </c>
      <c r="AL85" t="b">
        <v>1</v>
      </c>
      <c r="AM85" s="2">
        <f>IF('MANOVA '!M127, 1, 0)</f>
        <v>0</v>
      </c>
    </row>
    <row r="86" spans="1:39" x14ac:dyDescent="0.2">
      <c r="A86">
        <v>10</v>
      </c>
      <c r="B86">
        <v>157</v>
      </c>
      <c r="C86">
        <v>0.3</v>
      </c>
      <c r="D86">
        <v>50</v>
      </c>
      <c r="E86">
        <v>10</v>
      </c>
      <c r="F86">
        <v>3</v>
      </c>
      <c r="G86">
        <v>1</v>
      </c>
      <c r="H86">
        <v>30</v>
      </c>
      <c r="I86">
        <v>45.06</v>
      </c>
      <c r="J86">
        <v>49.35</v>
      </c>
      <c r="K86">
        <v>61509</v>
      </c>
      <c r="L86">
        <v>81941</v>
      </c>
      <c r="M86">
        <v>32396</v>
      </c>
      <c r="N86">
        <v>11196</v>
      </c>
      <c r="O86">
        <f t="shared" si="25"/>
        <v>187042</v>
      </c>
      <c r="P86">
        <v>27127</v>
      </c>
      <c r="Q86">
        <v>30469</v>
      </c>
      <c r="R86">
        <v>4686</v>
      </c>
      <c r="S86">
        <v>37347</v>
      </c>
      <c r="T86">
        <f t="shared" si="26"/>
        <v>99629</v>
      </c>
      <c r="U86">
        <f t="shared" si="27"/>
        <v>286671</v>
      </c>
      <c r="V86">
        <v>35277106.459473103</v>
      </c>
      <c r="W86">
        <v>22595009.8559049</v>
      </c>
      <c r="X86">
        <v>-12682096.6035682</v>
      </c>
      <c r="Y86">
        <v>16154341.3130347</v>
      </c>
      <c r="Z86">
        <f t="shared" si="28"/>
        <v>4901.1957867216934</v>
      </c>
      <c r="AA86">
        <v>0</v>
      </c>
      <c r="AB86">
        <v>0</v>
      </c>
      <c r="AC86">
        <v>2456</v>
      </c>
      <c r="AD86">
        <v>3296</v>
      </c>
      <c r="AE86">
        <v>0</v>
      </c>
      <c r="AF86">
        <v>5085076.7400743496</v>
      </c>
      <c r="AG86">
        <v>5695647.9999999898</v>
      </c>
      <c r="AH86" s="2">
        <f t="shared" si="29"/>
        <v>-610571.25992564019</v>
      </c>
      <c r="AI86" s="2">
        <f t="shared" si="19"/>
        <v>-12211.425198512803</v>
      </c>
      <c r="AJ86">
        <v>50</v>
      </c>
      <c r="AK86">
        <v>469</v>
      </c>
      <c r="AL86" t="b">
        <v>1</v>
      </c>
      <c r="AM86" s="2">
        <f>IF('MANOVA '!M128, 1, 0)</f>
        <v>0</v>
      </c>
    </row>
    <row r="87" spans="1:39" x14ac:dyDescent="0.2">
      <c r="A87">
        <v>10</v>
      </c>
      <c r="B87">
        <v>154</v>
      </c>
      <c r="C87">
        <v>0.3</v>
      </c>
      <c r="D87">
        <v>50</v>
      </c>
      <c r="E87">
        <v>10</v>
      </c>
      <c r="F87">
        <v>3</v>
      </c>
      <c r="G87">
        <v>1</v>
      </c>
      <c r="H87">
        <v>30</v>
      </c>
      <c r="I87">
        <v>90.12</v>
      </c>
      <c r="J87">
        <v>98.7</v>
      </c>
      <c r="K87">
        <v>74506</v>
      </c>
      <c r="L87">
        <v>73280</v>
      </c>
      <c r="M87">
        <v>32758</v>
      </c>
      <c r="N87">
        <v>11114</v>
      </c>
      <c r="O87">
        <f t="shared" si="25"/>
        <v>191658</v>
      </c>
      <c r="P87">
        <v>21975</v>
      </c>
      <c r="Q87">
        <v>33227</v>
      </c>
      <c r="R87">
        <v>4843</v>
      </c>
      <c r="S87">
        <v>37655</v>
      </c>
      <c r="T87">
        <f t="shared" si="26"/>
        <v>97700</v>
      </c>
      <c r="U87">
        <f t="shared" si="27"/>
        <v>289358</v>
      </c>
      <c r="V87">
        <v>34628629.441862598</v>
      </c>
      <c r="W87">
        <v>39656611.441306897</v>
      </c>
      <c r="X87">
        <v>5027981.9994443199</v>
      </c>
      <c r="Y87">
        <v>16189588.846561801</v>
      </c>
      <c r="Z87">
        <f t="shared" si="28"/>
        <v>4993.7041476131399</v>
      </c>
      <c r="AA87">
        <v>0</v>
      </c>
      <c r="AB87">
        <v>0</v>
      </c>
      <c r="AC87">
        <v>2385</v>
      </c>
      <c r="AD87">
        <v>3242</v>
      </c>
      <c r="AE87">
        <v>0</v>
      </c>
      <c r="AF87">
        <v>10447655.591003999</v>
      </c>
      <c r="AG87">
        <v>5695647.9999999898</v>
      </c>
      <c r="AH87" s="2">
        <f t="shared" si="29"/>
        <v>4752007.5910040094</v>
      </c>
      <c r="AI87" s="2">
        <f t="shared" si="19"/>
        <v>95040.15182008018</v>
      </c>
      <c r="AJ87">
        <v>50</v>
      </c>
      <c r="AK87">
        <v>475</v>
      </c>
      <c r="AL87" t="b">
        <v>1</v>
      </c>
      <c r="AM87" s="2">
        <f>IF('MANOVA '!M129, 1, 0)</f>
        <v>0</v>
      </c>
    </row>
    <row r="88" spans="1:39" x14ac:dyDescent="0.2">
      <c r="A88">
        <v>10</v>
      </c>
      <c r="B88">
        <v>156</v>
      </c>
      <c r="C88">
        <v>0.3</v>
      </c>
      <c r="D88">
        <v>50</v>
      </c>
      <c r="E88">
        <v>10</v>
      </c>
      <c r="F88">
        <v>3</v>
      </c>
      <c r="G88">
        <v>1</v>
      </c>
      <c r="H88">
        <v>15</v>
      </c>
      <c r="I88">
        <v>45.06</v>
      </c>
      <c r="J88">
        <v>49.35</v>
      </c>
      <c r="K88">
        <v>64036</v>
      </c>
      <c r="L88">
        <v>80267</v>
      </c>
      <c r="M88">
        <v>32122</v>
      </c>
      <c r="N88">
        <v>11165</v>
      </c>
      <c r="O88">
        <f t="shared" si="25"/>
        <v>187590</v>
      </c>
      <c r="P88">
        <v>20560</v>
      </c>
      <c r="Q88">
        <v>30745</v>
      </c>
      <c r="R88">
        <v>4818</v>
      </c>
      <c r="S88">
        <v>37308</v>
      </c>
      <c r="T88">
        <f t="shared" si="26"/>
        <v>93431</v>
      </c>
      <c r="U88">
        <f t="shared" si="27"/>
        <v>281021</v>
      </c>
      <c r="V88">
        <v>28761564.7879043</v>
      </c>
      <c r="W88">
        <v>24366930.7338094</v>
      </c>
      <c r="X88">
        <v>-4394634.0540949199</v>
      </c>
      <c r="Y88">
        <v>8468722.8258324806</v>
      </c>
      <c r="Z88">
        <f t="shared" si="28"/>
        <v>5025.9482645890093</v>
      </c>
      <c r="AA88">
        <v>0</v>
      </c>
      <c r="AB88">
        <v>0</v>
      </c>
      <c r="AC88">
        <v>2421</v>
      </c>
      <c r="AD88">
        <v>1685</v>
      </c>
      <c r="AE88">
        <v>0</v>
      </c>
      <c r="AF88">
        <v>9171997.0604542494</v>
      </c>
      <c r="AG88">
        <v>5695647.9999999898</v>
      </c>
      <c r="AH88" s="2">
        <f t="shared" si="29"/>
        <v>3476349.0604542596</v>
      </c>
      <c r="AI88" s="2">
        <f t="shared" si="19"/>
        <v>69526.981209085192</v>
      </c>
      <c r="AJ88">
        <v>50</v>
      </c>
      <c r="AK88">
        <v>476</v>
      </c>
      <c r="AL88" t="b">
        <v>1</v>
      </c>
      <c r="AM88" s="2">
        <f>IF('MANOVA '!M130, 1, 0)</f>
        <v>0</v>
      </c>
    </row>
    <row r="89" spans="1:39" x14ac:dyDescent="0.2">
      <c r="A89">
        <v>10</v>
      </c>
      <c r="B89">
        <v>155</v>
      </c>
      <c r="C89">
        <v>0.3</v>
      </c>
      <c r="D89">
        <v>50</v>
      </c>
      <c r="E89">
        <v>10</v>
      </c>
      <c r="F89">
        <v>3</v>
      </c>
      <c r="G89">
        <v>1</v>
      </c>
      <c r="H89">
        <v>15</v>
      </c>
      <c r="I89">
        <v>90.12</v>
      </c>
      <c r="J89">
        <v>98.7</v>
      </c>
      <c r="K89">
        <v>69409</v>
      </c>
      <c r="L89">
        <v>76043</v>
      </c>
      <c r="M89">
        <v>32026</v>
      </c>
      <c r="N89">
        <v>11162</v>
      </c>
      <c r="O89">
        <f t="shared" si="25"/>
        <v>188640</v>
      </c>
      <c r="P89">
        <v>21439</v>
      </c>
      <c r="Q89">
        <v>31894</v>
      </c>
      <c r="R89">
        <v>4706</v>
      </c>
      <c r="S89">
        <v>37563</v>
      </c>
      <c r="T89">
        <f t="shared" si="26"/>
        <v>95602</v>
      </c>
      <c r="U89">
        <f t="shared" si="27"/>
        <v>284242</v>
      </c>
      <c r="V89">
        <v>26704203.357740398</v>
      </c>
      <c r="W89">
        <v>35311211.812885404</v>
      </c>
      <c r="X89">
        <v>8607008.4551449604</v>
      </c>
      <c r="Y89">
        <v>7937821.9849208901</v>
      </c>
      <c r="Z89">
        <f t="shared" si="28"/>
        <v>4767.4606516041385</v>
      </c>
      <c r="AA89">
        <v>0</v>
      </c>
      <c r="AB89">
        <v>0</v>
      </c>
      <c r="AC89">
        <v>2400</v>
      </c>
      <c r="AD89">
        <v>1665</v>
      </c>
      <c r="AE89">
        <v>0</v>
      </c>
      <c r="AF89">
        <v>11244624.286627701</v>
      </c>
      <c r="AG89">
        <v>5695647.9999999898</v>
      </c>
      <c r="AH89" s="2">
        <f t="shared" si="29"/>
        <v>5548976.2866277108</v>
      </c>
      <c r="AI89" s="2">
        <f t="shared" si="19"/>
        <v>110979.52573255422</v>
      </c>
      <c r="AJ89">
        <v>50</v>
      </c>
      <c r="AK89">
        <v>572</v>
      </c>
      <c r="AL89" t="b">
        <v>1</v>
      </c>
      <c r="AM89" s="2">
        <f>IF('MANOVA '!M131, 1, 0)</f>
        <v>0</v>
      </c>
    </row>
    <row r="90" spans="1:39" x14ac:dyDescent="0.2">
      <c r="A90">
        <v>10</v>
      </c>
      <c r="B90">
        <v>161</v>
      </c>
      <c r="C90">
        <v>0.3</v>
      </c>
      <c r="D90">
        <v>50</v>
      </c>
      <c r="E90">
        <v>10</v>
      </c>
      <c r="F90">
        <v>1</v>
      </c>
      <c r="G90">
        <v>3</v>
      </c>
      <c r="H90">
        <v>30</v>
      </c>
      <c r="I90">
        <v>45.06</v>
      </c>
      <c r="J90">
        <v>49.35</v>
      </c>
      <c r="K90">
        <v>66272</v>
      </c>
      <c r="L90">
        <v>79201</v>
      </c>
      <c r="M90">
        <v>31708</v>
      </c>
      <c r="N90">
        <v>11221</v>
      </c>
      <c r="O90">
        <f t="shared" si="25"/>
        <v>188402</v>
      </c>
      <c r="P90">
        <v>6182</v>
      </c>
      <c r="Q90">
        <v>45883</v>
      </c>
      <c r="R90">
        <v>4642</v>
      </c>
      <c r="S90">
        <v>37240</v>
      </c>
      <c r="T90">
        <f t="shared" si="26"/>
        <v>93947</v>
      </c>
      <c r="U90">
        <f t="shared" si="27"/>
        <v>282349</v>
      </c>
      <c r="V90">
        <v>36882735.263782904</v>
      </c>
      <c r="W90">
        <v>24609721.812995601</v>
      </c>
      <c r="X90">
        <v>-12273013.4507873</v>
      </c>
      <c r="Y90">
        <v>18704919.659489602</v>
      </c>
      <c r="Z90">
        <f t="shared" si="28"/>
        <v>5578.5623798060251</v>
      </c>
      <c r="AA90">
        <v>0</v>
      </c>
      <c r="AB90">
        <v>0</v>
      </c>
      <c r="AC90">
        <v>2514</v>
      </c>
      <c r="AD90">
        <v>3353</v>
      </c>
      <c r="AE90">
        <v>0</v>
      </c>
      <c r="AF90">
        <v>8767882.9305619001</v>
      </c>
      <c r="AG90">
        <v>5695647.9999999898</v>
      </c>
      <c r="AH90" s="2">
        <f t="shared" si="29"/>
        <v>3072234.9305619104</v>
      </c>
      <c r="AI90" s="2">
        <f t="shared" si="19"/>
        <v>61444.698611238207</v>
      </c>
      <c r="AJ90">
        <v>50</v>
      </c>
      <c r="AK90">
        <v>431</v>
      </c>
      <c r="AL90" t="b">
        <v>1</v>
      </c>
      <c r="AM90" s="2">
        <f>IF('MANOVA '!M132, 1, 0)</f>
        <v>0</v>
      </c>
    </row>
    <row r="91" spans="1:39" x14ac:dyDescent="0.2">
      <c r="A91">
        <v>10</v>
      </c>
      <c r="B91">
        <v>162</v>
      </c>
      <c r="C91">
        <v>0.3</v>
      </c>
      <c r="D91">
        <v>50</v>
      </c>
      <c r="E91">
        <v>10</v>
      </c>
      <c r="F91">
        <v>1</v>
      </c>
      <c r="G91">
        <v>3</v>
      </c>
      <c r="H91">
        <v>30</v>
      </c>
      <c r="I91">
        <v>90.12</v>
      </c>
      <c r="J91">
        <v>98.7</v>
      </c>
      <c r="K91">
        <v>75411</v>
      </c>
      <c r="L91">
        <v>78498</v>
      </c>
      <c r="M91">
        <v>31639</v>
      </c>
      <c r="N91">
        <v>11360</v>
      </c>
      <c r="O91">
        <f t="shared" si="25"/>
        <v>196908</v>
      </c>
      <c r="P91">
        <v>6039</v>
      </c>
      <c r="Q91">
        <v>44687</v>
      </c>
      <c r="R91">
        <v>4658</v>
      </c>
      <c r="S91">
        <v>37185</v>
      </c>
      <c r="T91">
        <f t="shared" si="26"/>
        <v>92569</v>
      </c>
      <c r="U91">
        <f t="shared" si="27"/>
        <v>289477</v>
      </c>
      <c r="V91">
        <v>37866397.677130699</v>
      </c>
      <c r="W91">
        <v>46310350.039002702</v>
      </c>
      <c r="X91">
        <v>8443952.3618720006</v>
      </c>
      <c r="Y91">
        <v>18703971.790360101</v>
      </c>
      <c r="Z91">
        <f t="shared" si="28"/>
        <v>5543.5601038411678</v>
      </c>
      <c r="AA91">
        <v>0</v>
      </c>
      <c r="AB91">
        <v>0</v>
      </c>
      <c r="AC91">
        <v>2523</v>
      </c>
      <c r="AD91">
        <v>3374</v>
      </c>
      <c r="AE91">
        <v>0</v>
      </c>
      <c r="AF91">
        <v>19302296.267535601</v>
      </c>
      <c r="AG91">
        <v>5695647.9999999898</v>
      </c>
      <c r="AH91" s="2">
        <f t="shared" si="29"/>
        <v>13606648.267535612</v>
      </c>
      <c r="AI91" s="2">
        <f t="shared" si="19"/>
        <v>272132.96535071224</v>
      </c>
      <c r="AJ91">
        <v>50</v>
      </c>
      <c r="AK91">
        <v>381</v>
      </c>
      <c r="AL91" t="b">
        <v>1</v>
      </c>
      <c r="AM91" s="2">
        <f>IF('MANOVA '!M133, 1, 0)</f>
        <v>0</v>
      </c>
    </row>
    <row r="92" spans="1:39" x14ac:dyDescent="0.2">
      <c r="A92">
        <v>10</v>
      </c>
      <c r="B92">
        <v>156</v>
      </c>
      <c r="C92">
        <v>0.3</v>
      </c>
      <c r="D92">
        <v>50</v>
      </c>
      <c r="E92">
        <v>10</v>
      </c>
      <c r="F92">
        <v>1</v>
      </c>
      <c r="G92">
        <v>3</v>
      </c>
      <c r="H92">
        <v>15</v>
      </c>
      <c r="I92">
        <v>45.06</v>
      </c>
      <c r="J92">
        <v>49.35</v>
      </c>
      <c r="K92">
        <v>63932</v>
      </c>
      <c r="L92">
        <v>80076</v>
      </c>
      <c r="M92">
        <v>31719</v>
      </c>
      <c r="N92">
        <v>11159</v>
      </c>
      <c r="O92">
        <f t="shared" si="25"/>
        <v>186886</v>
      </c>
      <c r="P92">
        <v>20774</v>
      </c>
      <c r="Q92">
        <v>31266</v>
      </c>
      <c r="R92">
        <v>4774</v>
      </c>
      <c r="S92">
        <v>37401</v>
      </c>
      <c r="T92">
        <f t="shared" si="26"/>
        <v>94215</v>
      </c>
      <c r="U92">
        <f t="shared" si="27"/>
        <v>281101</v>
      </c>
      <c r="V92">
        <v>28263681.197136998</v>
      </c>
      <c r="W92">
        <v>22951451.2170908</v>
      </c>
      <c r="X92">
        <v>-5312229.9800461996</v>
      </c>
      <c r="Y92">
        <v>9300063.0754520502</v>
      </c>
      <c r="Z92">
        <f t="shared" si="28"/>
        <v>5705.5601689889882</v>
      </c>
      <c r="AA92">
        <v>0</v>
      </c>
      <c r="AB92">
        <v>0</v>
      </c>
      <c r="AC92">
        <v>2434</v>
      </c>
      <c r="AD92">
        <v>1630</v>
      </c>
      <c r="AE92">
        <v>0</v>
      </c>
      <c r="AF92">
        <v>8862879.4383330997</v>
      </c>
      <c r="AG92">
        <v>5695647.9999999898</v>
      </c>
      <c r="AH92" s="2">
        <f t="shared" si="29"/>
        <v>3167231.43833311</v>
      </c>
      <c r="AI92" s="2">
        <f t="shared" si="19"/>
        <v>63344.628766662201</v>
      </c>
      <c r="AJ92">
        <v>50</v>
      </c>
      <c r="AK92">
        <v>512</v>
      </c>
      <c r="AL92" t="b">
        <v>1</v>
      </c>
      <c r="AM92" s="2">
        <f>IF('MANOVA '!M134, 1, 0)</f>
        <v>0</v>
      </c>
    </row>
    <row r="93" spans="1:39" x14ac:dyDescent="0.2">
      <c r="A93">
        <v>10</v>
      </c>
      <c r="B93">
        <v>154</v>
      </c>
      <c r="C93">
        <v>0.3</v>
      </c>
      <c r="D93">
        <v>50</v>
      </c>
      <c r="E93">
        <v>10</v>
      </c>
      <c r="F93">
        <v>1</v>
      </c>
      <c r="G93">
        <v>3</v>
      </c>
      <c r="H93">
        <v>15</v>
      </c>
      <c r="I93">
        <v>90.12</v>
      </c>
      <c r="J93">
        <v>98.7</v>
      </c>
      <c r="K93">
        <v>74530</v>
      </c>
      <c r="L93">
        <v>72657</v>
      </c>
      <c r="M93">
        <v>32088</v>
      </c>
      <c r="N93">
        <v>11121</v>
      </c>
      <c r="O93">
        <f t="shared" si="25"/>
        <v>190396</v>
      </c>
      <c r="P93">
        <v>21921</v>
      </c>
      <c r="Q93">
        <v>32371</v>
      </c>
      <c r="R93">
        <v>4924</v>
      </c>
      <c r="S93">
        <v>37480</v>
      </c>
      <c r="T93">
        <f t="shared" si="26"/>
        <v>96696</v>
      </c>
      <c r="U93">
        <f t="shared" si="27"/>
        <v>287092</v>
      </c>
      <c r="V93">
        <v>26605978.429641001</v>
      </c>
      <c r="W93">
        <v>35895245.503313497</v>
      </c>
      <c r="X93">
        <v>9289267.0736725107</v>
      </c>
      <c r="Y93">
        <v>9017586.6765397806</v>
      </c>
      <c r="Z93">
        <f t="shared" si="28"/>
        <v>5590.5683053563425</v>
      </c>
      <c r="AA93">
        <v>0</v>
      </c>
      <c r="AB93">
        <v>0</v>
      </c>
      <c r="AC93">
        <v>2393</v>
      </c>
      <c r="AD93">
        <v>1613</v>
      </c>
      <c r="AE93">
        <v>0</v>
      </c>
      <c r="AF93">
        <v>11128173.8925176</v>
      </c>
      <c r="AG93">
        <v>5695647.9999999898</v>
      </c>
      <c r="AH93" s="2">
        <f t="shared" si="29"/>
        <v>5432525.8925176105</v>
      </c>
      <c r="AI93" s="2">
        <f t="shared" si="19"/>
        <v>108650.5178503522</v>
      </c>
      <c r="AJ93">
        <v>50</v>
      </c>
      <c r="AK93">
        <v>546</v>
      </c>
      <c r="AL93" t="b">
        <v>1</v>
      </c>
      <c r="AM93" s="2">
        <f>IF('MANOVA '!M135, 1, 0)</f>
        <v>0</v>
      </c>
    </row>
    <row r="94" spans="1:39" x14ac:dyDescent="0.2">
      <c r="A94">
        <v>10</v>
      </c>
      <c r="B94">
        <v>158</v>
      </c>
      <c r="C94">
        <v>0.3</v>
      </c>
      <c r="D94">
        <v>50</v>
      </c>
      <c r="E94">
        <v>10</v>
      </c>
      <c r="F94">
        <v>1</v>
      </c>
      <c r="G94">
        <v>1</v>
      </c>
      <c r="H94">
        <v>30</v>
      </c>
      <c r="I94">
        <v>45.06</v>
      </c>
      <c r="J94">
        <v>49.35</v>
      </c>
      <c r="K94">
        <v>60644</v>
      </c>
      <c r="L94">
        <v>81439</v>
      </c>
      <c r="M94">
        <v>31893</v>
      </c>
      <c r="N94">
        <v>11247</v>
      </c>
      <c r="O94">
        <f t="shared" si="25"/>
        <v>185223</v>
      </c>
      <c r="P94">
        <v>26320</v>
      </c>
      <c r="Q94">
        <v>30071</v>
      </c>
      <c r="R94">
        <v>4772</v>
      </c>
      <c r="S94">
        <v>37306</v>
      </c>
      <c r="T94">
        <f t="shared" si="26"/>
        <v>98469</v>
      </c>
      <c r="U94">
        <f t="shared" si="27"/>
        <v>283692</v>
      </c>
      <c r="V94">
        <v>36594963.118134797</v>
      </c>
      <c r="W94">
        <v>24053925.6845771</v>
      </c>
      <c r="X94">
        <v>-12541037.4335576</v>
      </c>
      <c r="Y94">
        <v>17710513.648871802</v>
      </c>
      <c r="Z94">
        <f t="shared" si="28"/>
        <v>5407.7904271364278</v>
      </c>
      <c r="AA94">
        <v>0</v>
      </c>
      <c r="AB94">
        <v>0</v>
      </c>
      <c r="AC94">
        <v>2454</v>
      </c>
      <c r="AD94">
        <v>3275</v>
      </c>
      <c r="AE94">
        <v>0</v>
      </c>
      <c r="AF94">
        <v>9404356.9071934707</v>
      </c>
      <c r="AG94">
        <v>5695647.9999999898</v>
      </c>
      <c r="AH94" s="2">
        <f t="shared" si="29"/>
        <v>3708708.907193481</v>
      </c>
      <c r="AI94" s="2">
        <f t="shared" si="19"/>
        <v>74174.17814386962</v>
      </c>
      <c r="AJ94">
        <v>50</v>
      </c>
      <c r="AK94">
        <v>459</v>
      </c>
      <c r="AL94" t="b">
        <v>1</v>
      </c>
      <c r="AM94" s="2">
        <f>IF('MANOVA '!M136, 1, 0)</f>
        <v>0</v>
      </c>
    </row>
    <row r="95" spans="1:39" x14ac:dyDescent="0.2">
      <c r="A95">
        <v>10</v>
      </c>
      <c r="B95">
        <v>157</v>
      </c>
      <c r="C95">
        <v>0.3</v>
      </c>
      <c r="D95">
        <v>50</v>
      </c>
      <c r="E95">
        <v>10</v>
      </c>
      <c r="F95">
        <v>1</v>
      </c>
      <c r="G95">
        <v>1</v>
      </c>
      <c r="H95">
        <v>30</v>
      </c>
      <c r="I95">
        <v>90.12</v>
      </c>
      <c r="J95">
        <v>98.7</v>
      </c>
      <c r="K95">
        <v>61391</v>
      </c>
      <c r="L95">
        <v>81723</v>
      </c>
      <c r="M95">
        <v>32251</v>
      </c>
      <c r="N95">
        <v>11231</v>
      </c>
      <c r="O95">
        <f t="shared" si="25"/>
        <v>186596</v>
      </c>
      <c r="P95">
        <v>27187</v>
      </c>
      <c r="Q95">
        <v>30694</v>
      </c>
      <c r="R95">
        <v>4816</v>
      </c>
      <c r="S95">
        <v>37510</v>
      </c>
      <c r="T95">
        <f t="shared" si="26"/>
        <v>100207</v>
      </c>
      <c r="U95">
        <f t="shared" si="27"/>
        <v>286803</v>
      </c>
      <c r="V95">
        <v>33761086.425325699</v>
      </c>
      <c r="W95">
        <v>34327769.446578696</v>
      </c>
      <c r="X95">
        <v>566683.02125297405</v>
      </c>
      <c r="Y95">
        <v>16280107.232778201</v>
      </c>
      <c r="Z95">
        <f t="shared" si="28"/>
        <v>4971.0251092452518</v>
      </c>
      <c r="AA95">
        <v>0</v>
      </c>
      <c r="AB95">
        <v>0</v>
      </c>
      <c r="AC95">
        <v>2448</v>
      </c>
      <c r="AD95">
        <v>3275</v>
      </c>
      <c r="AE95">
        <v>0</v>
      </c>
      <c r="AF95">
        <v>9536472.5573194809</v>
      </c>
      <c r="AG95">
        <v>5695647.9999999898</v>
      </c>
      <c r="AH95" s="2">
        <f t="shared" si="29"/>
        <v>3840824.5573194912</v>
      </c>
      <c r="AI95" s="2">
        <f t="shared" si="19"/>
        <v>76816.491146389817</v>
      </c>
      <c r="AJ95">
        <v>50</v>
      </c>
      <c r="AK95">
        <v>566</v>
      </c>
      <c r="AL95" t="b">
        <v>1</v>
      </c>
      <c r="AM95" s="2">
        <f>IF('MANOVA '!M137, 1, 0)</f>
        <v>0</v>
      </c>
    </row>
    <row r="96" spans="1:39" x14ac:dyDescent="0.2">
      <c r="A96">
        <v>10</v>
      </c>
      <c r="B96">
        <v>158</v>
      </c>
      <c r="C96">
        <v>0.3</v>
      </c>
      <c r="D96">
        <v>50</v>
      </c>
      <c r="E96">
        <v>10</v>
      </c>
      <c r="F96">
        <v>1</v>
      </c>
      <c r="G96">
        <v>1</v>
      </c>
      <c r="H96">
        <v>15</v>
      </c>
      <c r="I96">
        <v>45.06</v>
      </c>
      <c r="J96">
        <v>49.35</v>
      </c>
      <c r="K96">
        <v>60364</v>
      </c>
      <c r="L96">
        <v>80304</v>
      </c>
      <c r="M96">
        <v>31777</v>
      </c>
      <c r="N96">
        <v>11169</v>
      </c>
      <c r="O96">
        <f t="shared" si="25"/>
        <v>183614</v>
      </c>
      <c r="P96">
        <v>26415</v>
      </c>
      <c r="Q96">
        <v>29519</v>
      </c>
      <c r="R96">
        <v>4716</v>
      </c>
      <c r="S96">
        <v>37416</v>
      </c>
      <c r="T96">
        <f t="shared" si="26"/>
        <v>98066</v>
      </c>
      <c r="U96">
        <f t="shared" si="27"/>
        <v>281680</v>
      </c>
      <c r="V96">
        <v>27004404.5002767</v>
      </c>
      <c r="W96">
        <v>19885415.543485198</v>
      </c>
      <c r="X96">
        <v>-7118988.9567914903</v>
      </c>
      <c r="Y96">
        <v>9173795.9984365106</v>
      </c>
      <c r="Z96">
        <f t="shared" si="28"/>
        <v>5539.7318831138346</v>
      </c>
      <c r="AA96">
        <v>0</v>
      </c>
      <c r="AB96">
        <v>0</v>
      </c>
      <c r="AC96">
        <v>2466</v>
      </c>
      <c r="AD96">
        <v>1656</v>
      </c>
      <c r="AE96">
        <v>0</v>
      </c>
      <c r="AF96">
        <v>5043628.6454064902</v>
      </c>
      <c r="AG96">
        <v>5695647.9999999898</v>
      </c>
      <c r="AH96" s="2">
        <f t="shared" si="29"/>
        <v>-652019.35459349956</v>
      </c>
      <c r="AI96" s="2">
        <f t="shared" si="19"/>
        <v>-13040.38709186999</v>
      </c>
      <c r="AJ96">
        <v>50</v>
      </c>
      <c r="AK96">
        <v>578</v>
      </c>
      <c r="AL96" t="b">
        <v>1</v>
      </c>
      <c r="AM96" s="2">
        <f>IF('MANOVA '!M138, 1, 0)</f>
        <v>0</v>
      </c>
    </row>
    <row r="97" spans="1:39" x14ac:dyDescent="0.2">
      <c r="A97">
        <v>10</v>
      </c>
      <c r="B97">
        <v>159</v>
      </c>
      <c r="C97">
        <v>0.3</v>
      </c>
      <c r="D97">
        <v>50</v>
      </c>
      <c r="E97">
        <v>10</v>
      </c>
      <c r="F97">
        <v>1</v>
      </c>
      <c r="G97">
        <v>1</v>
      </c>
      <c r="H97">
        <v>15</v>
      </c>
      <c r="I97">
        <v>90.12</v>
      </c>
      <c r="J97">
        <v>98.7</v>
      </c>
      <c r="K97">
        <v>59639</v>
      </c>
      <c r="L97">
        <v>79327</v>
      </c>
      <c r="M97">
        <v>31850</v>
      </c>
      <c r="N97">
        <v>11217</v>
      </c>
      <c r="O97">
        <f t="shared" si="25"/>
        <v>182033</v>
      </c>
      <c r="P97">
        <v>6533</v>
      </c>
      <c r="Q97">
        <v>48208</v>
      </c>
      <c r="R97">
        <v>4630</v>
      </c>
      <c r="S97">
        <v>37475</v>
      </c>
      <c r="T97">
        <f t="shared" si="26"/>
        <v>96846</v>
      </c>
      <c r="U97">
        <f t="shared" si="27"/>
        <v>278879</v>
      </c>
      <c r="V97">
        <v>26576047.711718898</v>
      </c>
      <c r="W97">
        <v>33259098.689709</v>
      </c>
      <c r="X97">
        <v>6683050.9779901197</v>
      </c>
      <c r="Y97">
        <v>8536772.3655629605</v>
      </c>
      <c r="Z97">
        <f t="shared" si="28"/>
        <v>5164.411594411954</v>
      </c>
      <c r="AA97">
        <v>0</v>
      </c>
      <c r="AB97">
        <v>0</v>
      </c>
      <c r="AC97">
        <v>2497</v>
      </c>
      <c r="AD97">
        <v>1653</v>
      </c>
      <c r="AE97">
        <v>0</v>
      </c>
      <c r="AF97">
        <v>7565291.5493179597</v>
      </c>
      <c r="AG97">
        <v>5695647.9999999898</v>
      </c>
      <c r="AH97" s="2">
        <f t="shared" si="29"/>
        <v>1869643.5493179699</v>
      </c>
      <c r="AI97" s="2">
        <f t="shared" si="19"/>
        <v>37392.870986359398</v>
      </c>
      <c r="AJ97">
        <v>50</v>
      </c>
      <c r="AK97">
        <v>569</v>
      </c>
      <c r="AL97" t="b">
        <v>1</v>
      </c>
      <c r="AM97" s="2">
        <f>IF('MANOVA '!M139, 1, 0)</f>
        <v>0</v>
      </c>
    </row>
    <row r="98" spans="1:39" x14ac:dyDescent="0.2">
      <c r="A98">
        <v>10</v>
      </c>
      <c r="B98">
        <v>188</v>
      </c>
      <c r="C98">
        <v>0.4</v>
      </c>
      <c r="D98">
        <v>5</v>
      </c>
      <c r="E98">
        <v>15</v>
      </c>
      <c r="F98">
        <v>3</v>
      </c>
      <c r="G98">
        <v>3</v>
      </c>
      <c r="H98">
        <v>30</v>
      </c>
      <c r="I98">
        <v>45.06</v>
      </c>
      <c r="J98">
        <v>49.35</v>
      </c>
      <c r="K98">
        <v>73201</v>
      </c>
      <c r="L98">
        <v>80143</v>
      </c>
      <c r="M98">
        <v>27706</v>
      </c>
      <c r="N98">
        <v>9613</v>
      </c>
      <c r="O98">
        <f t="shared" si="25"/>
        <v>190663</v>
      </c>
      <c r="P98">
        <v>4666</v>
      </c>
      <c r="Q98">
        <v>35978</v>
      </c>
      <c r="R98">
        <v>3883</v>
      </c>
      <c r="S98">
        <v>29728</v>
      </c>
      <c r="T98">
        <f t="shared" si="26"/>
        <v>74255</v>
      </c>
      <c r="U98">
        <f t="shared" si="27"/>
        <v>264918</v>
      </c>
      <c r="V98">
        <v>10806189.4214107</v>
      </c>
      <c r="W98">
        <v>4562060.5937548503</v>
      </c>
      <c r="X98">
        <v>-6244128.82765585</v>
      </c>
      <c r="Y98">
        <v>7755040.2873828001</v>
      </c>
      <c r="Z98">
        <f t="shared" si="28"/>
        <v>4398.7749786629611</v>
      </c>
      <c r="AA98">
        <v>169541653.29869601</v>
      </c>
      <c r="AB98">
        <f t="shared" ref="AB98:AB129" si="30">AA98/AE98</f>
        <v>95570.26679746111</v>
      </c>
      <c r="AC98">
        <v>421</v>
      </c>
      <c r="AD98">
        <v>1763</v>
      </c>
      <c r="AE98">
        <v>1774</v>
      </c>
      <c r="AF98">
        <v>1189562.9402638201</v>
      </c>
      <c r="AG98">
        <v>836279.55</v>
      </c>
      <c r="AH98">
        <f t="shared" si="29"/>
        <v>353283.39026382007</v>
      </c>
      <c r="AI98">
        <f t="shared" ref="AI98:AI129" si="31">AH98/D98</f>
        <v>70656.678052764008</v>
      </c>
      <c r="AJ98">
        <v>5</v>
      </c>
      <c r="AK98">
        <v>0</v>
      </c>
      <c r="AL98" t="b">
        <v>1</v>
      </c>
      <c r="AM98" s="2">
        <f>IF('MANOVA '!M140, 1, 0)</f>
        <v>0</v>
      </c>
    </row>
    <row r="99" spans="1:39" x14ac:dyDescent="0.2">
      <c r="A99">
        <v>10</v>
      </c>
      <c r="B99">
        <v>188</v>
      </c>
      <c r="C99">
        <v>0.4</v>
      </c>
      <c r="D99">
        <v>5</v>
      </c>
      <c r="E99">
        <v>15</v>
      </c>
      <c r="F99">
        <v>3</v>
      </c>
      <c r="G99">
        <v>3</v>
      </c>
      <c r="H99">
        <v>30</v>
      </c>
      <c r="I99">
        <v>90.12</v>
      </c>
      <c r="J99">
        <v>98.7</v>
      </c>
      <c r="K99">
        <v>72883</v>
      </c>
      <c r="L99">
        <v>80273</v>
      </c>
      <c r="M99">
        <v>27462</v>
      </c>
      <c r="N99">
        <v>9476</v>
      </c>
      <c r="O99">
        <f t="shared" si="25"/>
        <v>190094</v>
      </c>
      <c r="P99">
        <v>4724</v>
      </c>
      <c r="Q99">
        <v>36180</v>
      </c>
      <c r="R99">
        <v>3820</v>
      </c>
      <c r="S99">
        <v>29420</v>
      </c>
      <c r="T99">
        <f t="shared" si="26"/>
        <v>74144</v>
      </c>
      <c r="U99">
        <f t="shared" si="27"/>
        <v>264238</v>
      </c>
      <c r="V99">
        <v>10817228.5385169</v>
      </c>
      <c r="W99">
        <v>8287841.6375096999</v>
      </c>
      <c r="X99">
        <v>-2529386.9010072099</v>
      </c>
      <c r="Y99">
        <v>8284156.8750839904</v>
      </c>
      <c r="Z99">
        <f t="shared" si="28"/>
        <v>4706.9073153886311</v>
      </c>
      <c r="AA99">
        <v>356820395.16383803</v>
      </c>
      <c r="AB99">
        <f t="shared" si="30"/>
        <v>190304.21075404694</v>
      </c>
      <c r="AC99">
        <v>442</v>
      </c>
      <c r="AD99">
        <v>1760</v>
      </c>
      <c r="AE99">
        <v>1875</v>
      </c>
      <c r="AF99">
        <v>2379125.88052765</v>
      </c>
      <c r="AG99">
        <v>836279.55</v>
      </c>
      <c r="AH99">
        <f t="shared" si="29"/>
        <v>1542846.33052765</v>
      </c>
      <c r="AI99">
        <f t="shared" si="31"/>
        <v>308569.26610552997</v>
      </c>
      <c r="AJ99">
        <v>5</v>
      </c>
      <c r="AK99">
        <v>0</v>
      </c>
      <c r="AL99" t="b">
        <v>1</v>
      </c>
      <c r="AM99" s="2">
        <f>IF('MANOVA '!M141, 1, 0)</f>
        <v>0</v>
      </c>
    </row>
    <row r="100" spans="1:39" x14ac:dyDescent="0.2">
      <c r="A100">
        <v>10</v>
      </c>
      <c r="B100">
        <v>188</v>
      </c>
      <c r="C100">
        <v>0.4</v>
      </c>
      <c r="D100">
        <v>5</v>
      </c>
      <c r="E100">
        <v>15</v>
      </c>
      <c r="F100">
        <v>3</v>
      </c>
      <c r="G100">
        <v>3</v>
      </c>
      <c r="H100">
        <v>15</v>
      </c>
      <c r="I100">
        <v>45.06</v>
      </c>
      <c r="J100">
        <v>49.35</v>
      </c>
      <c r="K100">
        <v>82438</v>
      </c>
      <c r="L100">
        <v>84252</v>
      </c>
      <c r="M100">
        <v>27700</v>
      </c>
      <c r="N100">
        <v>11084</v>
      </c>
      <c r="O100">
        <f t="shared" si="25"/>
        <v>205474</v>
      </c>
      <c r="P100">
        <v>5242</v>
      </c>
      <c r="Q100">
        <v>41061</v>
      </c>
      <c r="R100">
        <v>4030</v>
      </c>
      <c r="S100">
        <v>35079</v>
      </c>
      <c r="T100">
        <f t="shared" si="26"/>
        <v>85412</v>
      </c>
      <c r="U100">
        <f t="shared" si="27"/>
        <v>290886</v>
      </c>
      <c r="V100">
        <v>10738477.0956675</v>
      </c>
      <c r="W100">
        <v>4880490.8084871201</v>
      </c>
      <c r="X100">
        <v>-5857986.2871804098</v>
      </c>
      <c r="Y100">
        <v>7146329.5232064202</v>
      </c>
      <c r="Z100">
        <f t="shared" si="28"/>
        <v>4578.0458188381936</v>
      </c>
      <c r="AA100">
        <v>53834769.424228899</v>
      </c>
      <c r="AB100">
        <f t="shared" si="30"/>
        <v>145107.19521355498</v>
      </c>
      <c r="AC100">
        <v>396</v>
      </c>
      <c r="AD100">
        <v>1561</v>
      </c>
      <c r="AE100">
        <v>371</v>
      </c>
      <c r="AF100">
        <v>2225737.42244844</v>
      </c>
      <c r="AG100">
        <v>836279.55</v>
      </c>
      <c r="AH100">
        <f t="shared" si="29"/>
        <v>1389457.8724484399</v>
      </c>
      <c r="AI100">
        <f t="shared" si="31"/>
        <v>277891.57448968798</v>
      </c>
      <c r="AJ100">
        <v>5</v>
      </c>
      <c r="AK100">
        <v>10</v>
      </c>
      <c r="AL100" t="b">
        <v>1</v>
      </c>
      <c r="AM100" s="2">
        <f>IF('MANOVA '!M142, 1, 0)</f>
        <v>0</v>
      </c>
    </row>
    <row r="101" spans="1:39" x14ac:dyDescent="0.2">
      <c r="A101">
        <v>10</v>
      </c>
      <c r="B101">
        <v>188</v>
      </c>
      <c r="C101">
        <v>0.4</v>
      </c>
      <c r="D101">
        <v>5</v>
      </c>
      <c r="E101">
        <v>15</v>
      </c>
      <c r="F101">
        <v>3</v>
      </c>
      <c r="G101">
        <v>3</v>
      </c>
      <c r="H101">
        <v>15</v>
      </c>
      <c r="I101">
        <v>90.12</v>
      </c>
      <c r="J101">
        <v>98.7</v>
      </c>
      <c r="K101">
        <v>82438</v>
      </c>
      <c r="L101">
        <v>84252</v>
      </c>
      <c r="M101">
        <v>27700</v>
      </c>
      <c r="N101">
        <v>11084</v>
      </c>
      <c r="O101">
        <f t="shared" si="25"/>
        <v>205474</v>
      </c>
      <c r="P101">
        <v>5242</v>
      </c>
      <c r="Q101">
        <v>41061</v>
      </c>
      <c r="R101">
        <v>4030</v>
      </c>
      <c r="S101">
        <v>35079</v>
      </c>
      <c r="T101">
        <f t="shared" si="26"/>
        <v>85412</v>
      </c>
      <c r="U101">
        <f t="shared" si="27"/>
        <v>290886</v>
      </c>
      <c r="V101">
        <v>10738477.0956675</v>
      </c>
      <c r="W101">
        <v>8924702.0669742394</v>
      </c>
      <c r="X101">
        <v>-1813775.02869329</v>
      </c>
      <c r="Y101">
        <v>8124390.9000574099</v>
      </c>
      <c r="Z101">
        <f t="shared" si="28"/>
        <v>5204.6065983711787</v>
      </c>
      <c r="AA101">
        <v>107669538.84845699</v>
      </c>
      <c r="AB101">
        <f t="shared" si="30"/>
        <v>290214.39042710781</v>
      </c>
      <c r="AC101">
        <v>396</v>
      </c>
      <c r="AD101">
        <v>1561</v>
      </c>
      <c r="AE101">
        <v>371</v>
      </c>
      <c r="AF101">
        <v>4451474.84489688</v>
      </c>
      <c r="AG101">
        <v>836279.55</v>
      </c>
      <c r="AH101">
        <f t="shared" si="29"/>
        <v>3615195.2948968802</v>
      </c>
      <c r="AI101">
        <f t="shared" si="31"/>
        <v>723039.05897937599</v>
      </c>
      <c r="AJ101">
        <v>5</v>
      </c>
      <c r="AK101">
        <v>10</v>
      </c>
      <c r="AL101" t="b">
        <v>1</v>
      </c>
      <c r="AM101" s="2">
        <f>IF('MANOVA '!M143, 1, 0)</f>
        <v>0</v>
      </c>
    </row>
    <row r="102" spans="1:39" x14ac:dyDescent="0.2">
      <c r="A102">
        <v>10</v>
      </c>
      <c r="B102">
        <v>188</v>
      </c>
      <c r="C102">
        <v>0.4</v>
      </c>
      <c r="D102">
        <v>5</v>
      </c>
      <c r="E102">
        <v>15</v>
      </c>
      <c r="F102">
        <v>3</v>
      </c>
      <c r="G102">
        <v>1</v>
      </c>
      <c r="H102">
        <v>30</v>
      </c>
      <c r="I102">
        <v>45.06</v>
      </c>
      <c r="J102">
        <v>49.35</v>
      </c>
      <c r="K102">
        <v>73241</v>
      </c>
      <c r="L102">
        <v>79490</v>
      </c>
      <c r="M102">
        <v>27740</v>
      </c>
      <c r="N102">
        <v>9495</v>
      </c>
      <c r="O102">
        <f t="shared" si="25"/>
        <v>189966</v>
      </c>
      <c r="P102">
        <v>4638</v>
      </c>
      <c r="Q102">
        <v>35785</v>
      </c>
      <c r="R102">
        <v>3920</v>
      </c>
      <c r="S102">
        <v>29036</v>
      </c>
      <c r="T102">
        <f t="shared" si="26"/>
        <v>73379</v>
      </c>
      <c r="U102">
        <f t="shared" si="27"/>
        <v>263345</v>
      </c>
      <c r="V102">
        <v>10735529.452371299</v>
      </c>
      <c r="W102">
        <v>4471817.9402576303</v>
      </c>
      <c r="X102">
        <v>-6263711.5121136904</v>
      </c>
      <c r="Y102">
        <v>7816405.8238301799</v>
      </c>
      <c r="Z102">
        <f t="shared" si="28"/>
        <v>4411.0642346671448</v>
      </c>
      <c r="AA102">
        <v>198685725.32852399</v>
      </c>
      <c r="AB102">
        <f t="shared" si="30"/>
        <v>101629.52702226292</v>
      </c>
      <c r="AC102">
        <v>403</v>
      </c>
      <c r="AD102">
        <v>1772</v>
      </c>
      <c r="AE102">
        <v>1955</v>
      </c>
      <c r="AF102">
        <v>1069239.4022675401</v>
      </c>
      <c r="AG102">
        <v>836279.55</v>
      </c>
      <c r="AH102">
        <f t="shared" si="29"/>
        <v>232959.85226754006</v>
      </c>
      <c r="AI102">
        <f t="shared" si="31"/>
        <v>46591.970453508009</v>
      </c>
      <c r="AJ102">
        <v>5</v>
      </c>
      <c r="AK102">
        <v>0</v>
      </c>
      <c r="AL102" t="b">
        <v>1</v>
      </c>
      <c r="AM102" s="2">
        <f>IF('MANOVA '!M144, 1, 0)</f>
        <v>0</v>
      </c>
    </row>
    <row r="103" spans="1:39" x14ac:dyDescent="0.2">
      <c r="A103">
        <v>10</v>
      </c>
      <c r="B103">
        <v>188</v>
      </c>
      <c r="C103">
        <v>0.4</v>
      </c>
      <c r="D103">
        <v>5</v>
      </c>
      <c r="E103">
        <v>15</v>
      </c>
      <c r="F103">
        <v>3</v>
      </c>
      <c r="G103">
        <v>1</v>
      </c>
      <c r="H103">
        <v>30</v>
      </c>
      <c r="I103">
        <v>90.12</v>
      </c>
      <c r="J103">
        <v>98.7</v>
      </c>
      <c r="K103">
        <v>73241</v>
      </c>
      <c r="L103">
        <v>79490</v>
      </c>
      <c r="M103">
        <v>27740</v>
      </c>
      <c r="N103">
        <v>9495</v>
      </c>
      <c r="O103">
        <f t="shared" si="25"/>
        <v>189966</v>
      </c>
      <c r="P103">
        <v>4638</v>
      </c>
      <c r="Q103">
        <v>35785</v>
      </c>
      <c r="R103">
        <v>3920</v>
      </c>
      <c r="S103">
        <v>29036</v>
      </c>
      <c r="T103">
        <f t="shared" si="26"/>
        <v>73379</v>
      </c>
      <c r="U103">
        <f t="shared" si="27"/>
        <v>263345</v>
      </c>
      <c r="V103">
        <v>10735529.452371299</v>
      </c>
      <c r="W103">
        <v>8107356.3305152701</v>
      </c>
      <c r="X103">
        <v>-2628173.1218560501</v>
      </c>
      <c r="Y103">
        <v>8701447.4416097291</v>
      </c>
      <c r="Z103">
        <f t="shared" si="28"/>
        <v>4910.5233869129397</v>
      </c>
      <c r="AA103">
        <v>397371450.65704799</v>
      </c>
      <c r="AB103">
        <f t="shared" si="30"/>
        <v>203259.05404452584</v>
      </c>
      <c r="AC103">
        <v>403</v>
      </c>
      <c r="AD103">
        <v>1772</v>
      </c>
      <c r="AE103">
        <v>1955</v>
      </c>
      <c r="AF103">
        <v>2138478.8045350802</v>
      </c>
      <c r="AG103">
        <v>836279.55</v>
      </c>
      <c r="AH103">
        <f t="shared" si="29"/>
        <v>1302199.2545350802</v>
      </c>
      <c r="AI103">
        <f t="shared" si="31"/>
        <v>260439.85090701602</v>
      </c>
      <c r="AJ103">
        <v>5</v>
      </c>
      <c r="AK103">
        <v>0</v>
      </c>
      <c r="AL103" t="b">
        <v>1</v>
      </c>
      <c r="AM103" s="2">
        <f>IF('MANOVA '!M145, 1, 0)</f>
        <v>0</v>
      </c>
    </row>
    <row r="104" spans="1:39" x14ac:dyDescent="0.2">
      <c r="A104">
        <v>10</v>
      </c>
      <c r="B104">
        <v>188</v>
      </c>
      <c r="C104">
        <v>0.4</v>
      </c>
      <c r="D104">
        <v>5</v>
      </c>
      <c r="E104">
        <v>15</v>
      </c>
      <c r="F104">
        <v>3</v>
      </c>
      <c r="G104">
        <v>1</v>
      </c>
      <c r="H104">
        <v>15</v>
      </c>
      <c r="I104">
        <v>45.06</v>
      </c>
      <c r="J104">
        <v>49.35</v>
      </c>
      <c r="K104">
        <v>82157</v>
      </c>
      <c r="L104">
        <v>84042</v>
      </c>
      <c r="M104">
        <v>27920</v>
      </c>
      <c r="N104">
        <v>10997</v>
      </c>
      <c r="O104">
        <f t="shared" si="25"/>
        <v>205116</v>
      </c>
      <c r="P104">
        <v>5230</v>
      </c>
      <c r="Q104">
        <v>41124</v>
      </c>
      <c r="R104">
        <v>4073</v>
      </c>
      <c r="S104">
        <v>34867</v>
      </c>
      <c r="T104">
        <f t="shared" si="26"/>
        <v>85294</v>
      </c>
      <c r="U104">
        <f t="shared" si="27"/>
        <v>290410</v>
      </c>
      <c r="V104">
        <v>10823878.068362599</v>
      </c>
      <c r="W104">
        <v>4876056.5466633504</v>
      </c>
      <c r="X104">
        <v>-5947821.5216993196</v>
      </c>
      <c r="Y104">
        <v>6486029.2101214603</v>
      </c>
      <c r="Z104">
        <f t="shared" si="28"/>
        <v>4089.5518348811224</v>
      </c>
      <c r="AA104">
        <v>63274040.415482499</v>
      </c>
      <c r="AB104">
        <f t="shared" si="30"/>
        <v>146467.68614695023</v>
      </c>
      <c r="AC104">
        <v>347</v>
      </c>
      <c r="AD104">
        <v>1586</v>
      </c>
      <c r="AE104">
        <v>432</v>
      </c>
      <c r="AF104">
        <v>2214695.3148151501</v>
      </c>
      <c r="AG104">
        <v>836279.55</v>
      </c>
      <c r="AH104">
        <f t="shared" si="29"/>
        <v>1378415.7648151501</v>
      </c>
      <c r="AI104">
        <f t="shared" si="31"/>
        <v>275683.15296303004</v>
      </c>
      <c r="AJ104">
        <v>5</v>
      </c>
      <c r="AK104">
        <v>10</v>
      </c>
      <c r="AL104" t="b">
        <v>1</v>
      </c>
      <c r="AM104" s="2">
        <f>IF('MANOVA '!M146, 1, 0)</f>
        <v>0</v>
      </c>
    </row>
    <row r="105" spans="1:39" x14ac:dyDescent="0.2">
      <c r="A105">
        <v>10</v>
      </c>
      <c r="B105">
        <v>188</v>
      </c>
      <c r="C105">
        <v>0.4</v>
      </c>
      <c r="D105">
        <v>5</v>
      </c>
      <c r="E105">
        <v>15</v>
      </c>
      <c r="F105">
        <v>3</v>
      </c>
      <c r="G105">
        <v>1</v>
      </c>
      <c r="H105">
        <v>15</v>
      </c>
      <c r="I105">
        <v>90.12</v>
      </c>
      <c r="J105">
        <v>98.7</v>
      </c>
      <c r="K105">
        <v>82157</v>
      </c>
      <c r="L105">
        <v>84042</v>
      </c>
      <c r="M105">
        <v>27920</v>
      </c>
      <c r="N105">
        <v>10997</v>
      </c>
      <c r="O105">
        <f t="shared" si="25"/>
        <v>205116</v>
      </c>
      <c r="P105">
        <v>5230</v>
      </c>
      <c r="Q105">
        <v>41124</v>
      </c>
      <c r="R105">
        <v>4073</v>
      </c>
      <c r="S105">
        <v>34867</v>
      </c>
      <c r="T105">
        <f t="shared" si="26"/>
        <v>85294</v>
      </c>
      <c r="U105">
        <f t="shared" si="27"/>
        <v>290410</v>
      </c>
      <c r="V105">
        <v>10823878.068362599</v>
      </c>
      <c r="W105">
        <v>8915833.5433267001</v>
      </c>
      <c r="X105">
        <v>-1908044.5250359699</v>
      </c>
      <c r="Y105">
        <v>6674538.97746382</v>
      </c>
      <c r="Z105">
        <f t="shared" si="28"/>
        <v>4208.410452373153</v>
      </c>
      <c r="AA105">
        <v>126548080.830965</v>
      </c>
      <c r="AB105">
        <f t="shared" si="30"/>
        <v>292935.37229390047</v>
      </c>
      <c r="AC105">
        <v>347</v>
      </c>
      <c r="AD105">
        <v>1586</v>
      </c>
      <c r="AE105">
        <v>432</v>
      </c>
      <c r="AF105">
        <v>4429390.6296303002</v>
      </c>
      <c r="AG105">
        <v>836279.55</v>
      </c>
      <c r="AH105">
        <f t="shared" si="29"/>
        <v>3593111.0796303004</v>
      </c>
      <c r="AI105">
        <f t="shared" si="31"/>
        <v>718622.2159260601</v>
      </c>
      <c r="AJ105">
        <v>5</v>
      </c>
      <c r="AK105">
        <v>10</v>
      </c>
      <c r="AL105" t="b">
        <v>1</v>
      </c>
      <c r="AM105" s="2">
        <f>IF('MANOVA '!M147, 1, 0)</f>
        <v>0</v>
      </c>
    </row>
    <row r="106" spans="1:39" x14ac:dyDescent="0.2">
      <c r="A106">
        <v>10</v>
      </c>
      <c r="B106">
        <v>188</v>
      </c>
      <c r="C106">
        <v>0.4</v>
      </c>
      <c r="D106">
        <v>5</v>
      </c>
      <c r="E106">
        <v>15</v>
      </c>
      <c r="F106">
        <v>1</v>
      </c>
      <c r="G106">
        <v>3</v>
      </c>
      <c r="H106">
        <v>30</v>
      </c>
      <c r="I106">
        <v>45.06</v>
      </c>
      <c r="J106">
        <v>49.35</v>
      </c>
      <c r="K106">
        <v>69221</v>
      </c>
      <c r="L106">
        <v>79600</v>
      </c>
      <c r="M106">
        <v>27121</v>
      </c>
      <c r="N106">
        <v>8968</v>
      </c>
      <c r="O106">
        <f t="shared" si="25"/>
        <v>184910</v>
      </c>
      <c r="P106">
        <v>4469</v>
      </c>
      <c r="Q106">
        <v>34101</v>
      </c>
      <c r="R106">
        <v>3734</v>
      </c>
      <c r="S106">
        <v>27369</v>
      </c>
      <c r="T106">
        <f t="shared" si="26"/>
        <v>69673</v>
      </c>
      <c r="U106">
        <f t="shared" si="27"/>
        <v>254583</v>
      </c>
      <c r="V106">
        <v>8788953.7974082101</v>
      </c>
      <c r="W106">
        <v>4097841.6380453799</v>
      </c>
      <c r="X106">
        <v>-4691112.15936282</v>
      </c>
      <c r="Y106">
        <v>7307717.4252950503</v>
      </c>
      <c r="Z106">
        <f t="shared" si="28"/>
        <v>5515.2584341849433</v>
      </c>
      <c r="AA106">
        <v>230563600.89242801</v>
      </c>
      <c r="AB106">
        <f t="shared" si="30"/>
        <v>98827.089966750107</v>
      </c>
      <c r="AC106">
        <v>423</v>
      </c>
      <c r="AD106">
        <v>1325</v>
      </c>
      <c r="AE106">
        <v>2333</v>
      </c>
      <c r="AF106">
        <v>1256818.7656718499</v>
      </c>
      <c r="AG106">
        <v>836279.55</v>
      </c>
      <c r="AH106">
        <f t="shared" si="29"/>
        <v>420539.2156718499</v>
      </c>
      <c r="AI106">
        <f t="shared" si="31"/>
        <v>84107.843134369978</v>
      </c>
      <c r="AJ106">
        <v>5</v>
      </c>
      <c r="AK106">
        <v>0</v>
      </c>
      <c r="AL106" t="b">
        <v>1</v>
      </c>
      <c r="AM106" s="2">
        <f>IF('MANOVA '!M148, 1, 0)</f>
        <v>0</v>
      </c>
    </row>
    <row r="107" spans="1:39" x14ac:dyDescent="0.2">
      <c r="A107">
        <v>10</v>
      </c>
      <c r="B107">
        <v>188</v>
      </c>
      <c r="C107">
        <v>0.4</v>
      </c>
      <c r="D107">
        <v>5</v>
      </c>
      <c r="E107">
        <v>15</v>
      </c>
      <c r="F107">
        <v>1</v>
      </c>
      <c r="G107">
        <v>3</v>
      </c>
      <c r="H107">
        <v>30</v>
      </c>
      <c r="I107">
        <v>90.12</v>
      </c>
      <c r="J107">
        <v>98.7</v>
      </c>
      <c r="K107">
        <v>69221</v>
      </c>
      <c r="L107">
        <v>79600</v>
      </c>
      <c r="M107">
        <v>27121</v>
      </c>
      <c r="N107">
        <v>8968</v>
      </c>
      <c r="O107">
        <f t="shared" si="25"/>
        <v>184910</v>
      </c>
      <c r="P107">
        <v>4469</v>
      </c>
      <c r="Q107">
        <v>34101</v>
      </c>
      <c r="R107">
        <v>3734</v>
      </c>
      <c r="S107">
        <v>27369</v>
      </c>
      <c r="T107">
        <f t="shared" si="26"/>
        <v>69673</v>
      </c>
      <c r="U107">
        <f t="shared" si="27"/>
        <v>254583</v>
      </c>
      <c r="V107">
        <v>8788953.7974082101</v>
      </c>
      <c r="W107">
        <v>7359403.7260907702</v>
      </c>
      <c r="X107">
        <v>-1429550.0713174299</v>
      </c>
      <c r="Y107">
        <v>9199320.8707563393</v>
      </c>
      <c r="Z107">
        <f t="shared" si="28"/>
        <v>6942.8836760425202</v>
      </c>
      <c r="AA107">
        <v>461127201.78485602</v>
      </c>
      <c r="AB107">
        <f t="shared" si="30"/>
        <v>197654.17993350021</v>
      </c>
      <c r="AC107">
        <v>423</v>
      </c>
      <c r="AD107">
        <v>1325</v>
      </c>
      <c r="AE107">
        <v>2333</v>
      </c>
      <c r="AF107">
        <v>2513637.5313437101</v>
      </c>
      <c r="AG107">
        <v>836279.55</v>
      </c>
      <c r="AH107">
        <f t="shared" si="29"/>
        <v>1677357.9813437101</v>
      </c>
      <c r="AI107">
        <f t="shared" si="31"/>
        <v>335471.596268742</v>
      </c>
      <c r="AJ107">
        <v>5</v>
      </c>
      <c r="AK107">
        <v>0</v>
      </c>
      <c r="AL107" t="b">
        <v>1</v>
      </c>
      <c r="AM107" s="2">
        <f>IF('MANOVA '!M149, 1, 0)</f>
        <v>0</v>
      </c>
    </row>
    <row r="108" spans="1:39" x14ac:dyDescent="0.2">
      <c r="A108">
        <v>10</v>
      </c>
      <c r="B108">
        <v>188</v>
      </c>
      <c r="C108">
        <v>0.4</v>
      </c>
      <c r="D108">
        <v>5</v>
      </c>
      <c r="E108">
        <v>15</v>
      </c>
      <c r="F108">
        <v>1</v>
      </c>
      <c r="G108">
        <v>3</v>
      </c>
      <c r="H108">
        <v>15</v>
      </c>
      <c r="I108">
        <v>45.06</v>
      </c>
      <c r="J108">
        <v>49.35</v>
      </c>
      <c r="K108">
        <v>80866</v>
      </c>
      <c r="L108">
        <v>83389</v>
      </c>
      <c r="M108">
        <v>27588</v>
      </c>
      <c r="N108">
        <v>10862</v>
      </c>
      <c r="O108">
        <f t="shared" si="25"/>
        <v>202705</v>
      </c>
      <c r="P108">
        <v>5210</v>
      </c>
      <c r="Q108">
        <v>40675</v>
      </c>
      <c r="R108">
        <v>3925</v>
      </c>
      <c r="S108">
        <v>34534</v>
      </c>
      <c r="T108">
        <f t="shared" si="26"/>
        <v>84344</v>
      </c>
      <c r="U108">
        <f t="shared" si="27"/>
        <v>287049</v>
      </c>
      <c r="V108">
        <v>9358106.30028948</v>
      </c>
      <c r="W108">
        <v>4350561.7347170198</v>
      </c>
      <c r="X108">
        <v>-5007544.5655724499</v>
      </c>
      <c r="Y108">
        <v>6012871.7266017403</v>
      </c>
      <c r="Z108">
        <f t="shared" si="28"/>
        <v>4621.7307660274719</v>
      </c>
      <c r="AA108">
        <v>63408636.897882</v>
      </c>
      <c r="AB108">
        <f t="shared" si="30"/>
        <v>115079.19582192741</v>
      </c>
      <c r="AC108">
        <v>373</v>
      </c>
      <c r="AD108">
        <v>1301</v>
      </c>
      <c r="AE108">
        <v>551</v>
      </c>
      <c r="AF108">
        <v>2200249.9985740199</v>
      </c>
      <c r="AG108">
        <v>836279.55</v>
      </c>
      <c r="AH108">
        <f t="shared" si="29"/>
        <v>1363970.4485740198</v>
      </c>
      <c r="AI108">
        <f t="shared" si="31"/>
        <v>272794.08971480397</v>
      </c>
      <c r="AJ108">
        <v>5</v>
      </c>
      <c r="AK108">
        <v>11</v>
      </c>
      <c r="AL108" t="b">
        <v>1</v>
      </c>
      <c r="AM108" s="2">
        <f>IF('MANOVA '!M150, 1, 0)</f>
        <v>0</v>
      </c>
    </row>
    <row r="109" spans="1:39" x14ac:dyDescent="0.2">
      <c r="A109">
        <v>10</v>
      </c>
      <c r="B109">
        <v>188</v>
      </c>
      <c r="C109">
        <v>0.4</v>
      </c>
      <c r="D109">
        <v>5</v>
      </c>
      <c r="E109">
        <v>15</v>
      </c>
      <c r="F109">
        <v>1</v>
      </c>
      <c r="G109">
        <v>3</v>
      </c>
      <c r="H109">
        <v>15</v>
      </c>
      <c r="I109">
        <v>90.12</v>
      </c>
      <c r="J109">
        <v>98.7</v>
      </c>
      <c r="K109">
        <v>80866</v>
      </c>
      <c r="L109">
        <v>83389</v>
      </c>
      <c r="M109">
        <v>27588</v>
      </c>
      <c r="N109">
        <v>10862</v>
      </c>
      <c r="O109">
        <f t="shared" si="25"/>
        <v>202705</v>
      </c>
      <c r="P109">
        <v>5210</v>
      </c>
      <c r="Q109">
        <v>40675</v>
      </c>
      <c r="R109">
        <v>3925</v>
      </c>
      <c r="S109">
        <v>34534</v>
      </c>
      <c r="T109">
        <f t="shared" si="26"/>
        <v>84344</v>
      </c>
      <c r="U109">
        <f t="shared" si="27"/>
        <v>287049</v>
      </c>
      <c r="V109">
        <v>9358106.30028948</v>
      </c>
      <c r="W109">
        <v>7864843.9194340399</v>
      </c>
      <c r="X109">
        <v>-1493262.3808554299</v>
      </c>
      <c r="Y109">
        <v>6440741.0276818704</v>
      </c>
      <c r="Z109">
        <f t="shared" si="28"/>
        <v>4950.6080151282631</v>
      </c>
      <c r="AA109">
        <v>126817273.795764</v>
      </c>
      <c r="AB109">
        <f t="shared" si="30"/>
        <v>230158.39164385482</v>
      </c>
      <c r="AC109">
        <v>373</v>
      </c>
      <c r="AD109">
        <v>1301</v>
      </c>
      <c r="AE109">
        <v>551</v>
      </c>
      <c r="AF109">
        <v>4400499.9971480398</v>
      </c>
      <c r="AG109">
        <v>836279.55</v>
      </c>
      <c r="AH109">
        <f t="shared" si="29"/>
        <v>3564220.4471480399</v>
      </c>
      <c r="AI109">
        <f t="shared" si="31"/>
        <v>712844.08942960796</v>
      </c>
      <c r="AJ109">
        <v>5</v>
      </c>
      <c r="AK109">
        <v>11</v>
      </c>
      <c r="AL109" t="b">
        <v>1</v>
      </c>
      <c r="AM109" s="2">
        <f>IF('MANOVA '!M151, 1, 0)</f>
        <v>0</v>
      </c>
    </row>
    <row r="110" spans="1:39" x14ac:dyDescent="0.2">
      <c r="A110">
        <v>10</v>
      </c>
      <c r="B110">
        <v>188</v>
      </c>
      <c r="C110">
        <v>0.4</v>
      </c>
      <c r="D110">
        <v>5</v>
      </c>
      <c r="E110">
        <v>15</v>
      </c>
      <c r="F110">
        <v>1</v>
      </c>
      <c r="G110">
        <v>1</v>
      </c>
      <c r="H110">
        <v>30</v>
      </c>
      <c r="I110">
        <v>45.06</v>
      </c>
      <c r="J110">
        <v>49.35</v>
      </c>
      <c r="K110">
        <v>73598</v>
      </c>
      <c r="L110">
        <v>82628</v>
      </c>
      <c r="M110">
        <v>28331</v>
      </c>
      <c r="N110">
        <v>9660</v>
      </c>
      <c r="O110">
        <f t="shared" si="25"/>
        <v>194217</v>
      </c>
      <c r="P110">
        <v>4655</v>
      </c>
      <c r="Q110">
        <v>36633</v>
      </c>
      <c r="R110">
        <v>3823</v>
      </c>
      <c r="S110">
        <v>30226</v>
      </c>
      <c r="T110">
        <f t="shared" si="26"/>
        <v>75337</v>
      </c>
      <c r="U110">
        <f t="shared" si="27"/>
        <v>269554</v>
      </c>
      <c r="V110">
        <v>10538699.846666699</v>
      </c>
      <c r="W110">
        <v>4433211.9579795897</v>
      </c>
      <c r="X110">
        <v>-6105487.8886871599</v>
      </c>
      <c r="Y110">
        <v>8633534.8944895007</v>
      </c>
      <c r="Z110">
        <f t="shared" si="28"/>
        <v>5683.6964414019094</v>
      </c>
      <c r="AA110">
        <v>160358575.51492599</v>
      </c>
      <c r="AB110">
        <f t="shared" si="30"/>
        <v>90139.727664376609</v>
      </c>
      <c r="AC110">
        <v>675</v>
      </c>
      <c r="AD110">
        <v>1519</v>
      </c>
      <c r="AE110">
        <v>1779</v>
      </c>
      <c r="AF110">
        <v>1703979.1922507901</v>
      </c>
      <c r="AG110">
        <v>836279.55</v>
      </c>
      <c r="AH110">
        <f t="shared" si="29"/>
        <v>867699.64225079003</v>
      </c>
      <c r="AI110">
        <f t="shared" si="31"/>
        <v>173539.92845015801</v>
      </c>
      <c r="AJ110">
        <v>5</v>
      </c>
      <c r="AK110">
        <v>0</v>
      </c>
      <c r="AL110" t="b">
        <v>1</v>
      </c>
      <c r="AM110" s="2">
        <f>IF('MANOVA '!M152, 1, 0)</f>
        <v>0</v>
      </c>
    </row>
    <row r="111" spans="1:39" x14ac:dyDescent="0.2">
      <c r="A111">
        <v>10</v>
      </c>
      <c r="B111">
        <v>188</v>
      </c>
      <c r="C111">
        <v>0.4</v>
      </c>
      <c r="D111">
        <v>5</v>
      </c>
      <c r="E111">
        <v>15</v>
      </c>
      <c r="F111">
        <v>1</v>
      </c>
      <c r="G111">
        <v>1</v>
      </c>
      <c r="H111">
        <v>30</v>
      </c>
      <c r="I111">
        <v>90.12</v>
      </c>
      <c r="J111">
        <v>98.7</v>
      </c>
      <c r="K111">
        <v>72017</v>
      </c>
      <c r="L111">
        <v>82169</v>
      </c>
      <c r="M111">
        <v>28924</v>
      </c>
      <c r="N111">
        <v>9404</v>
      </c>
      <c r="O111">
        <f t="shared" si="25"/>
        <v>192514</v>
      </c>
      <c r="P111">
        <v>4599</v>
      </c>
      <c r="Q111">
        <v>35835</v>
      </c>
      <c r="R111">
        <v>3796</v>
      </c>
      <c r="S111">
        <v>28857</v>
      </c>
      <c r="T111">
        <f t="shared" si="26"/>
        <v>73087</v>
      </c>
      <c r="U111">
        <f t="shared" si="27"/>
        <v>265601</v>
      </c>
      <c r="V111">
        <v>9839191.3654734604</v>
      </c>
      <c r="W111">
        <v>7733210.6041965997</v>
      </c>
      <c r="X111">
        <v>-2105980.7612768598</v>
      </c>
      <c r="Y111">
        <v>10740839.363754399</v>
      </c>
      <c r="Z111">
        <f t="shared" si="28"/>
        <v>7402.3703402855954</v>
      </c>
      <c r="AA111">
        <v>396089791.67850399</v>
      </c>
      <c r="AB111">
        <f t="shared" si="30"/>
        <v>196961.60700074787</v>
      </c>
      <c r="AC111">
        <v>683</v>
      </c>
      <c r="AD111">
        <v>1451</v>
      </c>
      <c r="AE111">
        <v>2011</v>
      </c>
      <c r="AF111">
        <v>3012046.7021514699</v>
      </c>
      <c r="AG111">
        <v>836279.55</v>
      </c>
      <c r="AH111">
        <f t="shared" si="29"/>
        <v>2175767.1521514701</v>
      </c>
      <c r="AI111">
        <f t="shared" si="31"/>
        <v>435153.43043029401</v>
      </c>
      <c r="AJ111">
        <v>5</v>
      </c>
      <c r="AK111">
        <v>0</v>
      </c>
      <c r="AL111" t="b">
        <v>1</v>
      </c>
      <c r="AM111" s="2">
        <f>IF('MANOVA '!M153, 1, 0)</f>
        <v>0</v>
      </c>
    </row>
    <row r="112" spans="1:39" x14ac:dyDescent="0.2">
      <c r="A112">
        <v>10</v>
      </c>
      <c r="B112">
        <v>188</v>
      </c>
      <c r="C112">
        <v>0.4</v>
      </c>
      <c r="D112">
        <v>5</v>
      </c>
      <c r="E112">
        <v>15</v>
      </c>
      <c r="F112">
        <v>1</v>
      </c>
      <c r="G112">
        <v>1</v>
      </c>
      <c r="H112">
        <v>15</v>
      </c>
      <c r="I112">
        <v>45.06</v>
      </c>
      <c r="J112">
        <v>49.35</v>
      </c>
      <c r="K112">
        <v>81324</v>
      </c>
      <c r="L112">
        <v>83964</v>
      </c>
      <c r="M112">
        <v>27943</v>
      </c>
      <c r="N112">
        <v>10927</v>
      </c>
      <c r="O112">
        <f t="shared" si="25"/>
        <v>204158</v>
      </c>
      <c r="P112">
        <v>5075</v>
      </c>
      <c r="Q112">
        <v>40258</v>
      </c>
      <c r="R112">
        <v>4007</v>
      </c>
      <c r="S112">
        <v>34329</v>
      </c>
      <c r="T112">
        <f t="shared" si="26"/>
        <v>83669</v>
      </c>
      <c r="U112">
        <f t="shared" si="27"/>
        <v>287827</v>
      </c>
      <c r="V112">
        <v>9231517.9200947396</v>
      </c>
      <c r="W112">
        <v>4166370.0356052602</v>
      </c>
      <c r="X112">
        <v>-5065147.8844894702</v>
      </c>
      <c r="Y112">
        <v>6252528.4474631799</v>
      </c>
      <c r="Z112">
        <f t="shared" si="28"/>
        <v>4697.6171656372499</v>
      </c>
      <c r="AA112">
        <v>69570621.1665833</v>
      </c>
      <c r="AB112">
        <f t="shared" si="30"/>
        <v>127887.17126210165</v>
      </c>
      <c r="AC112">
        <v>338</v>
      </c>
      <c r="AD112">
        <v>1331</v>
      </c>
      <c r="AE112">
        <v>544</v>
      </c>
      <c r="AF112">
        <v>1954661.0664250101</v>
      </c>
      <c r="AG112">
        <v>836279.55</v>
      </c>
      <c r="AH112">
        <f t="shared" si="29"/>
        <v>1118381.51642501</v>
      </c>
      <c r="AI112">
        <f t="shared" si="31"/>
        <v>223676.30328500201</v>
      </c>
      <c r="AJ112">
        <v>5</v>
      </c>
      <c r="AK112">
        <v>10</v>
      </c>
      <c r="AL112" t="b">
        <v>1</v>
      </c>
      <c r="AM112" s="2">
        <f>IF('MANOVA '!M154, 1, 0)</f>
        <v>0</v>
      </c>
    </row>
    <row r="113" spans="1:39" x14ac:dyDescent="0.2">
      <c r="A113">
        <v>10</v>
      </c>
      <c r="B113">
        <v>188</v>
      </c>
      <c r="C113">
        <v>0.4</v>
      </c>
      <c r="D113">
        <v>5</v>
      </c>
      <c r="E113">
        <v>15</v>
      </c>
      <c r="F113">
        <v>1</v>
      </c>
      <c r="G113">
        <v>1</v>
      </c>
      <c r="H113">
        <v>15</v>
      </c>
      <c r="I113">
        <v>90.12</v>
      </c>
      <c r="J113">
        <v>98.7</v>
      </c>
      <c r="K113">
        <v>81324</v>
      </c>
      <c r="L113">
        <v>83964</v>
      </c>
      <c r="M113">
        <v>27943</v>
      </c>
      <c r="N113">
        <v>10927</v>
      </c>
      <c r="O113">
        <f t="shared" si="25"/>
        <v>204158</v>
      </c>
      <c r="P113">
        <v>5075</v>
      </c>
      <c r="Q113">
        <v>40258</v>
      </c>
      <c r="R113">
        <v>4007</v>
      </c>
      <c r="S113">
        <v>34329</v>
      </c>
      <c r="T113">
        <f t="shared" si="26"/>
        <v>83669</v>
      </c>
      <c r="U113">
        <f t="shared" si="27"/>
        <v>287827</v>
      </c>
      <c r="V113">
        <v>9231517.9200947396</v>
      </c>
      <c r="W113">
        <v>7496460.5212105298</v>
      </c>
      <c r="X113">
        <v>-1735057.3988842</v>
      </c>
      <c r="Y113">
        <v>6756837.8968831701</v>
      </c>
      <c r="Z113">
        <f t="shared" si="28"/>
        <v>5076.512319221014</v>
      </c>
      <c r="AA113">
        <v>139141242.333166</v>
      </c>
      <c r="AB113">
        <f t="shared" si="30"/>
        <v>255774.34252420222</v>
      </c>
      <c r="AC113">
        <v>338</v>
      </c>
      <c r="AD113">
        <v>1331</v>
      </c>
      <c r="AE113">
        <v>544</v>
      </c>
      <c r="AF113">
        <v>3909322.13285003</v>
      </c>
      <c r="AG113">
        <v>836279.55</v>
      </c>
      <c r="AH113">
        <f t="shared" si="29"/>
        <v>3073042.5828500297</v>
      </c>
      <c r="AI113">
        <f t="shared" si="31"/>
        <v>614608.51657000592</v>
      </c>
      <c r="AJ113">
        <v>5</v>
      </c>
      <c r="AK113">
        <v>10</v>
      </c>
      <c r="AL113" t="b">
        <v>1</v>
      </c>
      <c r="AM113" s="2">
        <f>IF('MANOVA '!M155, 1, 0)</f>
        <v>0</v>
      </c>
    </row>
    <row r="114" spans="1:39" x14ac:dyDescent="0.2">
      <c r="A114">
        <v>10</v>
      </c>
      <c r="B114">
        <v>128</v>
      </c>
      <c r="C114">
        <v>0.4</v>
      </c>
      <c r="D114">
        <v>5</v>
      </c>
      <c r="E114">
        <v>10</v>
      </c>
      <c r="F114">
        <v>3</v>
      </c>
      <c r="G114">
        <v>3</v>
      </c>
      <c r="H114">
        <v>30</v>
      </c>
      <c r="I114">
        <v>45.06</v>
      </c>
      <c r="J114">
        <v>49.35</v>
      </c>
      <c r="K114">
        <v>68591</v>
      </c>
      <c r="L114">
        <v>54812</v>
      </c>
      <c r="M114">
        <v>33676</v>
      </c>
      <c r="N114">
        <v>9111</v>
      </c>
      <c r="O114">
        <f t="shared" ref="O114:O131" si="32">SUM(K114:N114)</f>
        <v>166190</v>
      </c>
      <c r="P114">
        <v>19342</v>
      </c>
      <c r="Q114">
        <v>26755</v>
      </c>
      <c r="R114">
        <v>8189</v>
      </c>
      <c r="S114">
        <v>30359</v>
      </c>
      <c r="T114">
        <f t="shared" ref="T114:T131" si="33">SUM(P114:S114)</f>
        <v>84645</v>
      </c>
      <c r="U114">
        <f t="shared" ref="U114:U131" si="34">O114+T114</f>
        <v>250835</v>
      </c>
      <c r="V114">
        <v>7541889.9870219603</v>
      </c>
      <c r="W114">
        <v>3916312.0733064502</v>
      </c>
      <c r="X114">
        <v>-3625577.9137155102</v>
      </c>
      <c r="Y114">
        <v>5971741.3645932702</v>
      </c>
      <c r="Z114">
        <f t="shared" ref="Z114:Z131" si="35">Y114/AD114</f>
        <v>5379.9471753092521</v>
      </c>
      <c r="AA114">
        <v>115990092.190375</v>
      </c>
      <c r="AB114">
        <f t="shared" si="30"/>
        <v>98799.056380217211</v>
      </c>
      <c r="AC114">
        <v>309</v>
      </c>
      <c r="AD114">
        <v>1110</v>
      </c>
      <c r="AE114">
        <v>1174</v>
      </c>
      <c r="AF114">
        <v>863827.65086346096</v>
      </c>
      <c r="AG114">
        <v>569564.799999999</v>
      </c>
      <c r="AH114">
        <f t="shared" si="29"/>
        <v>294262.85086346196</v>
      </c>
      <c r="AI114">
        <f t="shared" si="31"/>
        <v>58852.570172692394</v>
      </c>
      <c r="AJ114">
        <v>5</v>
      </c>
      <c r="AK114">
        <v>0</v>
      </c>
      <c r="AL114" t="b">
        <v>1</v>
      </c>
      <c r="AM114" s="2">
        <f>IF('MANOVA '!M156, 1, 0)</f>
        <v>0</v>
      </c>
    </row>
    <row r="115" spans="1:39" x14ac:dyDescent="0.2">
      <c r="A115">
        <v>10</v>
      </c>
      <c r="B115">
        <v>128</v>
      </c>
      <c r="C115">
        <v>0.4</v>
      </c>
      <c r="D115">
        <v>5</v>
      </c>
      <c r="E115">
        <v>10</v>
      </c>
      <c r="F115">
        <v>3</v>
      </c>
      <c r="G115">
        <v>3</v>
      </c>
      <c r="H115">
        <v>30</v>
      </c>
      <c r="I115">
        <v>90.12</v>
      </c>
      <c r="J115">
        <v>98.7</v>
      </c>
      <c r="K115">
        <v>68591</v>
      </c>
      <c r="L115">
        <v>54812</v>
      </c>
      <c r="M115">
        <v>33676</v>
      </c>
      <c r="N115">
        <v>9111</v>
      </c>
      <c r="O115">
        <f t="shared" si="32"/>
        <v>166190</v>
      </c>
      <c r="P115">
        <v>19342</v>
      </c>
      <c r="Q115">
        <v>26755</v>
      </c>
      <c r="R115">
        <v>8189</v>
      </c>
      <c r="S115">
        <v>30359</v>
      </c>
      <c r="T115">
        <f t="shared" si="33"/>
        <v>84645</v>
      </c>
      <c r="U115">
        <f t="shared" si="34"/>
        <v>250835</v>
      </c>
      <c r="V115">
        <v>7541889.9870219603</v>
      </c>
      <c r="W115">
        <v>7263059.3466128996</v>
      </c>
      <c r="X115">
        <v>-278830.640409065</v>
      </c>
      <c r="Y115">
        <v>7773500.3388776397</v>
      </c>
      <c r="Z115">
        <f t="shared" si="35"/>
        <v>7003.1534584483243</v>
      </c>
      <c r="AA115">
        <v>231980184.38075101</v>
      </c>
      <c r="AB115">
        <f t="shared" si="30"/>
        <v>197598.11276043527</v>
      </c>
      <c r="AC115">
        <v>309</v>
      </c>
      <c r="AD115">
        <v>1110</v>
      </c>
      <c r="AE115">
        <v>1174</v>
      </c>
      <c r="AF115">
        <v>1727655.3017269201</v>
      </c>
      <c r="AG115">
        <v>569564.799999999</v>
      </c>
      <c r="AH115">
        <f t="shared" si="29"/>
        <v>1158090.5017269212</v>
      </c>
      <c r="AI115">
        <f t="shared" si="31"/>
        <v>231618.10034538424</v>
      </c>
      <c r="AJ115">
        <v>5</v>
      </c>
      <c r="AK115">
        <v>0</v>
      </c>
      <c r="AL115" t="b">
        <v>1</v>
      </c>
      <c r="AM115" s="2">
        <f>IF('MANOVA '!M157, 1, 0)</f>
        <v>0</v>
      </c>
    </row>
    <row r="116" spans="1:39" x14ac:dyDescent="0.2">
      <c r="A116">
        <v>10</v>
      </c>
      <c r="B116">
        <v>128</v>
      </c>
      <c r="C116">
        <v>0.4</v>
      </c>
      <c r="D116">
        <v>5</v>
      </c>
      <c r="E116">
        <v>10</v>
      </c>
      <c r="F116">
        <v>3</v>
      </c>
      <c r="G116">
        <v>3</v>
      </c>
      <c r="H116">
        <v>15</v>
      </c>
      <c r="I116">
        <v>45.06</v>
      </c>
      <c r="J116">
        <v>49.35</v>
      </c>
      <c r="K116">
        <v>74751</v>
      </c>
      <c r="L116">
        <v>54535</v>
      </c>
      <c r="M116">
        <v>34123</v>
      </c>
      <c r="N116">
        <v>10058</v>
      </c>
      <c r="O116">
        <f t="shared" si="32"/>
        <v>173467</v>
      </c>
      <c r="P116">
        <v>21981</v>
      </c>
      <c r="Q116">
        <v>29042</v>
      </c>
      <c r="R116">
        <v>8506</v>
      </c>
      <c r="S116">
        <v>34040</v>
      </c>
      <c r="T116">
        <f t="shared" si="33"/>
        <v>93569</v>
      </c>
      <c r="U116">
        <f t="shared" si="34"/>
        <v>267036</v>
      </c>
      <c r="V116">
        <v>7780765.4271160904</v>
      </c>
      <c r="W116">
        <v>3812655.4955675099</v>
      </c>
      <c r="X116">
        <v>-3968109.9315485698</v>
      </c>
      <c r="Y116">
        <v>4378212.0967790196</v>
      </c>
      <c r="Z116">
        <f t="shared" si="35"/>
        <v>4053.9000896102034</v>
      </c>
      <c r="AA116">
        <v>32805878.247428901</v>
      </c>
      <c r="AB116">
        <f t="shared" si="30"/>
        <v>147111.56164766324</v>
      </c>
      <c r="AC116">
        <v>209</v>
      </c>
      <c r="AD116">
        <v>1080</v>
      </c>
      <c r="AE116">
        <v>223</v>
      </c>
      <c r="AF116">
        <v>1257977.90038673</v>
      </c>
      <c r="AG116">
        <v>569564.799999999</v>
      </c>
      <c r="AH116">
        <f t="shared" si="29"/>
        <v>688413.10038673098</v>
      </c>
      <c r="AI116">
        <f t="shared" si="31"/>
        <v>137682.62007734619</v>
      </c>
      <c r="AJ116">
        <v>5</v>
      </c>
      <c r="AK116">
        <v>9</v>
      </c>
      <c r="AL116" t="b">
        <v>1</v>
      </c>
      <c r="AM116" s="2">
        <f>IF('MANOVA '!M158, 1, 0)</f>
        <v>0</v>
      </c>
    </row>
    <row r="117" spans="1:39" x14ac:dyDescent="0.2">
      <c r="A117">
        <v>10</v>
      </c>
      <c r="B117">
        <v>128</v>
      </c>
      <c r="C117">
        <v>0.4</v>
      </c>
      <c r="D117">
        <v>5</v>
      </c>
      <c r="E117">
        <v>10</v>
      </c>
      <c r="F117">
        <v>3</v>
      </c>
      <c r="G117">
        <v>3</v>
      </c>
      <c r="H117">
        <v>15</v>
      </c>
      <c r="I117">
        <v>90.12</v>
      </c>
      <c r="J117">
        <v>98.7</v>
      </c>
      <c r="K117">
        <v>74751</v>
      </c>
      <c r="L117">
        <v>54535</v>
      </c>
      <c r="M117">
        <v>34123</v>
      </c>
      <c r="N117">
        <v>10058</v>
      </c>
      <c r="O117">
        <f t="shared" si="32"/>
        <v>173467</v>
      </c>
      <c r="P117">
        <v>21981</v>
      </c>
      <c r="Q117">
        <v>29042</v>
      </c>
      <c r="R117">
        <v>8506</v>
      </c>
      <c r="S117">
        <v>34040</v>
      </c>
      <c r="T117">
        <f t="shared" si="33"/>
        <v>93569</v>
      </c>
      <c r="U117">
        <f t="shared" si="34"/>
        <v>267036</v>
      </c>
      <c r="V117">
        <v>7780765.4271160904</v>
      </c>
      <c r="W117">
        <v>7055746.19113502</v>
      </c>
      <c r="X117">
        <v>-725019.23598106497</v>
      </c>
      <c r="Y117">
        <v>4452254.5970137101</v>
      </c>
      <c r="Z117">
        <f t="shared" si="35"/>
        <v>4122.4579601978794</v>
      </c>
      <c r="AA117">
        <v>65611756.494857803</v>
      </c>
      <c r="AB117">
        <f t="shared" si="30"/>
        <v>294223.12329532648</v>
      </c>
      <c r="AC117">
        <v>209</v>
      </c>
      <c r="AD117">
        <v>1080</v>
      </c>
      <c r="AE117">
        <v>223</v>
      </c>
      <c r="AF117">
        <v>2515955.80077346</v>
      </c>
      <c r="AG117">
        <v>569564.799999999</v>
      </c>
      <c r="AH117">
        <f t="shared" si="29"/>
        <v>1946391.0007734611</v>
      </c>
      <c r="AI117">
        <f t="shared" si="31"/>
        <v>389278.20015469223</v>
      </c>
      <c r="AJ117">
        <v>5</v>
      </c>
      <c r="AK117">
        <v>9</v>
      </c>
      <c r="AL117" t="b">
        <v>1</v>
      </c>
      <c r="AM117" s="2">
        <f>IF('MANOVA '!M159, 1, 0)</f>
        <v>0</v>
      </c>
    </row>
    <row r="118" spans="1:39" x14ac:dyDescent="0.2">
      <c r="A118">
        <v>10</v>
      </c>
      <c r="B118">
        <v>128</v>
      </c>
      <c r="C118">
        <v>0.4</v>
      </c>
      <c r="D118">
        <v>5</v>
      </c>
      <c r="E118">
        <v>10</v>
      </c>
      <c r="F118">
        <v>3</v>
      </c>
      <c r="G118">
        <v>1</v>
      </c>
      <c r="H118">
        <v>30</v>
      </c>
      <c r="I118">
        <v>45.06</v>
      </c>
      <c r="J118">
        <v>49.35</v>
      </c>
      <c r="K118">
        <v>68404</v>
      </c>
      <c r="L118">
        <v>55399</v>
      </c>
      <c r="M118">
        <v>33677</v>
      </c>
      <c r="N118">
        <v>8989</v>
      </c>
      <c r="O118">
        <f t="shared" si="32"/>
        <v>166469</v>
      </c>
      <c r="P118">
        <v>19154</v>
      </c>
      <c r="Q118">
        <v>26694</v>
      </c>
      <c r="R118">
        <v>8249</v>
      </c>
      <c r="S118">
        <v>29652</v>
      </c>
      <c r="T118">
        <f t="shared" si="33"/>
        <v>83749</v>
      </c>
      <c r="U118">
        <f t="shared" si="34"/>
        <v>250218</v>
      </c>
      <c r="V118">
        <v>7554635.3455544598</v>
      </c>
      <c r="W118">
        <v>3537001.9021616499</v>
      </c>
      <c r="X118">
        <v>-4017633.4433928099</v>
      </c>
      <c r="Y118">
        <v>4829847.0987820104</v>
      </c>
      <c r="Z118">
        <f t="shared" si="35"/>
        <v>4289.3846347975223</v>
      </c>
      <c r="AA118">
        <v>138470916.62101299</v>
      </c>
      <c r="AB118">
        <f t="shared" si="30"/>
        <v>107425.07107914118</v>
      </c>
      <c r="AC118">
        <v>332</v>
      </c>
      <c r="AD118">
        <v>1126</v>
      </c>
      <c r="AE118">
        <v>1289</v>
      </c>
      <c r="AF118">
        <v>358080.75600372802</v>
      </c>
      <c r="AG118">
        <v>569564.799999999</v>
      </c>
      <c r="AH118">
        <f t="shared" si="29"/>
        <v>-211484.04399627098</v>
      </c>
      <c r="AI118">
        <f t="shared" si="31"/>
        <v>-42296.808799254199</v>
      </c>
      <c r="AJ118">
        <v>5</v>
      </c>
      <c r="AK118">
        <v>21</v>
      </c>
      <c r="AL118" t="b">
        <v>1</v>
      </c>
      <c r="AM118" s="2">
        <f>IF('MANOVA '!M160, 1, 0)</f>
        <v>0</v>
      </c>
    </row>
    <row r="119" spans="1:39" x14ac:dyDescent="0.2">
      <c r="A119">
        <v>10</v>
      </c>
      <c r="B119">
        <v>128</v>
      </c>
      <c r="C119">
        <v>0.4</v>
      </c>
      <c r="D119">
        <v>5</v>
      </c>
      <c r="E119">
        <v>10</v>
      </c>
      <c r="F119">
        <v>3</v>
      </c>
      <c r="G119">
        <v>1</v>
      </c>
      <c r="H119">
        <v>30</v>
      </c>
      <c r="I119">
        <v>90.12</v>
      </c>
      <c r="J119">
        <v>98.7</v>
      </c>
      <c r="K119">
        <v>68404</v>
      </c>
      <c r="L119">
        <v>55399</v>
      </c>
      <c r="M119">
        <v>33677</v>
      </c>
      <c r="N119">
        <v>8989</v>
      </c>
      <c r="O119">
        <f t="shared" si="32"/>
        <v>166469</v>
      </c>
      <c r="P119">
        <v>19154</v>
      </c>
      <c r="Q119">
        <v>26694</v>
      </c>
      <c r="R119">
        <v>8249</v>
      </c>
      <c r="S119">
        <v>29652</v>
      </c>
      <c r="T119">
        <f t="shared" si="33"/>
        <v>83749</v>
      </c>
      <c r="U119">
        <f t="shared" si="34"/>
        <v>250218</v>
      </c>
      <c r="V119">
        <v>7554635.3455544598</v>
      </c>
      <c r="W119">
        <v>6504439.0043233</v>
      </c>
      <c r="X119">
        <v>-1050196.3412311601</v>
      </c>
      <c r="Y119">
        <v>5378038.2109220903</v>
      </c>
      <c r="Z119">
        <f t="shared" si="35"/>
        <v>4776.2328693801865</v>
      </c>
      <c r="AA119">
        <v>276941833.24202698</v>
      </c>
      <c r="AB119">
        <f t="shared" si="30"/>
        <v>214850.14215828315</v>
      </c>
      <c r="AC119">
        <v>332</v>
      </c>
      <c r="AD119">
        <v>1126</v>
      </c>
      <c r="AE119">
        <v>1289</v>
      </c>
      <c r="AF119">
        <v>716161.51200745697</v>
      </c>
      <c r="AG119">
        <v>569564.799999999</v>
      </c>
      <c r="AH119">
        <f t="shared" si="29"/>
        <v>146596.71200745797</v>
      </c>
      <c r="AI119">
        <f t="shared" si="31"/>
        <v>29319.342401491595</v>
      </c>
      <c r="AJ119">
        <v>5</v>
      </c>
      <c r="AK119">
        <v>21</v>
      </c>
      <c r="AL119" t="b">
        <v>1</v>
      </c>
      <c r="AM119" s="2">
        <f>IF('MANOVA '!M161, 1, 0)</f>
        <v>0</v>
      </c>
    </row>
    <row r="120" spans="1:39" x14ac:dyDescent="0.2">
      <c r="A120">
        <v>10</v>
      </c>
      <c r="B120">
        <v>128</v>
      </c>
      <c r="C120">
        <v>0.4</v>
      </c>
      <c r="D120">
        <v>5</v>
      </c>
      <c r="E120">
        <v>10</v>
      </c>
      <c r="F120">
        <v>3</v>
      </c>
      <c r="G120">
        <v>1</v>
      </c>
      <c r="H120">
        <v>15</v>
      </c>
      <c r="I120">
        <v>45.06</v>
      </c>
      <c r="J120">
        <v>49.35</v>
      </c>
      <c r="K120">
        <v>73728</v>
      </c>
      <c r="L120">
        <v>54993</v>
      </c>
      <c r="M120">
        <v>34218</v>
      </c>
      <c r="N120">
        <v>9903</v>
      </c>
      <c r="O120">
        <f t="shared" si="32"/>
        <v>172842</v>
      </c>
      <c r="P120">
        <v>21137</v>
      </c>
      <c r="Q120">
        <v>28401</v>
      </c>
      <c r="R120">
        <v>8458</v>
      </c>
      <c r="S120">
        <v>33282</v>
      </c>
      <c r="T120">
        <f t="shared" si="33"/>
        <v>91278</v>
      </c>
      <c r="U120">
        <f t="shared" si="34"/>
        <v>264120</v>
      </c>
      <c r="V120">
        <v>7649470.8212552797</v>
      </c>
      <c r="W120">
        <v>3802667.2683041901</v>
      </c>
      <c r="X120">
        <v>-3846803.5529510798</v>
      </c>
      <c r="Y120">
        <v>4015730.50242119</v>
      </c>
      <c r="Z120">
        <f t="shared" si="35"/>
        <v>4299.4973259327517</v>
      </c>
      <c r="AA120">
        <v>52322706.174108803</v>
      </c>
      <c r="AB120">
        <f t="shared" si="30"/>
        <v>139156.13344177874</v>
      </c>
      <c r="AC120">
        <v>412</v>
      </c>
      <c r="AD120">
        <v>934</v>
      </c>
      <c r="AE120">
        <v>376</v>
      </c>
      <c r="AF120">
        <v>1239530.5055007001</v>
      </c>
      <c r="AG120">
        <v>569564.799999999</v>
      </c>
      <c r="AH120">
        <f t="shared" si="29"/>
        <v>669965.70550070109</v>
      </c>
      <c r="AI120">
        <f t="shared" si="31"/>
        <v>133993.14110014023</v>
      </c>
      <c r="AJ120">
        <v>5</v>
      </c>
      <c r="AK120">
        <v>9</v>
      </c>
      <c r="AL120" t="b">
        <v>1</v>
      </c>
      <c r="AM120" s="2">
        <f>IF('MANOVA '!M162, 1, 0)</f>
        <v>0</v>
      </c>
    </row>
    <row r="121" spans="1:39" x14ac:dyDescent="0.2">
      <c r="A121">
        <v>10</v>
      </c>
      <c r="B121">
        <v>128</v>
      </c>
      <c r="C121">
        <v>0.4</v>
      </c>
      <c r="D121">
        <v>5</v>
      </c>
      <c r="E121">
        <v>10</v>
      </c>
      <c r="F121">
        <v>3</v>
      </c>
      <c r="G121">
        <v>1</v>
      </c>
      <c r="H121">
        <v>15</v>
      </c>
      <c r="I121">
        <v>90.12</v>
      </c>
      <c r="J121">
        <v>98.7</v>
      </c>
      <c r="K121">
        <v>73728</v>
      </c>
      <c r="L121">
        <v>54993</v>
      </c>
      <c r="M121">
        <v>34218</v>
      </c>
      <c r="N121">
        <v>9903</v>
      </c>
      <c r="O121">
        <f t="shared" si="32"/>
        <v>172842</v>
      </c>
      <c r="P121">
        <v>21137</v>
      </c>
      <c r="Q121">
        <v>28401</v>
      </c>
      <c r="R121">
        <v>8458</v>
      </c>
      <c r="S121">
        <v>33282</v>
      </c>
      <c r="T121">
        <f t="shared" si="33"/>
        <v>91278</v>
      </c>
      <c r="U121">
        <f t="shared" si="34"/>
        <v>264120</v>
      </c>
      <c r="V121">
        <v>7649470.8212552797</v>
      </c>
      <c r="W121">
        <v>7035769.7366083898</v>
      </c>
      <c r="X121">
        <v>-613701.08464689204</v>
      </c>
      <c r="Y121">
        <v>4408899.1403371496</v>
      </c>
      <c r="Z121">
        <f t="shared" si="35"/>
        <v>4720.4487583909522</v>
      </c>
      <c r="AA121">
        <v>104645412.348217</v>
      </c>
      <c r="AB121">
        <f t="shared" si="30"/>
        <v>278312.26688355586</v>
      </c>
      <c r="AC121">
        <v>412</v>
      </c>
      <c r="AD121">
        <v>934</v>
      </c>
      <c r="AE121">
        <v>376</v>
      </c>
      <c r="AF121">
        <v>2479061.01100141</v>
      </c>
      <c r="AG121">
        <v>569564.799999999</v>
      </c>
      <c r="AH121">
        <f t="shared" si="29"/>
        <v>1909496.2110014111</v>
      </c>
      <c r="AI121">
        <f t="shared" si="31"/>
        <v>381899.24220028223</v>
      </c>
      <c r="AJ121">
        <v>5</v>
      </c>
      <c r="AK121">
        <v>9</v>
      </c>
      <c r="AL121" t="b">
        <v>1</v>
      </c>
      <c r="AM121" s="2">
        <f>IF('MANOVA '!M163, 1, 0)</f>
        <v>0</v>
      </c>
    </row>
    <row r="122" spans="1:39" x14ac:dyDescent="0.2">
      <c r="A122">
        <v>10</v>
      </c>
      <c r="B122">
        <v>128</v>
      </c>
      <c r="C122">
        <v>0.4</v>
      </c>
      <c r="D122">
        <v>5</v>
      </c>
      <c r="E122">
        <v>10</v>
      </c>
      <c r="F122">
        <v>1</v>
      </c>
      <c r="G122">
        <v>3</v>
      </c>
      <c r="H122">
        <v>30</v>
      </c>
      <c r="I122">
        <v>45.06</v>
      </c>
      <c r="J122">
        <v>49.35</v>
      </c>
      <c r="K122">
        <v>68545</v>
      </c>
      <c r="L122">
        <v>55422</v>
      </c>
      <c r="M122">
        <v>33812</v>
      </c>
      <c r="N122">
        <v>9084</v>
      </c>
      <c r="O122">
        <f t="shared" si="32"/>
        <v>166863</v>
      </c>
      <c r="P122">
        <v>19610</v>
      </c>
      <c r="Q122">
        <v>26964</v>
      </c>
      <c r="R122">
        <v>8012</v>
      </c>
      <c r="S122">
        <v>30660</v>
      </c>
      <c r="T122">
        <f t="shared" si="33"/>
        <v>85246</v>
      </c>
      <c r="U122">
        <f t="shared" si="34"/>
        <v>252109</v>
      </c>
      <c r="V122">
        <v>7187134.7786391601</v>
      </c>
      <c r="W122">
        <v>3388395.5586859901</v>
      </c>
      <c r="X122">
        <v>-3798739.2199531598</v>
      </c>
      <c r="Y122">
        <v>5642548.1068459097</v>
      </c>
      <c r="Z122">
        <f t="shared" si="35"/>
        <v>5711.0810798035527</v>
      </c>
      <c r="AA122">
        <v>111520661.05204</v>
      </c>
      <c r="AB122">
        <f t="shared" si="30"/>
        <v>91862.159021449756</v>
      </c>
      <c r="AC122">
        <v>410</v>
      </c>
      <c r="AD122">
        <v>988</v>
      </c>
      <c r="AE122">
        <v>1214</v>
      </c>
      <c r="AF122">
        <v>846153.39772349899</v>
      </c>
      <c r="AG122">
        <v>569564.799999999</v>
      </c>
      <c r="AH122">
        <f t="shared" si="29"/>
        <v>276588.59772349999</v>
      </c>
      <c r="AI122">
        <f t="shared" si="31"/>
        <v>55317.719544699998</v>
      </c>
      <c r="AJ122">
        <v>5</v>
      </c>
      <c r="AK122">
        <v>0</v>
      </c>
      <c r="AL122" t="b">
        <v>1</v>
      </c>
      <c r="AM122" s="2">
        <f>IF('MANOVA '!M164, 1, 0)</f>
        <v>0</v>
      </c>
    </row>
    <row r="123" spans="1:39" x14ac:dyDescent="0.2">
      <c r="A123">
        <v>10</v>
      </c>
      <c r="B123">
        <v>128</v>
      </c>
      <c r="C123">
        <v>0.4</v>
      </c>
      <c r="D123">
        <v>5</v>
      </c>
      <c r="E123">
        <v>10</v>
      </c>
      <c r="F123">
        <v>1</v>
      </c>
      <c r="G123">
        <v>3</v>
      </c>
      <c r="H123">
        <v>30</v>
      </c>
      <c r="I123">
        <v>90.12</v>
      </c>
      <c r="J123">
        <v>98.7</v>
      </c>
      <c r="K123">
        <v>68545</v>
      </c>
      <c r="L123">
        <v>55422</v>
      </c>
      <c r="M123">
        <v>33812</v>
      </c>
      <c r="N123">
        <v>9084</v>
      </c>
      <c r="O123">
        <f t="shared" si="32"/>
        <v>166863</v>
      </c>
      <c r="P123">
        <v>19610</v>
      </c>
      <c r="Q123">
        <v>26964</v>
      </c>
      <c r="R123">
        <v>8012</v>
      </c>
      <c r="S123">
        <v>30660</v>
      </c>
      <c r="T123">
        <f t="shared" si="33"/>
        <v>85246</v>
      </c>
      <c r="U123">
        <f t="shared" si="34"/>
        <v>252109</v>
      </c>
      <c r="V123">
        <v>7187134.7786391601</v>
      </c>
      <c r="W123">
        <v>6207226.3173719896</v>
      </c>
      <c r="X123">
        <v>-979908.46126717096</v>
      </c>
      <c r="Y123">
        <v>7243450.7840845101</v>
      </c>
      <c r="Z123">
        <f t="shared" si="35"/>
        <v>7331.4279191138767</v>
      </c>
      <c r="AA123">
        <v>223041322.10407999</v>
      </c>
      <c r="AB123">
        <f t="shared" si="30"/>
        <v>183724.31804289951</v>
      </c>
      <c r="AC123">
        <v>410</v>
      </c>
      <c r="AD123">
        <v>988</v>
      </c>
      <c r="AE123">
        <v>1214</v>
      </c>
      <c r="AF123">
        <v>1692306.7954469901</v>
      </c>
      <c r="AG123">
        <v>569564.799999999</v>
      </c>
      <c r="AH123">
        <f t="shared" si="29"/>
        <v>1122741.9954469912</v>
      </c>
      <c r="AI123">
        <f t="shared" si="31"/>
        <v>224548.39908939824</v>
      </c>
      <c r="AJ123">
        <v>5</v>
      </c>
      <c r="AK123">
        <v>0</v>
      </c>
      <c r="AL123" t="b">
        <v>1</v>
      </c>
      <c r="AM123" s="2">
        <f>IF('MANOVA '!M165, 1, 0)</f>
        <v>0</v>
      </c>
    </row>
    <row r="124" spans="1:39" x14ac:dyDescent="0.2">
      <c r="A124">
        <v>10</v>
      </c>
      <c r="B124">
        <v>128</v>
      </c>
      <c r="C124">
        <v>0.4</v>
      </c>
      <c r="D124">
        <v>5</v>
      </c>
      <c r="E124">
        <v>10</v>
      </c>
      <c r="F124">
        <v>1</v>
      </c>
      <c r="G124">
        <v>3</v>
      </c>
      <c r="H124">
        <v>15</v>
      </c>
      <c r="I124">
        <v>45.06</v>
      </c>
      <c r="J124">
        <v>49.35</v>
      </c>
      <c r="K124">
        <v>74527</v>
      </c>
      <c r="L124">
        <v>55303</v>
      </c>
      <c r="M124">
        <v>34124</v>
      </c>
      <c r="N124">
        <v>10052</v>
      </c>
      <c r="O124">
        <f t="shared" si="32"/>
        <v>174006</v>
      </c>
      <c r="P124">
        <v>21799</v>
      </c>
      <c r="Q124">
        <v>29154</v>
      </c>
      <c r="R124">
        <v>8333</v>
      </c>
      <c r="S124">
        <v>33926</v>
      </c>
      <c r="T124">
        <f t="shared" si="33"/>
        <v>93212</v>
      </c>
      <c r="U124">
        <f t="shared" si="34"/>
        <v>267218</v>
      </c>
      <c r="V124">
        <v>6192225.1488616597</v>
      </c>
      <c r="W124">
        <v>3301841.9897032198</v>
      </c>
      <c r="X124">
        <v>-2890383.1591584301</v>
      </c>
      <c r="Y124">
        <v>3634443.2522369502</v>
      </c>
      <c r="Z124">
        <f t="shared" si="35"/>
        <v>4437.6596486409644</v>
      </c>
      <c r="AA124">
        <v>36323546.924106002</v>
      </c>
      <c r="AB124">
        <f t="shared" si="30"/>
        <v>116049.67068404473</v>
      </c>
      <c r="AC124">
        <v>239</v>
      </c>
      <c r="AD124">
        <v>819</v>
      </c>
      <c r="AE124">
        <v>313</v>
      </c>
      <c r="AF124">
        <v>1257977.90038673</v>
      </c>
      <c r="AG124">
        <v>569564.799999999</v>
      </c>
      <c r="AH124">
        <f t="shared" si="29"/>
        <v>688413.10038673098</v>
      </c>
      <c r="AI124">
        <f t="shared" si="31"/>
        <v>137682.62007734619</v>
      </c>
      <c r="AJ124">
        <v>5</v>
      </c>
      <c r="AK124">
        <v>9</v>
      </c>
      <c r="AL124" t="b">
        <v>1</v>
      </c>
      <c r="AM124" s="2">
        <f>IF('MANOVA '!M166, 1, 0)</f>
        <v>0</v>
      </c>
    </row>
    <row r="125" spans="1:39" x14ac:dyDescent="0.2">
      <c r="A125">
        <v>10</v>
      </c>
      <c r="B125">
        <v>128</v>
      </c>
      <c r="C125">
        <v>0.4</v>
      </c>
      <c r="D125">
        <v>5</v>
      </c>
      <c r="E125">
        <v>10</v>
      </c>
      <c r="F125">
        <v>1</v>
      </c>
      <c r="G125">
        <v>3</v>
      </c>
      <c r="H125">
        <v>15</v>
      </c>
      <c r="I125">
        <v>90.12</v>
      </c>
      <c r="J125">
        <v>98.7</v>
      </c>
      <c r="K125">
        <v>74527</v>
      </c>
      <c r="L125">
        <v>55303</v>
      </c>
      <c r="M125">
        <v>34124</v>
      </c>
      <c r="N125">
        <v>10052</v>
      </c>
      <c r="O125">
        <f t="shared" si="32"/>
        <v>174006</v>
      </c>
      <c r="P125">
        <v>21799</v>
      </c>
      <c r="Q125">
        <v>29154</v>
      </c>
      <c r="R125">
        <v>8333</v>
      </c>
      <c r="S125">
        <v>33926</v>
      </c>
      <c r="T125">
        <f t="shared" si="33"/>
        <v>93212</v>
      </c>
      <c r="U125">
        <f t="shared" si="34"/>
        <v>267218</v>
      </c>
      <c r="V125">
        <v>6192225.1488616597</v>
      </c>
      <c r="W125">
        <v>6034119.1794064501</v>
      </c>
      <c r="X125">
        <v>-158105.969455204</v>
      </c>
      <c r="Y125">
        <v>3745951.8065314698</v>
      </c>
      <c r="Z125">
        <f t="shared" si="35"/>
        <v>4573.8117295866541</v>
      </c>
      <c r="AA125">
        <v>72647093.848212093</v>
      </c>
      <c r="AB125">
        <f t="shared" si="30"/>
        <v>232099.34136808975</v>
      </c>
      <c r="AC125">
        <v>239</v>
      </c>
      <c r="AD125">
        <v>819</v>
      </c>
      <c r="AE125">
        <v>313</v>
      </c>
      <c r="AF125">
        <v>2515955.80077346</v>
      </c>
      <c r="AG125">
        <v>569564.799999999</v>
      </c>
      <c r="AH125">
        <f t="shared" si="29"/>
        <v>1946391.0007734611</v>
      </c>
      <c r="AI125">
        <f t="shared" si="31"/>
        <v>389278.20015469223</v>
      </c>
      <c r="AJ125">
        <v>5</v>
      </c>
      <c r="AK125">
        <v>9</v>
      </c>
      <c r="AL125" t="b">
        <v>1</v>
      </c>
      <c r="AM125" s="2">
        <f>IF('MANOVA '!M167, 1, 0)</f>
        <v>0</v>
      </c>
    </row>
    <row r="126" spans="1:39" x14ac:dyDescent="0.2">
      <c r="A126">
        <v>10</v>
      </c>
      <c r="B126">
        <v>128</v>
      </c>
      <c r="C126">
        <v>0.4</v>
      </c>
      <c r="D126">
        <v>5</v>
      </c>
      <c r="E126">
        <v>10</v>
      </c>
      <c r="F126">
        <v>1</v>
      </c>
      <c r="G126">
        <v>1</v>
      </c>
      <c r="H126">
        <v>30</v>
      </c>
      <c r="I126">
        <v>45.06</v>
      </c>
      <c r="J126">
        <v>49.35</v>
      </c>
      <c r="K126">
        <v>68637</v>
      </c>
      <c r="L126">
        <v>55486</v>
      </c>
      <c r="M126">
        <v>33606</v>
      </c>
      <c r="N126">
        <v>8965</v>
      </c>
      <c r="O126">
        <f t="shared" si="32"/>
        <v>166694</v>
      </c>
      <c r="P126">
        <v>19222</v>
      </c>
      <c r="Q126">
        <v>26819</v>
      </c>
      <c r="R126">
        <v>8001</v>
      </c>
      <c r="S126">
        <v>29823</v>
      </c>
      <c r="T126">
        <f t="shared" si="33"/>
        <v>83865</v>
      </c>
      <c r="U126">
        <f t="shared" si="34"/>
        <v>250559</v>
      </c>
      <c r="V126">
        <v>6995679.5463811997</v>
      </c>
      <c r="W126">
        <v>3307808.0953130601</v>
      </c>
      <c r="X126">
        <v>-3687871.4510681401</v>
      </c>
      <c r="Y126">
        <v>5518596.4000974298</v>
      </c>
      <c r="Z126">
        <f t="shared" si="35"/>
        <v>5485.6823062598705</v>
      </c>
      <c r="AA126">
        <v>133216435.939318</v>
      </c>
      <c r="AB126">
        <f t="shared" si="30"/>
        <v>99489.496593964155</v>
      </c>
      <c r="AC126">
        <v>405</v>
      </c>
      <c r="AD126">
        <v>1006</v>
      </c>
      <c r="AE126">
        <v>1339</v>
      </c>
      <c r="AF126">
        <v>738703.44655958703</v>
      </c>
      <c r="AG126">
        <v>569564.799999999</v>
      </c>
      <c r="AH126">
        <f t="shared" si="29"/>
        <v>169138.64655958803</v>
      </c>
      <c r="AI126">
        <f t="shared" si="31"/>
        <v>33827.729311917603</v>
      </c>
      <c r="AJ126">
        <v>5</v>
      </c>
      <c r="AK126">
        <v>0</v>
      </c>
      <c r="AL126" t="b">
        <v>1</v>
      </c>
      <c r="AM126" s="2">
        <f>IF('MANOVA '!M168, 1, 0)</f>
        <v>0</v>
      </c>
    </row>
    <row r="127" spans="1:39" x14ac:dyDescent="0.2">
      <c r="A127">
        <v>10</v>
      </c>
      <c r="B127">
        <v>128</v>
      </c>
      <c r="C127">
        <v>0.4</v>
      </c>
      <c r="D127">
        <v>5</v>
      </c>
      <c r="E127">
        <v>10</v>
      </c>
      <c r="F127">
        <v>1</v>
      </c>
      <c r="G127">
        <v>1</v>
      </c>
      <c r="H127">
        <v>30</v>
      </c>
      <c r="I127">
        <v>90.12</v>
      </c>
      <c r="J127">
        <v>98.7</v>
      </c>
      <c r="K127">
        <v>68637</v>
      </c>
      <c r="L127">
        <v>55486</v>
      </c>
      <c r="M127">
        <v>33606</v>
      </c>
      <c r="N127">
        <v>8965</v>
      </c>
      <c r="O127">
        <f t="shared" si="32"/>
        <v>166694</v>
      </c>
      <c r="P127">
        <v>19222</v>
      </c>
      <c r="Q127">
        <v>26819</v>
      </c>
      <c r="R127">
        <v>8001</v>
      </c>
      <c r="S127">
        <v>29823</v>
      </c>
      <c r="T127">
        <f t="shared" si="33"/>
        <v>83865</v>
      </c>
      <c r="U127">
        <f t="shared" si="34"/>
        <v>250559</v>
      </c>
      <c r="V127">
        <v>6995679.5463811997</v>
      </c>
      <c r="W127">
        <v>6046051.3906261204</v>
      </c>
      <c r="X127">
        <v>-949628.15575508296</v>
      </c>
      <c r="Y127">
        <v>6979706.49288557</v>
      </c>
      <c r="Z127">
        <f t="shared" si="35"/>
        <v>6938.0780247371467</v>
      </c>
      <c r="AA127">
        <v>266432871.878636</v>
      </c>
      <c r="AB127">
        <f t="shared" si="30"/>
        <v>198978.99318792831</v>
      </c>
      <c r="AC127">
        <v>405</v>
      </c>
      <c r="AD127">
        <v>1006</v>
      </c>
      <c r="AE127">
        <v>1339</v>
      </c>
      <c r="AF127">
        <v>1477406.8931191701</v>
      </c>
      <c r="AG127">
        <v>569564.799999999</v>
      </c>
      <c r="AH127">
        <f t="shared" si="29"/>
        <v>907842.0931191711</v>
      </c>
      <c r="AI127">
        <f t="shared" si="31"/>
        <v>181568.41862383421</v>
      </c>
      <c r="AJ127">
        <v>5</v>
      </c>
      <c r="AK127">
        <v>0</v>
      </c>
      <c r="AL127" t="b">
        <v>1</v>
      </c>
      <c r="AM127" s="2">
        <f>IF('MANOVA '!M169, 1, 0)</f>
        <v>0</v>
      </c>
    </row>
    <row r="128" spans="1:39" x14ac:dyDescent="0.2">
      <c r="A128">
        <v>10</v>
      </c>
      <c r="B128">
        <v>128</v>
      </c>
      <c r="C128">
        <v>0.4</v>
      </c>
      <c r="D128">
        <v>5</v>
      </c>
      <c r="E128">
        <v>10</v>
      </c>
      <c r="F128">
        <v>1</v>
      </c>
      <c r="G128">
        <v>1</v>
      </c>
      <c r="H128">
        <v>15</v>
      </c>
      <c r="I128">
        <v>45.06</v>
      </c>
      <c r="J128">
        <v>49.35</v>
      </c>
      <c r="K128">
        <v>73081</v>
      </c>
      <c r="L128">
        <v>55052</v>
      </c>
      <c r="M128">
        <v>34069</v>
      </c>
      <c r="N128">
        <v>9798</v>
      </c>
      <c r="O128">
        <f t="shared" si="32"/>
        <v>172000</v>
      </c>
      <c r="P128">
        <v>21322</v>
      </c>
      <c r="Q128">
        <v>28554</v>
      </c>
      <c r="R128">
        <v>8273</v>
      </c>
      <c r="S128">
        <v>33305</v>
      </c>
      <c r="T128">
        <f t="shared" si="33"/>
        <v>91454</v>
      </c>
      <c r="U128">
        <f t="shared" si="34"/>
        <v>263454</v>
      </c>
      <c r="V128">
        <v>6627479.4327770397</v>
      </c>
      <c r="W128">
        <v>3278450.5067463201</v>
      </c>
      <c r="X128">
        <v>-3349028.9260307201</v>
      </c>
      <c r="Y128">
        <v>3876456.8729921002</v>
      </c>
      <c r="Z128">
        <f t="shared" si="35"/>
        <v>4582.1003226856974</v>
      </c>
      <c r="AA128">
        <v>55984490.432678401</v>
      </c>
      <c r="AB128">
        <f t="shared" si="30"/>
        <v>121178.55072008312</v>
      </c>
      <c r="AC128">
        <v>283</v>
      </c>
      <c r="AD128">
        <v>846</v>
      </c>
      <c r="AE128">
        <v>462</v>
      </c>
      <c r="AF128">
        <v>1226789.2564441899</v>
      </c>
      <c r="AG128">
        <v>569564.799999999</v>
      </c>
      <c r="AH128">
        <f t="shared" si="29"/>
        <v>657224.45644419093</v>
      </c>
      <c r="AI128">
        <f t="shared" si="31"/>
        <v>131444.89128883817</v>
      </c>
      <c r="AJ128">
        <v>5</v>
      </c>
      <c r="AK128">
        <v>9</v>
      </c>
      <c r="AL128" t="b">
        <v>1</v>
      </c>
      <c r="AM128" s="2">
        <f>IF('MANOVA '!M170, 1, 0)</f>
        <v>0</v>
      </c>
    </row>
    <row r="129" spans="1:39" x14ac:dyDescent="0.2">
      <c r="A129">
        <v>10</v>
      </c>
      <c r="B129">
        <v>128</v>
      </c>
      <c r="C129">
        <v>0.4</v>
      </c>
      <c r="D129">
        <v>5</v>
      </c>
      <c r="E129">
        <v>10</v>
      </c>
      <c r="F129">
        <v>1</v>
      </c>
      <c r="G129">
        <v>1</v>
      </c>
      <c r="H129">
        <v>15</v>
      </c>
      <c r="I129">
        <v>90.12</v>
      </c>
      <c r="J129">
        <v>98.7</v>
      </c>
      <c r="K129">
        <v>73081</v>
      </c>
      <c r="L129">
        <v>55052</v>
      </c>
      <c r="M129">
        <v>34069</v>
      </c>
      <c r="N129">
        <v>9798</v>
      </c>
      <c r="O129">
        <f t="shared" si="32"/>
        <v>172000</v>
      </c>
      <c r="P129">
        <v>21322</v>
      </c>
      <c r="Q129">
        <v>28554</v>
      </c>
      <c r="R129">
        <v>8273</v>
      </c>
      <c r="S129">
        <v>33305</v>
      </c>
      <c r="T129">
        <f t="shared" si="33"/>
        <v>91454</v>
      </c>
      <c r="U129">
        <f t="shared" si="34"/>
        <v>263454</v>
      </c>
      <c r="V129">
        <v>6627479.4327770397</v>
      </c>
      <c r="W129">
        <v>5987336.2134926496</v>
      </c>
      <c r="X129">
        <v>-640143.21928439499</v>
      </c>
      <c r="Y129">
        <v>4093954.9183850298</v>
      </c>
      <c r="Z129">
        <f t="shared" si="35"/>
        <v>4839.1902108570093</v>
      </c>
      <c r="AA129">
        <v>111968980.865356</v>
      </c>
      <c r="AB129">
        <f t="shared" si="30"/>
        <v>242357.10144016449</v>
      </c>
      <c r="AC129">
        <v>283</v>
      </c>
      <c r="AD129">
        <v>846</v>
      </c>
      <c r="AE129">
        <v>462</v>
      </c>
      <c r="AF129">
        <v>2453578.5128883799</v>
      </c>
      <c r="AG129">
        <v>569564.799999999</v>
      </c>
      <c r="AH129">
        <f t="shared" si="29"/>
        <v>1884013.712888381</v>
      </c>
      <c r="AI129">
        <f t="shared" si="31"/>
        <v>376802.7425776762</v>
      </c>
      <c r="AJ129">
        <v>5</v>
      </c>
      <c r="AK129">
        <v>9</v>
      </c>
      <c r="AL129" t="b">
        <v>1</v>
      </c>
      <c r="AM129" s="2">
        <f>IF('MANOVA '!M171, 1, 0)</f>
        <v>0</v>
      </c>
    </row>
    <row r="130" spans="1:39" x14ac:dyDescent="0.2">
      <c r="A130">
        <v>10</v>
      </c>
      <c r="B130">
        <v>198</v>
      </c>
      <c r="C130">
        <v>0.4</v>
      </c>
      <c r="D130">
        <v>30</v>
      </c>
      <c r="E130">
        <v>15</v>
      </c>
      <c r="F130">
        <v>3</v>
      </c>
      <c r="G130">
        <v>3</v>
      </c>
      <c r="H130">
        <v>30</v>
      </c>
      <c r="I130">
        <v>45.06</v>
      </c>
      <c r="J130">
        <v>49.35</v>
      </c>
      <c r="K130">
        <v>81327</v>
      </c>
      <c r="L130">
        <v>98501</v>
      </c>
      <c r="M130">
        <v>27633</v>
      </c>
      <c r="N130">
        <v>12131</v>
      </c>
      <c r="O130">
        <f t="shared" si="32"/>
        <v>219592</v>
      </c>
      <c r="P130">
        <v>26339</v>
      </c>
      <c r="Q130">
        <v>41968</v>
      </c>
      <c r="R130">
        <v>3537</v>
      </c>
      <c r="S130">
        <v>38051</v>
      </c>
      <c r="T130">
        <f t="shared" si="33"/>
        <v>109895</v>
      </c>
      <c r="U130">
        <f t="shared" si="34"/>
        <v>329487</v>
      </c>
      <c r="V130">
        <v>39851833.748984098</v>
      </c>
      <c r="W130">
        <v>14738333.6806088</v>
      </c>
      <c r="X130">
        <v>-25113500.0683752</v>
      </c>
      <c r="Y130">
        <v>18435799.055436</v>
      </c>
      <c r="Z130">
        <f t="shared" si="35"/>
        <v>3707.9241865317781</v>
      </c>
      <c r="AA130">
        <v>0</v>
      </c>
      <c r="AB130">
        <v>0</v>
      </c>
      <c r="AC130">
        <v>3160</v>
      </c>
      <c r="AD130">
        <v>4972</v>
      </c>
      <c r="AE130">
        <v>0</v>
      </c>
      <c r="AF130">
        <v>5063276.17728817</v>
      </c>
      <c r="AG130">
        <v>5017677.3</v>
      </c>
      <c r="AH130" s="2">
        <f t="shared" ref="AH130" si="36">AF130-AG130</f>
        <v>45598.877288170159</v>
      </c>
      <c r="AI130" s="2">
        <f t="shared" ref="AI130:AI161" si="37">AH130/D130</f>
        <v>1519.9625762723385</v>
      </c>
      <c r="AJ130">
        <v>30</v>
      </c>
      <c r="AK130">
        <v>488</v>
      </c>
      <c r="AL130" t="b">
        <v>1</v>
      </c>
      <c r="AM130" s="2">
        <f>IF('MANOVA '!M172, 1, 0)</f>
        <v>0</v>
      </c>
    </row>
    <row r="131" spans="1:39" x14ac:dyDescent="0.2">
      <c r="A131">
        <v>10</v>
      </c>
      <c r="B131">
        <v>198</v>
      </c>
      <c r="C131">
        <v>0.4</v>
      </c>
      <c r="D131">
        <v>30</v>
      </c>
      <c r="E131">
        <v>15</v>
      </c>
      <c r="F131">
        <v>3</v>
      </c>
      <c r="G131">
        <v>3</v>
      </c>
      <c r="H131">
        <v>30</v>
      </c>
      <c r="I131">
        <v>90.12</v>
      </c>
      <c r="J131">
        <v>98.7</v>
      </c>
      <c r="K131">
        <v>81327</v>
      </c>
      <c r="L131">
        <v>98501</v>
      </c>
      <c r="M131">
        <v>27633</v>
      </c>
      <c r="N131">
        <v>12131</v>
      </c>
      <c r="O131">
        <f t="shared" si="32"/>
        <v>219592</v>
      </c>
      <c r="P131">
        <v>26339</v>
      </c>
      <c r="Q131">
        <v>41968</v>
      </c>
      <c r="R131">
        <v>3537</v>
      </c>
      <c r="S131">
        <v>38051</v>
      </c>
      <c r="T131">
        <f t="shared" si="33"/>
        <v>109895</v>
      </c>
      <c r="U131">
        <f t="shared" si="34"/>
        <v>329487</v>
      </c>
      <c r="V131">
        <v>39851833.748984098</v>
      </c>
      <c r="W131">
        <v>24458990.061217699</v>
      </c>
      <c r="X131">
        <v>-15392843.687766301</v>
      </c>
      <c r="Y131">
        <v>18435799.055436</v>
      </c>
      <c r="Z131">
        <f t="shared" si="35"/>
        <v>3707.9241865317781</v>
      </c>
      <c r="AA131">
        <v>0</v>
      </c>
      <c r="AB131">
        <v>0</v>
      </c>
      <c r="AC131">
        <v>3160</v>
      </c>
      <c r="AD131">
        <v>4972</v>
      </c>
      <c r="AE131">
        <v>0</v>
      </c>
      <c r="AF131">
        <v>10126552.354576301</v>
      </c>
      <c r="AG131">
        <v>5017677.3</v>
      </c>
      <c r="AH131" s="2">
        <f>AF131-AG131</f>
        <v>5108875.054576301</v>
      </c>
      <c r="AI131" s="2">
        <f t="shared" si="37"/>
        <v>170295.83515254335</v>
      </c>
      <c r="AJ131">
        <v>30</v>
      </c>
      <c r="AK131">
        <v>488</v>
      </c>
      <c r="AL131" t="b">
        <v>1</v>
      </c>
      <c r="AM131" s="2">
        <f>IF('MANOVA '!M173, 1, 0)</f>
        <v>0</v>
      </c>
    </row>
    <row r="132" spans="1:39" x14ac:dyDescent="0.2">
      <c r="A132">
        <v>10</v>
      </c>
      <c r="B132">
        <v>199</v>
      </c>
      <c r="C132">
        <v>0.4</v>
      </c>
      <c r="D132">
        <v>30</v>
      </c>
      <c r="E132">
        <v>15</v>
      </c>
      <c r="F132">
        <v>3</v>
      </c>
      <c r="G132">
        <v>3</v>
      </c>
      <c r="H132">
        <v>15</v>
      </c>
      <c r="I132">
        <v>45.06</v>
      </c>
      <c r="J132">
        <v>49.35</v>
      </c>
      <c r="K132">
        <v>88465</v>
      </c>
      <c r="L132">
        <v>95056</v>
      </c>
      <c r="M132">
        <v>27040</v>
      </c>
      <c r="N132">
        <v>12179</v>
      </c>
      <c r="O132">
        <f t="shared" ref="O132:O192" si="38">SUM(K132:N132)</f>
        <v>222740</v>
      </c>
      <c r="P132">
        <v>25609</v>
      </c>
      <c r="Q132">
        <v>39900</v>
      </c>
      <c r="R132">
        <v>3255</v>
      </c>
      <c r="S132">
        <v>38124</v>
      </c>
      <c r="T132">
        <f t="shared" ref="T132:T192" si="39">SUM(P132:S132)</f>
        <v>106888</v>
      </c>
      <c r="U132">
        <f t="shared" ref="U132:U192" si="40">O132+T132</f>
        <v>329628</v>
      </c>
      <c r="V132">
        <v>30410778.9955476</v>
      </c>
      <c r="W132">
        <v>14022266.871186299</v>
      </c>
      <c r="X132">
        <v>-16388512.1243612</v>
      </c>
      <c r="Y132">
        <v>9784023.2870957498</v>
      </c>
      <c r="Z132">
        <f t="shared" ref="Z132:Z192" si="41">Y132/AD132</f>
        <v>3853.4947960203817</v>
      </c>
      <c r="AA132">
        <v>0</v>
      </c>
      <c r="AB132">
        <v>0</v>
      </c>
      <c r="AC132">
        <v>3179</v>
      </c>
      <c r="AD132">
        <v>2539</v>
      </c>
      <c r="AE132">
        <v>0</v>
      </c>
      <c r="AF132">
        <v>5283522.7435954604</v>
      </c>
      <c r="AG132">
        <v>5017677.3</v>
      </c>
      <c r="AH132" s="2">
        <f t="shared" ref="AH132:AH160" si="42">AF132-AG132</f>
        <v>265845.44359546062</v>
      </c>
      <c r="AI132" s="2">
        <f t="shared" si="37"/>
        <v>8861.514786515354</v>
      </c>
      <c r="AJ132">
        <v>30</v>
      </c>
      <c r="AK132">
        <v>507</v>
      </c>
      <c r="AL132" t="b">
        <v>1</v>
      </c>
      <c r="AM132" s="2">
        <f>IF('MANOVA '!M174, 1, 0)</f>
        <v>0</v>
      </c>
    </row>
    <row r="133" spans="1:39" x14ac:dyDescent="0.2">
      <c r="A133">
        <v>10</v>
      </c>
      <c r="B133">
        <v>199</v>
      </c>
      <c r="C133">
        <v>0.4</v>
      </c>
      <c r="D133">
        <v>30</v>
      </c>
      <c r="E133">
        <v>15</v>
      </c>
      <c r="F133">
        <v>3</v>
      </c>
      <c r="G133">
        <v>3</v>
      </c>
      <c r="H133">
        <v>15</v>
      </c>
      <c r="I133">
        <v>90.12</v>
      </c>
      <c r="J133">
        <v>98.7</v>
      </c>
      <c r="K133">
        <v>88465</v>
      </c>
      <c r="L133">
        <v>95056</v>
      </c>
      <c r="M133">
        <v>27040</v>
      </c>
      <c r="N133">
        <v>12179</v>
      </c>
      <c r="O133">
        <f>SUM(K133:N133)</f>
        <v>222740</v>
      </c>
      <c r="P133">
        <v>25609</v>
      </c>
      <c r="Q133">
        <v>39900</v>
      </c>
      <c r="R133">
        <v>3255</v>
      </c>
      <c r="S133">
        <v>38124</v>
      </c>
      <c r="T133">
        <f>SUM(P133:S133)</f>
        <v>106888</v>
      </c>
      <c r="U133">
        <f>O133+T133</f>
        <v>329628</v>
      </c>
      <c r="V133">
        <v>30410778.9955476</v>
      </c>
      <c r="W133">
        <v>23026856.442372698</v>
      </c>
      <c r="X133">
        <v>-7383922.5531748896</v>
      </c>
      <c r="Y133">
        <v>9784023.2870957498</v>
      </c>
      <c r="Z133">
        <f>Y133/AD133</f>
        <v>3853.4947960203817</v>
      </c>
      <c r="AA133">
        <v>0</v>
      </c>
      <c r="AB133">
        <v>0</v>
      </c>
      <c r="AC133">
        <v>3179</v>
      </c>
      <c r="AD133">
        <v>2539</v>
      </c>
      <c r="AE133">
        <v>0</v>
      </c>
      <c r="AF133">
        <v>10567045.4871909</v>
      </c>
      <c r="AG133">
        <v>5017677.3</v>
      </c>
      <c r="AH133" s="2">
        <f>AF133-AG133</f>
        <v>5549368.1871909006</v>
      </c>
      <c r="AI133" s="2">
        <f t="shared" si="37"/>
        <v>184978.93957303002</v>
      </c>
      <c r="AJ133">
        <v>30</v>
      </c>
      <c r="AK133">
        <v>507</v>
      </c>
      <c r="AL133" t="b">
        <v>1</v>
      </c>
      <c r="AM133" s="2">
        <f>IF('MANOVA '!M175, 1, 0)</f>
        <v>0</v>
      </c>
    </row>
    <row r="134" spans="1:39" x14ac:dyDescent="0.2">
      <c r="A134">
        <v>10</v>
      </c>
      <c r="B134">
        <v>200</v>
      </c>
      <c r="C134">
        <v>0.4</v>
      </c>
      <c r="D134">
        <v>30</v>
      </c>
      <c r="E134">
        <v>15</v>
      </c>
      <c r="F134">
        <v>3</v>
      </c>
      <c r="G134">
        <v>1</v>
      </c>
      <c r="H134">
        <v>30</v>
      </c>
      <c r="I134">
        <v>45.06</v>
      </c>
      <c r="J134">
        <v>49.35</v>
      </c>
      <c r="K134">
        <v>88664</v>
      </c>
      <c r="L134">
        <v>95601</v>
      </c>
      <c r="M134">
        <v>27230</v>
      </c>
      <c r="N134">
        <v>12303</v>
      </c>
      <c r="O134">
        <f t="shared" si="38"/>
        <v>223798</v>
      </c>
      <c r="P134">
        <v>24905</v>
      </c>
      <c r="Q134">
        <v>40165</v>
      </c>
      <c r="R134">
        <v>3485</v>
      </c>
      <c r="S134">
        <v>38161</v>
      </c>
      <c r="T134">
        <f t="shared" si="39"/>
        <v>106716</v>
      </c>
      <c r="U134">
        <f t="shared" si="40"/>
        <v>330514</v>
      </c>
      <c r="V134">
        <v>39128362.053837001</v>
      </c>
      <c r="W134">
        <v>11827968.984556301</v>
      </c>
      <c r="X134">
        <v>-27300393.069280598</v>
      </c>
      <c r="Y134">
        <v>19211092.6403706</v>
      </c>
      <c r="Z134">
        <f t="shared" si="41"/>
        <v>3817.7847059560017</v>
      </c>
      <c r="AA134">
        <v>0</v>
      </c>
      <c r="AB134">
        <v>0</v>
      </c>
      <c r="AC134">
        <v>3210</v>
      </c>
      <c r="AD134">
        <v>5032</v>
      </c>
      <c r="AE134">
        <v>0</v>
      </c>
      <c r="AF134">
        <v>3290091.3893891699</v>
      </c>
      <c r="AG134">
        <v>5017677.3</v>
      </c>
      <c r="AH134" s="2">
        <f t="shared" si="42"/>
        <v>-1727585.9106108299</v>
      </c>
      <c r="AI134" s="2">
        <f t="shared" si="37"/>
        <v>-57586.197020360996</v>
      </c>
      <c r="AJ134">
        <v>30</v>
      </c>
      <c r="AK134">
        <v>617</v>
      </c>
      <c r="AL134" t="b">
        <v>1</v>
      </c>
      <c r="AM134" s="2">
        <f>IF('MANOVA '!M176, 1, 0)</f>
        <v>0</v>
      </c>
    </row>
    <row r="135" spans="1:39" x14ac:dyDescent="0.2">
      <c r="A135">
        <v>10</v>
      </c>
      <c r="B135">
        <v>200</v>
      </c>
      <c r="C135">
        <v>0.4</v>
      </c>
      <c r="D135">
        <v>30</v>
      </c>
      <c r="E135">
        <v>15</v>
      </c>
      <c r="F135">
        <v>3</v>
      </c>
      <c r="G135">
        <v>1</v>
      </c>
      <c r="H135">
        <v>30</v>
      </c>
      <c r="I135">
        <v>90.12</v>
      </c>
      <c r="J135">
        <v>98.7</v>
      </c>
      <c r="K135">
        <v>88664</v>
      </c>
      <c r="L135">
        <v>95601</v>
      </c>
      <c r="M135">
        <v>27230</v>
      </c>
      <c r="N135">
        <v>12303</v>
      </c>
      <c r="O135">
        <f>SUM(K135:N135)</f>
        <v>223798</v>
      </c>
      <c r="P135">
        <v>24905</v>
      </c>
      <c r="Q135">
        <v>40165</v>
      </c>
      <c r="R135">
        <v>3485</v>
      </c>
      <c r="S135">
        <v>38161</v>
      </c>
      <c r="T135">
        <f>SUM(P135:S135)</f>
        <v>106716</v>
      </c>
      <c r="U135">
        <f>O135+T135</f>
        <v>330514</v>
      </c>
      <c r="V135">
        <v>39128362.053837001</v>
      </c>
      <c r="W135">
        <v>18638260.669112701</v>
      </c>
      <c r="X135">
        <v>-20490101.3847243</v>
      </c>
      <c r="Y135">
        <v>19211092.6403706</v>
      </c>
      <c r="Z135">
        <f>Y135/AD135</f>
        <v>3817.7847059560017</v>
      </c>
      <c r="AA135">
        <v>0</v>
      </c>
      <c r="AB135">
        <v>0</v>
      </c>
      <c r="AC135">
        <v>3210</v>
      </c>
      <c r="AD135">
        <v>5032</v>
      </c>
      <c r="AE135">
        <v>0</v>
      </c>
      <c r="AF135">
        <v>6580182.7787783397</v>
      </c>
      <c r="AG135">
        <v>5017677.3</v>
      </c>
      <c r="AH135" s="2">
        <f>AF135-AG135</f>
        <v>1562505.4787783399</v>
      </c>
      <c r="AI135" s="2">
        <f t="shared" si="37"/>
        <v>52083.515959277996</v>
      </c>
      <c r="AJ135">
        <v>30</v>
      </c>
      <c r="AK135">
        <v>617</v>
      </c>
      <c r="AL135" t="b">
        <v>1</v>
      </c>
      <c r="AM135" s="2">
        <f>IF('MANOVA '!M177, 1, 0)</f>
        <v>0</v>
      </c>
    </row>
    <row r="136" spans="1:39" x14ac:dyDescent="0.2">
      <c r="A136">
        <v>10</v>
      </c>
      <c r="B136">
        <v>199</v>
      </c>
      <c r="C136">
        <v>0.4</v>
      </c>
      <c r="D136">
        <v>30</v>
      </c>
      <c r="E136">
        <v>15</v>
      </c>
      <c r="F136">
        <v>3</v>
      </c>
      <c r="G136">
        <v>1</v>
      </c>
      <c r="H136">
        <v>15</v>
      </c>
      <c r="I136">
        <v>45.06</v>
      </c>
      <c r="J136">
        <v>49.35</v>
      </c>
      <c r="K136">
        <v>88564</v>
      </c>
      <c r="L136">
        <v>94855</v>
      </c>
      <c r="M136">
        <v>27132</v>
      </c>
      <c r="N136">
        <v>12181</v>
      </c>
      <c r="O136">
        <f t="shared" si="38"/>
        <v>222732</v>
      </c>
      <c r="P136">
        <v>25528</v>
      </c>
      <c r="Q136">
        <v>39923</v>
      </c>
      <c r="R136">
        <v>3287</v>
      </c>
      <c r="S136">
        <v>38211</v>
      </c>
      <c r="T136">
        <f t="shared" si="39"/>
        <v>106949</v>
      </c>
      <c r="U136">
        <f t="shared" si="40"/>
        <v>329681</v>
      </c>
      <c r="V136">
        <v>29824650.015843101</v>
      </c>
      <c r="W136">
        <v>13121796.9038372</v>
      </c>
      <c r="X136">
        <v>-16702853.112005901</v>
      </c>
      <c r="Y136">
        <v>9567914.8420090303</v>
      </c>
      <c r="Z136">
        <f t="shared" si="41"/>
        <v>3765.4131609638057</v>
      </c>
      <c r="AA136">
        <v>0</v>
      </c>
      <c r="AB136">
        <v>0</v>
      </c>
      <c r="AC136">
        <v>3188</v>
      </c>
      <c r="AD136">
        <v>2541</v>
      </c>
      <c r="AE136">
        <v>0</v>
      </c>
      <c r="AF136">
        <v>5098514.9280688502</v>
      </c>
      <c r="AG136">
        <v>5017677.3</v>
      </c>
      <c r="AH136" s="2">
        <f t="shared" si="42"/>
        <v>80837.628068850376</v>
      </c>
      <c r="AI136" s="2">
        <f t="shared" si="37"/>
        <v>2694.5876022950124</v>
      </c>
      <c r="AJ136">
        <v>30</v>
      </c>
      <c r="AK136">
        <v>566</v>
      </c>
      <c r="AL136" t="b">
        <v>1</v>
      </c>
      <c r="AM136" s="2">
        <f>IF('MANOVA '!M178, 1, 0)</f>
        <v>0</v>
      </c>
    </row>
    <row r="137" spans="1:39" x14ac:dyDescent="0.2">
      <c r="A137">
        <v>10</v>
      </c>
      <c r="B137">
        <v>199</v>
      </c>
      <c r="C137">
        <v>0.4</v>
      </c>
      <c r="D137">
        <v>30</v>
      </c>
      <c r="E137">
        <v>15</v>
      </c>
      <c r="F137">
        <v>3</v>
      </c>
      <c r="G137">
        <v>1</v>
      </c>
      <c r="H137">
        <v>15</v>
      </c>
      <c r="I137">
        <v>90.12</v>
      </c>
      <c r="J137">
        <v>98.7</v>
      </c>
      <c r="K137">
        <v>88564</v>
      </c>
      <c r="L137">
        <v>94855</v>
      </c>
      <c r="M137">
        <v>27132</v>
      </c>
      <c r="N137">
        <v>12181</v>
      </c>
      <c r="O137">
        <f>SUM(K137:N137)</f>
        <v>222732</v>
      </c>
      <c r="P137">
        <v>25528</v>
      </c>
      <c r="Q137">
        <v>39923</v>
      </c>
      <c r="R137">
        <v>3287</v>
      </c>
      <c r="S137">
        <v>38211</v>
      </c>
      <c r="T137">
        <f>SUM(P137:S137)</f>
        <v>106949</v>
      </c>
      <c r="U137">
        <f>O137+T137</f>
        <v>329681</v>
      </c>
      <c r="V137">
        <v>29824650.015843101</v>
      </c>
      <c r="W137">
        <v>21225916.5076744</v>
      </c>
      <c r="X137">
        <v>-8598733.5081687197</v>
      </c>
      <c r="Y137">
        <v>9567914.8420090303</v>
      </c>
      <c r="Z137">
        <f>Y137/AD137</f>
        <v>3765.4131609638057</v>
      </c>
      <c r="AA137">
        <v>0</v>
      </c>
      <c r="AB137">
        <v>0</v>
      </c>
      <c r="AC137">
        <v>3188</v>
      </c>
      <c r="AD137">
        <v>2541</v>
      </c>
      <c r="AE137">
        <v>0</v>
      </c>
      <c r="AF137">
        <v>10197029.8561377</v>
      </c>
      <c r="AG137">
        <v>5017677.3</v>
      </c>
      <c r="AH137" s="2">
        <f>AF137-AG137</f>
        <v>5179352.5561377006</v>
      </c>
      <c r="AI137" s="2">
        <f t="shared" si="37"/>
        <v>172645.08520459002</v>
      </c>
      <c r="AJ137">
        <v>30</v>
      </c>
      <c r="AK137">
        <v>566</v>
      </c>
      <c r="AL137" t="b">
        <v>1</v>
      </c>
      <c r="AM137" s="2">
        <f>IF('MANOVA '!M179, 1, 0)</f>
        <v>0</v>
      </c>
    </row>
    <row r="138" spans="1:39" x14ac:dyDescent="0.2">
      <c r="A138">
        <v>10</v>
      </c>
      <c r="B138">
        <v>203</v>
      </c>
      <c r="C138">
        <v>0.4</v>
      </c>
      <c r="D138">
        <v>30</v>
      </c>
      <c r="E138">
        <v>15</v>
      </c>
      <c r="F138">
        <v>1</v>
      </c>
      <c r="G138">
        <v>3</v>
      </c>
      <c r="H138">
        <v>30</v>
      </c>
      <c r="I138">
        <v>45.06</v>
      </c>
      <c r="J138">
        <v>49.35</v>
      </c>
      <c r="K138">
        <v>75689</v>
      </c>
      <c r="L138">
        <v>102882</v>
      </c>
      <c r="M138">
        <v>26894</v>
      </c>
      <c r="N138">
        <v>12339</v>
      </c>
      <c r="O138">
        <f t="shared" si="38"/>
        <v>217804</v>
      </c>
      <c r="P138">
        <v>22854</v>
      </c>
      <c r="Q138">
        <v>36886</v>
      </c>
      <c r="R138">
        <v>4278</v>
      </c>
      <c r="S138">
        <v>38183</v>
      </c>
      <c r="T138">
        <f t="shared" si="39"/>
        <v>102201</v>
      </c>
      <c r="U138">
        <f t="shared" si="40"/>
        <v>320005</v>
      </c>
      <c r="V138">
        <v>38838883.915863097</v>
      </c>
      <c r="W138">
        <v>10438459.8568593</v>
      </c>
      <c r="X138">
        <v>-28400424.0590038</v>
      </c>
      <c r="Y138">
        <v>19792475.973113898</v>
      </c>
      <c r="Z138">
        <f t="shared" si="41"/>
        <v>3926.2995384078354</v>
      </c>
      <c r="AA138">
        <v>0</v>
      </c>
      <c r="AB138">
        <v>0</v>
      </c>
      <c r="AC138">
        <v>3246</v>
      </c>
      <c r="AD138">
        <v>5041</v>
      </c>
      <c r="AE138">
        <v>0</v>
      </c>
      <c r="AF138">
        <v>1503045.2258701299</v>
      </c>
      <c r="AG138">
        <v>5017677.3</v>
      </c>
      <c r="AH138" s="2">
        <f t="shared" si="42"/>
        <v>-3514632.0741298702</v>
      </c>
      <c r="AI138" s="2">
        <f t="shared" si="37"/>
        <v>-117154.40247099567</v>
      </c>
      <c r="AJ138">
        <v>30</v>
      </c>
      <c r="AK138">
        <v>648</v>
      </c>
      <c r="AL138" t="b">
        <v>1</v>
      </c>
      <c r="AM138" s="2">
        <f>IF('MANOVA '!M180, 1, 0)</f>
        <v>0</v>
      </c>
    </row>
    <row r="139" spans="1:39" x14ac:dyDescent="0.2">
      <c r="A139">
        <v>10</v>
      </c>
      <c r="B139">
        <v>203</v>
      </c>
      <c r="C139">
        <v>0.4</v>
      </c>
      <c r="D139">
        <v>30</v>
      </c>
      <c r="E139">
        <v>15</v>
      </c>
      <c r="F139">
        <v>1</v>
      </c>
      <c r="G139">
        <v>3</v>
      </c>
      <c r="H139">
        <v>30</v>
      </c>
      <c r="I139">
        <v>90.12</v>
      </c>
      <c r="J139">
        <v>98.7</v>
      </c>
      <c r="K139">
        <v>75689</v>
      </c>
      <c r="L139">
        <v>102882</v>
      </c>
      <c r="M139">
        <v>26894</v>
      </c>
      <c r="N139">
        <v>12339</v>
      </c>
      <c r="O139">
        <f>SUM(K139:N139)</f>
        <v>217804</v>
      </c>
      <c r="P139">
        <v>22854</v>
      </c>
      <c r="Q139">
        <v>36886</v>
      </c>
      <c r="R139">
        <v>4278</v>
      </c>
      <c r="S139">
        <v>38183</v>
      </c>
      <c r="T139">
        <f>SUM(P139:S139)</f>
        <v>102201</v>
      </c>
      <c r="U139">
        <f>O139+T139</f>
        <v>320005</v>
      </c>
      <c r="V139">
        <v>38838883.915863097</v>
      </c>
      <c r="W139">
        <v>15859242.4137186</v>
      </c>
      <c r="X139">
        <v>-22979641.5021444</v>
      </c>
      <c r="Y139">
        <v>19792475.973113898</v>
      </c>
      <c r="Z139">
        <f>Y139/AD139</f>
        <v>3926.2995384078354</v>
      </c>
      <c r="AA139">
        <v>0</v>
      </c>
      <c r="AB139">
        <v>0</v>
      </c>
      <c r="AC139">
        <v>3246</v>
      </c>
      <c r="AD139">
        <v>5041</v>
      </c>
      <c r="AE139">
        <v>0</v>
      </c>
      <c r="AF139">
        <v>3006090.4517402598</v>
      </c>
      <c r="AG139">
        <v>5017677.3</v>
      </c>
      <c r="AH139" s="2">
        <f>AF139-AG139</f>
        <v>-2011586.84825974</v>
      </c>
      <c r="AI139" s="2">
        <f t="shared" si="37"/>
        <v>-67052.894941991341</v>
      </c>
      <c r="AJ139">
        <v>30</v>
      </c>
      <c r="AK139">
        <v>648</v>
      </c>
      <c r="AL139" t="b">
        <v>1</v>
      </c>
      <c r="AM139" s="2">
        <f>IF('MANOVA '!M181, 1, 0)</f>
        <v>0</v>
      </c>
    </row>
    <row r="140" spans="1:39" x14ac:dyDescent="0.2">
      <c r="A140">
        <v>10</v>
      </c>
      <c r="B140">
        <v>197</v>
      </c>
      <c r="C140">
        <v>0.4</v>
      </c>
      <c r="D140">
        <v>30</v>
      </c>
      <c r="E140">
        <v>15</v>
      </c>
      <c r="F140">
        <v>1</v>
      </c>
      <c r="G140">
        <v>3</v>
      </c>
      <c r="H140">
        <v>15</v>
      </c>
      <c r="I140">
        <v>45.06</v>
      </c>
      <c r="J140">
        <v>49.35</v>
      </c>
      <c r="K140">
        <v>71129</v>
      </c>
      <c r="L140">
        <v>96016</v>
      </c>
      <c r="M140">
        <v>27178</v>
      </c>
      <c r="N140">
        <v>12126</v>
      </c>
      <c r="O140">
        <f t="shared" si="38"/>
        <v>206449</v>
      </c>
      <c r="P140">
        <v>27347</v>
      </c>
      <c r="Q140">
        <v>42234</v>
      </c>
      <c r="R140">
        <v>3392</v>
      </c>
      <c r="S140">
        <v>38378</v>
      </c>
      <c r="T140">
        <f t="shared" si="39"/>
        <v>111351</v>
      </c>
      <c r="U140">
        <f t="shared" si="40"/>
        <v>317800</v>
      </c>
      <c r="V140">
        <v>27899509.6309589</v>
      </c>
      <c r="W140">
        <v>10493748.6501843</v>
      </c>
      <c r="X140">
        <v>-17405760.9807746</v>
      </c>
      <c r="Y140">
        <v>10497373.8198584</v>
      </c>
      <c r="Z140">
        <f t="shared" si="41"/>
        <v>4274.1750080856682</v>
      </c>
      <c r="AA140">
        <v>0</v>
      </c>
      <c r="AB140">
        <v>0</v>
      </c>
      <c r="AC140">
        <v>3161</v>
      </c>
      <c r="AD140">
        <v>2456</v>
      </c>
      <c r="AE140">
        <v>0</v>
      </c>
      <c r="AF140">
        <v>2219870.1394600598</v>
      </c>
      <c r="AG140">
        <v>5017677.3</v>
      </c>
      <c r="AH140" s="2">
        <f t="shared" si="42"/>
        <v>-2797807.16053994</v>
      </c>
      <c r="AI140" s="2">
        <f t="shared" si="37"/>
        <v>-93260.23868466467</v>
      </c>
      <c r="AJ140">
        <v>30</v>
      </c>
      <c r="AK140">
        <v>643</v>
      </c>
      <c r="AL140" t="b">
        <v>1</v>
      </c>
      <c r="AM140" s="2">
        <f>IF('MANOVA '!M182, 1, 0)</f>
        <v>0</v>
      </c>
    </row>
    <row r="141" spans="1:39" x14ac:dyDescent="0.2">
      <c r="A141">
        <v>10</v>
      </c>
      <c r="B141">
        <v>197</v>
      </c>
      <c r="C141">
        <v>0.4</v>
      </c>
      <c r="D141">
        <v>30</v>
      </c>
      <c r="E141">
        <v>15</v>
      </c>
      <c r="F141">
        <v>1</v>
      </c>
      <c r="G141">
        <v>3</v>
      </c>
      <c r="H141">
        <v>15</v>
      </c>
      <c r="I141">
        <v>90.12</v>
      </c>
      <c r="J141">
        <v>98.7</v>
      </c>
      <c r="K141">
        <v>71129</v>
      </c>
      <c r="L141">
        <v>96016</v>
      </c>
      <c r="M141">
        <v>27178</v>
      </c>
      <c r="N141">
        <v>12126</v>
      </c>
      <c r="O141">
        <f>SUM(K141:N141)</f>
        <v>206449</v>
      </c>
      <c r="P141">
        <v>27347</v>
      </c>
      <c r="Q141">
        <v>42234</v>
      </c>
      <c r="R141">
        <v>3392</v>
      </c>
      <c r="S141">
        <v>38378</v>
      </c>
      <c r="T141">
        <f>SUM(P141:S141)</f>
        <v>111351</v>
      </c>
      <c r="U141">
        <f>O141+T141</f>
        <v>317800</v>
      </c>
      <c r="V141">
        <v>27899509.6309589</v>
      </c>
      <c r="W141">
        <v>15969820.000368601</v>
      </c>
      <c r="X141">
        <v>-11929689.630590299</v>
      </c>
      <c r="Y141">
        <v>10497373.8198584</v>
      </c>
      <c r="Z141">
        <f>Y141/AD141</f>
        <v>4274.1750080856682</v>
      </c>
      <c r="AA141">
        <v>0</v>
      </c>
      <c r="AB141">
        <v>0</v>
      </c>
      <c r="AC141">
        <v>3161</v>
      </c>
      <c r="AD141">
        <v>2456</v>
      </c>
      <c r="AE141">
        <v>0</v>
      </c>
      <c r="AF141">
        <v>4439740.2789201299</v>
      </c>
      <c r="AG141">
        <v>5017677.3</v>
      </c>
      <c r="AH141" s="2">
        <f>AF141-AG141</f>
        <v>-577937.02107986994</v>
      </c>
      <c r="AI141" s="2">
        <f t="shared" si="37"/>
        <v>-19264.567369328997</v>
      </c>
      <c r="AJ141">
        <v>30</v>
      </c>
      <c r="AK141">
        <v>643</v>
      </c>
      <c r="AL141" t="b">
        <v>1</v>
      </c>
      <c r="AM141" s="2">
        <f>IF('MANOVA '!M183, 1, 0)</f>
        <v>0</v>
      </c>
    </row>
    <row r="142" spans="1:39" x14ac:dyDescent="0.2">
      <c r="A142">
        <v>10</v>
      </c>
      <c r="B142">
        <v>198</v>
      </c>
      <c r="C142">
        <v>0.4</v>
      </c>
      <c r="D142">
        <v>30</v>
      </c>
      <c r="E142">
        <v>15</v>
      </c>
      <c r="F142">
        <v>1</v>
      </c>
      <c r="G142">
        <v>1</v>
      </c>
      <c r="H142">
        <v>30</v>
      </c>
      <c r="I142">
        <v>45.06</v>
      </c>
      <c r="J142">
        <v>49.35</v>
      </c>
      <c r="K142">
        <v>81223</v>
      </c>
      <c r="L142">
        <v>98125</v>
      </c>
      <c r="M142">
        <v>27218</v>
      </c>
      <c r="N142">
        <v>12244</v>
      </c>
      <c r="O142">
        <f t="shared" si="38"/>
        <v>218810</v>
      </c>
      <c r="P142">
        <v>26535</v>
      </c>
      <c r="Q142">
        <v>42228</v>
      </c>
      <c r="R142">
        <v>3602</v>
      </c>
      <c r="S142">
        <v>38382</v>
      </c>
      <c r="T142">
        <f t="shared" si="39"/>
        <v>110747</v>
      </c>
      <c r="U142">
        <f t="shared" si="40"/>
        <v>329557</v>
      </c>
      <c r="V142">
        <v>39183325.719999902</v>
      </c>
      <c r="W142">
        <v>13708052.726290099</v>
      </c>
      <c r="X142">
        <v>-25475272.993709799</v>
      </c>
      <c r="Y142">
        <v>19054042.464482401</v>
      </c>
      <c r="Z142">
        <f t="shared" si="41"/>
        <v>3878.2907519809487</v>
      </c>
      <c r="AA142">
        <v>0</v>
      </c>
      <c r="AB142">
        <v>0</v>
      </c>
      <c r="AC142">
        <v>3158</v>
      </c>
      <c r="AD142">
        <v>4913</v>
      </c>
      <c r="AE142">
        <v>0</v>
      </c>
      <c r="AF142">
        <v>5232988.1185036004</v>
      </c>
      <c r="AG142">
        <v>5017677.3</v>
      </c>
      <c r="AH142" s="2">
        <f t="shared" si="42"/>
        <v>215310.81850360055</v>
      </c>
      <c r="AI142" s="2">
        <f t="shared" si="37"/>
        <v>7177.0272834533516</v>
      </c>
      <c r="AJ142">
        <v>30</v>
      </c>
      <c r="AK142">
        <v>519</v>
      </c>
      <c r="AL142" t="b">
        <v>1</v>
      </c>
      <c r="AM142" s="2">
        <f>IF('MANOVA '!M184, 1, 0)</f>
        <v>0</v>
      </c>
    </row>
    <row r="143" spans="1:39" x14ac:dyDescent="0.2">
      <c r="A143">
        <v>10</v>
      </c>
      <c r="B143">
        <v>198</v>
      </c>
      <c r="C143">
        <v>0.4</v>
      </c>
      <c r="D143">
        <v>30</v>
      </c>
      <c r="E143">
        <v>15</v>
      </c>
      <c r="F143">
        <v>1</v>
      </c>
      <c r="G143">
        <v>1</v>
      </c>
      <c r="H143">
        <v>30</v>
      </c>
      <c r="I143">
        <v>90.12</v>
      </c>
      <c r="J143">
        <v>98.7</v>
      </c>
      <c r="K143">
        <v>81223</v>
      </c>
      <c r="L143">
        <v>98125</v>
      </c>
      <c r="M143">
        <v>27218</v>
      </c>
      <c r="N143">
        <v>12244</v>
      </c>
      <c r="O143">
        <f>SUM(K143:N143)</f>
        <v>218810</v>
      </c>
      <c r="P143">
        <v>26535</v>
      </c>
      <c r="Q143">
        <v>42228</v>
      </c>
      <c r="R143">
        <v>3602</v>
      </c>
      <c r="S143">
        <v>38382</v>
      </c>
      <c r="T143">
        <f>SUM(P143:S143)</f>
        <v>110747</v>
      </c>
      <c r="U143">
        <f>O143+T143</f>
        <v>329557</v>
      </c>
      <c r="V143">
        <v>39183325.719999902</v>
      </c>
      <c r="W143">
        <v>22398428.152580298</v>
      </c>
      <c r="X143">
        <v>-16784897.5674196</v>
      </c>
      <c r="Y143">
        <v>19054042.464482401</v>
      </c>
      <c r="Z143">
        <f>Y143/AD143</f>
        <v>3878.2907519809487</v>
      </c>
      <c r="AA143">
        <v>0</v>
      </c>
      <c r="AB143">
        <v>0</v>
      </c>
      <c r="AC143">
        <v>3158</v>
      </c>
      <c r="AD143">
        <v>4913</v>
      </c>
      <c r="AE143">
        <v>0</v>
      </c>
      <c r="AF143">
        <v>10465976.237007201</v>
      </c>
      <c r="AG143">
        <v>5017677.3</v>
      </c>
      <c r="AH143" s="2">
        <f>AF143-AG143</f>
        <v>5448298.9370072009</v>
      </c>
      <c r="AI143" s="2">
        <f t="shared" si="37"/>
        <v>181609.96456690671</v>
      </c>
      <c r="AJ143">
        <v>30</v>
      </c>
      <c r="AK143">
        <v>519</v>
      </c>
      <c r="AL143" t="b">
        <v>1</v>
      </c>
      <c r="AM143" s="2">
        <f>IF('MANOVA '!M185, 1, 0)</f>
        <v>0</v>
      </c>
    </row>
    <row r="144" spans="1:39" x14ac:dyDescent="0.2">
      <c r="A144">
        <v>10</v>
      </c>
      <c r="B144">
        <v>198</v>
      </c>
      <c r="C144">
        <v>0.4</v>
      </c>
      <c r="D144">
        <v>30</v>
      </c>
      <c r="E144">
        <v>15</v>
      </c>
      <c r="F144">
        <v>1</v>
      </c>
      <c r="G144">
        <v>1</v>
      </c>
      <c r="H144">
        <v>15</v>
      </c>
      <c r="I144">
        <v>45.06</v>
      </c>
      <c r="J144">
        <v>49.35</v>
      </c>
      <c r="K144">
        <v>80104</v>
      </c>
      <c r="L144">
        <v>95472</v>
      </c>
      <c r="M144">
        <v>27097</v>
      </c>
      <c r="N144">
        <v>12163</v>
      </c>
      <c r="O144">
        <f t="shared" si="38"/>
        <v>214836</v>
      </c>
      <c r="P144">
        <v>26325</v>
      </c>
      <c r="Q144">
        <v>41196</v>
      </c>
      <c r="R144">
        <v>3259</v>
      </c>
      <c r="S144">
        <v>38385</v>
      </c>
      <c r="T144">
        <f t="shared" si="39"/>
        <v>109165</v>
      </c>
      <c r="U144">
        <f t="shared" si="40"/>
        <v>324001</v>
      </c>
      <c r="V144">
        <v>30230492.222088799</v>
      </c>
      <c r="W144">
        <v>13466614.346083</v>
      </c>
      <c r="X144">
        <v>-16763877.8760057</v>
      </c>
      <c r="Y144">
        <v>9591766.6810400803</v>
      </c>
      <c r="Z144">
        <f t="shared" si="41"/>
        <v>3886.4532743274231</v>
      </c>
      <c r="AA144">
        <v>0</v>
      </c>
      <c r="AB144">
        <v>0</v>
      </c>
      <c r="AC144">
        <v>3161</v>
      </c>
      <c r="AD144">
        <v>2468</v>
      </c>
      <c r="AE144">
        <v>0</v>
      </c>
      <c r="AF144">
        <v>5214638.5250161598</v>
      </c>
      <c r="AG144">
        <v>5017677.3</v>
      </c>
      <c r="AH144" s="2">
        <f t="shared" si="42"/>
        <v>196961.22501615994</v>
      </c>
      <c r="AI144" s="2">
        <f t="shared" si="37"/>
        <v>6565.3741672053311</v>
      </c>
      <c r="AJ144">
        <v>30</v>
      </c>
      <c r="AK144">
        <v>525</v>
      </c>
      <c r="AL144" t="b">
        <v>1</v>
      </c>
      <c r="AM144" s="2">
        <f>IF('MANOVA '!M186, 1, 0)</f>
        <v>0</v>
      </c>
    </row>
    <row r="145" spans="1:39" x14ac:dyDescent="0.2">
      <c r="A145">
        <v>10</v>
      </c>
      <c r="B145">
        <v>198</v>
      </c>
      <c r="C145">
        <v>0.4</v>
      </c>
      <c r="D145">
        <v>30</v>
      </c>
      <c r="E145">
        <v>15</v>
      </c>
      <c r="F145">
        <v>1</v>
      </c>
      <c r="G145">
        <v>1</v>
      </c>
      <c r="H145">
        <v>15</v>
      </c>
      <c r="I145">
        <v>90.12</v>
      </c>
      <c r="J145">
        <v>98.7</v>
      </c>
      <c r="K145">
        <v>80104</v>
      </c>
      <c r="L145">
        <v>95472</v>
      </c>
      <c r="M145">
        <v>27097</v>
      </c>
      <c r="N145">
        <v>12163</v>
      </c>
      <c r="O145">
        <f>SUM(K145:N145)</f>
        <v>214836</v>
      </c>
      <c r="P145">
        <v>26325</v>
      </c>
      <c r="Q145">
        <v>41196</v>
      </c>
      <c r="R145">
        <v>3259</v>
      </c>
      <c r="S145">
        <v>38385</v>
      </c>
      <c r="T145">
        <f>SUM(P145:S145)</f>
        <v>109165</v>
      </c>
      <c r="U145">
        <f>O145+T145</f>
        <v>324001</v>
      </c>
      <c r="V145">
        <v>30230492.222088799</v>
      </c>
      <c r="W145">
        <v>21915551.392166</v>
      </c>
      <c r="X145">
        <v>-8314940.8299227199</v>
      </c>
      <c r="Y145">
        <v>9591766.6810400803</v>
      </c>
      <c r="Z145">
        <f>Y145/AD145</f>
        <v>3886.4532743274231</v>
      </c>
      <c r="AA145">
        <v>0</v>
      </c>
      <c r="AB145">
        <v>0</v>
      </c>
      <c r="AC145">
        <v>3161</v>
      </c>
      <c r="AD145">
        <v>2468</v>
      </c>
      <c r="AE145">
        <v>0</v>
      </c>
      <c r="AF145">
        <v>10429277.050032301</v>
      </c>
      <c r="AG145">
        <v>5017677.3</v>
      </c>
      <c r="AH145" s="2">
        <f>AF145-AG145</f>
        <v>5411599.7500323011</v>
      </c>
      <c r="AI145" s="2">
        <f t="shared" si="37"/>
        <v>180386.65833441002</v>
      </c>
      <c r="AJ145">
        <v>30</v>
      </c>
      <c r="AK145">
        <v>525</v>
      </c>
      <c r="AL145" t="b">
        <v>1</v>
      </c>
      <c r="AM145" s="2">
        <f>IF('MANOVA '!M187, 1, 0)</f>
        <v>0</v>
      </c>
    </row>
    <row r="146" spans="1:39" x14ac:dyDescent="0.2">
      <c r="A146">
        <v>10</v>
      </c>
      <c r="B146">
        <v>139</v>
      </c>
      <c r="C146">
        <v>0.4</v>
      </c>
      <c r="D146">
        <v>30</v>
      </c>
      <c r="E146">
        <v>10</v>
      </c>
      <c r="F146">
        <v>3</v>
      </c>
      <c r="G146">
        <v>3</v>
      </c>
      <c r="H146">
        <v>30</v>
      </c>
      <c r="I146">
        <v>45.06</v>
      </c>
      <c r="J146">
        <v>49.35</v>
      </c>
      <c r="K146">
        <v>79342</v>
      </c>
      <c r="L146">
        <v>63193</v>
      </c>
      <c r="M146">
        <v>33895</v>
      </c>
      <c r="N146">
        <v>10616</v>
      </c>
      <c r="O146">
        <f t="shared" si="38"/>
        <v>187046</v>
      </c>
      <c r="P146">
        <v>5812</v>
      </c>
      <c r="Q146">
        <v>42247</v>
      </c>
      <c r="R146">
        <v>7207</v>
      </c>
      <c r="S146">
        <v>36062</v>
      </c>
      <c r="T146">
        <f t="shared" si="39"/>
        <v>91328</v>
      </c>
      <c r="U146">
        <f t="shared" si="40"/>
        <v>278374</v>
      </c>
      <c r="V146">
        <v>28394408.554519899</v>
      </c>
      <c r="W146">
        <v>11765634.7590576</v>
      </c>
      <c r="X146">
        <v>-16628773.795462299</v>
      </c>
      <c r="Y146">
        <v>12818213.375251999</v>
      </c>
      <c r="Z146">
        <f t="shared" si="41"/>
        <v>3720.8166546449925</v>
      </c>
      <c r="AA146">
        <v>0</v>
      </c>
      <c r="AB146">
        <v>0</v>
      </c>
      <c r="AC146">
        <v>2175</v>
      </c>
      <c r="AD146">
        <v>3445</v>
      </c>
      <c r="AE146">
        <v>0</v>
      </c>
      <c r="AF146">
        <v>3618228.58595797</v>
      </c>
      <c r="AG146">
        <v>3417388.79999999</v>
      </c>
      <c r="AH146" s="2">
        <f t="shared" si="42"/>
        <v>200839.78595797997</v>
      </c>
      <c r="AI146" s="2">
        <f t="shared" si="37"/>
        <v>6694.6595319326652</v>
      </c>
      <c r="AJ146">
        <v>30</v>
      </c>
      <c r="AK146">
        <v>382</v>
      </c>
      <c r="AL146" t="b">
        <v>1</v>
      </c>
      <c r="AM146" s="2">
        <f>IF('MANOVA '!M188, 1, 0)</f>
        <v>0</v>
      </c>
    </row>
    <row r="147" spans="1:39" x14ac:dyDescent="0.2">
      <c r="A147">
        <v>10</v>
      </c>
      <c r="B147">
        <v>139</v>
      </c>
      <c r="C147">
        <v>0.4</v>
      </c>
      <c r="D147">
        <v>30</v>
      </c>
      <c r="E147">
        <v>10</v>
      </c>
      <c r="F147">
        <v>3</v>
      </c>
      <c r="G147">
        <v>3</v>
      </c>
      <c r="H147">
        <v>30</v>
      </c>
      <c r="I147">
        <v>90.12</v>
      </c>
      <c r="J147">
        <v>98.7</v>
      </c>
      <c r="K147">
        <v>79342</v>
      </c>
      <c r="L147">
        <v>63193</v>
      </c>
      <c r="M147">
        <v>33895</v>
      </c>
      <c r="N147">
        <v>10616</v>
      </c>
      <c r="O147">
        <f>SUM(K147:N147)</f>
        <v>187046</v>
      </c>
      <c r="P147">
        <v>5812</v>
      </c>
      <c r="Q147">
        <v>42247</v>
      </c>
      <c r="R147">
        <v>7207</v>
      </c>
      <c r="S147">
        <v>36062</v>
      </c>
      <c r="T147">
        <f>SUM(P147:S147)</f>
        <v>91328</v>
      </c>
      <c r="U147">
        <f>O147+T147</f>
        <v>278374</v>
      </c>
      <c r="V147">
        <v>28394408.554519899</v>
      </c>
      <c r="W147">
        <v>20113880.718115199</v>
      </c>
      <c r="X147">
        <v>-8280527.8364047902</v>
      </c>
      <c r="Y147">
        <v>12818213.375251999</v>
      </c>
      <c r="Z147">
        <f>Y147/AD147</f>
        <v>3720.8166546449925</v>
      </c>
      <c r="AA147">
        <v>0</v>
      </c>
      <c r="AB147">
        <v>0</v>
      </c>
      <c r="AC147">
        <v>2175</v>
      </c>
      <c r="AD147">
        <v>3445</v>
      </c>
      <c r="AE147">
        <v>0</v>
      </c>
      <c r="AF147">
        <v>7236457.17191594</v>
      </c>
      <c r="AG147">
        <v>3417388.79999999</v>
      </c>
      <c r="AH147" s="2">
        <f>AF147-AG147</f>
        <v>3819068.37191595</v>
      </c>
      <c r="AI147" s="2">
        <f t="shared" si="37"/>
        <v>127302.279063865</v>
      </c>
      <c r="AJ147">
        <v>30</v>
      </c>
      <c r="AK147">
        <v>382</v>
      </c>
      <c r="AL147" t="b">
        <v>1</v>
      </c>
      <c r="AM147" s="2">
        <f>IF('MANOVA '!M189, 1, 0)</f>
        <v>0</v>
      </c>
    </row>
    <row r="148" spans="1:39" x14ac:dyDescent="0.2">
      <c r="A148">
        <v>10</v>
      </c>
      <c r="B148">
        <v>139</v>
      </c>
      <c r="C148">
        <v>0.4</v>
      </c>
      <c r="D148">
        <v>30</v>
      </c>
      <c r="E148">
        <v>10</v>
      </c>
      <c r="F148">
        <v>3</v>
      </c>
      <c r="G148">
        <v>3</v>
      </c>
      <c r="H148">
        <v>15</v>
      </c>
      <c r="I148">
        <v>45.06</v>
      </c>
      <c r="J148">
        <v>49.35</v>
      </c>
      <c r="K148">
        <v>78999</v>
      </c>
      <c r="L148">
        <v>62472</v>
      </c>
      <c r="M148">
        <v>33426</v>
      </c>
      <c r="N148">
        <v>10631</v>
      </c>
      <c r="O148">
        <f t="shared" si="38"/>
        <v>185528</v>
      </c>
      <c r="P148">
        <v>5692</v>
      </c>
      <c r="Q148">
        <v>41332</v>
      </c>
      <c r="R148">
        <v>7116</v>
      </c>
      <c r="S148">
        <v>36090</v>
      </c>
      <c r="T148">
        <f t="shared" si="39"/>
        <v>90230</v>
      </c>
      <c r="U148">
        <f t="shared" si="40"/>
        <v>275758</v>
      </c>
      <c r="V148">
        <v>21112954.985390399</v>
      </c>
      <c r="W148">
        <v>9035486.2368516698</v>
      </c>
      <c r="X148">
        <v>-12077468.748538701</v>
      </c>
      <c r="Y148">
        <v>7123936.05422178</v>
      </c>
      <c r="Z148">
        <f t="shared" si="41"/>
        <v>4070.8206024124456</v>
      </c>
      <c r="AA148">
        <v>0</v>
      </c>
      <c r="AB148">
        <v>0</v>
      </c>
      <c r="AC148">
        <v>2187</v>
      </c>
      <c r="AD148">
        <v>1750</v>
      </c>
      <c r="AE148">
        <v>0</v>
      </c>
      <c r="AF148">
        <v>2088948.50419996</v>
      </c>
      <c r="AG148">
        <v>3417388.79999999</v>
      </c>
      <c r="AH148" s="2">
        <f t="shared" si="42"/>
        <v>-1328440.29580003</v>
      </c>
      <c r="AI148" s="2">
        <f t="shared" si="37"/>
        <v>-44281.343193334331</v>
      </c>
      <c r="AJ148">
        <v>30</v>
      </c>
      <c r="AK148">
        <v>483</v>
      </c>
      <c r="AL148" t="b">
        <v>1</v>
      </c>
      <c r="AM148" s="2">
        <f>IF('MANOVA '!M190, 1, 0)</f>
        <v>0</v>
      </c>
    </row>
    <row r="149" spans="1:39" x14ac:dyDescent="0.2">
      <c r="A149">
        <v>10</v>
      </c>
      <c r="B149">
        <v>139</v>
      </c>
      <c r="C149">
        <v>0.4</v>
      </c>
      <c r="D149">
        <v>30</v>
      </c>
      <c r="E149">
        <v>10</v>
      </c>
      <c r="F149">
        <v>3</v>
      </c>
      <c r="G149">
        <v>3</v>
      </c>
      <c r="H149">
        <v>15</v>
      </c>
      <c r="I149">
        <v>90.12</v>
      </c>
      <c r="J149">
        <v>98.7</v>
      </c>
      <c r="K149">
        <v>78999</v>
      </c>
      <c r="L149">
        <v>62472</v>
      </c>
      <c r="M149">
        <v>33426</v>
      </c>
      <c r="N149">
        <v>10631</v>
      </c>
      <c r="O149">
        <f>SUM(K149:N149)</f>
        <v>185528</v>
      </c>
      <c r="P149">
        <v>5692</v>
      </c>
      <c r="Q149">
        <v>41332</v>
      </c>
      <c r="R149">
        <v>7116</v>
      </c>
      <c r="S149">
        <v>36090</v>
      </c>
      <c r="T149">
        <f>SUM(P149:S149)</f>
        <v>90230</v>
      </c>
      <c r="U149">
        <f>O149+T149</f>
        <v>275758</v>
      </c>
      <c r="V149">
        <v>21112954.985390399</v>
      </c>
      <c r="W149">
        <v>14653583.6737033</v>
      </c>
      <c r="X149">
        <v>-6459371.31168711</v>
      </c>
      <c r="Y149">
        <v>7123936.05422178</v>
      </c>
      <c r="Z149">
        <f>Y149/AD149</f>
        <v>4070.8206024124456</v>
      </c>
      <c r="AA149">
        <v>0</v>
      </c>
      <c r="AB149">
        <v>0</v>
      </c>
      <c r="AC149">
        <v>2187</v>
      </c>
      <c r="AD149">
        <v>1750</v>
      </c>
      <c r="AE149">
        <v>0</v>
      </c>
      <c r="AF149">
        <v>4177897.0083999299</v>
      </c>
      <c r="AG149">
        <v>3417388.79999999</v>
      </c>
      <c r="AH149" s="2">
        <f>AF149-AG149</f>
        <v>760508.20839993982</v>
      </c>
      <c r="AI149" s="2">
        <f t="shared" si="37"/>
        <v>25350.273613331326</v>
      </c>
      <c r="AJ149">
        <v>30</v>
      </c>
      <c r="AK149">
        <v>483</v>
      </c>
      <c r="AL149" t="b">
        <v>1</v>
      </c>
      <c r="AM149" s="2">
        <f>IF('MANOVA '!M191, 1, 0)</f>
        <v>0</v>
      </c>
    </row>
    <row r="150" spans="1:39" x14ac:dyDescent="0.2">
      <c r="A150">
        <v>10</v>
      </c>
      <c r="B150">
        <v>137</v>
      </c>
      <c r="C150">
        <v>0.4</v>
      </c>
      <c r="D150">
        <v>30</v>
      </c>
      <c r="E150">
        <v>10</v>
      </c>
      <c r="F150">
        <v>3</v>
      </c>
      <c r="G150">
        <v>1</v>
      </c>
      <c r="H150">
        <v>30</v>
      </c>
      <c r="I150">
        <v>45.06</v>
      </c>
      <c r="J150">
        <v>49.35</v>
      </c>
      <c r="K150">
        <v>65293</v>
      </c>
      <c r="L150">
        <v>64413</v>
      </c>
      <c r="M150">
        <v>34089</v>
      </c>
      <c r="N150">
        <v>10581</v>
      </c>
      <c r="O150">
        <f t="shared" si="38"/>
        <v>174376</v>
      </c>
      <c r="P150">
        <v>6150</v>
      </c>
      <c r="Q150">
        <v>44369</v>
      </c>
      <c r="R150">
        <v>7793</v>
      </c>
      <c r="S150">
        <v>35578</v>
      </c>
      <c r="T150">
        <f t="shared" si="39"/>
        <v>93890</v>
      </c>
      <c r="U150">
        <f t="shared" si="40"/>
        <v>268266</v>
      </c>
      <c r="V150">
        <v>27334367.767490201</v>
      </c>
      <c r="W150">
        <v>10085548.354691699</v>
      </c>
      <c r="X150">
        <v>-17248819.412798401</v>
      </c>
      <c r="Y150">
        <v>13052609.736393999</v>
      </c>
      <c r="Z150">
        <f t="shared" si="41"/>
        <v>3861.7188569213017</v>
      </c>
      <c r="AA150">
        <v>0</v>
      </c>
      <c r="AB150">
        <v>0</v>
      </c>
      <c r="AC150">
        <v>2164</v>
      </c>
      <c r="AD150">
        <v>3380</v>
      </c>
      <c r="AE150">
        <v>0</v>
      </c>
      <c r="AF150">
        <v>1857450.81995385</v>
      </c>
      <c r="AG150">
        <v>3417388.79999999</v>
      </c>
      <c r="AH150" s="2">
        <f t="shared" si="42"/>
        <v>-1559937.98004614</v>
      </c>
      <c r="AI150" s="2">
        <f t="shared" si="37"/>
        <v>-51997.932668204667</v>
      </c>
      <c r="AJ150">
        <v>30</v>
      </c>
      <c r="AK150">
        <v>445</v>
      </c>
      <c r="AL150" t="b">
        <v>1</v>
      </c>
      <c r="AM150" s="2">
        <f>IF('MANOVA '!M192, 1, 0)</f>
        <v>0</v>
      </c>
    </row>
    <row r="151" spans="1:39" x14ac:dyDescent="0.2">
      <c r="A151">
        <v>10</v>
      </c>
      <c r="B151">
        <v>137</v>
      </c>
      <c r="C151">
        <v>0.4</v>
      </c>
      <c r="D151">
        <v>30</v>
      </c>
      <c r="E151">
        <v>10</v>
      </c>
      <c r="F151">
        <v>3</v>
      </c>
      <c r="G151">
        <v>1</v>
      </c>
      <c r="H151">
        <v>30</v>
      </c>
      <c r="I151">
        <v>90.12</v>
      </c>
      <c r="J151">
        <v>98.7</v>
      </c>
      <c r="K151">
        <v>65293</v>
      </c>
      <c r="L151">
        <v>64413</v>
      </c>
      <c r="M151">
        <v>34089</v>
      </c>
      <c r="N151">
        <v>10581</v>
      </c>
      <c r="O151">
        <f>SUM(K151:N151)</f>
        <v>174376</v>
      </c>
      <c r="P151">
        <v>6150</v>
      </c>
      <c r="Q151">
        <v>44369</v>
      </c>
      <c r="R151">
        <v>7793</v>
      </c>
      <c r="S151">
        <v>35578</v>
      </c>
      <c r="T151">
        <f>SUM(P151:S151)</f>
        <v>93890</v>
      </c>
      <c r="U151">
        <f>O151+T151</f>
        <v>268266</v>
      </c>
      <c r="V151">
        <v>27334367.767490201</v>
      </c>
      <c r="W151">
        <v>16753707.909383399</v>
      </c>
      <c r="X151">
        <v>-10580659.858106701</v>
      </c>
      <c r="Y151">
        <v>13052609.736393999</v>
      </c>
      <c r="Z151">
        <f>Y151/AD151</f>
        <v>3861.7188569213017</v>
      </c>
      <c r="AA151">
        <v>0</v>
      </c>
      <c r="AB151">
        <v>0</v>
      </c>
      <c r="AC151">
        <v>2164</v>
      </c>
      <c r="AD151">
        <v>3380</v>
      </c>
      <c r="AE151">
        <v>0</v>
      </c>
      <c r="AF151">
        <v>3714901.6399077098</v>
      </c>
      <c r="AG151">
        <v>3417388.79999999</v>
      </c>
      <c r="AH151" s="2">
        <f>AF151-AG151</f>
        <v>297512.83990771975</v>
      </c>
      <c r="AI151" s="2">
        <f t="shared" si="37"/>
        <v>9917.0946635906585</v>
      </c>
      <c r="AJ151">
        <v>30</v>
      </c>
      <c r="AK151">
        <v>445</v>
      </c>
      <c r="AL151" t="b">
        <v>1</v>
      </c>
      <c r="AM151" s="2">
        <f>IF('MANOVA '!M193, 1, 0)</f>
        <v>0</v>
      </c>
    </row>
    <row r="152" spans="1:39" x14ac:dyDescent="0.2">
      <c r="A152">
        <v>10</v>
      </c>
      <c r="B152">
        <v>138</v>
      </c>
      <c r="C152">
        <v>0.4</v>
      </c>
      <c r="D152">
        <v>30</v>
      </c>
      <c r="E152">
        <v>10</v>
      </c>
      <c r="F152">
        <v>3</v>
      </c>
      <c r="G152">
        <v>1</v>
      </c>
      <c r="H152">
        <v>15</v>
      </c>
      <c r="I152">
        <v>45.06</v>
      </c>
      <c r="J152">
        <v>49.35</v>
      </c>
      <c r="K152">
        <v>72618</v>
      </c>
      <c r="L152">
        <v>63025</v>
      </c>
      <c r="M152">
        <v>33678</v>
      </c>
      <c r="N152">
        <v>10637</v>
      </c>
      <c r="O152">
        <f t="shared" si="38"/>
        <v>179958</v>
      </c>
      <c r="P152">
        <v>5813</v>
      </c>
      <c r="Q152">
        <v>42185</v>
      </c>
      <c r="R152">
        <v>7804</v>
      </c>
      <c r="S152">
        <v>35487</v>
      </c>
      <c r="T152">
        <f t="shared" si="39"/>
        <v>91289</v>
      </c>
      <c r="U152">
        <f t="shared" si="40"/>
        <v>271247</v>
      </c>
      <c r="V152">
        <v>21169985.457484301</v>
      </c>
      <c r="W152">
        <v>9506746.5629726797</v>
      </c>
      <c r="X152">
        <v>-11663238.894511599</v>
      </c>
      <c r="Y152">
        <v>6628393.9519749703</v>
      </c>
      <c r="Z152">
        <f t="shared" si="41"/>
        <v>3824.8089740190248</v>
      </c>
      <c r="AA152">
        <v>0</v>
      </c>
      <c r="AB152">
        <v>0</v>
      </c>
      <c r="AC152">
        <v>2173</v>
      </c>
      <c r="AD152">
        <v>1733</v>
      </c>
      <c r="AE152">
        <v>0</v>
      </c>
      <c r="AF152">
        <v>3004017.6066658902</v>
      </c>
      <c r="AG152">
        <v>3417388.79999999</v>
      </c>
      <c r="AH152" s="2">
        <f t="shared" si="42"/>
        <v>-413371.19333409984</v>
      </c>
      <c r="AI152" s="2">
        <f t="shared" si="37"/>
        <v>-13779.039777803328</v>
      </c>
      <c r="AJ152">
        <v>30</v>
      </c>
      <c r="AK152">
        <v>474</v>
      </c>
      <c r="AL152" t="b">
        <v>1</v>
      </c>
      <c r="AM152" s="2">
        <f>IF('MANOVA '!M194, 1, 0)</f>
        <v>0</v>
      </c>
    </row>
    <row r="153" spans="1:39" x14ac:dyDescent="0.2">
      <c r="A153">
        <v>10</v>
      </c>
      <c r="B153">
        <v>138</v>
      </c>
      <c r="C153">
        <v>0.4</v>
      </c>
      <c r="D153">
        <v>30</v>
      </c>
      <c r="E153">
        <v>10</v>
      </c>
      <c r="F153">
        <v>3</v>
      </c>
      <c r="G153">
        <v>1</v>
      </c>
      <c r="H153">
        <v>15</v>
      </c>
      <c r="I153">
        <v>90.12</v>
      </c>
      <c r="J153">
        <v>98.7</v>
      </c>
      <c r="K153">
        <v>72618</v>
      </c>
      <c r="L153">
        <v>63025</v>
      </c>
      <c r="M153">
        <v>33678</v>
      </c>
      <c r="N153">
        <v>10637</v>
      </c>
      <c r="O153">
        <f>SUM(K153:N153)</f>
        <v>179958</v>
      </c>
      <c r="P153">
        <v>5813</v>
      </c>
      <c r="Q153">
        <v>42185</v>
      </c>
      <c r="R153">
        <v>7804</v>
      </c>
      <c r="S153">
        <v>35487</v>
      </c>
      <c r="T153">
        <f>SUM(P153:S153)</f>
        <v>91289</v>
      </c>
      <c r="U153">
        <f>O153+T153</f>
        <v>271247</v>
      </c>
      <c r="V153">
        <v>21169985.457484301</v>
      </c>
      <c r="W153">
        <v>15596104.325945299</v>
      </c>
      <c r="X153">
        <v>-5573881.1315389704</v>
      </c>
      <c r="Y153">
        <v>6628393.9519749703</v>
      </c>
      <c r="Z153">
        <f>Y153/AD153</f>
        <v>3824.8089740190248</v>
      </c>
      <c r="AA153">
        <v>0</v>
      </c>
      <c r="AB153">
        <v>0</v>
      </c>
      <c r="AC153">
        <v>2173</v>
      </c>
      <c r="AD153">
        <v>1733</v>
      </c>
      <c r="AE153">
        <v>0</v>
      </c>
      <c r="AF153">
        <v>6008035.2133317804</v>
      </c>
      <c r="AG153">
        <v>3417388.79999999</v>
      </c>
      <c r="AH153" s="2">
        <f>AF153-AG153</f>
        <v>2590646.4133317904</v>
      </c>
      <c r="AI153" s="2">
        <f t="shared" si="37"/>
        <v>86354.880444393013</v>
      </c>
      <c r="AJ153">
        <v>30</v>
      </c>
      <c r="AK153">
        <v>474</v>
      </c>
      <c r="AL153" t="b">
        <v>1</v>
      </c>
      <c r="AM153" s="2">
        <f>IF('MANOVA '!M195, 1, 0)</f>
        <v>0</v>
      </c>
    </row>
    <row r="154" spans="1:39" x14ac:dyDescent="0.2">
      <c r="A154">
        <v>10</v>
      </c>
      <c r="B154">
        <v>138</v>
      </c>
      <c r="C154">
        <v>0.4</v>
      </c>
      <c r="D154">
        <v>30</v>
      </c>
      <c r="E154">
        <v>10</v>
      </c>
      <c r="F154">
        <v>1</v>
      </c>
      <c r="G154">
        <v>3</v>
      </c>
      <c r="H154">
        <v>30</v>
      </c>
      <c r="I154">
        <v>45.06</v>
      </c>
      <c r="J154">
        <v>49.35</v>
      </c>
      <c r="K154">
        <v>73023</v>
      </c>
      <c r="L154">
        <v>63762</v>
      </c>
      <c r="M154">
        <v>34265</v>
      </c>
      <c r="N154">
        <v>10644</v>
      </c>
      <c r="O154">
        <f t="shared" si="38"/>
        <v>181694</v>
      </c>
      <c r="P154">
        <v>5841</v>
      </c>
      <c r="Q154">
        <v>43394</v>
      </c>
      <c r="R154">
        <v>7773</v>
      </c>
      <c r="S154">
        <v>35505</v>
      </c>
      <c r="T154">
        <f t="shared" si="39"/>
        <v>92513</v>
      </c>
      <c r="U154">
        <f t="shared" si="40"/>
        <v>274207</v>
      </c>
      <c r="V154">
        <v>27190643.404102799</v>
      </c>
      <c r="W154">
        <v>10091614.988854799</v>
      </c>
      <c r="X154">
        <v>-17099028.415247999</v>
      </c>
      <c r="Y154">
        <v>13066322.9943357</v>
      </c>
      <c r="Z154">
        <f t="shared" si="41"/>
        <v>3871.5031094328001</v>
      </c>
      <c r="AA154">
        <v>0</v>
      </c>
      <c r="AB154">
        <v>0</v>
      </c>
      <c r="AC154">
        <v>2162</v>
      </c>
      <c r="AD154">
        <v>3375</v>
      </c>
      <c r="AE154">
        <v>0</v>
      </c>
      <c r="AF154">
        <v>1890218.7957186401</v>
      </c>
      <c r="AG154">
        <v>3417388.79999999</v>
      </c>
      <c r="AH154" s="2">
        <f t="shared" si="42"/>
        <v>-1527170.0042813499</v>
      </c>
      <c r="AI154" s="2">
        <f t="shared" si="37"/>
        <v>-50905.66680937833</v>
      </c>
      <c r="AJ154">
        <v>30</v>
      </c>
      <c r="AK154">
        <v>420</v>
      </c>
      <c r="AL154" t="b">
        <v>1</v>
      </c>
      <c r="AM154" s="2">
        <f>IF('MANOVA '!M196, 1, 0)</f>
        <v>0</v>
      </c>
    </row>
    <row r="155" spans="1:39" x14ac:dyDescent="0.2">
      <c r="A155">
        <v>10</v>
      </c>
      <c r="B155">
        <v>138</v>
      </c>
      <c r="C155">
        <v>0.4</v>
      </c>
      <c r="D155">
        <v>30</v>
      </c>
      <c r="E155">
        <v>10</v>
      </c>
      <c r="F155">
        <v>1</v>
      </c>
      <c r="G155">
        <v>3</v>
      </c>
      <c r="H155">
        <v>30</v>
      </c>
      <c r="I155">
        <v>90.12</v>
      </c>
      <c r="J155">
        <v>98.7</v>
      </c>
      <c r="K155">
        <v>73023</v>
      </c>
      <c r="L155">
        <v>63762</v>
      </c>
      <c r="M155">
        <v>34265</v>
      </c>
      <c r="N155">
        <v>10644</v>
      </c>
      <c r="O155">
        <f>SUM(K155:N155)</f>
        <v>181694</v>
      </c>
      <c r="P155">
        <v>5841</v>
      </c>
      <c r="Q155">
        <v>43394</v>
      </c>
      <c r="R155">
        <v>7773</v>
      </c>
      <c r="S155">
        <v>35505</v>
      </c>
      <c r="T155">
        <f>SUM(P155:S155)</f>
        <v>92513</v>
      </c>
      <c r="U155">
        <f>O155+T155</f>
        <v>274207</v>
      </c>
      <c r="V155">
        <v>27190643.404102799</v>
      </c>
      <c r="W155">
        <v>16765841.1777096</v>
      </c>
      <c r="X155">
        <v>-10424802.2263931</v>
      </c>
      <c r="Y155">
        <v>13066322.9943357</v>
      </c>
      <c r="Z155">
        <f>Y155/AD155</f>
        <v>3871.5031094328001</v>
      </c>
      <c r="AA155">
        <v>0</v>
      </c>
      <c r="AB155">
        <v>0</v>
      </c>
      <c r="AC155">
        <v>2162</v>
      </c>
      <c r="AD155">
        <v>3375</v>
      </c>
      <c r="AE155">
        <v>0</v>
      </c>
      <c r="AF155">
        <v>3780437.5914372802</v>
      </c>
      <c r="AG155">
        <v>3417388.79999999</v>
      </c>
      <c r="AH155" s="2">
        <f>AF155-AG155</f>
        <v>363048.79143729014</v>
      </c>
      <c r="AI155" s="2">
        <f t="shared" si="37"/>
        <v>12101.626381243004</v>
      </c>
      <c r="AJ155">
        <v>30</v>
      </c>
      <c r="AK155">
        <v>420</v>
      </c>
      <c r="AL155" t="b">
        <v>1</v>
      </c>
      <c r="AM155" s="2">
        <f>IF('MANOVA '!M197, 1, 0)</f>
        <v>0</v>
      </c>
    </row>
    <row r="156" spans="1:39" x14ac:dyDescent="0.2">
      <c r="A156">
        <v>10</v>
      </c>
      <c r="B156">
        <v>139</v>
      </c>
      <c r="C156">
        <v>0.4</v>
      </c>
      <c r="D156">
        <v>30</v>
      </c>
      <c r="E156">
        <v>10</v>
      </c>
      <c r="F156">
        <v>1</v>
      </c>
      <c r="G156">
        <v>3</v>
      </c>
      <c r="H156">
        <v>15</v>
      </c>
      <c r="I156">
        <v>45.06</v>
      </c>
      <c r="J156">
        <v>49.35</v>
      </c>
      <c r="K156">
        <v>78488</v>
      </c>
      <c r="L156">
        <v>62320</v>
      </c>
      <c r="M156">
        <v>33282</v>
      </c>
      <c r="N156">
        <v>10634</v>
      </c>
      <c r="O156">
        <f t="shared" si="38"/>
        <v>184724</v>
      </c>
      <c r="P156">
        <v>5755</v>
      </c>
      <c r="Q156">
        <v>41832</v>
      </c>
      <c r="R156">
        <v>7192</v>
      </c>
      <c r="S156">
        <v>36061</v>
      </c>
      <c r="T156">
        <f t="shared" si="39"/>
        <v>90840</v>
      </c>
      <c r="U156">
        <f t="shared" si="40"/>
        <v>275564</v>
      </c>
      <c r="V156">
        <v>20298515.225427698</v>
      </c>
      <c r="W156">
        <v>9140510.3215331398</v>
      </c>
      <c r="X156">
        <v>-11158004.903894501</v>
      </c>
      <c r="Y156">
        <v>7131238.5590937696</v>
      </c>
      <c r="Z156">
        <f t="shared" si="41"/>
        <v>4184.9991543977521</v>
      </c>
      <c r="AA156">
        <v>0</v>
      </c>
      <c r="AB156">
        <v>0</v>
      </c>
      <c r="AC156">
        <v>2180</v>
      </c>
      <c r="AD156">
        <v>1704</v>
      </c>
      <c r="AE156">
        <v>0</v>
      </c>
      <c r="AF156">
        <v>2580951.081913</v>
      </c>
      <c r="AG156">
        <v>3417388.79999999</v>
      </c>
      <c r="AH156" s="2">
        <f t="shared" si="42"/>
        <v>-836437.71808699006</v>
      </c>
      <c r="AI156" s="2">
        <f t="shared" si="37"/>
        <v>-27881.257269566337</v>
      </c>
      <c r="AJ156">
        <v>30</v>
      </c>
      <c r="AK156">
        <v>469</v>
      </c>
      <c r="AL156" t="b">
        <v>1</v>
      </c>
      <c r="AM156" s="2">
        <f>IF('MANOVA '!M198, 1, 0)</f>
        <v>0</v>
      </c>
    </row>
    <row r="157" spans="1:39" x14ac:dyDescent="0.2">
      <c r="A157">
        <v>10</v>
      </c>
      <c r="B157">
        <v>139</v>
      </c>
      <c r="C157">
        <v>0.4</v>
      </c>
      <c r="D157">
        <v>30</v>
      </c>
      <c r="E157">
        <v>10</v>
      </c>
      <c r="F157">
        <v>1</v>
      </c>
      <c r="G157">
        <v>3</v>
      </c>
      <c r="H157">
        <v>15</v>
      </c>
      <c r="I157">
        <v>90.12</v>
      </c>
      <c r="J157">
        <v>98.7</v>
      </c>
      <c r="K157">
        <v>78488</v>
      </c>
      <c r="L157">
        <v>62320</v>
      </c>
      <c r="M157">
        <v>33282</v>
      </c>
      <c r="N157">
        <v>10634</v>
      </c>
      <c r="O157">
        <f>SUM(K157:N157)</f>
        <v>184724</v>
      </c>
      <c r="P157">
        <v>5755</v>
      </c>
      <c r="Q157">
        <v>41832</v>
      </c>
      <c r="R157">
        <v>7192</v>
      </c>
      <c r="S157">
        <v>36061</v>
      </c>
      <c r="T157">
        <f>SUM(P157:S157)</f>
        <v>90840</v>
      </c>
      <c r="U157">
        <f>O157+T157</f>
        <v>275564</v>
      </c>
      <c r="V157">
        <v>20298515.225427698</v>
      </c>
      <c r="W157">
        <v>14863631.843066201</v>
      </c>
      <c r="X157">
        <v>-5434883.3823614102</v>
      </c>
      <c r="Y157">
        <v>7131238.5590937696</v>
      </c>
      <c r="Z157">
        <f>Y157/AD157</f>
        <v>4184.9991543977521</v>
      </c>
      <c r="AA157">
        <v>0</v>
      </c>
      <c r="AB157">
        <v>0</v>
      </c>
      <c r="AC157">
        <v>2180</v>
      </c>
      <c r="AD157">
        <v>1704</v>
      </c>
      <c r="AE157">
        <v>0</v>
      </c>
      <c r="AF157">
        <v>5161902.1638259999</v>
      </c>
      <c r="AG157">
        <v>3417388.79999999</v>
      </c>
      <c r="AH157" s="2">
        <f>AF157-AG157</f>
        <v>1744513.3638260099</v>
      </c>
      <c r="AI157" s="2">
        <f t="shared" si="37"/>
        <v>58150.445460866998</v>
      </c>
      <c r="AJ157">
        <v>30</v>
      </c>
      <c r="AK157">
        <v>469</v>
      </c>
      <c r="AL157" t="b">
        <v>1</v>
      </c>
      <c r="AM157" s="2">
        <f>IF('MANOVA '!M199, 1, 0)</f>
        <v>0</v>
      </c>
    </row>
    <row r="158" spans="1:39" x14ac:dyDescent="0.2">
      <c r="A158">
        <v>10</v>
      </c>
      <c r="B158">
        <v>138</v>
      </c>
      <c r="C158">
        <v>0.4</v>
      </c>
      <c r="D158">
        <v>30</v>
      </c>
      <c r="E158">
        <v>10</v>
      </c>
      <c r="F158">
        <v>1</v>
      </c>
      <c r="G158">
        <v>1</v>
      </c>
      <c r="H158">
        <v>30</v>
      </c>
      <c r="I158">
        <v>45.06</v>
      </c>
      <c r="J158">
        <v>49.35</v>
      </c>
      <c r="K158">
        <v>72850</v>
      </c>
      <c r="L158">
        <v>63740</v>
      </c>
      <c r="M158">
        <v>34184</v>
      </c>
      <c r="N158">
        <v>10573</v>
      </c>
      <c r="O158">
        <f t="shared" si="38"/>
        <v>181347</v>
      </c>
      <c r="P158">
        <v>5903</v>
      </c>
      <c r="Q158">
        <v>43254</v>
      </c>
      <c r="R158">
        <v>7783</v>
      </c>
      <c r="S158">
        <v>35499</v>
      </c>
      <c r="T158">
        <f t="shared" si="39"/>
        <v>92439</v>
      </c>
      <c r="U158">
        <f t="shared" si="40"/>
        <v>273786</v>
      </c>
      <c r="V158">
        <v>27960840.424438398</v>
      </c>
      <c r="W158">
        <v>10769979.190660801</v>
      </c>
      <c r="X158">
        <v>-17190861.233777501</v>
      </c>
      <c r="Y158">
        <v>13146327.282641601</v>
      </c>
      <c r="Z158">
        <f t="shared" si="41"/>
        <v>3895.2080837456597</v>
      </c>
      <c r="AA158">
        <v>0</v>
      </c>
      <c r="AB158">
        <v>0</v>
      </c>
      <c r="AC158">
        <v>2164</v>
      </c>
      <c r="AD158">
        <v>3375</v>
      </c>
      <c r="AE158">
        <v>0</v>
      </c>
      <c r="AF158">
        <v>3536151.1920497799</v>
      </c>
      <c r="AG158">
        <v>3417388.79999999</v>
      </c>
      <c r="AH158" s="2">
        <f t="shared" si="42"/>
        <v>118762.39204978989</v>
      </c>
      <c r="AI158" s="2">
        <f t="shared" si="37"/>
        <v>3958.7464016596632</v>
      </c>
      <c r="AJ158">
        <v>30</v>
      </c>
      <c r="AK158">
        <v>393</v>
      </c>
      <c r="AL158" t="b">
        <v>1</v>
      </c>
      <c r="AM158" s="2">
        <f>IF('MANOVA '!M200, 1, 0)</f>
        <v>0</v>
      </c>
    </row>
    <row r="159" spans="1:39" x14ac:dyDescent="0.2">
      <c r="A159">
        <v>10</v>
      </c>
      <c r="B159">
        <v>138</v>
      </c>
      <c r="C159">
        <v>0.4</v>
      </c>
      <c r="D159">
        <v>30</v>
      </c>
      <c r="E159">
        <v>10</v>
      </c>
      <c r="F159">
        <v>1</v>
      </c>
      <c r="G159">
        <v>1</v>
      </c>
      <c r="H159">
        <v>30</v>
      </c>
      <c r="I159">
        <v>90.12</v>
      </c>
      <c r="J159">
        <v>98.7</v>
      </c>
      <c r="K159">
        <v>72850</v>
      </c>
      <c r="L159">
        <v>63740</v>
      </c>
      <c r="M159">
        <v>34184</v>
      </c>
      <c r="N159">
        <v>10573</v>
      </c>
      <c r="O159">
        <f>SUM(K159:N159)</f>
        <v>181347</v>
      </c>
      <c r="P159">
        <v>5903</v>
      </c>
      <c r="Q159">
        <v>43254</v>
      </c>
      <c r="R159">
        <v>7783</v>
      </c>
      <c r="S159">
        <v>35499</v>
      </c>
      <c r="T159">
        <f>SUM(P159:S159)</f>
        <v>92439</v>
      </c>
      <c r="U159">
        <f>O159+T159</f>
        <v>273786</v>
      </c>
      <c r="V159">
        <v>27960840.424438398</v>
      </c>
      <c r="W159">
        <v>18122569.581321601</v>
      </c>
      <c r="X159">
        <v>-9838270.8431167491</v>
      </c>
      <c r="Y159">
        <v>13146327.282641601</v>
      </c>
      <c r="Z159">
        <f>Y159/AD159</f>
        <v>3895.2080837456597</v>
      </c>
      <c r="AA159">
        <v>0</v>
      </c>
      <c r="AB159">
        <v>0</v>
      </c>
      <c r="AC159">
        <v>2164</v>
      </c>
      <c r="AD159">
        <v>3375</v>
      </c>
      <c r="AE159">
        <v>0</v>
      </c>
      <c r="AF159">
        <v>7072302.3840995701</v>
      </c>
      <c r="AG159">
        <v>3417388.79999999</v>
      </c>
      <c r="AH159" s="2">
        <f>AF159-AG159</f>
        <v>3654913.5840995801</v>
      </c>
      <c r="AI159" s="2">
        <f t="shared" si="37"/>
        <v>121830.45280331933</v>
      </c>
      <c r="AJ159">
        <v>30</v>
      </c>
      <c r="AK159">
        <v>393</v>
      </c>
      <c r="AL159" t="b">
        <v>1</v>
      </c>
      <c r="AM159" s="2">
        <f>IF('MANOVA '!M201, 1, 0)</f>
        <v>0</v>
      </c>
    </row>
    <row r="160" spans="1:39" x14ac:dyDescent="0.2">
      <c r="A160">
        <v>10</v>
      </c>
      <c r="B160">
        <v>140</v>
      </c>
      <c r="C160">
        <v>0.4</v>
      </c>
      <c r="D160">
        <v>30</v>
      </c>
      <c r="E160">
        <v>10</v>
      </c>
      <c r="F160">
        <v>1</v>
      </c>
      <c r="G160">
        <v>1</v>
      </c>
      <c r="H160">
        <v>15</v>
      </c>
      <c r="I160">
        <v>45.06</v>
      </c>
      <c r="J160">
        <v>49.35</v>
      </c>
      <c r="K160">
        <v>78079</v>
      </c>
      <c r="L160">
        <v>61582</v>
      </c>
      <c r="M160">
        <v>33284</v>
      </c>
      <c r="N160">
        <v>10662</v>
      </c>
      <c r="O160">
        <f t="shared" si="38"/>
        <v>183607</v>
      </c>
      <c r="P160">
        <v>5521</v>
      </c>
      <c r="Q160">
        <v>40390</v>
      </c>
      <c r="R160">
        <v>6718</v>
      </c>
      <c r="S160">
        <v>36551</v>
      </c>
      <c r="T160">
        <f t="shared" si="39"/>
        <v>89180</v>
      </c>
      <c r="U160">
        <f t="shared" si="40"/>
        <v>272787</v>
      </c>
      <c r="V160">
        <v>20250505.231081899</v>
      </c>
      <c r="W160">
        <v>8268002.4391249698</v>
      </c>
      <c r="X160">
        <v>-11982502.791957</v>
      </c>
      <c r="Y160">
        <v>7425597.9823034499</v>
      </c>
      <c r="Z160">
        <f t="shared" si="41"/>
        <v>4329.7947418679005</v>
      </c>
      <c r="AA160">
        <v>0</v>
      </c>
      <c r="AB160">
        <v>0</v>
      </c>
      <c r="AC160">
        <v>2202</v>
      </c>
      <c r="AD160">
        <v>1715</v>
      </c>
      <c r="AE160">
        <v>0</v>
      </c>
      <c r="AF160">
        <v>1609481.87287133</v>
      </c>
      <c r="AG160">
        <v>3417388.79999999</v>
      </c>
      <c r="AH160" s="2">
        <f t="shared" si="42"/>
        <v>-1807906.92712866</v>
      </c>
      <c r="AI160" s="2">
        <f t="shared" si="37"/>
        <v>-60263.564237621998</v>
      </c>
      <c r="AJ160">
        <v>30</v>
      </c>
      <c r="AK160">
        <v>498</v>
      </c>
      <c r="AL160" t="b">
        <v>1</v>
      </c>
      <c r="AM160" s="2">
        <f>IF('MANOVA '!M202, 1, 0)</f>
        <v>0</v>
      </c>
    </row>
    <row r="161" spans="1:39" x14ac:dyDescent="0.2">
      <c r="A161">
        <v>10</v>
      </c>
      <c r="B161">
        <v>140</v>
      </c>
      <c r="C161">
        <v>0.4</v>
      </c>
      <c r="D161">
        <v>30</v>
      </c>
      <c r="E161">
        <v>10</v>
      </c>
      <c r="F161">
        <v>1</v>
      </c>
      <c r="G161">
        <v>1</v>
      </c>
      <c r="H161">
        <v>15</v>
      </c>
      <c r="I161">
        <v>90.12</v>
      </c>
      <c r="J161">
        <v>98.7</v>
      </c>
      <c r="K161">
        <v>78079</v>
      </c>
      <c r="L161">
        <v>61582</v>
      </c>
      <c r="M161">
        <v>33284</v>
      </c>
      <c r="N161">
        <v>10662</v>
      </c>
      <c r="O161">
        <f>SUM(K161:N161)</f>
        <v>183607</v>
      </c>
      <c r="P161">
        <v>5521</v>
      </c>
      <c r="Q161">
        <v>40390</v>
      </c>
      <c r="R161">
        <v>6718</v>
      </c>
      <c r="S161">
        <v>36551</v>
      </c>
      <c r="T161">
        <f>SUM(P161:S161)</f>
        <v>89180</v>
      </c>
      <c r="U161">
        <f>O161+T161</f>
        <v>272787</v>
      </c>
      <c r="V161">
        <v>20250505.231081899</v>
      </c>
      <c r="W161">
        <v>13118616.0782499</v>
      </c>
      <c r="X161">
        <v>-7131889.1528320303</v>
      </c>
      <c r="Y161">
        <v>7425597.9823034499</v>
      </c>
      <c r="Z161">
        <f>Y161/AD161</f>
        <v>4329.7947418679005</v>
      </c>
      <c r="AA161">
        <v>0</v>
      </c>
      <c r="AB161">
        <v>0</v>
      </c>
      <c r="AC161">
        <v>2202</v>
      </c>
      <c r="AD161">
        <v>1715</v>
      </c>
      <c r="AE161">
        <v>0</v>
      </c>
      <c r="AF161">
        <v>3218963.7457426698</v>
      </c>
      <c r="AG161">
        <v>3417388.79999999</v>
      </c>
      <c r="AH161" s="2">
        <f>AF161-AG161</f>
        <v>-198425.05425732024</v>
      </c>
      <c r="AI161" s="2">
        <f t="shared" si="37"/>
        <v>-6614.1684752440078</v>
      </c>
      <c r="AJ161">
        <v>30</v>
      </c>
      <c r="AK161">
        <v>498</v>
      </c>
      <c r="AL161" t="b">
        <v>1</v>
      </c>
      <c r="AM161" s="2">
        <f>IF('MANOVA '!M203, 1, 0)</f>
        <v>0</v>
      </c>
    </row>
    <row r="162" spans="1:39" x14ac:dyDescent="0.2">
      <c r="A162">
        <v>10</v>
      </c>
      <c r="B162">
        <v>219</v>
      </c>
      <c r="C162">
        <v>0.4</v>
      </c>
      <c r="D162">
        <v>50</v>
      </c>
      <c r="E162">
        <v>15</v>
      </c>
      <c r="F162">
        <v>3</v>
      </c>
      <c r="G162">
        <v>3</v>
      </c>
      <c r="H162">
        <v>30</v>
      </c>
      <c r="I162">
        <v>45.06</v>
      </c>
      <c r="J162">
        <v>49.35</v>
      </c>
      <c r="K162">
        <v>67006</v>
      </c>
      <c r="L162">
        <v>111432</v>
      </c>
      <c r="M162">
        <v>25713</v>
      </c>
      <c r="N162">
        <v>13067</v>
      </c>
      <c r="O162">
        <f t="shared" si="38"/>
        <v>217218</v>
      </c>
      <c r="P162">
        <v>29262</v>
      </c>
      <c r="Q162">
        <v>44412</v>
      </c>
      <c r="R162">
        <v>3830</v>
      </c>
      <c r="S162">
        <v>38205</v>
      </c>
      <c r="T162">
        <f t="shared" si="39"/>
        <v>115709</v>
      </c>
      <c r="U162">
        <f t="shared" si="40"/>
        <v>332927</v>
      </c>
      <c r="V162">
        <v>49160761.757037699</v>
      </c>
      <c r="W162">
        <v>28959582.356123399</v>
      </c>
      <c r="X162">
        <v>-20201179.4009142</v>
      </c>
      <c r="Y162">
        <v>21244867.441321898</v>
      </c>
      <c r="Z162">
        <f t="shared" si="41"/>
        <v>3852.8958000221069</v>
      </c>
      <c r="AA162">
        <v>0</v>
      </c>
      <c r="AB162">
        <v>0</v>
      </c>
      <c r="AC162">
        <v>3493</v>
      </c>
      <c r="AD162">
        <v>5514</v>
      </c>
      <c r="AE162">
        <v>0</v>
      </c>
      <c r="AF162">
        <v>12874123.199588699</v>
      </c>
      <c r="AG162">
        <v>8362795.5</v>
      </c>
      <c r="AH162" s="2">
        <f t="shared" ref="AH162:AH192" si="43">AF162-AG162</f>
        <v>4511327.6995886993</v>
      </c>
      <c r="AI162" s="2">
        <f t="shared" ref="AI162:AI193" si="44">AH162/D162</f>
        <v>90226.553991773981</v>
      </c>
      <c r="AJ162">
        <v>50</v>
      </c>
      <c r="AK162">
        <v>561</v>
      </c>
      <c r="AL162" t="b">
        <v>1</v>
      </c>
      <c r="AM162" s="2">
        <f>IF('MANOVA '!M204, 1, 0)</f>
        <v>0</v>
      </c>
    </row>
    <row r="163" spans="1:39" x14ac:dyDescent="0.2">
      <c r="A163">
        <v>10</v>
      </c>
      <c r="B163">
        <v>219</v>
      </c>
      <c r="C163">
        <v>0.4</v>
      </c>
      <c r="D163">
        <v>50</v>
      </c>
      <c r="E163">
        <v>15</v>
      </c>
      <c r="F163">
        <v>3</v>
      </c>
      <c r="G163">
        <v>3</v>
      </c>
      <c r="H163">
        <v>30</v>
      </c>
      <c r="I163">
        <v>90.12</v>
      </c>
      <c r="J163">
        <v>98.7</v>
      </c>
      <c r="K163">
        <v>67006</v>
      </c>
      <c r="L163">
        <v>111432</v>
      </c>
      <c r="M163">
        <v>25713</v>
      </c>
      <c r="N163">
        <v>13067</v>
      </c>
      <c r="O163">
        <f>SUM(K163:N163)</f>
        <v>217218</v>
      </c>
      <c r="P163">
        <v>29262</v>
      </c>
      <c r="Q163">
        <v>44412</v>
      </c>
      <c r="R163">
        <v>3830</v>
      </c>
      <c r="S163">
        <v>38205</v>
      </c>
      <c r="T163">
        <f>SUM(P163:S163)</f>
        <v>115709</v>
      </c>
      <c r="U163">
        <f>O163+T163</f>
        <v>332927</v>
      </c>
      <c r="V163">
        <v>49160761.757037699</v>
      </c>
      <c r="W163">
        <v>49556369.212246798</v>
      </c>
      <c r="X163">
        <v>395607.45520912798</v>
      </c>
      <c r="Y163">
        <v>21244867.441321898</v>
      </c>
      <c r="Z163">
        <f>Y163/AD163</f>
        <v>3852.8958000221069</v>
      </c>
      <c r="AA163">
        <v>0</v>
      </c>
      <c r="AB163">
        <v>0</v>
      </c>
      <c r="AC163">
        <v>3493</v>
      </c>
      <c r="AD163">
        <v>5514</v>
      </c>
      <c r="AE163">
        <v>0</v>
      </c>
      <c r="AF163">
        <v>25748246.399177499</v>
      </c>
      <c r="AG163">
        <v>8362795.5</v>
      </c>
      <c r="AH163" s="2">
        <f>AF163-AG163</f>
        <v>17385450.899177499</v>
      </c>
      <c r="AI163" s="2">
        <f t="shared" si="44"/>
        <v>347709.01798354997</v>
      </c>
      <c r="AJ163">
        <v>50</v>
      </c>
      <c r="AK163">
        <v>561</v>
      </c>
      <c r="AL163" t="b">
        <v>1</v>
      </c>
      <c r="AM163" s="2">
        <f>IF('MANOVA '!M205, 1, 0)</f>
        <v>0</v>
      </c>
    </row>
    <row r="164" spans="1:39" x14ac:dyDescent="0.2">
      <c r="A164">
        <v>10</v>
      </c>
      <c r="B164">
        <v>218</v>
      </c>
      <c r="C164">
        <v>0.4</v>
      </c>
      <c r="D164">
        <v>50</v>
      </c>
      <c r="E164">
        <v>15</v>
      </c>
      <c r="F164">
        <v>3</v>
      </c>
      <c r="G164">
        <v>3</v>
      </c>
      <c r="H164">
        <v>15</v>
      </c>
      <c r="I164">
        <v>45.06</v>
      </c>
      <c r="J164">
        <v>49.35</v>
      </c>
      <c r="K164">
        <v>67350</v>
      </c>
      <c r="L164">
        <v>109926</v>
      </c>
      <c r="M164">
        <v>25192</v>
      </c>
      <c r="N164">
        <v>13050</v>
      </c>
      <c r="O164">
        <f t="shared" si="38"/>
        <v>215518</v>
      </c>
      <c r="P164">
        <v>35224</v>
      </c>
      <c r="Q164">
        <v>40078</v>
      </c>
      <c r="R164">
        <v>3484</v>
      </c>
      <c r="S164">
        <v>38454</v>
      </c>
      <c r="T164">
        <f t="shared" si="39"/>
        <v>117240</v>
      </c>
      <c r="U164">
        <f t="shared" si="40"/>
        <v>332758</v>
      </c>
      <c r="V164">
        <v>36459345.143924601</v>
      </c>
      <c r="W164">
        <v>23714433.7871079</v>
      </c>
      <c r="X164">
        <v>-12744911.3568167</v>
      </c>
      <c r="Y164">
        <v>10997496.827051699</v>
      </c>
      <c r="Z164">
        <f t="shared" si="41"/>
        <v>3941.7551351439784</v>
      </c>
      <c r="AA164">
        <v>0</v>
      </c>
      <c r="AB164">
        <v>0</v>
      </c>
      <c r="AC164">
        <v>3471</v>
      </c>
      <c r="AD164">
        <v>2790</v>
      </c>
      <c r="AE164">
        <v>0</v>
      </c>
      <c r="AF164">
        <v>9463378.7070490606</v>
      </c>
      <c r="AG164">
        <v>8362795.5</v>
      </c>
      <c r="AH164" s="2">
        <f t="shared" si="43"/>
        <v>1100583.2070490606</v>
      </c>
      <c r="AI164" s="2">
        <f t="shared" si="44"/>
        <v>22011.664140981211</v>
      </c>
      <c r="AJ164">
        <v>50</v>
      </c>
      <c r="AK164">
        <v>796</v>
      </c>
      <c r="AL164" t="b">
        <v>1</v>
      </c>
      <c r="AM164" s="2">
        <f>IF('MANOVA '!M206, 1, 0)</f>
        <v>0</v>
      </c>
    </row>
    <row r="165" spans="1:39" x14ac:dyDescent="0.2">
      <c r="A165">
        <v>10</v>
      </c>
      <c r="B165">
        <v>218</v>
      </c>
      <c r="C165">
        <v>0.4</v>
      </c>
      <c r="D165">
        <v>50</v>
      </c>
      <c r="E165">
        <v>15</v>
      </c>
      <c r="F165">
        <v>3</v>
      </c>
      <c r="G165">
        <v>3</v>
      </c>
      <c r="H165">
        <v>15</v>
      </c>
      <c r="I165">
        <v>90.12</v>
      </c>
      <c r="J165">
        <v>98.7</v>
      </c>
      <c r="K165">
        <v>67350</v>
      </c>
      <c r="L165">
        <v>109926</v>
      </c>
      <c r="M165">
        <v>25192</v>
      </c>
      <c r="N165">
        <v>13050</v>
      </c>
      <c r="O165">
        <f>SUM(K165:N165)</f>
        <v>215518</v>
      </c>
      <c r="P165">
        <v>35224</v>
      </c>
      <c r="Q165">
        <v>40078</v>
      </c>
      <c r="R165">
        <v>3484</v>
      </c>
      <c r="S165">
        <v>38454</v>
      </c>
      <c r="T165">
        <f>SUM(P165:S165)</f>
        <v>117240</v>
      </c>
      <c r="U165">
        <f>O165+T165</f>
        <v>332758</v>
      </c>
      <c r="V165">
        <v>36459345.143924601</v>
      </c>
      <c r="W165">
        <v>39066072.0742158</v>
      </c>
      <c r="X165">
        <v>2606726.93029114</v>
      </c>
      <c r="Y165">
        <v>10997496.827051699</v>
      </c>
      <c r="Z165">
        <f>Y165/AD165</f>
        <v>3941.7551351439784</v>
      </c>
      <c r="AA165">
        <v>0</v>
      </c>
      <c r="AB165">
        <v>0</v>
      </c>
      <c r="AC165">
        <v>3471</v>
      </c>
      <c r="AD165">
        <v>2790</v>
      </c>
      <c r="AE165">
        <v>0</v>
      </c>
      <c r="AF165">
        <v>18926757.414098099</v>
      </c>
      <c r="AG165">
        <v>8362795.5</v>
      </c>
      <c r="AH165" s="2">
        <f>AF165-AG165</f>
        <v>10563961.914098099</v>
      </c>
      <c r="AI165" s="2">
        <f t="shared" si="44"/>
        <v>211279.23828196197</v>
      </c>
      <c r="AJ165">
        <v>50</v>
      </c>
      <c r="AK165">
        <v>796</v>
      </c>
      <c r="AL165" t="b">
        <v>1</v>
      </c>
      <c r="AM165" s="2">
        <f>IF('MANOVA '!M207, 1, 0)</f>
        <v>0</v>
      </c>
    </row>
    <row r="166" spans="1:39" x14ac:dyDescent="0.2">
      <c r="A166">
        <v>10</v>
      </c>
      <c r="B166">
        <v>222</v>
      </c>
      <c r="C166">
        <v>0.4</v>
      </c>
      <c r="D166">
        <v>50</v>
      </c>
      <c r="E166">
        <v>15</v>
      </c>
      <c r="F166">
        <v>3</v>
      </c>
      <c r="G166">
        <v>1</v>
      </c>
      <c r="H166">
        <v>30</v>
      </c>
      <c r="I166">
        <v>45.06</v>
      </c>
      <c r="J166">
        <v>49.35</v>
      </c>
      <c r="K166">
        <v>83402</v>
      </c>
      <c r="L166">
        <v>108018</v>
      </c>
      <c r="M166">
        <v>25499</v>
      </c>
      <c r="N166">
        <v>13197</v>
      </c>
      <c r="O166">
        <f t="shared" si="38"/>
        <v>230116</v>
      </c>
      <c r="P166">
        <v>26892</v>
      </c>
      <c r="Q166">
        <v>40883</v>
      </c>
      <c r="R166">
        <v>3718</v>
      </c>
      <c r="S166">
        <v>38073</v>
      </c>
      <c r="T166">
        <f t="shared" si="39"/>
        <v>109566</v>
      </c>
      <c r="U166">
        <f t="shared" si="40"/>
        <v>339682</v>
      </c>
      <c r="V166">
        <v>46455971.406212904</v>
      </c>
      <c r="W166">
        <v>24308473.647459999</v>
      </c>
      <c r="X166">
        <v>-22147497.758752801</v>
      </c>
      <c r="Y166">
        <v>21586230.566376101</v>
      </c>
      <c r="Z166">
        <f t="shared" si="41"/>
        <v>3847.1271727635185</v>
      </c>
      <c r="AA166">
        <v>0</v>
      </c>
      <c r="AB166">
        <v>0</v>
      </c>
      <c r="AC166">
        <v>3542</v>
      </c>
      <c r="AD166">
        <v>5611</v>
      </c>
      <c r="AE166">
        <v>0</v>
      </c>
      <c r="AF166">
        <v>8529394.1942931395</v>
      </c>
      <c r="AG166">
        <v>8362795.5</v>
      </c>
      <c r="AH166" s="2">
        <f t="shared" si="43"/>
        <v>166598.6942931395</v>
      </c>
      <c r="AI166" s="2">
        <f t="shared" si="44"/>
        <v>3331.9738858627902</v>
      </c>
      <c r="AJ166">
        <v>50</v>
      </c>
      <c r="AK166">
        <v>743</v>
      </c>
      <c r="AL166" t="b">
        <v>1</v>
      </c>
      <c r="AM166" s="2">
        <f>IF('MANOVA '!M208, 1, 0)</f>
        <v>0</v>
      </c>
    </row>
    <row r="167" spans="1:39" x14ac:dyDescent="0.2">
      <c r="A167">
        <v>10</v>
      </c>
      <c r="B167">
        <v>222</v>
      </c>
      <c r="C167">
        <v>0.4</v>
      </c>
      <c r="D167">
        <v>50</v>
      </c>
      <c r="E167">
        <v>15</v>
      </c>
      <c r="F167">
        <v>3</v>
      </c>
      <c r="G167">
        <v>1</v>
      </c>
      <c r="H167">
        <v>30</v>
      </c>
      <c r="I167">
        <v>90.12</v>
      </c>
      <c r="J167">
        <v>98.7</v>
      </c>
      <c r="K167">
        <v>83402</v>
      </c>
      <c r="L167">
        <v>108018</v>
      </c>
      <c r="M167">
        <v>25499</v>
      </c>
      <c r="N167">
        <v>13197</v>
      </c>
      <c r="O167">
        <f>SUM(K167:N167)</f>
        <v>230116</v>
      </c>
      <c r="P167">
        <v>26892</v>
      </c>
      <c r="Q167">
        <v>40883</v>
      </c>
      <c r="R167">
        <v>3718</v>
      </c>
      <c r="S167">
        <v>38073</v>
      </c>
      <c r="T167">
        <f>SUM(P167:S167)</f>
        <v>109566</v>
      </c>
      <c r="U167">
        <f>O167+T167</f>
        <v>339682</v>
      </c>
      <c r="V167">
        <v>46455971.406212904</v>
      </c>
      <c r="W167">
        <v>40254151.794920102</v>
      </c>
      <c r="X167">
        <v>-6201819.6112927701</v>
      </c>
      <c r="Y167">
        <v>21586230.566376101</v>
      </c>
      <c r="Z167">
        <f>Y167/AD167</f>
        <v>3847.1271727635185</v>
      </c>
      <c r="AA167">
        <v>0</v>
      </c>
      <c r="AB167">
        <v>0</v>
      </c>
      <c r="AC167">
        <v>3542</v>
      </c>
      <c r="AD167">
        <v>5611</v>
      </c>
      <c r="AE167">
        <v>0</v>
      </c>
      <c r="AF167">
        <v>17058788.388586201</v>
      </c>
      <c r="AG167">
        <v>8362795.5</v>
      </c>
      <c r="AH167" s="2">
        <f>AF167-AG167</f>
        <v>8695992.8885862008</v>
      </c>
      <c r="AI167" s="2">
        <f t="shared" si="44"/>
        <v>173919.85777172403</v>
      </c>
      <c r="AJ167">
        <v>50</v>
      </c>
      <c r="AK167">
        <v>743</v>
      </c>
      <c r="AL167" t="b">
        <v>1</v>
      </c>
      <c r="AM167" s="2">
        <f>IF('MANOVA '!M209, 1, 0)</f>
        <v>0</v>
      </c>
    </row>
    <row r="168" spans="1:39" x14ac:dyDescent="0.2">
      <c r="A168">
        <v>10</v>
      </c>
      <c r="B168">
        <v>218</v>
      </c>
      <c r="C168">
        <v>0.4</v>
      </c>
      <c r="D168">
        <v>50</v>
      </c>
      <c r="E168">
        <v>15</v>
      </c>
      <c r="F168">
        <v>3</v>
      </c>
      <c r="G168">
        <v>1</v>
      </c>
      <c r="H168">
        <v>15</v>
      </c>
      <c r="I168">
        <v>45.06</v>
      </c>
      <c r="J168">
        <v>49.35</v>
      </c>
      <c r="K168">
        <v>66978</v>
      </c>
      <c r="L168">
        <v>109790</v>
      </c>
      <c r="M168">
        <v>25377</v>
      </c>
      <c r="N168">
        <v>12950</v>
      </c>
      <c r="O168">
        <f t="shared" si="38"/>
        <v>215095</v>
      </c>
      <c r="P168">
        <v>35176</v>
      </c>
      <c r="Q168">
        <v>40421</v>
      </c>
      <c r="R168">
        <v>3515</v>
      </c>
      <c r="S168">
        <v>38512</v>
      </c>
      <c r="T168">
        <f t="shared" si="39"/>
        <v>117624</v>
      </c>
      <c r="U168">
        <f t="shared" si="40"/>
        <v>332719</v>
      </c>
      <c r="V168">
        <v>35498021.111126304</v>
      </c>
      <c r="W168">
        <v>22769537.8653295</v>
      </c>
      <c r="X168">
        <v>-12728483.245796699</v>
      </c>
      <c r="Y168">
        <v>10958867.321188901</v>
      </c>
      <c r="Z168">
        <f t="shared" si="41"/>
        <v>3934.9613361540037</v>
      </c>
      <c r="AA168">
        <v>0</v>
      </c>
      <c r="AB168">
        <v>0</v>
      </c>
      <c r="AC168">
        <v>3483</v>
      </c>
      <c r="AD168">
        <v>2785</v>
      </c>
      <c r="AE168">
        <v>0</v>
      </c>
      <c r="AF168">
        <v>8105933.5299495002</v>
      </c>
      <c r="AG168">
        <v>8362795.5</v>
      </c>
      <c r="AH168" s="2">
        <f t="shared" si="43"/>
        <v>-256861.97005049977</v>
      </c>
      <c r="AI168" s="2">
        <f t="shared" si="44"/>
        <v>-5137.2394010099952</v>
      </c>
      <c r="AJ168">
        <v>50</v>
      </c>
      <c r="AK168">
        <v>843</v>
      </c>
      <c r="AL168" t="b">
        <v>1</v>
      </c>
      <c r="AM168" s="2">
        <f>IF('MANOVA '!M210, 1, 0)</f>
        <v>0</v>
      </c>
    </row>
    <row r="169" spans="1:39" x14ac:dyDescent="0.2">
      <c r="A169">
        <v>10</v>
      </c>
      <c r="B169">
        <v>218</v>
      </c>
      <c r="C169">
        <v>0.4</v>
      </c>
      <c r="D169">
        <v>50</v>
      </c>
      <c r="E169">
        <v>15</v>
      </c>
      <c r="F169">
        <v>3</v>
      </c>
      <c r="G169">
        <v>1</v>
      </c>
      <c r="H169">
        <v>15</v>
      </c>
      <c r="I169">
        <v>90.12</v>
      </c>
      <c r="J169">
        <v>98.7</v>
      </c>
      <c r="K169">
        <v>66978</v>
      </c>
      <c r="L169">
        <v>109790</v>
      </c>
      <c r="M169">
        <v>25377</v>
      </c>
      <c r="N169">
        <v>12950</v>
      </c>
      <c r="O169">
        <f>SUM(K169:N169)</f>
        <v>215095</v>
      </c>
      <c r="P169">
        <v>35176</v>
      </c>
      <c r="Q169">
        <v>40421</v>
      </c>
      <c r="R169">
        <v>3515</v>
      </c>
      <c r="S169">
        <v>38512</v>
      </c>
      <c r="T169">
        <f>SUM(P169:S169)</f>
        <v>117624</v>
      </c>
      <c r="U169">
        <f>O169+T169</f>
        <v>332719</v>
      </c>
      <c r="V169">
        <v>35498021.111126304</v>
      </c>
      <c r="W169">
        <v>37176280.230659097</v>
      </c>
      <c r="X169">
        <v>1678259.11953279</v>
      </c>
      <c r="Y169">
        <v>10958867.321188901</v>
      </c>
      <c r="Z169">
        <f>Y169/AD169</f>
        <v>3934.9613361540037</v>
      </c>
      <c r="AA169">
        <v>0</v>
      </c>
      <c r="AB169">
        <v>0</v>
      </c>
      <c r="AC169">
        <v>3483</v>
      </c>
      <c r="AD169">
        <v>2785</v>
      </c>
      <c r="AE169">
        <v>0</v>
      </c>
      <c r="AF169">
        <v>16211867.059899</v>
      </c>
      <c r="AG169">
        <v>8362795.5</v>
      </c>
      <c r="AH169" s="2">
        <f>AF169-AG169</f>
        <v>7849071.5598990005</v>
      </c>
      <c r="AI169" s="2">
        <f t="shared" si="44"/>
        <v>156981.43119798001</v>
      </c>
      <c r="AJ169">
        <v>50</v>
      </c>
      <c r="AK169">
        <v>843</v>
      </c>
      <c r="AL169" t="b">
        <v>1</v>
      </c>
      <c r="AM169" s="2">
        <f>IF('MANOVA '!M211, 1, 0)</f>
        <v>0</v>
      </c>
    </row>
    <row r="170" spans="1:39" x14ac:dyDescent="0.2">
      <c r="A170">
        <v>10</v>
      </c>
      <c r="B170">
        <v>220</v>
      </c>
      <c r="C170">
        <v>0.4</v>
      </c>
      <c r="D170">
        <v>50</v>
      </c>
      <c r="E170">
        <v>15</v>
      </c>
      <c r="F170">
        <v>1</v>
      </c>
      <c r="G170">
        <v>3</v>
      </c>
      <c r="H170">
        <v>30</v>
      </c>
      <c r="I170">
        <v>45.06</v>
      </c>
      <c r="J170">
        <v>49.35</v>
      </c>
      <c r="K170">
        <v>66420</v>
      </c>
      <c r="L170">
        <v>109883</v>
      </c>
      <c r="M170">
        <v>25737</v>
      </c>
      <c r="N170">
        <v>13102</v>
      </c>
      <c r="O170">
        <f t="shared" si="38"/>
        <v>215142</v>
      </c>
      <c r="P170">
        <v>28491</v>
      </c>
      <c r="Q170">
        <v>43158</v>
      </c>
      <c r="R170">
        <v>3830</v>
      </c>
      <c r="S170">
        <v>38243</v>
      </c>
      <c r="T170">
        <f t="shared" si="39"/>
        <v>113722</v>
      </c>
      <c r="U170">
        <f t="shared" si="40"/>
        <v>328864</v>
      </c>
      <c r="V170">
        <v>48861729.096551903</v>
      </c>
      <c r="W170">
        <v>28126727.241679002</v>
      </c>
      <c r="X170">
        <v>-20735001.854872901</v>
      </c>
      <c r="Y170">
        <v>22933074.3460683</v>
      </c>
      <c r="Z170">
        <f t="shared" si="41"/>
        <v>4190.2200522690118</v>
      </c>
      <c r="AA170">
        <v>0</v>
      </c>
      <c r="AB170">
        <v>0</v>
      </c>
      <c r="AC170">
        <v>3498</v>
      </c>
      <c r="AD170">
        <v>5473</v>
      </c>
      <c r="AE170">
        <v>0</v>
      </c>
      <c r="AF170">
        <v>12941198.3878399</v>
      </c>
      <c r="AG170">
        <v>8362795.5</v>
      </c>
      <c r="AH170" s="2">
        <f t="shared" si="43"/>
        <v>4578402.8878399003</v>
      </c>
      <c r="AI170" s="2">
        <f t="shared" si="44"/>
        <v>91568.057756798007</v>
      </c>
      <c r="AJ170">
        <v>50</v>
      </c>
      <c r="AK170">
        <v>589</v>
      </c>
      <c r="AL170" t="b">
        <v>1</v>
      </c>
      <c r="AM170" s="2">
        <f>IF('MANOVA '!M212, 1, 0)</f>
        <v>0</v>
      </c>
    </row>
    <row r="171" spans="1:39" x14ac:dyDescent="0.2">
      <c r="A171">
        <v>10</v>
      </c>
      <c r="B171">
        <v>220</v>
      </c>
      <c r="C171">
        <v>0.4</v>
      </c>
      <c r="D171">
        <v>50</v>
      </c>
      <c r="E171">
        <v>15</v>
      </c>
      <c r="F171">
        <v>1</v>
      </c>
      <c r="G171">
        <v>3</v>
      </c>
      <c r="H171">
        <v>30</v>
      </c>
      <c r="I171">
        <v>90.12</v>
      </c>
      <c r="J171">
        <v>98.7</v>
      </c>
      <c r="K171">
        <v>66420</v>
      </c>
      <c r="L171">
        <v>109883</v>
      </c>
      <c r="M171">
        <v>25737</v>
      </c>
      <c r="N171">
        <v>13102</v>
      </c>
      <c r="O171">
        <f>SUM(K171:N171)</f>
        <v>215142</v>
      </c>
      <c r="P171">
        <v>28491</v>
      </c>
      <c r="Q171">
        <v>43158</v>
      </c>
      <c r="R171">
        <v>3830</v>
      </c>
      <c r="S171">
        <v>38243</v>
      </c>
      <c r="T171">
        <f>SUM(P171:S171)</f>
        <v>113722</v>
      </c>
      <c r="U171">
        <f>O171+T171</f>
        <v>328864</v>
      </c>
      <c r="V171">
        <v>48861729.096551903</v>
      </c>
      <c r="W171">
        <v>47890658.9833581</v>
      </c>
      <c r="X171">
        <v>-971070.11319386901</v>
      </c>
      <c r="Y171">
        <v>22933074.3460683</v>
      </c>
      <c r="Z171">
        <f>Y171/AD171</f>
        <v>4190.2200522690118</v>
      </c>
      <c r="AA171">
        <v>0</v>
      </c>
      <c r="AB171">
        <v>0</v>
      </c>
      <c r="AC171">
        <v>3498</v>
      </c>
      <c r="AD171">
        <v>5473</v>
      </c>
      <c r="AE171">
        <v>0</v>
      </c>
      <c r="AF171">
        <v>25882396.775679901</v>
      </c>
      <c r="AG171">
        <v>8362795.5</v>
      </c>
      <c r="AH171" s="2">
        <f>AF171-AG171</f>
        <v>17519601.275679901</v>
      </c>
      <c r="AI171" s="2">
        <f t="shared" si="44"/>
        <v>350392.025513598</v>
      </c>
      <c r="AJ171">
        <v>50</v>
      </c>
      <c r="AK171">
        <v>589</v>
      </c>
      <c r="AL171" t="b">
        <v>1</v>
      </c>
      <c r="AM171" s="2">
        <f>IF('MANOVA '!M213, 1, 0)</f>
        <v>0</v>
      </c>
    </row>
    <row r="172" spans="1:39" x14ac:dyDescent="0.2">
      <c r="A172">
        <v>10</v>
      </c>
      <c r="B172">
        <v>218</v>
      </c>
      <c r="C172">
        <v>0.4</v>
      </c>
      <c r="D172">
        <v>50</v>
      </c>
      <c r="E172">
        <v>15</v>
      </c>
      <c r="F172">
        <v>1</v>
      </c>
      <c r="G172">
        <v>3</v>
      </c>
      <c r="H172">
        <v>15</v>
      </c>
      <c r="I172">
        <v>45.06</v>
      </c>
      <c r="J172">
        <v>49.35</v>
      </c>
      <c r="K172">
        <v>67502</v>
      </c>
      <c r="L172">
        <v>110161</v>
      </c>
      <c r="M172">
        <v>25244</v>
      </c>
      <c r="N172">
        <v>13088</v>
      </c>
      <c r="O172">
        <f t="shared" si="38"/>
        <v>215995</v>
      </c>
      <c r="P172">
        <v>35041</v>
      </c>
      <c r="Q172">
        <v>39841</v>
      </c>
      <c r="R172">
        <v>3629</v>
      </c>
      <c r="S172">
        <v>38328</v>
      </c>
      <c r="T172">
        <f t="shared" si="39"/>
        <v>116839</v>
      </c>
      <c r="U172">
        <f t="shared" si="40"/>
        <v>332834</v>
      </c>
      <c r="V172">
        <v>36247492.108230896</v>
      </c>
      <c r="W172">
        <v>23562860.311107598</v>
      </c>
      <c r="X172">
        <v>-12684631.7971233</v>
      </c>
      <c r="Y172">
        <v>12057053.5984466</v>
      </c>
      <c r="Z172">
        <f t="shared" si="41"/>
        <v>4424.6068251180186</v>
      </c>
      <c r="AA172">
        <v>0</v>
      </c>
      <c r="AB172">
        <v>0</v>
      </c>
      <c r="AC172">
        <v>3462</v>
      </c>
      <c r="AD172">
        <v>2725</v>
      </c>
      <c r="AE172">
        <v>0</v>
      </c>
      <c r="AF172">
        <v>9010159.6901488807</v>
      </c>
      <c r="AG172">
        <v>8362795.5</v>
      </c>
      <c r="AH172" s="2">
        <f t="shared" si="43"/>
        <v>647364.19014888071</v>
      </c>
      <c r="AI172" s="2">
        <f t="shared" si="44"/>
        <v>12947.283802977614</v>
      </c>
      <c r="AJ172">
        <v>50</v>
      </c>
      <c r="AK172">
        <v>762</v>
      </c>
      <c r="AL172" t="b">
        <v>1</v>
      </c>
      <c r="AM172" s="2">
        <f>IF('MANOVA '!M214, 1, 0)</f>
        <v>0</v>
      </c>
    </row>
    <row r="173" spans="1:39" x14ac:dyDescent="0.2">
      <c r="A173">
        <v>10</v>
      </c>
      <c r="B173">
        <v>218</v>
      </c>
      <c r="C173">
        <v>0.4</v>
      </c>
      <c r="D173">
        <v>50</v>
      </c>
      <c r="E173">
        <v>15</v>
      </c>
      <c r="F173">
        <v>1</v>
      </c>
      <c r="G173">
        <v>3</v>
      </c>
      <c r="H173">
        <v>15</v>
      </c>
      <c r="I173">
        <v>90.12</v>
      </c>
      <c r="J173">
        <v>98.7</v>
      </c>
      <c r="K173">
        <v>67502</v>
      </c>
      <c r="L173">
        <v>110161</v>
      </c>
      <c r="M173">
        <v>25244</v>
      </c>
      <c r="N173">
        <v>13088</v>
      </c>
      <c r="O173">
        <f>SUM(K173:N173)</f>
        <v>215995</v>
      </c>
      <c r="P173">
        <v>35041</v>
      </c>
      <c r="Q173">
        <v>39841</v>
      </c>
      <c r="R173">
        <v>3629</v>
      </c>
      <c r="S173">
        <v>38328</v>
      </c>
      <c r="T173">
        <f>SUM(P173:S173)</f>
        <v>116839</v>
      </c>
      <c r="U173">
        <f>O173+T173</f>
        <v>332834</v>
      </c>
      <c r="V173">
        <v>36247492.108230896</v>
      </c>
      <c r="W173">
        <v>38762925.122215196</v>
      </c>
      <c r="X173">
        <v>2515433.0139842401</v>
      </c>
      <c r="Y173">
        <v>12057053.5984466</v>
      </c>
      <c r="Z173">
        <f>Y173/AD173</f>
        <v>4424.6068251180186</v>
      </c>
      <c r="AA173">
        <v>0</v>
      </c>
      <c r="AB173">
        <v>0</v>
      </c>
      <c r="AC173">
        <v>3462</v>
      </c>
      <c r="AD173">
        <v>2725</v>
      </c>
      <c r="AE173">
        <v>0</v>
      </c>
      <c r="AF173">
        <v>18020319.380297702</v>
      </c>
      <c r="AG173">
        <v>8362795.5</v>
      </c>
      <c r="AH173" s="2">
        <f>AF173-AG173</f>
        <v>9657523.8802977018</v>
      </c>
      <c r="AI173" s="2">
        <f t="shared" si="44"/>
        <v>193150.47760595405</v>
      </c>
      <c r="AJ173">
        <v>50</v>
      </c>
      <c r="AK173">
        <v>762</v>
      </c>
      <c r="AL173" t="b">
        <v>1</v>
      </c>
      <c r="AM173" s="2">
        <f>IF('MANOVA '!M215, 1, 0)</f>
        <v>0</v>
      </c>
    </row>
    <row r="174" spans="1:39" x14ac:dyDescent="0.2">
      <c r="A174">
        <v>10</v>
      </c>
      <c r="B174">
        <v>217</v>
      </c>
      <c r="C174">
        <v>0.4</v>
      </c>
      <c r="D174">
        <v>50</v>
      </c>
      <c r="E174">
        <v>15</v>
      </c>
      <c r="F174">
        <v>1</v>
      </c>
      <c r="G174">
        <v>1</v>
      </c>
      <c r="H174">
        <v>30</v>
      </c>
      <c r="I174">
        <v>45.06</v>
      </c>
      <c r="J174">
        <v>49.35</v>
      </c>
      <c r="K174">
        <v>68681</v>
      </c>
      <c r="L174">
        <v>113474</v>
      </c>
      <c r="M174">
        <v>25952</v>
      </c>
      <c r="N174">
        <v>13032</v>
      </c>
      <c r="O174">
        <f t="shared" si="38"/>
        <v>221139</v>
      </c>
      <c r="P174">
        <v>35870</v>
      </c>
      <c r="Q174">
        <v>41337</v>
      </c>
      <c r="R174">
        <v>3889</v>
      </c>
      <c r="S174">
        <v>38236</v>
      </c>
      <c r="T174">
        <f t="shared" si="39"/>
        <v>119332</v>
      </c>
      <c r="U174">
        <f t="shared" si="40"/>
        <v>340471</v>
      </c>
      <c r="V174">
        <v>46859447.672300801</v>
      </c>
      <c r="W174">
        <v>27087529.7193496</v>
      </c>
      <c r="X174">
        <v>-19771917.9529512</v>
      </c>
      <c r="Y174">
        <v>21544737.033042099</v>
      </c>
      <c r="Z174">
        <f t="shared" si="41"/>
        <v>3989.7661172300186</v>
      </c>
      <c r="AA174">
        <v>0</v>
      </c>
      <c r="AB174">
        <v>0</v>
      </c>
      <c r="AC174">
        <v>3426</v>
      </c>
      <c r="AD174">
        <v>5400</v>
      </c>
      <c r="AE174">
        <v>0</v>
      </c>
      <c r="AF174">
        <v>10202550.272717901</v>
      </c>
      <c r="AG174">
        <v>8362795.5</v>
      </c>
      <c r="AH174" s="2">
        <f t="shared" si="43"/>
        <v>1839754.7727179006</v>
      </c>
      <c r="AI174" s="2">
        <f t="shared" si="44"/>
        <v>36795.095454358008</v>
      </c>
      <c r="AJ174">
        <v>50</v>
      </c>
      <c r="AK174">
        <v>613</v>
      </c>
      <c r="AL174" t="b">
        <v>1</v>
      </c>
      <c r="AM174" s="2">
        <f>IF('MANOVA '!M216, 1, 0)</f>
        <v>0</v>
      </c>
    </row>
    <row r="175" spans="1:39" x14ac:dyDescent="0.2">
      <c r="A175">
        <v>10</v>
      </c>
      <c r="B175">
        <v>217</v>
      </c>
      <c r="C175">
        <v>0.4</v>
      </c>
      <c r="D175">
        <v>50</v>
      </c>
      <c r="E175">
        <v>15</v>
      </c>
      <c r="F175">
        <v>1</v>
      </c>
      <c r="G175">
        <v>1</v>
      </c>
      <c r="H175">
        <v>30</v>
      </c>
      <c r="I175">
        <v>90.12</v>
      </c>
      <c r="J175">
        <v>98.7</v>
      </c>
      <c r="K175">
        <v>68681</v>
      </c>
      <c r="L175">
        <v>113474</v>
      </c>
      <c r="M175">
        <v>25952</v>
      </c>
      <c r="N175">
        <v>13032</v>
      </c>
      <c r="O175">
        <f>SUM(K175:N175)</f>
        <v>221139</v>
      </c>
      <c r="P175">
        <v>35870</v>
      </c>
      <c r="Q175">
        <v>41337</v>
      </c>
      <c r="R175">
        <v>3889</v>
      </c>
      <c r="S175">
        <v>38236</v>
      </c>
      <c r="T175">
        <f>SUM(P175:S175)</f>
        <v>119332</v>
      </c>
      <c r="U175">
        <f>O175+T175</f>
        <v>340471</v>
      </c>
      <c r="V175">
        <v>46859447.672300801</v>
      </c>
      <c r="W175">
        <v>45812263.938699201</v>
      </c>
      <c r="X175">
        <v>-1047183.73360159</v>
      </c>
      <c r="Y175">
        <v>21544737.033042099</v>
      </c>
      <c r="Z175">
        <f>Y175/AD175</f>
        <v>3989.7661172300186</v>
      </c>
      <c r="AA175">
        <v>0</v>
      </c>
      <c r="AB175">
        <v>0</v>
      </c>
      <c r="AC175">
        <v>3426</v>
      </c>
      <c r="AD175">
        <v>5400</v>
      </c>
      <c r="AE175">
        <v>0</v>
      </c>
      <c r="AF175">
        <v>20405100.545435902</v>
      </c>
      <c r="AG175">
        <v>8362795.5</v>
      </c>
      <c r="AH175" s="2">
        <f>AF175-AG175</f>
        <v>12042305.045435902</v>
      </c>
      <c r="AI175" s="2">
        <f t="shared" si="44"/>
        <v>240846.10090871804</v>
      </c>
      <c r="AJ175">
        <v>50</v>
      </c>
      <c r="AK175">
        <v>613</v>
      </c>
      <c r="AL175" t="b">
        <v>1</v>
      </c>
      <c r="AM175" s="2">
        <f>IF('MANOVA '!M217, 1, 0)</f>
        <v>0</v>
      </c>
    </row>
    <row r="176" spans="1:39" x14ac:dyDescent="0.2">
      <c r="A176">
        <v>10</v>
      </c>
      <c r="B176">
        <v>218</v>
      </c>
      <c r="C176">
        <v>0.4</v>
      </c>
      <c r="D176">
        <v>50</v>
      </c>
      <c r="E176">
        <v>15</v>
      </c>
      <c r="F176">
        <v>1</v>
      </c>
      <c r="G176">
        <v>1</v>
      </c>
      <c r="H176">
        <v>15</v>
      </c>
      <c r="I176">
        <v>45.06</v>
      </c>
      <c r="J176">
        <v>49.35</v>
      </c>
      <c r="K176">
        <v>66989</v>
      </c>
      <c r="L176">
        <v>109299</v>
      </c>
      <c r="M176">
        <v>25380</v>
      </c>
      <c r="N176">
        <v>13010</v>
      </c>
      <c r="O176">
        <f t="shared" si="38"/>
        <v>214678</v>
      </c>
      <c r="P176">
        <v>34978</v>
      </c>
      <c r="Q176">
        <v>39244</v>
      </c>
      <c r="R176">
        <v>3038</v>
      </c>
      <c r="S176">
        <v>38258</v>
      </c>
      <c r="T176">
        <f t="shared" si="39"/>
        <v>115518</v>
      </c>
      <c r="U176">
        <f t="shared" si="40"/>
        <v>330196</v>
      </c>
      <c r="V176">
        <v>35889751.399999999</v>
      </c>
      <c r="W176">
        <v>24448683.800000001</v>
      </c>
      <c r="X176">
        <v>-11441068</v>
      </c>
      <c r="Y176">
        <v>10961923.5</v>
      </c>
      <c r="Z176">
        <f t="shared" si="41"/>
        <v>4753.6528620988729</v>
      </c>
      <c r="AA176">
        <v>0</v>
      </c>
      <c r="AB176">
        <v>0</v>
      </c>
      <c r="AC176">
        <v>3447</v>
      </c>
      <c r="AD176">
        <v>2306</v>
      </c>
      <c r="AE176">
        <v>0</v>
      </c>
      <c r="AF176">
        <v>8525770.0500000007</v>
      </c>
      <c r="AG176">
        <v>8362795.5</v>
      </c>
      <c r="AH176" s="2">
        <f t="shared" si="43"/>
        <v>162974.55000000075</v>
      </c>
      <c r="AI176" s="2">
        <f t="shared" si="44"/>
        <v>3259.491000000015</v>
      </c>
      <c r="AJ176">
        <v>50</v>
      </c>
      <c r="AK176">
        <v>719</v>
      </c>
      <c r="AL176" t="b">
        <v>1</v>
      </c>
      <c r="AM176" s="2">
        <f>IF('MANOVA '!M218, 1, 0)</f>
        <v>0</v>
      </c>
    </row>
    <row r="177" spans="1:39" x14ac:dyDescent="0.2">
      <c r="A177">
        <v>10</v>
      </c>
      <c r="B177">
        <v>218</v>
      </c>
      <c r="C177">
        <v>0.4</v>
      </c>
      <c r="D177">
        <v>50</v>
      </c>
      <c r="E177">
        <v>15</v>
      </c>
      <c r="F177">
        <v>1</v>
      </c>
      <c r="G177">
        <v>1</v>
      </c>
      <c r="H177">
        <v>15</v>
      </c>
      <c r="I177">
        <v>90.12</v>
      </c>
      <c r="J177">
        <v>98.7</v>
      </c>
      <c r="K177">
        <v>66989</v>
      </c>
      <c r="L177">
        <v>109299</v>
      </c>
      <c r="M177">
        <v>25380</v>
      </c>
      <c r="N177">
        <v>13010</v>
      </c>
      <c r="O177">
        <f>SUM(K177:N177)</f>
        <v>214678</v>
      </c>
      <c r="P177">
        <v>34978</v>
      </c>
      <c r="Q177">
        <v>39244</v>
      </c>
      <c r="R177">
        <v>3038</v>
      </c>
      <c r="S177">
        <v>38258</v>
      </c>
      <c r="T177">
        <f>SUM(P177:S177)</f>
        <v>115518</v>
      </c>
      <c r="U177">
        <f>O177+T177</f>
        <v>330196</v>
      </c>
      <c r="V177">
        <v>35889751.399999999</v>
      </c>
      <c r="W177">
        <v>40534572</v>
      </c>
      <c r="X177">
        <v>4644820.62</v>
      </c>
      <c r="Y177">
        <v>10961923.5</v>
      </c>
      <c r="Z177">
        <f>Y177/AD177</f>
        <v>4753.6528620988729</v>
      </c>
      <c r="AA177">
        <v>0</v>
      </c>
      <c r="AB177">
        <v>0</v>
      </c>
      <c r="AC177">
        <v>3447</v>
      </c>
      <c r="AD177">
        <v>2306</v>
      </c>
      <c r="AE177">
        <v>0</v>
      </c>
      <c r="AF177">
        <v>17051540.100000001</v>
      </c>
      <c r="AG177">
        <v>8362795.5</v>
      </c>
      <c r="AH177" s="2">
        <f>AF177-AG177</f>
        <v>8688744.6000000015</v>
      </c>
      <c r="AI177" s="2">
        <f t="shared" si="44"/>
        <v>173774.89200000002</v>
      </c>
      <c r="AJ177">
        <v>50</v>
      </c>
      <c r="AK177">
        <v>719</v>
      </c>
      <c r="AL177" t="b">
        <v>1</v>
      </c>
      <c r="AM177" s="2">
        <f>IF('MANOVA '!M219, 1, 0)</f>
        <v>0</v>
      </c>
    </row>
    <row r="178" spans="1:39" x14ac:dyDescent="0.2">
      <c r="A178">
        <v>10</v>
      </c>
      <c r="B178">
        <v>159</v>
      </c>
      <c r="C178">
        <v>0.4</v>
      </c>
      <c r="D178">
        <v>50</v>
      </c>
      <c r="E178">
        <v>10</v>
      </c>
      <c r="F178">
        <v>3</v>
      </c>
      <c r="G178">
        <v>3</v>
      </c>
      <c r="H178">
        <v>30</v>
      </c>
      <c r="I178">
        <v>45.06</v>
      </c>
      <c r="J178">
        <v>49.35</v>
      </c>
      <c r="K178">
        <v>59838</v>
      </c>
      <c r="L178">
        <v>80240</v>
      </c>
      <c r="M178">
        <v>32193</v>
      </c>
      <c r="N178">
        <v>11217</v>
      </c>
      <c r="O178">
        <f t="shared" si="38"/>
        <v>183488</v>
      </c>
      <c r="P178">
        <v>6457</v>
      </c>
      <c r="Q178">
        <v>48191</v>
      </c>
      <c r="R178">
        <v>4682</v>
      </c>
      <c r="S178">
        <v>37149</v>
      </c>
      <c r="T178">
        <f t="shared" si="39"/>
        <v>96479</v>
      </c>
      <c r="U178">
        <f t="shared" si="40"/>
        <v>279967</v>
      </c>
      <c r="V178">
        <v>35793145.856115699</v>
      </c>
      <c r="W178">
        <v>22445896.718378201</v>
      </c>
      <c r="X178">
        <v>-13347249.137737401</v>
      </c>
      <c r="Y178">
        <v>15108723.0479038</v>
      </c>
      <c r="Z178">
        <f t="shared" si="41"/>
        <v>3830.8121318214503</v>
      </c>
      <c r="AA178">
        <v>0</v>
      </c>
      <c r="AB178">
        <v>0</v>
      </c>
      <c r="AC178">
        <v>2454</v>
      </c>
      <c r="AD178">
        <v>3944</v>
      </c>
      <c r="AE178">
        <v>0</v>
      </c>
      <c r="AF178">
        <v>8600731.1006705705</v>
      </c>
      <c r="AG178">
        <v>5695647.9999999898</v>
      </c>
      <c r="AH178" s="2">
        <f t="shared" si="43"/>
        <v>2905083.1006705808</v>
      </c>
      <c r="AI178" s="2">
        <f t="shared" si="44"/>
        <v>58101.662013411616</v>
      </c>
      <c r="AJ178">
        <v>50</v>
      </c>
      <c r="AK178">
        <v>462</v>
      </c>
      <c r="AL178" t="b">
        <v>1</v>
      </c>
      <c r="AM178" s="2">
        <f>IF('MANOVA '!M220, 1, 0)</f>
        <v>0</v>
      </c>
    </row>
    <row r="179" spans="1:39" x14ac:dyDescent="0.2">
      <c r="A179">
        <v>10</v>
      </c>
      <c r="B179">
        <v>159</v>
      </c>
      <c r="C179">
        <v>0.4</v>
      </c>
      <c r="D179">
        <v>50</v>
      </c>
      <c r="E179">
        <v>10</v>
      </c>
      <c r="F179">
        <v>3</v>
      </c>
      <c r="G179">
        <v>3</v>
      </c>
      <c r="H179">
        <v>30</v>
      </c>
      <c r="I179">
        <v>90.12</v>
      </c>
      <c r="J179">
        <v>98.7</v>
      </c>
      <c r="K179">
        <v>59838</v>
      </c>
      <c r="L179">
        <v>80240</v>
      </c>
      <c r="M179">
        <v>32193</v>
      </c>
      <c r="N179">
        <v>11217</v>
      </c>
      <c r="O179">
        <f>SUM(K179:N179)</f>
        <v>183488</v>
      </c>
      <c r="P179">
        <v>6457</v>
      </c>
      <c r="Q179">
        <v>48191</v>
      </c>
      <c r="R179">
        <v>4682</v>
      </c>
      <c r="S179">
        <v>37149</v>
      </c>
      <c r="T179">
        <f>SUM(P179:S179)</f>
        <v>96479</v>
      </c>
      <c r="U179">
        <f>O179+T179</f>
        <v>279967</v>
      </c>
      <c r="V179">
        <v>35793145.856115699</v>
      </c>
      <c r="W179">
        <v>39196145.436756499</v>
      </c>
      <c r="X179">
        <v>3402999.5806408599</v>
      </c>
      <c r="Y179">
        <v>15108723.0479038</v>
      </c>
      <c r="Z179">
        <f>Y179/AD179</f>
        <v>3830.8121318214503</v>
      </c>
      <c r="AA179">
        <v>0</v>
      </c>
      <c r="AB179">
        <v>0</v>
      </c>
      <c r="AC179">
        <v>2454</v>
      </c>
      <c r="AD179">
        <v>3944</v>
      </c>
      <c r="AE179">
        <v>0</v>
      </c>
      <c r="AF179">
        <v>17201462.2013411</v>
      </c>
      <c r="AG179">
        <v>5695647.9999999898</v>
      </c>
      <c r="AH179" s="2">
        <f>AF179-AG179</f>
        <v>11505814.201341111</v>
      </c>
      <c r="AI179" s="2">
        <f t="shared" si="44"/>
        <v>230116.28402682222</v>
      </c>
      <c r="AJ179">
        <v>50</v>
      </c>
      <c r="AK179">
        <v>462</v>
      </c>
      <c r="AL179" t="b">
        <v>1</v>
      </c>
      <c r="AM179" s="2">
        <f>IF('MANOVA '!M221, 1, 0)</f>
        <v>0</v>
      </c>
    </row>
    <row r="180" spans="1:39" x14ac:dyDescent="0.2">
      <c r="A180">
        <v>10</v>
      </c>
      <c r="B180">
        <v>160</v>
      </c>
      <c r="C180">
        <v>0.4</v>
      </c>
      <c r="D180">
        <v>50</v>
      </c>
      <c r="E180">
        <v>10</v>
      </c>
      <c r="F180">
        <v>3</v>
      </c>
      <c r="G180">
        <v>3</v>
      </c>
      <c r="H180">
        <v>15</v>
      </c>
      <c r="I180">
        <v>45.06</v>
      </c>
      <c r="J180">
        <v>49.35</v>
      </c>
      <c r="K180">
        <v>59275</v>
      </c>
      <c r="L180">
        <v>78602</v>
      </c>
      <c r="M180">
        <v>31585</v>
      </c>
      <c r="N180">
        <v>11242</v>
      </c>
      <c r="O180">
        <f t="shared" si="38"/>
        <v>180704</v>
      </c>
      <c r="P180">
        <v>6283</v>
      </c>
      <c r="Q180">
        <v>46808</v>
      </c>
      <c r="R180">
        <v>4672</v>
      </c>
      <c r="S180">
        <v>37193</v>
      </c>
      <c r="T180">
        <f t="shared" si="39"/>
        <v>94956</v>
      </c>
      <c r="U180">
        <f t="shared" si="40"/>
        <v>275660</v>
      </c>
      <c r="V180">
        <v>27611567.4891745</v>
      </c>
      <c r="W180">
        <v>20100998.922688801</v>
      </c>
      <c r="X180">
        <v>-7510568.5664857598</v>
      </c>
      <c r="Y180">
        <v>7741040.6036523497</v>
      </c>
      <c r="Z180">
        <f t="shared" si="41"/>
        <v>3822.7361005690614</v>
      </c>
      <c r="AA180">
        <v>0</v>
      </c>
      <c r="AB180">
        <v>0</v>
      </c>
      <c r="AC180">
        <v>2478</v>
      </c>
      <c r="AD180">
        <v>2025</v>
      </c>
      <c r="AE180">
        <v>0</v>
      </c>
      <c r="AF180">
        <v>6730141.8497599997</v>
      </c>
      <c r="AG180">
        <v>5695647.9999999898</v>
      </c>
      <c r="AH180" s="2">
        <f t="shared" si="43"/>
        <v>1034493.8497600099</v>
      </c>
      <c r="AI180" s="2">
        <f t="shared" si="44"/>
        <v>20689.876995200197</v>
      </c>
      <c r="AJ180">
        <v>50</v>
      </c>
      <c r="AK180">
        <v>555</v>
      </c>
      <c r="AL180" t="b">
        <v>1</v>
      </c>
      <c r="AM180" s="2">
        <f>IF('MANOVA '!M222, 1, 0)</f>
        <v>0</v>
      </c>
    </row>
    <row r="181" spans="1:39" x14ac:dyDescent="0.2">
      <c r="A181">
        <v>10</v>
      </c>
      <c r="B181">
        <v>160</v>
      </c>
      <c r="C181">
        <v>0.4</v>
      </c>
      <c r="D181">
        <v>50</v>
      </c>
      <c r="E181">
        <v>10</v>
      </c>
      <c r="F181">
        <v>3</v>
      </c>
      <c r="G181">
        <v>3</v>
      </c>
      <c r="H181">
        <v>15</v>
      </c>
      <c r="I181">
        <v>90.12</v>
      </c>
      <c r="J181">
        <v>98.7</v>
      </c>
      <c r="K181">
        <v>59275</v>
      </c>
      <c r="L181">
        <v>78602</v>
      </c>
      <c r="M181">
        <v>31585</v>
      </c>
      <c r="N181">
        <v>11242</v>
      </c>
      <c r="O181">
        <f>SUM(K181:N181)</f>
        <v>180704</v>
      </c>
      <c r="P181">
        <v>6283</v>
      </c>
      <c r="Q181">
        <v>46808</v>
      </c>
      <c r="R181">
        <v>4672</v>
      </c>
      <c r="S181">
        <v>37193</v>
      </c>
      <c r="T181">
        <f>SUM(P181:S181)</f>
        <v>94956</v>
      </c>
      <c r="U181">
        <f>O181+T181</f>
        <v>275660</v>
      </c>
      <c r="V181">
        <v>27611567.4891745</v>
      </c>
      <c r="W181">
        <v>34506349.845377602</v>
      </c>
      <c r="X181">
        <v>6894782.3562030504</v>
      </c>
      <c r="Y181">
        <v>7741040.6036523497</v>
      </c>
      <c r="Z181">
        <f>Y181/AD181</f>
        <v>3822.7361005690614</v>
      </c>
      <c r="AA181">
        <v>0</v>
      </c>
      <c r="AB181">
        <v>0</v>
      </c>
      <c r="AC181">
        <v>2478</v>
      </c>
      <c r="AD181">
        <v>2025</v>
      </c>
      <c r="AE181">
        <v>0</v>
      </c>
      <c r="AF181">
        <v>13460283.699519999</v>
      </c>
      <c r="AG181">
        <v>5695647.9999999898</v>
      </c>
      <c r="AH181" s="2">
        <f>AF181-AG181</f>
        <v>7764635.6995200096</v>
      </c>
      <c r="AI181" s="2">
        <f t="shared" si="44"/>
        <v>155292.7139904002</v>
      </c>
      <c r="AJ181">
        <v>50</v>
      </c>
      <c r="AK181">
        <v>555</v>
      </c>
      <c r="AL181" t="b">
        <v>1</v>
      </c>
      <c r="AM181" s="2">
        <f>IF('MANOVA '!M223, 1, 0)</f>
        <v>0</v>
      </c>
    </row>
    <row r="182" spans="1:39" x14ac:dyDescent="0.2">
      <c r="A182">
        <v>10</v>
      </c>
      <c r="B182">
        <v>155</v>
      </c>
      <c r="C182">
        <v>0.4</v>
      </c>
      <c r="D182">
        <v>50</v>
      </c>
      <c r="E182">
        <v>10</v>
      </c>
      <c r="F182">
        <v>3</v>
      </c>
      <c r="G182">
        <v>1</v>
      </c>
      <c r="H182">
        <v>30</v>
      </c>
      <c r="I182">
        <v>45.06</v>
      </c>
      <c r="J182">
        <v>49.35</v>
      </c>
      <c r="K182">
        <v>69441</v>
      </c>
      <c r="L182">
        <v>76461</v>
      </c>
      <c r="M182">
        <v>32473</v>
      </c>
      <c r="N182">
        <v>11125</v>
      </c>
      <c r="O182">
        <f t="shared" si="38"/>
        <v>189500</v>
      </c>
      <c r="P182">
        <v>21364</v>
      </c>
      <c r="Q182">
        <v>32402</v>
      </c>
      <c r="R182">
        <v>4739</v>
      </c>
      <c r="S182">
        <v>37531</v>
      </c>
      <c r="T182">
        <f t="shared" si="39"/>
        <v>96036</v>
      </c>
      <c r="U182">
        <f t="shared" si="40"/>
        <v>285536</v>
      </c>
      <c r="V182">
        <v>33745223.547147803</v>
      </c>
      <c r="W182">
        <v>19468848.102999199</v>
      </c>
      <c r="X182">
        <v>-14276375.4441486</v>
      </c>
      <c r="Y182">
        <v>15217867.497408999</v>
      </c>
      <c r="Z182">
        <f t="shared" si="41"/>
        <v>3971.2597853363777</v>
      </c>
      <c r="AA182">
        <v>0</v>
      </c>
      <c r="AB182">
        <v>0</v>
      </c>
      <c r="AC182">
        <v>2425</v>
      </c>
      <c r="AD182">
        <v>3832</v>
      </c>
      <c r="AE182">
        <v>0</v>
      </c>
      <c r="AF182">
        <v>7451506.6757243499</v>
      </c>
      <c r="AG182">
        <v>5695647.9999999898</v>
      </c>
      <c r="AH182" s="2">
        <f t="shared" si="43"/>
        <v>1755858.6757243602</v>
      </c>
      <c r="AI182" s="2">
        <f t="shared" si="44"/>
        <v>35117.1735144872</v>
      </c>
      <c r="AJ182">
        <v>50</v>
      </c>
      <c r="AK182">
        <v>592</v>
      </c>
      <c r="AL182" t="b">
        <v>1</v>
      </c>
      <c r="AM182" s="2">
        <f>IF('MANOVA '!M224, 1, 0)</f>
        <v>0</v>
      </c>
    </row>
    <row r="183" spans="1:39" x14ac:dyDescent="0.2">
      <c r="A183">
        <v>10</v>
      </c>
      <c r="B183">
        <v>155</v>
      </c>
      <c r="C183">
        <v>0.4</v>
      </c>
      <c r="D183">
        <v>50</v>
      </c>
      <c r="E183">
        <v>10</v>
      </c>
      <c r="F183">
        <v>3</v>
      </c>
      <c r="G183">
        <v>1</v>
      </c>
      <c r="H183">
        <v>30</v>
      </c>
      <c r="I183">
        <v>90.12</v>
      </c>
      <c r="J183">
        <v>98.7</v>
      </c>
      <c r="K183">
        <v>69441</v>
      </c>
      <c r="L183">
        <v>76461</v>
      </c>
      <c r="M183">
        <v>32473</v>
      </c>
      <c r="N183">
        <v>11125</v>
      </c>
      <c r="O183">
        <f>SUM(K183:N183)</f>
        <v>189500</v>
      </c>
      <c r="P183">
        <v>21364</v>
      </c>
      <c r="Q183">
        <v>32402</v>
      </c>
      <c r="R183">
        <v>4739</v>
      </c>
      <c r="S183">
        <v>37531</v>
      </c>
      <c r="T183">
        <f>SUM(P183:S183)</f>
        <v>96036</v>
      </c>
      <c r="U183">
        <f>O183+T183</f>
        <v>285536</v>
      </c>
      <c r="V183">
        <v>33745223.547147803</v>
      </c>
      <c r="W183">
        <v>33242048.205998398</v>
      </c>
      <c r="X183">
        <v>-503175.34114941902</v>
      </c>
      <c r="Y183">
        <v>15217867.497408999</v>
      </c>
      <c r="Z183">
        <f>Y183/AD183</f>
        <v>3971.2597853363777</v>
      </c>
      <c r="AA183">
        <v>0</v>
      </c>
      <c r="AB183">
        <v>0</v>
      </c>
      <c r="AC183">
        <v>2425</v>
      </c>
      <c r="AD183">
        <v>3832</v>
      </c>
      <c r="AE183">
        <v>0</v>
      </c>
      <c r="AF183">
        <v>14903013.3514487</v>
      </c>
      <c r="AG183">
        <v>5695647.9999999898</v>
      </c>
      <c r="AH183" s="2">
        <f>AF183-AG183</f>
        <v>9207365.351448711</v>
      </c>
      <c r="AI183" s="2">
        <f t="shared" si="44"/>
        <v>184147.30702897423</v>
      </c>
      <c r="AJ183">
        <v>50</v>
      </c>
      <c r="AK183">
        <v>592</v>
      </c>
      <c r="AL183" t="b">
        <v>1</v>
      </c>
      <c r="AM183" s="2">
        <f>IF('MANOVA '!M225, 1, 0)</f>
        <v>0</v>
      </c>
    </row>
    <row r="184" spans="1:39" x14ac:dyDescent="0.2">
      <c r="A184">
        <v>10</v>
      </c>
      <c r="B184">
        <v>158</v>
      </c>
      <c r="C184">
        <v>0.4</v>
      </c>
      <c r="D184">
        <v>50</v>
      </c>
      <c r="E184">
        <v>10</v>
      </c>
      <c r="F184">
        <v>3</v>
      </c>
      <c r="G184">
        <v>1</v>
      </c>
      <c r="H184">
        <v>15</v>
      </c>
      <c r="I184">
        <v>45.06</v>
      </c>
      <c r="J184">
        <v>49.35</v>
      </c>
      <c r="K184">
        <v>60267</v>
      </c>
      <c r="L184">
        <v>79786</v>
      </c>
      <c r="M184">
        <v>31775</v>
      </c>
      <c r="N184">
        <v>11100</v>
      </c>
      <c r="O184">
        <f t="shared" si="38"/>
        <v>182928</v>
      </c>
      <c r="P184">
        <v>26565</v>
      </c>
      <c r="Q184">
        <v>29681</v>
      </c>
      <c r="R184">
        <v>4621</v>
      </c>
      <c r="S184">
        <v>37591</v>
      </c>
      <c r="T184">
        <f t="shared" si="39"/>
        <v>98458</v>
      </c>
      <c r="U184">
        <f t="shared" si="40"/>
        <v>281386</v>
      </c>
      <c r="V184">
        <v>26779783.436997801</v>
      </c>
      <c r="W184">
        <v>18719303.995046899</v>
      </c>
      <c r="X184">
        <v>-8060479.4419509098</v>
      </c>
      <c r="Y184">
        <v>8199017.0380506897</v>
      </c>
      <c r="Z184">
        <f t="shared" si="41"/>
        <v>4105.6670195546767</v>
      </c>
      <c r="AA184">
        <v>0</v>
      </c>
      <c r="AB184">
        <v>0</v>
      </c>
      <c r="AC184">
        <v>2463</v>
      </c>
      <c r="AD184">
        <v>1997</v>
      </c>
      <c r="AE184">
        <v>0</v>
      </c>
      <c r="AF184">
        <v>6223260.17846628</v>
      </c>
      <c r="AG184">
        <v>5695647.9999999898</v>
      </c>
      <c r="AH184" s="2">
        <f t="shared" si="43"/>
        <v>527612.17846629024</v>
      </c>
      <c r="AI184" s="2">
        <f t="shared" si="44"/>
        <v>10552.243569325805</v>
      </c>
      <c r="AJ184">
        <v>50</v>
      </c>
      <c r="AK184">
        <v>624</v>
      </c>
      <c r="AL184" t="b">
        <v>1</v>
      </c>
      <c r="AM184" s="2">
        <f>IF('MANOVA '!M226, 1, 0)</f>
        <v>0</v>
      </c>
    </row>
    <row r="185" spans="1:39" x14ac:dyDescent="0.2">
      <c r="A185">
        <v>10</v>
      </c>
      <c r="B185">
        <v>158</v>
      </c>
      <c r="C185">
        <v>0.4</v>
      </c>
      <c r="D185">
        <v>50</v>
      </c>
      <c r="E185">
        <v>10</v>
      </c>
      <c r="F185">
        <v>3</v>
      </c>
      <c r="G185">
        <v>1</v>
      </c>
      <c r="H185">
        <v>15</v>
      </c>
      <c r="I185">
        <v>90.12</v>
      </c>
      <c r="J185">
        <v>98.7</v>
      </c>
      <c r="K185">
        <v>60267</v>
      </c>
      <c r="L185">
        <v>79786</v>
      </c>
      <c r="M185">
        <v>31775</v>
      </c>
      <c r="N185">
        <v>11100</v>
      </c>
      <c r="O185">
        <f>SUM(K185:N185)</f>
        <v>182928</v>
      </c>
      <c r="P185">
        <v>26565</v>
      </c>
      <c r="Q185">
        <v>29681</v>
      </c>
      <c r="R185">
        <v>4621</v>
      </c>
      <c r="S185">
        <v>37591</v>
      </c>
      <c r="T185">
        <f>SUM(P185:S185)</f>
        <v>98458</v>
      </c>
      <c r="U185">
        <f>O185+T185</f>
        <v>281386</v>
      </c>
      <c r="V185">
        <v>26779783.436997801</v>
      </c>
      <c r="W185">
        <v>31742959.990093902</v>
      </c>
      <c r="X185">
        <v>4963176.5530960597</v>
      </c>
      <c r="Y185">
        <v>8199017.0380506897</v>
      </c>
      <c r="Z185">
        <f>Y185/AD185</f>
        <v>4105.6670195546767</v>
      </c>
      <c r="AA185">
        <v>0</v>
      </c>
      <c r="AB185">
        <v>0</v>
      </c>
      <c r="AC185">
        <v>2463</v>
      </c>
      <c r="AD185">
        <v>1997</v>
      </c>
      <c r="AE185">
        <v>0</v>
      </c>
      <c r="AF185">
        <v>12446520.3569325</v>
      </c>
      <c r="AG185">
        <v>5695647.9999999898</v>
      </c>
      <c r="AH185" s="2">
        <f>AF185-AG185</f>
        <v>6750872.3569325106</v>
      </c>
      <c r="AI185" s="2">
        <f t="shared" si="44"/>
        <v>135017.44713865023</v>
      </c>
      <c r="AJ185">
        <v>50</v>
      </c>
      <c r="AK185">
        <v>624</v>
      </c>
      <c r="AL185" t="b">
        <v>1</v>
      </c>
      <c r="AM185" s="2">
        <f>IF('MANOVA '!M227, 1, 0)</f>
        <v>0</v>
      </c>
    </row>
    <row r="186" spans="1:39" x14ac:dyDescent="0.2">
      <c r="A186">
        <v>10</v>
      </c>
      <c r="B186">
        <v>158</v>
      </c>
      <c r="C186">
        <v>0.4</v>
      </c>
      <c r="D186">
        <v>50</v>
      </c>
      <c r="E186">
        <v>10</v>
      </c>
      <c r="F186">
        <v>1</v>
      </c>
      <c r="G186">
        <v>3</v>
      </c>
      <c r="H186">
        <v>30</v>
      </c>
      <c r="I186">
        <v>45.06</v>
      </c>
      <c r="J186">
        <v>49.35</v>
      </c>
      <c r="K186">
        <v>60676</v>
      </c>
      <c r="L186">
        <v>81336</v>
      </c>
      <c r="M186">
        <v>32410</v>
      </c>
      <c r="N186">
        <v>11197</v>
      </c>
      <c r="O186">
        <f t="shared" si="38"/>
        <v>185619</v>
      </c>
      <c r="P186">
        <v>26329</v>
      </c>
      <c r="Q186">
        <v>30404</v>
      </c>
      <c r="R186">
        <v>4667</v>
      </c>
      <c r="S186">
        <v>37535</v>
      </c>
      <c r="T186">
        <f t="shared" si="39"/>
        <v>98935</v>
      </c>
      <c r="U186">
        <f t="shared" si="40"/>
        <v>284554</v>
      </c>
      <c r="V186">
        <v>34237998.427577399</v>
      </c>
      <c r="W186">
        <v>20675772.581783898</v>
      </c>
      <c r="X186">
        <v>-13562225.8457934</v>
      </c>
      <c r="Y186">
        <v>14980768.5053828</v>
      </c>
      <c r="Z186">
        <f t="shared" si="41"/>
        <v>3856.0536693392023</v>
      </c>
      <c r="AA186">
        <v>0</v>
      </c>
      <c r="AB186">
        <v>0</v>
      </c>
      <c r="AC186">
        <v>2418</v>
      </c>
      <c r="AD186">
        <v>3885</v>
      </c>
      <c r="AE186">
        <v>0</v>
      </c>
      <c r="AF186">
        <v>5878974.3969941996</v>
      </c>
      <c r="AG186">
        <v>5695647.9999999898</v>
      </c>
      <c r="AH186" s="2">
        <f t="shared" si="43"/>
        <v>183326.39699420985</v>
      </c>
      <c r="AI186" s="2">
        <f t="shared" si="44"/>
        <v>3666.5279398841972</v>
      </c>
      <c r="AJ186">
        <v>50</v>
      </c>
      <c r="AK186">
        <v>493</v>
      </c>
      <c r="AL186" t="b">
        <v>1</v>
      </c>
      <c r="AM186" s="2">
        <f>IF('MANOVA '!M228, 1, 0)</f>
        <v>0</v>
      </c>
    </row>
    <row r="187" spans="1:39" x14ac:dyDescent="0.2">
      <c r="A187">
        <v>10</v>
      </c>
      <c r="B187">
        <v>158</v>
      </c>
      <c r="C187">
        <v>0.4</v>
      </c>
      <c r="D187">
        <v>50</v>
      </c>
      <c r="E187">
        <v>10</v>
      </c>
      <c r="F187">
        <v>1</v>
      </c>
      <c r="G187">
        <v>3</v>
      </c>
      <c r="H187">
        <v>30</v>
      </c>
      <c r="I187">
        <v>90.12</v>
      </c>
      <c r="J187">
        <v>98.7</v>
      </c>
      <c r="K187">
        <v>60676</v>
      </c>
      <c r="L187">
        <v>81336</v>
      </c>
      <c r="M187">
        <v>32410</v>
      </c>
      <c r="N187">
        <v>11197</v>
      </c>
      <c r="O187">
        <f>SUM(K187:N187)</f>
        <v>185619</v>
      </c>
      <c r="P187">
        <v>26329</v>
      </c>
      <c r="Q187">
        <v>30404</v>
      </c>
      <c r="R187">
        <v>4667</v>
      </c>
      <c r="S187">
        <v>37535</v>
      </c>
      <c r="T187">
        <f>SUM(P187:S187)</f>
        <v>98935</v>
      </c>
      <c r="U187">
        <f>O187+T187</f>
        <v>284554</v>
      </c>
      <c r="V187">
        <v>34237998.427577399</v>
      </c>
      <c r="W187">
        <v>35655897.163567901</v>
      </c>
      <c r="X187">
        <v>1417898.7359905499</v>
      </c>
      <c r="Y187">
        <v>14980768.5053828</v>
      </c>
      <c r="Z187">
        <f>Y187/AD187</f>
        <v>3856.0536693392023</v>
      </c>
      <c r="AA187">
        <v>0</v>
      </c>
      <c r="AB187">
        <v>0</v>
      </c>
      <c r="AC187">
        <v>2418</v>
      </c>
      <c r="AD187">
        <v>3885</v>
      </c>
      <c r="AE187">
        <v>0</v>
      </c>
      <c r="AF187">
        <v>11757948.793988399</v>
      </c>
      <c r="AG187">
        <v>5695647.9999999898</v>
      </c>
      <c r="AH187" s="2">
        <f>AF187-AG187</f>
        <v>6062300.7939884095</v>
      </c>
      <c r="AI187" s="2">
        <f t="shared" si="44"/>
        <v>121246.01587976819</v>
      </c>
      <c r="AJ187">
        <v>50</v>
      </c>
      <c r="AK187">
        <v>493</v>
      </c>
      <c r="AL187" t="b">
        <v>1</v>
      </c>
      <c r="AM187" s="2">
        <f>IF('MANOVA '!M229, 1, 0)</f>
        <v>0</v>
      </c>
    </row>
    <row r="188" spans="1:39" x14ac:dyDescent="0.2">
      <c r="A188">
        <v>10</v>
      </c>
      <c r="B188">
        <v>156</v>
      </c>
      <c r="C188">
        <v>0.4</v>
      </c>
      <c r="D188">
        <v>50</v>
      </c>
      <c r="E188">
        <v>10</v>
      </c>
      <c r="F188">
        <v>1</v>
      </c>
      <c r="G188">
        <v>3</v>
      </c>
      <c r="H188">
        <v>15</v>
      </c>
      <c r="I188">
        <v>45.06</v>
      </c>
      <c r="J188">
        <v>49.35</v>
      </c>
      <c r="K188">
        <v>63860</v>
      </c>
      <c r="L188">
        <v>79671</v>
      </c>
      <c r="M188">
        <v>31997</v>
      </c>
      <c r="N188">
        <v>11192</v>
      </c>
      <c r="O188">
        <f t="shared" si="38"/>
        <v>186720</v>
      </c>
      <c r="P188">
        <v>20707</v>
      </c>
      <c r="Q188">
        <v>31265</v>
      </c>
      <c r="R188">
        <v>4772</v>
      </c>
      <c r="S188">
        <v>37435</v>
      </c>
      <c r="T188">
        <f t="shared" si="39"/>
        <v>94179</v>
      </c>
      <c r="U188">
        <f t="shared" si="40"/>
        <v>280899</v>
      </c>
      <c r="V188">
        <v>26177610.1520162</v>
      </c>
      <c r="W188">
        <v>19203346.578968301</v>
      </c>
      <c r="X188">
        <v>-6974263.57304784</v>
      </c>
      <c r="Y188">
        <v>8480716.5341788102</v>
      </c>
      <c r="Z188">
        <f t="shared" si="41"/>
        <v>4442.491636552546</v>
      </c>
      <c r="AA188">
        <v>0</v>
      </c>
      <c r="AB188">
        <v>0</v>
      </c>
      <c r="AC188">
        <v>2423</v>
      </c>
      <c r="AD188">
        <v>1909</v>
      </c>
      <c r="AE188">
        <v>0</v>
      </c>
      <c r="AF188">
        <v>6450837.7148498502</v>
      </c>
      <c r="AG188">
        <v>5695647.9999999898</v>
      </c>
      <c r="AH188" s="2">
        <f t="shared" si="43"/>
        <v>755189.71484986041</v>
      </c>
      <c r="AI188" s="2">
        <f t="shared" si="44"/>
        <v>15103.794296997208</v>
      </c>
      <c r="AJ188">
        <v>50</v>
      </c>
      <c r="AK188">
        <v>574</v>
      </c>
      <c r="AL188" t="b">
        <v>1</v>
      </c>
      <c r="AM188" s="2">
        <f>IF('MANOVA '!M230, 1, 0)</f>
        <v>0</v>
      </c>
    </row>
    <row r="189" spans="1:39" x14ac:dyDescent="0.2">
      <c r="A189">
        <v>10</v>
      </c>
      <c r="B189">
        <v>156</v>
      </c>
      <c r="C189">
        <v>0.4</v>
      </c>
      <c r="D189">
        <v>50</v>
      </c>
      <c r="E189">
        <v>10</v>
      </c>
      <c r="F189">
        <v>1</v>
      </c>
      <c r="G189">
        <v>3</v>
      </c>
      <c r="H189">
        <v>15</v>
      </c>
      <c r="I189">
        <v>90.12</v>
      </c>
      <c r="J189">
        <v>98.7</v>
      </c>
      <c r="K189">
        <v>63860</v>
      </c>
      <c r="L189">
        <v>79671</v>
      </c>
      <c r="M189">
        <v>31997</v>
      </c>
      <c r="N189">
        <v>11192</v>
      </c>
      <c r="O189">
        <f>SUM(K189:N189)</f>
        <v>186720</v>
      </c>
      <c r="P189">
        <v>20707</v>
      </c>
      <c r="Q189">
        <v>31265</v>
      </c>
      <c r="R189">
        <v>4772</v>
      </c>
      <c r="S189">
        <v>37435</v>
      </c>
      <c r="T189">
        <f>SUM(P189:S189)</f>
        <v>94179</v>
      </c>
      <c r="U189">
        <f>O189+T189</f>
        <v>280899</v>
      </c>
      <c r="V189">
        <v>26177610.1520162</v>
      </c>
      <c r="W189">
        <v>32711045.1579367</v>
      </c>
      <c r="X189">
        <v>6533435.0059205201</v>
      </c>
      <c r="Y189">
        <v>8480716.5341788102</v>
      </c>
      <c r="Z189">
        <f>Y189/AD189</f>
        <v>4442.491636552546</v>
      </c>
      <c r="AA189">
        <v>0</v>
      </c>
      <c r="AB189">
        <v>0</v>
      </c>
      <c r="AC189">
        <v>2423</v>
      </c>
      <c r="AD189">
        <v>1909</v>
      </c>
      <c r="AE189">
        <v>0</v>
      </c>
      <c r="AF189">
        <v>12901675.4296997</v>
      </c>
      <c r="AG189">
        <v>5695647.9999999898</v>
      </c>
      <c r="AH189" s="2">
        <f>AF189-AG189</f>
        <v>7206027.4296997106</v>
      </c>
      <c r="AI189" s="2">
        <f t="shared" si="44"/>
        <v>144120.5485939942</v>
      </c>
      <c r="AJ189">
        <v>50</v>
      </c>
      <c r="AK189">
        <v>574</v>
      </c>
      <c r="AL189" t="b">
        <v>1</v>
      </c>
      <c r="AM189" s="2">
        <f>IF('MANOVA '!M231, 1, 0)</f>
        <v>0</v>
      </c>
    </row>
    <row r="190" spans="1:39" x14ac:dyDescent="0.2">
      <c r="A190">
        <v>10</v>
      </c>
      <c r="B190">
        <v>161</v>
      </c>
      <c r="C190">
        <v>0.4</v>
      </c>
      <c r="D190">
        <v>50</v>
      </c>
      <c r="E190">
        <v>10</v>
      </c>
      <c r="F190">
        <v>1</v>
      </c>
      <c r="G190">
        <v>1</v>
      </c>
      <c r="H190">
        <v>30</v>
      </c>
      <c r="I190">
        <v>45.06</v>
      </c>
      <c r="J190">
        <v>49.35</v>
      </c>
      <c r="K190">
        <v>66390</v>
      </c>
      <c r="L190">
        <v>78821</v>
      </c>
      <c r="M190">
        <v>32180</v>
      </c>
      <c r="N190">
        <v>11268</v>
      </c>
      <c r="O190">
        <f t="shared" si="38"/>
        <v>188659</v>
      </c>
      <c r="P190">
        <v>6135</v>
      </c>
      <c r="Q190">
        <v>46226</v>
      </c>
      <c r="R190">
        <v>4679</v>
      </c>
      <c r="S190">
        <v>37188</v>
      </c>
      <c r="T190">
        <f t="shared" si="39"/>
        <v>94228</v>
      </c>
      <c r="U190">
        <f t="shared" si="40"/>
        <v>282887</v>
      </c>
      <c r="V190">
        <v>35436687.7389668</v>
      </c>
      <c r="W190">
        <v>21459704.926268999</v>
      </c>
      <c r="X190">
        <v>-13976982.812697699</v>
      </c>
      <c r="Y190">
        <v>15927272.992327999</v>
      </c>
      <c r="Z190">
        <f t="shared" si="41"/>
        <v>4050.6798047629704</v>
      </c>
      <c r="AA190">
        <v>0</v>
      </c>
      <c r="AB190">
        <v>0</v>
      </c>
      <c r="AC190">
        <v>2478</v>
      </c>
      <c r="AD190">
        <v>3932</v>
      </c>
      <c r="AE190">
        <v>0</v>
      </c>
      <c r="AF190">
        <v>6092246.6974248402</v>
      </c>
      <c r="AG190">
        <v>5695647.9999999898</v>
      </c>
      <c r="AH190" s="2">
        <f t="shared" si="43"/>
        <v>396598.69742485043</v>
      </c>
      <c r="AI190" s="2">
        <f t="shared" si="44"/>
        <v>7931.9739484970087</v>
      </c>
      <c r="AJ190">
        <v>50</v>
      </c>
      <c r="AK190">
        <v>472</v>
      </c>
      <c r="AL190" t="b">
        <v>1</v>
      </c>
      <c r="AM190" s="2">
        <f>IF('MANOVA '!M232, 1, 0)</f>
        <v>0</v>
      </c>
    </row>
    <row r="191" spans="1:39" x14ac:dyDescent="0.2">
      <c r="A191">
        <v>10</v>
      </c>
      <c r="B191">
        <v>161</v>
      </c>
      <c r="C191">
        <v>0.4</v>
      </c>
      <c r="D191">
        <v>50</v>
      </c>
      <c r="E191">
        <v>10</v>
      </c>
      <c r="F191">
        <v>1</v>
      </c>
      <c r="G191">
        <v>1</v>
      </c>
      <c r="H191">
        <v>30</v>
      </c>
      <c r="I191">
        <v>90.12</v>
      </c>
      <c r="J191">
        <v>98.7</v>
      </c>
      <c r="K191">
        <v>66390</v>
      </c>
      <c r="L191">
        <v>78821</v>
      </c>
      <c r="M191">
        <v>32180</v>
      </c>
      <c r="N191">
        <v>11268</v>
      </c>
      <c r="O191">
        <f>SUM(K191:N191)</f>
        <v>188659</v>
      </c>
      <c r="P191">
        <v>6135</v>
      </c>
      <c r="Q191">
        <v>46226</v>
      </c>
      <c r="R191">
        <v>4679</v>
      </c>
      <c r="S191">
        <v>37188</v>
      </c>
      <c r="T191">
        <f>SUM(P191:S191)</f>
        <v>94228</v>
      </c>
      <c r="U191">
        <f>O191+T191</f>
        <v>282887</v>
      </c>
      <c r="V191">
        <v>35436687.7389668</v>
      </c>
      <c r="W191">
        <v>37223761.852538101</v>
      </c>
      <c r="X191">
        <v>1787074.11357131</v>
      </c>
      <c r="Y191">
        <v>15927272.992327999</v>
      </c>
      <c r="Z191">
        <f>Y191/AD191</f>
        <v>4050.6798047629704</v>
      </c>
      <c r="AA191">
        <v>0</v>
      </c>
      <c r="AB191">
        <v>0</v>
      </c>
      <c r="AC191">
        <v>2478</v>
      </c>
      <c r="AD191">
        <v>3932</v>
      </c>
      <c r="AE191">
        <v>0</v>
      </c>
      <c r="AF191">
        <v>12184493.3948496</v>
      </c>
      <c r="AG191">
        <v>5695647.9999999898</v>
      </c>
      <c r="AH191" s="2">
        <f>AF191-AG191</f>
        <v>6488845.3948496105</v>
      </c>
      <c r="AI191" s="2">
        <f t="shared" si="44"/>
        <v>129776.90789699221</v>
      </c>
      <c r="AJ191">
        <v>50</v>
      </c>
      <c r="AK191">
        <v>472</v>
      </c>
      <c r="AL191" t="b">
        <v>1</v>
      </c>
      <c r="AM191" s="2">
        <f>IF('MANOVA '!M233, 1, 0)</f>
        <v>0</v>
      </c>
    </row>
    <row r="192" spans="1:39" x14ac:dyDescent="0.2">
      <c r="A192">
        <v>10</v>
      </c>
      <c r="B192">
        <v>159</v>
      </c>
      <c r="C192">
        <v>0.4</v>
      </c>
      <c r="D192">
        <v>50</v>
      </c>
      <c r="E192">
        <v>10</v>
      </c>
      <c r="F192">
        <v>1</v>
      </c>
      <c r="G192">
        <v>1</v>
      </c>
      <c r="H192">
        <v>15</v>
      </c>
      <c r="I192">
        <v>45.06</v>
      </c>
      <c r="J192">
        <v>49.35</v>
      </c>
      <c r="K192">
        <v>59578</v>
      </c>
      <c r="L192">
        <v>79467</v>
      </c>
      <c r="M192">
        <v>31679</v>
      </c>
      <c r="N192">
        <v>11163</v>
      </c>
      <c r="O192">
        <f t="shared" si="38"/>
        <v>181887</v>
      </c>
      <c r="P192">
        <v>6498</v>
      </c>
      <c r="Q192">
        <v>47985</v>
      </c>
      <c r="R192">
        <v>4636</v>
      </c>
      <c r="S192">
        <v>37332</v>
      </c>
      <c r="T192">
        <f t="shared" si="39"/>
        <v>96451</v>
      </c>
      <c r="U192">
        <f t="shared" si="40"/>
        <v>278338</v>
      </c>
      <c r="V192">
        <v>26041104.5383863</v>
      </c>
      <c r="W192">
        <v>17016095.022015601</v>
      </c>
      <c r="X192">
        <v>-9025009.5163706299</v>
      </c>
      <c r="Y192">
        <v>9149276.4150017407</v>
      </c>
      <c r="Z192">
        <f t="shared" si="41"/>
        <v>4641.9464307466978</v>
      </c>
      <c r="AA192">
        <v>0</v>
      </c>
      <c r="AB192">
        <v>0</v>
      </c>
      <c r="AC192">
        <v>2468</v>
      </c>
      <c r="AD192">
        <v>1971</v>
      </c>
      <c r="AE192">
        <v>0</v>
      </c>
      <c r="AF192">
        <v>6112996.0235027503</v>
      </c>
      <c r="AG192">
        <v>5695647.9999999898</v>
      </c>
      <c r="AH192" s="2">
        <f t="shared" si="43"/>
        <v>417348.02350276057</v>
      </c>
      <c r="AI192" s="2">
        <f t="shared" si="44"/>
        <v>8346.9604700552118</v>
      </c>
      <c r="AJ192">
        <v>50</v>
      </c>
      <c r="AK192">
        <v>678</v>
      </c>
      <c r="AL192" t="b">
        <v>1</v>
      </c>
      <c r="AM192" s="2">
        <f>IF('MANOVA '!M234, 1, 0)</f>
        <v>0</v>
      </c>
    </row>
    <row r="193" spans="1:39" x14ac:dyDescent="0.2">
      <c r="A193">
        <v>10</v>
      </c>
      <c r="B193">
        <v>159</v>
      </c>
      <c r="C193">
        <v>0.4</v>
      </c>
      <c r="D193">
        <v>50</v>
      </c>
      <c r="E193">
        <v>10</v>
      </c>
      <c r="F193">
        <v>1</v>
      </c>
      <c r="G193">
        <v>1</v>
      </c>
      <c r="H193">
        <v>15</v>
      </c>
      <c r="I193">
        <v>90.12</v>
      </c>
      <c r="J193">
        <v>98.7</v>
      </c>
      <c r="K193">
        <v>59578</v>
      </c>
      <c r="L193">
        <v>79467</v>
      </c>
      <c r="M193">
        <v>31679</v>
      </c>
      <c r="N193">
        <v>11163</v>
      </c>
      <c r="O193">
        <f>SUM(K193:N193)</f>
        <v>181887</v>
      </c>
      <c r="P193">
        <v>6498</v>
      </c>
      <c r="Q193">
        <v>47985</v>
      </c>
      <c r="R193">
        <v>4636</v>
      </c>
      <c r="S193">
        <v>37332</v>
      </c>
      <c r="T193">
        <f>SUM(P193:S193)</f>
        <v>96451</v>
      </c>
      <c r="U193">
        <f>O193+T193</f>
        <v>278338</v>
      </c>
      <c r="V193">
        <v>26041104.5383863</v>
      </c>
      <c r="W193">
        <v>28336542.0440313</v>
      </c>
      <c r="X193">
        <v>2295437.5056450302</v>
      </c>
      <c r="Y193">
        <v>9149276.4150017407</v>
      </c>
      <c r="Z193">
        <f>Y193/AD193</f>
        <v>4641.9464307466978</v>
      </c>
      <c r="AA193">
        <v>0</v>
      </c>
      <c r="AB193">
        <v>0</v>
      </c>
      <c r="AC193">
        <v>2468</v>
      </c>
      <c r="AD193">
        <v>1971</v>
      </c>
      <c r="AE193">
        <v>0</v>
      </c>
      <c r="AF193">
        <v>12225992.047005501</v>
      </c>
      <c r="AG193">
        <v>5695647.9999999898</v>
      </c>
      <c r="AH193" s="2">
        <f>AF193-AG193</f>
        <v>6530344.0470055109</v>
      </c>
      <c r="AI193" s="2">
        <f t="shared" si="44"/>
        <v>130606.88094011022</v>
      </c>
      <c r="AJ193">
        <v>50</v>
      </c>
      <c r="AK193">
        <v>678</v>
      </c>
      <c r="AL193" t="b">
        <v>1</v>
      </c>
      <c r="AM193" s="2">
        <f>IF('MANOVA '!M235, 1, 0)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F6CF-84F6-C74F-B4C0-D106784778B8}">
  <dimension ref="A1:AG257"/>
  <sheetViews>
    <sheetView workbookViewId="0">
      <selection sqref="A1:AG257"/>
    </sheetView>
  </sheetViews>
  <sheetFormatPr baseColWidth="10" defaultRowHeight="16" x14ac:dyDescent="0.2"/>
  <sheetData>
    <row r="1" spans="1:33" x14ac:dyDescent="0.2">
      <c r="A1" s="2" t="s">
        <v>26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28</v>
      </c>
      <c r="Y1" s="2" t="s">
        <v>29</v>
      </c>
      <c r="Z1" s="2" t="s">
        <v>30</v>
      </c>
      <c r="AA1" s="2" t="s">
        <v>22</v>
      </c>
      <c r="AB1" s="2" t="s">
        <v>23</v>
      </c>
      <c r="AC1" s="2" t="s">
        <v>31</v>
      </c>
      <c r="AD1" s="2" t="s">
        <v>32</v>
      </c>
      <c r="AE1" s="2" t="s">
        <v>24</v>
      </c>
      <c r="AF1" s="2" t="s">
        <v>25</v>
      </c>
      <c r="AG1" s="2" t="s">
        <v>27</v>
      </c>
    </row>
    <row r="2" spans="1:33" x14ac:dyDescent="0.2">
      <c r="A2">
        <v>10</v>
      </c>
      <c r="B2">
        <v>193</v>
      </c>
      <c r="C2">
        <v>15</v>
      </c>
      <c r="D2">
        <v>3</v>
      </c>
      <c r="E2">
        <v>3</v>
      </c>
      <c r="F2">
        <v>30</v>
      </c>
      <c r="G2">
        <v>5</v>
      </c>
      <c r="H2">
        <v>45.06</v>
      </c>
      <c r="I2">
        <v>49.35</v>
      </c>
      <c r="J2">
        <v>0.3</v>
      </c>
      <c r="K2">
        <v>56130</v>
      </c>
      <c r="L2">
        <v>96236</v>
      </c>
      <c r="M2">
        <v>28211</v>
      </c>
      <c r="N2">
        <v>9944</v>
      </c>
      <c r="O2">
        <v>29180</v>
      </c>
      <c r="P2">
        <v>32631</v>
      </c>
      <c r="Q2">
        <v>3480</v>
      </c>
      <c r="R2">
        <v>31158</v>
      </c>
      <c r="S2">
        <v>10795377.451585401</v>
      </c>
      <c r="T2">
        <v>4787166.7849080199</v>
      </c>
      <c r="U2">
        <v>-6008210.6666773902</v>
      </c>
      <c r="V2">
        <v>10515649.014485501</v>
      </c>
      <c r="W2">
        <v>149504618.46551001</v>
      </c>
      <c r="X2">
        <v>724</v>
      </c>
      <c r="Y2">
        <v>1730</v>
      </c>
      <c r="Z2">
        <v>1579</v>
      </c>
      <c r="AA2">
        <v>942069.87363295397</v>
      </c>
      <c r="AB2">
        <v>836279.55</v>
      </c>
      <c r="AC2">
        <f>AA2-AB2</f>
        <v>105790.32363295392</v>
      </c>
      <c r="AD2">
        <f>AC2/G2</f>
        <v>21158.064726590783</v>
      </c>
      <c r="AE2">
        <v>5</v>
      </c>
      <c r="AF2">
        <v>0</v>
      </c>
      <c r="AG2" t="b">
        <v>1</v>
      </c>
    </row>
    <row r="3" spans="1:33" x14ac:dyDescent="0.2">
      <c r="A3">
        <v>10</v>
      </c>
      <c r="B3">
        <v>188</v>
      </c>
      <c r="C3">
        <v>15</v>
      </c>
      <c r="D3">
        <v>3</v>
      </c>
      <c r="E3">
        <v>3</v>
      </c>
      <c r="F3">
        <v>30</v>
      </c>
      <c r="G3">
        <v>5</v>
      </c>
      <c r="H3">
        <v>90.12</v>
      </c>
      <c r="I3">
        <v>98.7</v>
      </c>
      <c r="J3">
        <v>0.3</v>
      </c>
      <c r="K3">
        <v>76141</v>
      </c>
      <c r="L3">
        <v>84920</v>
      </c>
      <c r="M3">
        <v>28577</v>
      </c>
      <c r="N3">
        <v>9580</v>
      </c>
      <c r="O3">
        <v>4767</v>
      </c>
      <c r="P3">
        <v>35386</v>
      </c>
      <c r="Q3">
        <v>3891</v>
      </c>
      <c r="R3">
        <v>28179</v>
      </c>
      <c r="S3">
        <v>10797014.6318835</v>
      </c>
      <c r="T3">
        <v>8570550.9123023599</v>
      </c>
      <c r="U3">
        <v>-2226463.71958119</v>
      </c>
      <c r="V3">
        <v>12649331.8274744</v>
      </c>
      <c r="W3">
        <v>473810874.02922899</v>
      </c>
      <c r="X3">
        <v>583</v>
      </c>
      <c r="Y3">
        <v>1635</v>
      </c>
      <c r="Z3">
        <v>1907</v>
      </c>
      <c r="AA3">
        <v>1782884.6228561599</v>
      </c>
      <c r="AB3">
        <v>836279.55</v>
      </c>
      <c r="AC3">
        <f>AA3-AB3</f>
        <v>946605.07285615988</v>
      </c>
      <c r="AD3">
        <f>AC3/G3</f>
        <v>189321.01457123196</v>
      </c>
      <c r="AE3">
        <v>5</v>
      </c>
      <c r="AF3">
        <v>0</v>
      </c>
      <c r="AG3" t="b">
        <v>1</v>
      </c>
    </row>
    <row r="4" spans="1:33" x14ac:dyDescent="0.2">
      <c r="A4">
        <v>10</v>
      </c>
      <c r="B4">
        <v>193</v>
      </c>
      <c r="C4">
        <v>15</v>
      </c>
      <c r="D4">
        <v>3</v>
      </c>
      <c r="E4">
        <v>3</v>
      </c>
      <c r="F4">
        <v>15</v>
      </c>
      <c r="G4">
        <v>5</v>
      </c>
      <c r="H4">
        <v>45.06</v>
      </c>
      <c r="I4">
        <v>49.35</v>
      </c>
      <c r="J4">
        <v>0.3</v>
      </c>
      <c r="K4">
        <v>60779</v>
      </c>
      <c r="L4">
        <v>96973</v>
      </c>
      <c r="M4">
        <v>26668</v>
      </c>
      <c r="N4">
        <v>10965</v>
      </c>
      <c r="O4">
        <v>32250</v>
      </c>
      <c r="P4">
        <v>35659</v>
      </c>
      <c r="Q4">
        <v>3391</v>
      </c>
      <c r="R4">
        <v>34557</v>
      </c>
      <c r="S4">
        <v>8062891.9167983998</v>
      </c>
      <c r="T4">
        <v>4548429.5104829101</v>
      </c>
      <c r="U4">
        <v>-3514462.4063154799</v>
      </c>
      <c r="V4">
        <v>5096634.5222348701</v>
      </c>
      <c r="W4">
        <v>68232273.178485006</v>
      </c>
      <c r="X4">
        <v>344</v>
      </c>
      <c r="Y4">
        <v>1239</v>
      </c>
      <c r="Z4">
        <v>696</v>
      </c>
      <c r="AA4">
        <v>734402.24091172498</v>
      </c>
      <c r="AB4">
        <v>836279.55</v>
      </c>
      <c r="AC4">
        <f>AA4-AB4</f>
        <v>-101877.30908827507</v>
      </c>
      <c r="AD4">
        <f>AC4/G4</f>
        <v>-20375.461817655014</v>
      </c>
      <c r="AE4">
        <v>5</v>
      </c>
      <c r="AF4">
        <v>0</v>
      </c>
      <c r="AG4" t="b">
        <v>1</v>
      </c>
    </row>
    <row r="5" spans="1:33" x14ac:dyDescent="0.2">
      <c r="A5">
        <v>10</v>
      </c>
      <c r="B5">
        <v>188</v>
      </c>
      <c r="C5">
        <v>15</v>
      </c>
      <c r="D5">
        <v>3</v>
      </c>
      <c r="E5">
        <v>3</v>
      </c>
      <c r="F5">
        <v>15</v>
      </c>
      <c r="G5">
        <v>5</v>
      </c>
      <c r="H5">
        <v>90.12</v>
      </c>
      <c r="I5">
        <v>98.7</v>
      </c>
      <c r="J5">
        <v>0.3</v>
      </c>
      <c r="K5">
        <v>83744</v>
      </c>
      <c r="L5">
        <v>84954</v>
      </c>
      <c r="M5">
        <v>27765</v>
      </c>
      <c r="N5">
        <v>11246</v>
      </c>
      <c r="O5">
        <v>5219</v>
      </c>
      <c r="P5">
        <v>42636</v>
      </c>
      <c r="Q5">
        <v>4010</v>
      </c>
      <c r="R5">
        <v>36044</v>
      </c>
      <c r="S5">
        <v>10589209.0870985</v>
      </c>
      <c r="T5">
        <v>9271102.5891325697</v>
      </c>
      <c r="U5">
        <v>-1318106.49796594</v>
      </c>
      <c r="V5">
        <v>6858424.80608992</v>
      </c>
      <c r="W5">
        <v>67646763.9224042</v>
      </c>
      <c r="X5">
        <v>174</v>
      </c>
      <c r="Y5">
        <v>1707</v>
      </c>
      <c r="Z5">
        <v>201</v>
      </c>
      <c r="AA5">
        <v>3157034.6845769002</v>
      </c>
      <c r="AB5">
        <v>836279.55</v>
      </c>
      <c r="AC5">
        <f>AA5-AB5</f>
        <v>2320755.1345768999</v>
      </c>
      <c r="AD5">
        <f>AC5/G5</f>
        <v>464151.02691537997</v>
      </c>
      <c r="AE5">
        <v>5</v>
      </c>
      <c r="AF5">
        <v>10</v>
      </c>
      <c r="AG5" t="b">
        <v>1</v>
      </c>
    </row>
    <row r="6" spans="1:33" x14ac:dyDescent="0.2">
      <c r="A6">
        <v>10</v>
      </c>
      <c r="B6">
        <v>193</v>
      </c>
      <c r="C6">
        <v>15</v>
      </c>
      <c r="D6">
        <v>3</v>
      </c>
      <c r="E6">
        <v>1</v>
      </c>
      <c r="F6">
        <v>30</v>
      </c>
      <c r="G6">
        <v>5</v>
      </c>
      <c r="H6">
        <v>45.06</v>
      </c>
      <c r="I6">
        <v>49.35</v>
      </c>
      <c r="J6">
        <v>0.3</v>
      </c>
      <c r="K6">
        <v>55624</v>
      </c>
      <c r="L6">
        <v>93590</v>
      </c>
      <c r="M6">
        <v>29025</v>
      </c>
      <c r="N6">
        <v>9634</v>
      </c>
      <c r="O6">
        <v>27538</v>
      </c>
      <c r="P6">
        <v>32831</v>
      </c>
      <c r="Q6">
        <v>3271</v>
      </c>
      <c r="R6">
        <v>29536</v>
      </c>
      <c r="S6">
        <v>10124349.439728299</v>
      </c>
      <c r="T6">
        <v>5164071.0429251604</v>
      </c>
      <c r="U6">
        <v>-4960278.39680319</v>
      </c>
      <c r="V6">
        <v>7813527.1152670002</v>
      </c>
      <c r="W6">
        <v>197522764.90679699</v>
      </c>
      <c r="X6">
        <v>586</v>
      </c>
      <c r="Y6">
        <v>1819</v>
      </c>
      <c r="Z6">
        <v>1946</v>
      </c>
      <c r="AA6">
        <v>1262239.1488957801</v>
      </c>
      <c r="AB6">
        <v>836279.55</v>
      </c>
      <c r="AC6">
        <f t="shared" ref="AC6:AC69" si="0">AA6-AB6</f>
        <v>425959.59889578004</v>
      </c>
      <c r="AD6">
        <f t="shared" ref="AD6:AD69" si="1">AC6/G6</f>
        <v>85191.919779156015</v>
      </c>
      <c r="AE6">
        <v>5</v>
      </c>
      <c r="AF6">
        <v>0</v>
      </c>
      <c r="AG6" t="b">
        <v>1</v>
      </c>
    </row>
    <row r="7" spans="1:33" x14ac:dyDescent="0.2">
      <c r="A7">
        <v>10</v>
      </c>
      <c r="B7">
        <v>188</v>
      </c>
      <c r="C7">
        <v>15</v>
      </c>
      <c r="D7">
        <v>3</v>
      </c>
      <c r="E7">
        <v>1</v>
      </c>
      <c r="F7">
        <v>30</v>
      </c>
      <c r="G7">
        <v>5</v>
      </c>
      <c r="H7">
        <v>90.12</v>
      </c>
      <c r="I7">
        <v>98.7</v>
      </c>
      <c r="J7">
        <v>0.3</v>
      </c>
      <c r="K7">
        <v>75087</v>
      </c>
      <c r="L7">
        <v>85301</v>
      </c>
      <c r="M7">
        <v>28287</v>
      </c>
      <c r="N7">
        <v>9416</v>
      </c>
      <c r="O7">
        <v>4646</v>
      </c>
      <c r="P7">
        <v>36258</v>
      </c>
      <c r="Q7">
        <v>3905</v>
      </c>
      <c r="R7">
        <v>27656</v>
      </c>
      <c r="S7">
        <v>8181738.8836000897</v>
      </c>
      <c r="T7">
        <v>6966386.57999238</v>
      </c>
      <c r="U7">
        <v>-1215352.3036076999</v>
      </c>
      <c r="V7">
        <v>8982624.9589376897</v>
      </c>
      <c r="W7">
        <v>505957820.37454599</v>
      </c>
      <c r="X7">
        <v>588</v>
      </c>
      <c r="Y7">
        <v>1333</v>
      </c>
      <c r="Z7">
        <v>2073</v>
      </c>
      <c r="AA7">
        <v>401815.25730532798</v>
      </c>
      <c r="AB7">
        <v>836279.55</v>
      </c>
      <c r="AC7">
        <f t="shared" si="0"/>
        <v>-434464.29269467207</v>
      </c>
      <c r="AD7">
        <f t="shared" si="1"/>
        <v>-86892.858538934408</v>
      </c>
      <c r="AE7">
        <v>5</v>
      </c>
      <c r="AF7">
        <v>46</v>
      </c>
      <c r="AG7" t="b">
        <v>1</v>
      </c>
    </row>
    <row r="8" spans="1:33" x14ac:dyDescent="0.2">
      <c r="A8">
        <v>10</v>
      </c>
      <c r="B8">
        <v>192</v>
      </c>
      <c r="C8">
        <v>15</v>
      </c>
      <c r="D8">
        <v>3</v>
      </c>
      <c r="E8">
        <v>1</v>
      </c>
      <c r="F8">
        <v>15</v>
      </c>
      <c r="G8">
        <v>5</v>
      </c>
      <c r="H8">
        <v>45.06</v>
      </c>
      <c r="I8">
        <v>49.35</v>
      </c>
      <c r="J8">
        <v>0.3</v>
      </c>
      <c r="K8">
        <v>65860</v>
      </c>
      <c r="L8">
        <v>96265</v>
      </c>
      <c r="M8">
        <v>27488</v>
      </c>
      <c r="N8">
        <v>11502</v>
      </c>
      <c r="O8">
        <v>4753</v>
      </c>
      <c r="P8">
        <v>39124</v>
      </c>
      <c r="Q8">
        <v>3563</v>
      </c>
      <c r="R8">
        <v>37591</v>
      </c>
      <c r="S8">
        <v>11197638.2958603</v>
      </c>
      <c r="T8">
        <v>5223145.8989679199</v>
      </c>
      <c r="U8">
        <v>-5974492.3968924396</v>
      </c>
      <c r="V8">
        <v>8056747.9362874199</v>
      </c>
      <c r="W8">
        <v>0</v>
      </c>
      <c r="X8">
        <v>144</v>
      </c>
      <c r="Y8">
        <v>2022</v>
      </c>
      <c r="Z8">
        <v>0</v>
      </c>
      <c r="AA8">
        <v>1188262.31370853</v>
      </c>
      <c r="AB8">
        <v>836279.55</v>
      </c>
      <c r="AC8">
        <f t="shared" si="0"/>
        <v>351982.76370852999</v>
      </c>
      <c r="AD8">
        <f t="shared" si="1"/>
        <v>70396.552741705993</v>
      </c>
      <c r="AE8">
        <v>5</v>
      </c>
      <c r="AF8">
        <v>1</v>
      </c>
      <c r="AG8" t="b">
        <v>1</v>
      </c>
    </row>
    <row r="9" spans="1:33" x14ac:dyDescent="0.2">
      <c r="A9">
        <v>10</v>
      </c>
      <c r="B9">
        <v>188</v>
      </c>
      <c r="C9">
        <v>15</v>
      </c>
      <c r="D9">
        <v>3</v>
      </c>
      <c r="E9">
        <v>1</v>
      </c>
      <c r="F9">
        <v>15</v>
      </c>
      <c r="G9">
        <v>5</v>
      </c>
      <c r="H9">
        <v>90.12</v>
      </c>
      <c r="I9">
        <v>98.7</v>
      </c>
      <c r="J9">
        <v>0.3</v>
      </c>
      <c r="K9">
        <v>83862</v>
      </c>
      <c r="L9">
        <v>85144</v>
      </c>
      <c r="M9">
        <v>27628</v>
      </c>
      <c r="N9">
        <v>11355</v>
      </c>
      <c r="O9">
        <v>5337</v>
      </c>
      <c r="P9">
        <v>43492</v>
      </c>
      <c r="Q9">
        <v>4001</v>
      </c>
      <c r="R9">
        <v>37104</v>
      </c>
      <c r="S9">
        <v>11119605.8978517</v>
      </c>
      <c r="T9">
        <v>9574713.2350540403</v>
      </c>
      <c r="U9">
        <v>-1544892.6627976601</v>
      </c>
      <c r="V9">
        <v>7875108.6328249704</v>
      </c>
      <c r="W9">
        <v>0</v>
      </c>
      <c r="X9">
        <v>136</v>
      </c>
      <c r="Y9">
        <v>1978</v>
      </c>
      <c r="Z9">
        <v>0</v>
      </c>
      <c r="AA9">
        <v>3430220.3952696901</v>
      </c>
      <c r="AB9">
        <v>836279.55</v>
      </c>
      <c r="AC9">
        <f t="shared" si="0"/>
        <v>2593940.8452696903</v>
      </c>
      <c r="AD9">
        <f t="shared" si="1"/>
        <v>518788.16905393807</v>
      </c>
      <c r="AE9">
        <v>5</v>
      </c>
      <c r="AF9">
        <v>13</v>
      </c>
      <c r="AG9" t="b">
        <v>1</v>
      </c>
    </row>
    <row r="10" spans="1:33" x14ac:dyDescent="0.2">
      <c r="A10">
        <v>10</v>
      </c>
      <c r="B10">
        <v>193</v>
      </c>
      <c r="C10">
        <v>15</v>
      </c>
      <c r="D10">
        <v>1</v>
      </c>
      <c r="E10">
        <v>3</v>
      </c>
      <c r="F10">
        <v>30</v>
      </c>
      <c r="G10">
        <v>5</v>
      </c>
      <c r="H10">
        <v>45.06</v>
      </c>
      <c r="I10">
        <v>49.35</v>
      </c>
      <c r="J10">
        <v>0.3</v>
      </c>
      <c r="K10">
        <v>54206</v>
      </c>
      <c r="L10">
        <v>92569</v>
      </c>
      <c r="M10">
        <v>27471</v>
      </c>
      <c r="N10">
        <v>9304</v>
      </c>
      <c r="O10">
        <v>25735</v>
      </c>
      <c r="P10">
        <v>30154</v>
      </c>
      <c r="Q10">
        <v>3302</v>
      </c>
      <c r="R10">
        <v>27773</v>
      </c>
      <c r="S10">
        <v>8887766.5159263294</v>
      </c>
      <c r="T10">
        <v>4411704.0843572496</v>
      </c>
      <c r="U10">
        <v>-4476062.4315690696</v>
      </c>
      <c r="V10">
        <v>6517384.97198244</v>
      </c>
      <c r="W10">
        <v>226579456.72574499</v>
      </c>
      <c r="X10">
        <v>617</v>
      </c>
      <c r="Y10">
        <v>1300</v>
      </c>
      <c r="Z10">
        <v>2274</v>
      </c>
      <c r="AA10">
        <v>1057647.86562429</v>
      </c>
      <c r="AB10">
        <v>836279.55</v>
      </c>
      <c r="AC10">
        <f t="shared" si="0"/>
        <v>221368.31562428991</v>
      </c>
      <c r="AD10">
        <f t="shared" si="1"/>
        <v>44273.66312485798</v>
      </c>
      <c r="AE10">
        <v>5</v>
      </c>
      <c r="AF10">
        <v>0</v>
      </c>
      <c r="AG10" t="b">
        <v>1</v>
      </c>
    </row>
    <row r="11" spans="1:33" x14ac:dyDescent="0.2">
      <c r="A11">
        <v>10</v>
      </c>
      <c r="B11">
        <v>188</v>
      </c>
      <c r="C11">
        <v>15</v>
      </c>
      <c r="D11">
        <v>1</v>
      </c>
      <c r="E11">
        <v>3</v>
      </c>
      <c r="F11">
        <v>30</v>
      </c>
      <c r="G11">
        <v>5</v>
      </c>
      <c r="H11">
        <v>90.12</v>
      </c>
      <c r="I11">
        <v>98.7</v>
      </c>
      <c r="J11">
        <v>0.3</v>
      </c>
      <c r="K11">
        <v>73479</v>
      </c>
      <c r="L11">
        <v>80058</v>
      </c>
      <c r="M11">
        <v>29606</v>
      </c>
      <c r="N11">
        <v>9365</v>
      </c>
      <c r="O11">
        <v>4579</v>
      </c>
      <c r="P11">
        <v>35130</v>
      </c>
      <c r="Q11">
        <v>3834</v>
      </c>
      <c r="R11">
        <v>27574</v>
      </c>
      <c r="S11">
        <v>9596064.6794924904</v>
      </c>
      <c r="T11">
        <v>7414965.37480486</v>
      </c>
      <c r="U11">
        <v>-2181099.3046876201</v>
      </c>
      <c r="V11">
        <v>11009125.9215506</v>
      </c>
      <c r="W11">
        <v>478322830.74017501</v>
      </c>
      <c r="X11">
        <v>630</v>
      </c>
      <c r="Y11">
        <v>1490</v>
      </c>
      <c r="Z11">
        <v>2106</v>
      </c>
      <c r="AA11">
        <v>1667189.0613565701</v>
      </c>
      <c r="AB11">
        <v>836279.55</v>
      </c>
      <c r="AC11">
        <f t="shared" si="0"/>
        <v>830909.51135657006</v>
      </c>
      <c r="AD11">
        <f t="shared" si="1"/>
        <v>166181.902271314</v>
      </c>
      <c r="AE11">
        <v>5</v>
      </c>
      <c r="AF11">
        <v>0</v>
      </c>
      <c r="AG11" t="b">
        <v>1</v>
      </c>
    </row>
    <row r="12" spans="1:33" x14ac:dyDescent="0.2">
      <c r="A12">
        <v>10</v>
      </c>
      <c r="B12">
        <v>193</v>
      </c>
      <c r="C12">
        <v>15</v>
      </c>
      <c r="D12">
        <v>1</v>
      </c>
      <c r="E12">
        <v>3</v>
      </c>
      <c r="F12">
        <v>15</v>
      </c>
      <c r="G12">
        <v>5</v>
      </c>
      <c r="H12">
        <v>45.06</v>
      </c>
      <c r="I12">
        <v>49.35</v>
      </c>
      <c r="J12">
        <v>0.3</v>
      </c>
      <c r="K12">
        <v>59890</v>
      </c>
      <c r="L12">
        <v>94866</v>
      </c>
      <c r="M12">
        <v>28047</v>
      </c>
      <c r="N12">
        <v>10761</v>
      </c>
      <c r="O12">
        <v>31385</v>
      </c>
      <c r="P12">
        <v>34663</v>
      </c>
      <c r="Q12">
        <v>3385</v>
      </c>
      <c r="R12">
        <v>33515</v>
      </c>
      <c r="S12">
        <v>8173867.3717132704</v>
      </c>
      <c r="T12">
        <v>4512426.95199952</v>
      </c>
      <c r="U12">
        <v>-3661440.4197137398</v>
      </c>
      <c r="V12">
        <v>5295664.4688814702</v>
      </c>
      <c r="W12">
        <v>106782795.743122</v>
      </c>
      <c r="X12">
        <v>481</v>
      </c>
      <c r="Y12">
        <v>1088</v>
      </c>
      <c r="Z12">
        <v>862</v>
      </c>
      <c r="AA12">
        <v>1142154.2774487501</v>
      </c>
      <c r="AB12">
        <v>836279.55</v>
      </c>
      <c r="AC12">
        <f t="shared" si="0"/>
        <v>305874.72744875005</v>
      </c>
      <c r="AD12">
        <f t="shared" si="1"/>
        <v>61174.945489750011</v>
      </c>
      <c r="AE12">
        <v>5</v>
      </c>
      <c r="AF12">
        <v>0</v>
      </c>
      <c r="AG12" t="b">
        <v>1</v>
      </c>
    </row>
    <row r="13" spans="1:33" x14ac:dyDescent="0.2">
      <c r="A13">
        <v>10</v>
      </c>
      <c r="B13">
        <v>188</v>
      </c>
      <c r="C13">
        <v>15</v>
      </c>
      <c r="D13">
        <v>1</v>
      </c>
      <c r="E13">
        <v>3</v>
      </c>
      <c r="F13">
        <v>15</v>
      </c>
      <c r="G13">
        <v>5</v>
      </c>
      <c r="H13">
        <v>90.12</v>
      </c>
      <c r="I13">
        <v>98.7</v>
      </c>
      <c r="J13">
        <v>0.3</v>
      </c>
      <c r="K13">
        <v>82329</v>
      </c>
      <c r="L13">
        <v>83864</v>
      </c>
      <c r="M13">
        <v>27897</v>
      </c>
      <c r="N13">
        <v>10985</v>
      </c>
      <c r="O13">
        <v>5221</v>
      </c>
      <c r="P13">
        <v>40936</v>
      </c>
      <c r="Q13">
        <v>4013</v>
      </c>
      <c r="R13">
        <v>34490</v>
      </c>
      <c r="S13">
        <v>9143625.6957252491</v>
      </c>
      <c r="T13">
        <v>7991009.678665</v>
      </c>
      <c r="U13">
        <v>-1152616.01706024</v>
      </c>
      <c r="V13">
        <v>6841452.8232403798</v>
      </c>
      <c r="W13">
        <v>145569116.64368701</v>
      </c>
      <c r="X13">
        <v>252</v>
      </c>
      <c r="Y13">
        <v>1358</v>
      </c>
      <c r="Z13">
        <v>488</v>
      </c>
      <c r="AA13">
        <v>2937034.93465028</v>
      </c>
      <c r="AB13">
        <v>836279.55</v>
      </c>
      <c r="AC13">
        <f t="shared" si="0"/>
        <v>2100755.3846502798</v>
      </c>
      <c r="AD13">
        <f t="shared" si="1"/>
        <v>420151.07693005598</v>
      </c>
      <c r="AE13">
        <v>5</v>
      </c>
      <c r="AF13">
        <v>10</v>
      </c>
      <c r="AG13" t="b">
        <v>1</v>
      </c>
    </row>
    <row r="14" spans="1:33" x14ac:dyDescent="0.2">
      <c r="A14">
        <v>10</v>
      </c>
      <c r="B14">
        <v>193</v>
      </c>
      <c r="C14">
        <v>15</v>
      </c>
      <c r="D14">
        <v>1</v>
      </c>
      <c r="E14">
        <v>1</v>
      </c>
      <c r="F14">
        <v>30</v>
      </c>
      <c r="G14">
        <v>5</v>
      </c>
      <c r="H14">
        <v>45.06</v>
      </c>
      <c r="I14">
        <v>49.35</v>
      </c>
      <c r="J14">
        <v>0.3</v>
      </c>
      <c r="K14">
        <v>53401</v>
      </c>
      <c r="L14">
        <v>90211</v>
      </c>
      <c r="M14">
        <v>27370</v>
      </c>
      <c r="N14">
        <v>9201</v>
      </c>
      <c r="O14">
        <v>24949</v>
      </c>
      <c r="P14">
        <v>29523</v>
      </c>
      <c r="Q14">
        <v>3381</v>
      </c>
      <c r="R14">
        <v>27027</v>
      </c>
      <c r="S14">
        <v>8752973.9713740405</v>
      </c>
      <c r="T14">
        <v>3990569.4303406202</v>
      </c>
      <c r="U14">
        <v>-4762404.5410334095</v>
      </c>
      <c r="V14">
        <v>7131392.6788024297</v>
      </c>
      <c r="W14">
        <v>252986457.98386899</v>
      </c>
      <c r="X14">
        <v>425</v>
      </c>
      <c r="Y14">
        <v>1325</v>
      </c>
      <c r="Z14">
        <v>2412</v>
      </c>
      <c r="AA14">
        <v>694847.83031254995</v>
      </c>
      <c r="AB14">
        <v>836279.55</v>
      </c>
      <c r="AC14">
        <f t="shared" si="0"/>
        <v>-141431.7196874501</v>
      </c>
      <c r="AD14">
        <f t="shared" si="1"/>
        <v>-28286.343937490019</v>
      </c>
      <c r="AE14">
        <v>5</v>
      </c>
      <c r="AF14">
        <v>0</v>
      </c>
      <c r="AG14" t="b">
        <v>1</v>
      </c>
    </row>
    <row r="15" spans="1:33" x14ac:dyDescent="0.2">
      <c r="A15">
        <v>10</v>
      </c>
      <c r="B15">
        <v>188</v>
      </c>
      <c r="C15">
        <v>15</v>
      </c>
      <c r="D15">
        <v>1</v>
      </c>
      <c r="E15">
        <v>1</v>
      </c>
      <c r="F15">
        <v>30</v>
      </c>
      <c r="G15">
        <v>5</v>
      </c>
      <c r="H15">
        <v>90.12</v>
      </c>
      <c r="I15">
        <v>98.7</v>
      </c>
      <c r="J15">
        <v>0.3</v>
      </c>
      <c r="K15">
        <v>76269</v>
      </c>
      <c r="L15">
        <v>82452</v>
      </c>
      <c r="M15">
        <v>29989</v>
      </c>
      <c r="N15">
        <v>9889</v>
      </c>
      <c r="O15">
        <v>4921</v>
      </c>
      <c r="P15">
        <v>37049</v>
      </c>
      <c r="Q15">
        <v>3844</v>
      </c>
      <c r="R15">
        <v>30374</v>
      </c>
      <c r="S15">
        <v>9690919.0974598303</v>
      </c>
      <c r="T15">
        <v>7735615.7061264198</v>
      </c>
      <c r="U15">
        <v>-1955303.3913334101</v>
      </c>
      <c r="V15">
        <v>16383262.450867699</v>
      </c>
      <c r="W15">
        <v>356298744.74996501</v>
      </c>
      <c r="X15">
        <v>646</v>
      </c>
      <c r="Y15">
        <v>1545</v>
      </c>
      <c r="Z15">
        <v>1635</v>
      </c>
      <c r="AA15">
        <v>1938377.2530372201</v>
      </c>
      <c r="AB15">
        <v>836279.55</v>
      </c>
      <c r="AC15">
        <f t="shared" si="0"/>
        <v>1102097.7030372201</v>
      </c>
      <c r="AD15">
        <f t="shared" si="1"/>
        <v>220419.54060744401</v>
      </c>
      <c r="AE15">
        <v>5</v>
      </c>
      <c r="AF15">
        <v>0</v>
      </c>
      <c r="AG15" t="b">
        <v>1</v>
      </c>
    </row>
    <row r="16" spans="1:33" x14ac:dyDescent="0.2">
      <c r="A16">
        <v>10</v>
      </c>
      <c r="B16">
        <v>193</v>
      </c>
      <c r="C16">
        <v>15</v>
      </c>
      <c r="D16">
        <v>1</v>
      </c>
      <c r="E16">
        <v>1</v>
      </c>
      <c r="F16">
        <v>15</v>
      </c>
      <c r="G16">
        <v>5</v>
      </c>
      <c r="H16">
        <v>45.06</v>
      </c>
      <c r="I16">
        <v>49.35</v>
      </c>
      <c r="J16">
        <v>0.3</v>
      </c>
      <c r="K16">
        <v>61037</v>
      </c>
      <c r="L16">
        <v>95544</v>
      </c>
      <c r="M16">
        <v>27732</v>
      </c>
      <c r="N16">
        <v>10778</v>
      </c>
      <c r="O16">
        <v>31298</v>
      </c>
      <c r="P16">
        <v>35952</v>
      </c>
      <c r="Q16">
        <v>3456</v>
      </c>
      <c r="R16">
        <v>33670</v>
      </c>
      <c r="S16">
        <v>7572285.4379474605</v>
      </c>
      <c r="T16">
        <v>4680010.2323220698</v>
      </c>
      <c r="U16">
        <v>-2892275.2056253902</v>
      </c>
      <c r="V16">
        <v>5501423.6332726497</v>
      </c>
      <c r="W16">
        <v>103732564.510766</v>
      </c>
      <c r="X16">
        <v>308</v>
      </c>
      <c r="Y16">
        <v>1044</v>
      </c>
      <c r="Z16">
        <v>801</v>
      </c>
      <c r="AA16">
        <v>1285793.8950245599</v>
      </c>
      <c r="AB16">
        <v>836279.55</v>
      </c>
      <c r="AC16">
        <f t="shared" si="0"/>
        <v>449514.34502455988</v>
      </c>
      <c r="AD16">
        <f t="shared" si="1"/>
        <v>89902.869004911976</v>
      </c>
      <c r="AE16">
        <v>5</v>
      </c>
      <c r="AF16">
        <v>0</v>
      </c>
      <c r="AG16" t="b">
        <v>1</v>
      </c>
    </row>
    <row r="17" spans="1:33" x14ac:dyDescent="0.2">
      <c r="A17">
        <v>10</v>
      </c>
      <c r="B17">
        <v>188</v>
      </c>
      <c r="C17">
        <v>15</v>
      </c>
      <c r="D17">
        <v>1</v>
      </c>
      <c r="E17">
        <v>1</v>
      </c>
      <c r="F17">
        <v>15</v>
      </c>
      <c r="G17">
        <v>5</v>
      </c>
      <c r="H17">
        <v>90.12</v>
      </c>
      <c r="I17">
        <v>98.7</v>
      </c>
      <c r="J17">
        <v>0.3</v>
      </c>
      <c r="K17">
        <v>80557</v>
      </c>
      <c r="L17">
        <v>82953</v>
      </c>
      <c r="M17">
        <v>28137</v>
      </c>
      <c r="N17">
        <v>10764</v>
      </c>
      <c r="O17">
        <v>5166</v>
      </c>
      <c r="P17">
        <v>40266</v>
      </c>
      <c r="Q17">
        <v>4024</v>
      </c>
      <c r="R17">
        <v>33884</v>
      </c>
      <c r="S17">
        <v>9158247.1859503593</v>
      </c>
      <c r="T17">
        <v>8113860.1398799997</v>
      </c>
      <c r="U17">
        <v>-1044387.04607036</v>
      </c>
      <c r="V17">
        <v>5961331.5628851</v>
      </c>
      <c r="W17">
        <v>165036339.04774401</v>
      </c>
      <c r="X17">
        <v>335</v>
      </c>
      <c r="Y17">
        <v>1304</v>
      </c>
      <c r="Z17">
        <v>632</v>
      </c>
      <c r="AA17">
        <v>3042328.9417189602</v>
      </c>
      <c r="AB17">
        <v>836279.55</v>
      </c>
      <c r="AC17">
        <f t="shared" si="0"/>
        <v>2206049.3917189604</v>
      </c>
      <c r="AD17">
        <f t="shared" si="1"/>
        <v>441209.87834379205</v>
      </c>
      <c r="AE17">
        <v>5</v>
      </c>
      <c r="AF17">
        <v>10</v>
      </c>
      <c r="AG17" t="b">
        <v>1</v>
      </c>
    </row>
    <row r="18" spans="1:33" x14ac:dyDescent="0.2">
      <c r="A18">
        <v>10</v>
      </c>
      <c r="B18">
        <v>128</v>
      </c>
      <c r="C18">
        <v>10</v>
      </c>
      <c r="D18">
        <v>3</v>
      </c>
      <c r="E18">
        <v>3</v>
      </c>
      <c r="F18">
        <v>15</v>
      </c>
      <c r="G18">
        <v>5</v>
      </c>
      <c r="H18">
        <v>90.12</v>
      </c>
      <c r="I18">
        <v>98.7</v>
      </c>
      <c r="J18">
        <v>0.3</v>
      </c>
      <c r="K18">
        <v>74846</v>
      </c>
      <c r="L18">
        <v>54690</v>
      </c>
      <c r="M18">
        <v>34145</v>
      </c>
      <c r="N18">
        <v>10125</v>
      </c>
      <c r="O18">
        <v>22068</v>
      </c>
      <c r="P18">
        <v>29257</v>
      </c>
      <c r="Q18">
        <v>8264</v>
      </c>
      <c r="R18">
        <v>34335</v>
      </c>
      <c r="S18">
        <v>7664517.4939972898</v>
      </c>
      <c r="T18">
        <v>7374302.1535557099</v>
      </c>
      <c r="U18">
        <v>-290215.34044157399</v>
      </c>
      <c r="V18">
        <v>4397409.2334057698</v>
      </c>
      <c r="W18">
        <v>62302039.071894102</v>
      </c>
      <c r="X18">
        <v>181</v>
      </c>
      <c r="Y18">
        <v>1093</v>
      </c>
      <c r="Z18">
        <v>202</v>
      </c>
      <c r="AA18">
        <v>1883852.72159861</v>
      </c>
      <c r="AB18">
        <v>569564.799999999</v>
      </c>
      <c r="AC18">
        <f t="shared" si="0"/>
        <v>1314287.9215986109</v>
      </c>
      <c r="AD18">
        <f t="shared" si="1"/>
        <v>262857.5843197222</v>
      </c>
      <c r="AE18">
        <v>5</v>
      </c>
      <c r="AF18">
        <v>9</v>
      </c>
      <c r="AG18" t="b">
        <v>1</v>
      </c>
    </row>
    <row r="19" spans="1:33" x14ac:dyDescent="0.2">
      <c r="A19">
        <v>10</v>
      </c>
      <c r="B19">
        <v>128</v>
      </c>
      <c r="C19">
        <v>10</v>
      </c>
      <c r="D19">
        <v>3</v>
      </c>
      <c r="E19">
        <v>3</v>
      </c>
      <c r="F19">
        <v>15</v>
      </c>
      <c r="G19">
        <v>5</v>
      </c>
      <c r="H19">
        <v>45.06</v>
      </c>
      <c r="I19">
        <v>49.35</v>
      </c>
      <c r="J19">
        <v>0.3</v>
      </c>
      <c r="K19">
        <v>74846</v>
      </c>
      <c r="L19">
        <v>54690</v>
      </c>
      <c r="M19">
        <v>34145</v>
      </c>
      <c r="N19">
        <v>10125</v>
      </c>
      <c r="O19">
        <v>22068</v>
      </c>
      <c r="P19">
        <v>29257</v>
      </c>
      <c r="Q19">
        <v>8264</v>
      </c>
      <c r="R19">
        <v>34335</v>
      </c>
      <c r="S19">
        <v>7664517.4939972898</v>
      </c>
      <c r="T19">
        <v>3971933.4767778502</v>
      </c>
      <c r="U19">
        <v>-3692584.0172194298</v>
      </c>
      <c r="V19">
        <v>4384756.8373485496</v>
      </c>
      <c r="W19">
        <v>31151019.535946999</v>
      </c>
      <c r="X19">
        <v>181</v>
      </c>
      <c r="Y19">
        <v>1093</v>
      </c>
      <c r="Z19">
        <v>202</v>
      </c>
      <c r="AA19">
        <v>941926.36079930898</v>
      </c>
      <c r="AB19">
        <v>569564.799999999</v>
      </c>
      <c r="AC19">
        <f t="shared" si="0"/>
        <v>372361.56079930998</v>
      </c>
      <c r="AD19">
        <f t="shared" si="1"/>
        <v>74472.312159861991</v>
      </c>
      <c r="AE19">
        <v>5</v>
      </c>
      <c r="AF19">
        <v>9</v>
      </c>
      <c r="AG19" t="b">
        <v>1</v>
      </c>
    </row>
    <row r="20" spans="1:33" x14ac:dyDescent="0.2">
      <c r="A20">
        <v>10</v>
      </c>
      <c r="B20">
        <v>128</v>
      </c>
      <c r="C20">
        <v>10</v>
      </c>
      <c r="D20">
        <v>3</v>
      </c>
      <c r="E20">
        <v>3</v>
      </c>
      <c r="F20">
        <v>30</v>
      </c>
      <c r="G20">
        <v>5</v>
      </c>
      <c r="H20">
        <v>90.12</v>
      </c>
      <c r="I20">
        <v>98.7</v>
      </c>
      <c r="J20">
        <v>0.3</v>
      </c>
      <c r="K20">
        <v>68786</v>
      </c>
      <c r="L20">
        <v>56490</v>
      </c>
      <c r="M20">
        <v>33230</v>
      </c>
      <c r="N20">
        <v>8976</v>
      </c>
      <c r="O20">
        <v>19027</v>
      </c>
      <c r="P20">
        <v>26737</v>
      </c>
      <c r="Q20">
        <v>7988</v>
      </c>
      <c r="R20">
        <v>30063</v>
      </c>
      <c r="S20">
        <v>7535004.0608442696</v>
      </c>
      <c r="T20">
        <v>6797732.4550837902</v>
      </c>
      <c r="U20">
        <v>-737271.60576047795</v>
      </c>
      <c r="V20">
        <v>6378572.9793339903</v>
      </c>
      <c r="W20">
        <v>247216786.47250199</v>
      </c>
      <c r="X20">
        <v>446</v>
      </c>
      <c r="Y20">
        <v>1125</v>
      </c>
      <c r="Z20">
        <v>1316</v>
      </c>
      <c r="AA20">
        <v>711786.83181795699</v>
      </c>
      <c r="AB20">
        <v>569564.799999999</v>
      </c>
      <c r="AC20">
        <f t="shared" si="0"/>
        <v>142222.03181795799</v>
      </c>
      <c r="AD20">
        <f t="shared" si="1"/>
        <v>28444.406363591599</v>
      </c>
      <c r="AE20">
        <v>5</v>
      </c>
      <c r="AF20">
        <v>0</v>
      </c>
      <c r="AG20" t="b">
        <v>1</v>
      </c>
    </row>
    <row r="21" spans="1:33" x14ac:dyDescent="0.2">
      <c r="A21">
        <v>10</v>
      </c>
      <c r="B21">
        <v>128</v>
      </c>
      <c r="C21">
        <v>10</v>
      </c>
      <c r="D21">
        <v>3</v>
      </c>
      <c r="E21">
        <v>3</v>
      </c>
      <c r="F21">
        <v>30</v>
      </c>
      <c r="G21">
        <v>5</v>
      </c>
      <c r="H21">
        <v>45.06</v>
      </c>
      <c r="I21">
        <v>49.35</v>
      </c>
      <c r="J21">
        <v>0.3</v>
      </c>
      <c r="K21">
        <v>68759</v>
      </c>
      <c r="L21">
        <v>56477</v>
      </c>
      <c r="M21">
        <v>33213</v>
      </c>
      <c r="N21">
        <v>8967</v>
      </c>
      <c r="O21">
        <v>19025</v>
      </c>
      <c r="P21">
        <v>26741</v>
      </c>
      <c r="Q21">
        <v>7991</v>
      </c>
      <c r="R21">
        <v>30092</v>
      </c>
      <c r="S21">
        <v>7550984.74977927</v>
      </c>
      <c r="T21">
        <v>3683648.6275418899</v>
      </c>
      <c r="U21">
        <v>-3867336.1222373699</v>
      </c>
      <c r="V21">
        <v>5337408.0246238699</v>
      </c>
      <c r="W21">
        <v>122648614.496218</v>
      </c>
      <c r="X21">
        <v>446</v>
      </c>
      <c r="Y21">
        <v>1125</v>
      </c>
      <c r="Z21">
        <v>1316</v>
      </c>
      <c r="AA21">
        <v>355893.41590897797</v>
      </c>
      <c r="AB21">
        <v>569564.799999999</v>
      </c>
      <c r="AC21">
        <f t="shared" si="0"/>
        <v>-213671.38409102103</v>
      </c>
      <c r="AD21">
        <f t="shared" si="1"/>
        <v>-42734.276818204205</v>
      </c>
      <c r="AE21">
        <v>5</v>
      </c>
      <c r="AF21">
        <v>0</v>
      </c>
      <c r="AG21" t="b">
        <v>1</v>
      </c>
    </row>
    <row r="22" spans="1:33" x14ac:dyDescent="0.2">
      <c r="A22">
        <v>10</v>
      </c>
      <c r="B22">
        <v>128</v>
      </c>
      <c r="C22">
        <v>10</v>
      </c>
      <c r="D22">
        <v>3</v>
      </c>
      <c r="E22">
        <v>1</v>
      </c>
      <c r="F22">
        <v>15</v>
      </c>
      <c r="G22">
        <v>5</v>
      </c>
      <c r="H22">
        <v>90.12</v>
      </c>
      <c r="I22">
        <v>98.7</v>
      </c>
      <c r="J22">
        <v>0.3</v>
      </c>
      <c r="K22">
        <v>74238</v>
      </c>
      <c r="L22">
        <v>55670</v>
      </c>
      <c r="M22">
        <v>33911</v>
      </c>
      <c r="N22">
        <v>10021</v>
      </c>
      <c r="O22">
        <v>22017</v>
      </c>
      <c r="P22">
        <v>29105</v>
      </c>
      <c r="Q22">
        <v>8410</v>
      </c>
      <c r="R22">
        <v>34323</v>
      </c>
      <c r="S22">
        <v>7767669.5610252405</v>
      </c>
      <c r="T22">
        <v>7367953.1287331004</v>
      </c>
      <c r="U22">
        <v>-399716.43229213799</v>
      </c>
      <c r="V22">
        <v>4741634.5054063099</v>
      </c>
      <c r="W22">
        <v>55443123.465185903</v>
      </c>
      <c r="X22">
        <v>322</v>
      </c>
      <c r="Y22">
        <v>1056</v>
      </c>
      <c r="Z22">
        <v>229</v>
      </c>
      <c r="AA22">
        <v>1883852.72159861</v>
      </c>
      <c r="AB22">
        <v>569564.799999999</v>
      </c>
      <c r="AC22">
        <f t="shared" si="0"/>
        <v>1314287.9215986109</v>
      </c>
      <c r="AD22">
        <f t="shared" si="1"/>
        <v>262857.5843197222</v>
      </c>
      <c r="AE22">
        <v>5</v>
      </c>
      <c r="AF22">
        <v>9</v>
      </c>
      <c r="AG22" t="b">
        <v>1</v>
      </c>
    </row>
    <row r="23" spans="1:33" x14ac:dyDescent="0.2">
      <c r="A23">
        <v>10</v>
      </c>
      <c r="B23">
        <v>128</v>
      </c>
      <c r="C23">
        <v>10</v>
      </c>
      <c r="D23">
        <v>3</v>
      </c>
      <c r="E23">
        <v>1</v>
      </c>
      <c r="F23">
        <v>15</v>
      </c>
      <c r="G23">
        <v>5</v>
      </c>
      <c r="H23">
        <v>45.06</v>
      </c>
      <c r="I23">
        <v>49.35</v>
      </c>
      <c r="J23">
        <v>0.3</v>
      </c>
      <c r="K23">
        <v>74238</v>
      </c>
      <c r="L23">
        <v>55670</v>
      </c>
      <c r="M23">
        <v>33911</v>
      </c>
      <c r="N23">
        <v>10021</v>
      </c>
      <c r="O23">
        <v>22017</v>
      </c>
      <c r="P23">
        <v>29105</v>
      </c>
      <c r="Q23">
        <v>8410</v>
      </c>
      <c r="R23">
        <v>34323</v>
      </c>
      <c r="S23">
        <v>7767669.5610252405</v>
      </c>
      <c r="T23">
        <v>3968758.9643665501</v>
      </c>
      <c r="U23">
        <v>-3798910.5966586899</v>
      </c>
      <c r="V23">
        <v>4486449.31395882</v>
      </c>
      <c r="W23">
        <v>27721561.732592899</v>
      </c>
      <c r="X23">
        <v>322</v>
      </c>
      <c r="Y23">
        <v>1056</v>
      </c>
      <c r="Z23">
        <v>229</v>
      </c>
      <c r="AA23">
        <v>941926.36079930898</v>
      </c>
      <c r="AB23">
        <v>569564.799999999</v>
      </c>
      <c r="AC23">
        <f t="shared" si="0"/>
        <v>372361.56079930998</v>
      </c>
      <c r="AD23">
        <f t="shared" si="1"/>
        <v>74472.312159861991</v>
      </c>
      <c r="AE23">
        <v>5</v>
      </c>
      <c r="AF23">
        <v>9</v>
      </c>
      <c r="AG23" t="b">
        <v>1</v>
      </c>
    </row>
    <row r="24" spans="1:33" x14ac:dyDescent="0.2">
      <c r="A24">
        <v>10</v>
      </c>
      <c r="B24">
        <v>128</v>
      </c>
      <c r="C24">
        <v>10</v>
      </c>
      <c r="D24">
        <v>3</v>
      </c>
      <c r="E24">
        <v>1</v>
      </c>
      <c r="F24">
        <v>30</v>
      </c>
      <c r="G24">
        <v>5</v>
      </c>
      <c r="H24">
        <v>90.12</v>
      </c>
      <c r="I24">
        <v>98.7</v>
      </c>
      <c r="J24">
        <v>0.3</v>
      </c>
      <c r="K24">
        <v>68038</v>
      </c>
      <c r="L24">
        <v>54070</v>
      </c>
      <c r="M24">
        <v>33719</v>
      </c>
      <c r="N24">
        <v>8834</v>
      </c>
      <c r="O24">
        <v>18415</v>
      </c>
      <c r="P24">
        <v>26311</v>
      </c>
      <c r="Q24">
        <v>8253</v>
      </c>
      <c r="R24">
        <v>28894</v>
      </c>
      <c r="S24">
        <v>7730693.1225794004</v>
      </c>
      <c r="T24">
        <v>7098799.64009667</v>
      </c>
      <c r="U24">
        <v>-631893.482482736</v>
      </c>
      <c r="V24">
        <v>5526918.4259051904</v>
      </c>
      <c r="W24">
        <v>296567068.76544702</v>
      </c>
      <c r="X24">
        <v>283</v>
      </c>
      <c r="Y24">
        <v>1142</v>
      </c>
      <c r="Z24">
        <v>1418</v>
      </c>
      <c r="AA24">
        <v>972991.13240195101</v>
      </c>
      <c r="AB24">
        <v>569564.799999999</v>
      </c>
      <c r="AC24">
        <f t="shared" si="0"/>
        <v>403426.33240195201</v>
      </c>
      <c r="AD24">
        <f t="shared" si="1"/>
        <v>80685.266480390404</v>
      </c>
      <c r="AE24">
        <v>5</v>
      </c>
      <c r="AF24">
        <v>0</v>
      </c>
      <c r="AG24" t="b">
        <v>1</v>
      </c>
    </row>
    <row r="25" spans="1:33" x14ac:dyDescent="0.2">
      <c r="A25">
        <v>10</v>
      </c>
      <c r="B25">
        <v>128</v>
      </c>
      <c r="C25">
        <v>10</v>
      </c>
      <c r="D25">
        <v>3</v>
      </c>
      <c r="E25">
        <v>1</v>
      </c>
      <c r="F25">
        <v>30</v>
      </c>
      <c r="G25">
        <v>5</v>
      </c>
      <c r="H25">
        <v>45.06</v>
      </c>
      <c r="I25">
        <v>49.35</v>
      </c>
      <c r="J25">
        <v>0.3</v>
      </c>
      <c r="K25">
        <v>68038</v>
      </c>
      <c r="L25">
        <v>54070</v>
      </c>
      <c r="M25">
        <v>33719</v>
      </c>
      <c r="N25">
        <v>8834</v>
      </c>
      <c r="O25">
        <v>18415</v>
      </c>
      <c r="P25">
        <v>26311</v>
      </c>
      <c r="Q25">
        <v>8253</v>
      </c>
      <c r="R25">
        <v>28894</v>
      </c>
      <c r="S25">
        <v>7730693.1225794004</v>
      </c>
      <c r="T25">
        <v>3834182.2200483298</v>
      </c>
      <c r="U25">
        <v>-3896510.9025310702</v>
      </c>
      <c r="V25">
        <v>4989333.9589989502</v>
      </c>
      <c r="W25">
        <v>148283534.382723</v>
      </c>
      <c r="X25">
        <v>283</v>
      </c>
      <c r="Y25">
        <v>1142</v>
      </c>
      <c r="Z25">
        <v>1418</v>
      </c>
      <c r="AA25">
        <v>486495.56620097498</v>
      </c>
      <c r="AB25">
        <v>569564.799999999</v>
      </c>
      <c r="AC25">
        <f t="shared" si="0"/>
        <v>-83069.233799024019</v>
      </c>
      <c r="AD25">
        <f t="shared" si="1"/>
        <v>-16613.846759804805</v>
      </c>
      <c r="AE25">
        <v>5</v>
      </c>
      <c r="AF25">
        <v>0</v>
      </c>
      <c r="AG25" t="b">
        <v>1</v>
      </c>
    </row>
    <row r="26" spans="1:33" x14ac:dyDescent="0.2">
      <c r="A26">
        <v>10</v>
      </c>
      <c r="B26">
        <v>128</v>
      </c>
      <c r="C26">
        <v>10</v>
      </c>
      <c r="D26">
        <v>1</v>
      </c>
      <c r="E26">
        <v>3</v>
      </c>
      <c r="F26">
        <v>15</v>
      </c>
      <c r="G26">
        <v>5</v>
      </c>
      <c r="H26">
        <v>90.12</v>
      </c>
      <c r="I26">
        <v>98.7</v>
      </c>
      <c r="J26">
        <v>0.3</v>
      </c>
      <c r="K26">
        <v>74170</v>
      </c>
      <c r="L26">
        <v>55164</v>
      </c>
      <c r="M26">
        <v>34080</v>
      </c>
      <c r="N26">
        <v>9935</v>
      </c>
      <c r="O26">
        <v>21380</v>
      </c>
      <c r="P26">
        <v>29066</v>
      </c>
      <c r="Q26">
        <v>8364</v>
      </c>
      <c r="R26">
        <v>33526</v>
      </c>
      <c r="S26">
        <v>6528808.5921980403</v>
      </c>
      <c r="T26">
        <v>6344980.5040247403</v>
      </c>
      <c r="U26">
        <v>-183828.0881733</v>
      </c>
      <c r="V26">
        <v>3993557.7597326799</v>
      </c>
      <c r="W26">
        <v>104353345.07708</v>
      </c>
      <c r="X26">
        <v>204</v>
      </c>
      <c r="Y26">
        <v>900</v>
      </c>
      <c r="Z26">
        <v>352</v>
      </c>
      <c r="AA26">
        <v>1883852.72159861</v>
      </c>
      <c r="AB26">
        <v>569564.799999999</v>
      </c>
      <c r="AC26">
        <f t="shared" si="0"/>
        <v>1314287.9215986109</v>
      </c>
      <c r="AD26">
        <f t="shared" si="1"/>
        <v>262857.5843197222</v>
      </c>
      <c r="AE26">
        <v>5</v>
      </c>
      <c r="AF26">
        <v>9</v>
      </c>
      <c r="AG26" t="b">
        <v>1</v>
      </c>
    </row>
    <row r="27" spans="1:33" x14ac:dyDescent="0.2">
      <c r="A27">
        <v>10</v>
      </c>
      <c r="B27">
        <v>128</v>
      </c>
      <c r="C27">
        <v>10</v>
      </c>
      <c r="D27">
        <v>1</v>
      </c>
      <c r="E27">
        <v>3</v>
      </c>
      <c r="F27">
        <v>15</v>
      </c>
      <c r="G27">
        <v>5</v>
      </c>
      <c r="H27">
        <v>45.06</v>
      </c>
      <c r="I27">
        <v>49.35</v>
      </c>
      <c r="J27">
        <v>0.3</v>
      </c>
      <c r="K27">
        <v>74170</v>
      </c>
      <c r="L27">
        <v>55164</v>
      </c>
      <c r="M27">
        <v>34080</v>
      </c>
      <c r="N27">
        <v>9935</v>
      </c>
      <c r="O27">
        <v>21380</v>
      </c>
      <c r="P27">
        <v>29066</v>
      </c>
      <c r="Q27">
        <v>8364</v>
      </c>
      <c r="R27">
        <v>33526</v>
      </c>
      <c r="S27">
        <v>6528808.5921980403</v>
      </c>
      <c r="T27">
        <v>3457272.6520123701</v>
      </c>
      <c r="U27">
        <v>-3071535.9401856698</v>
      </c>
      <c r="V27">
        <v>3926960.8127812599</v>
      </c>
      <c r="W27">
        <v>52176672.538540401</v>
      </c>
      <c r="X27">
        <v>204</v>
      </c>
      <c r="Y27">
        <v>900</v>
      </c>
      <c r="Z27">
        <v>352</v>
      </c>
      <c r="AA27">
        <v>941926.36079930898</v>
      </c>
      <c r="AB27">
        <v>569564.799999999</v>
      </c>
      <c r="AC27">
        <f t="shared" si="0"/>
        <v>372361.56079930998</v>
      </c>
      <c r="AD27">
        <f t="shared" si="1"/>
        <v>74472.312159861991</v>
      </c>
      <c r="AE27">
        <v>5</v>
      </c>
      <c r="AF27">
        <v>9</v>
      </c>
      <c r="AG27" t="b">
        <v>1</v>
      </c>
    </row>
    <row r="28" spans="1:33" x14ac:dyDescent="0.2">
      <c r="A28">
        <v>10</v>
      </c>
      <c r="B28">
        <v>128</v>
      </c>
      <c r="C28">
        <v>10</v>
      </c>
      <c r="D28">
        <v>1</v>
      </c>
      <c r="E28">
        <v>3</v>
      </c>
      <c r="F28">
        <v>30</v>
      </c>
      <c r="G28">
        <v>5</v>
      </c>
      <c r="H28">
        <v>90.12</v>
      </c>
      <c r="I28">
        <v>98.7</v>
      </c>
      <c r="J28">
        <v>0.3</v>
      </c>
      <c r="K28">
        <v>68125</v>
      </c>
      <c r="L28">
        <v>55110</v>
      </c>
      <c r="M28">
        <v>33295</v>
      </c>
      <c r="N28">
        <v>8942</v>
      </c>
      <c r="O28">
        <v>18913</v>
      </c>
      <c r="P28">
        <v>26814</v>
      </c>
      <c r="Q28">
        <v>7944</v>
      </c>
      <c r="R28">
        <v>29729</v>
      </c>
      <c r="S28">
        <v>6647749.4876999799</v>
      </c>
      <c r="T28">
        <v>5882257.7775422502</v>
      </c>
      <c r="U28">
        <v>-765491.710157722</v>
      </c>
      <c r="V28">
        <v>5950278.9636033</v>
      </c>
      <c r="W28">
        <v>264667986.44648901</v>
      </c>
      <c r="X28">
        <v>372</v>
      </c>
      <c r="Y28">
        <v>996</v>
      </c>
      <c r="Z28">
        <v>1450</v>
      </c>
      <c r="AA28">
        <v>809369.95066603704</v>
      </c>
      <c r="AB28">
        <v>569564.799999999</v>
      </c>
      <c r="AC28">
        <f t="shared" si="0"/>
        <v>239805.15066603804</v>
      </c>
      <c r="AD28">
        <f t="shared" si="1"/>
        <v>47961.030133207605</v>
      </c>
      <c r="AE28">
        <v>5</v>
      </c>
      <c r="AF28">
        <v>0</v>
      </c>
      <c r="AG28" t="b">
        <v>1</v>
      </c>
    </row>
    <row r="29" spans="1:33" x14ac:dyDescent="0.2">
      <c r="A29">
        <v>10</v>
      </c>
      <c r="B29">
        <v>128</v>
      </c>
      <c r="C29">
        <v>10</v>
      </c>
      <c r="D29">
        <v>1</v>
      </c>
      <c r="E29">
        <v>3</v>
      </c>
      <c r="F29">
        <v>30</v>
      </c>
      <c r="G29">
        <v>5</v>
      </c>
      <c r="H29">
        <v>45.06</v>
      </c>
      <c r="I29">
        <v>49.35</v>
      </c>
      <c r="J29">
        <v>0.3</v>
      </c>
      <c r="K29">
        <v>68125</v>
      </c>
      <c r="L29">
        <v>55110</v>
      </c>
      <c r="M29">
        <v>33295</v>
      </c>
      <c r="N29">
        <v>8942</v>
      </c>
      <c r="O29">
        <v>18913</v>
      </c>
      <c r="P29">
        <v>26814</v>
      </c>
      <c r="Q29">
        <v>7944</v>
      </c>
      <c r="R29">
        <v>29729</v>
      </c>
      <c r="S29">
        <v>6647749.4876999799</v>
      </c>
      <c r="T29">
        <v>3225911.2887711199</v>
      </c>
      <c r="U29">
        <v>-3421838.1989288498</v>
      </c>
      <c r="V29">
        <v>5013569.9542877404</v>
      </c>
      <c r="W29">
        <v>132333993.223244</v>
      </c>
      <c r="X29">
        <v>372</v>
      </c>
      <c r="Y29">
        <v>996</v>
      </c>
      <c r="Z29">
        <v>1450</v>
      </c>
      <c r="AA29">
        <v>404684.975333018</v>
      </c>
      <c r="AB29">
        <v>569564.799999999</v>
      </c>
      <c r="AC29">
        <f t="shared" si="0"/>
        <v>-164879.824666981</v>
      </c>
      <c r="AD29">
        <f t="shared" si="1"/>
        <v>-32975.964933396201</v>
      </c>
      <c r="AE29">
        <v>5</v>
      </c>
      <c r="AF29">
        <v>0</v>
      </c>
      <c r="AG29" t="b">
        <v>1</v>
      </c>
    </row>
    <row r="30" spans="1:33" x14ac:dyDescent="0.2">
      <c r="A30">
        <v>10</v>
      </c>
      <c r="B30">
        <v>128</v>
      </c>
      <c r="C30">
        <v>10</v>
      </c>
      <c r="D30">
        <v>1</v>
      </c>
      <c r="E30">
        <v>1</v>
      </c>
      <c r="F30">
        <v>15</v>
      </c>
      <c r="G30">
        <v>5</v>
      </c>
      <c r="H30">
        <v>90.12</v>
      </c>
      <c r="I30">
        <v>98.7</v>
      </c>
      <c r="J30">
        <v>0.3</v>
      </c>
      <c r="K30">
        <v>73979</v>
      </c>
      <c r="L30">
        <v>55194</v>
      </c>
      <c r="M30">
        <v>34104</v>
      </c>
      <c r="N30">
        <v>9911</v>
      </c>
      <c r="O30">
        <v>21552</v>
      </c>
      <c r="P30">
        <v>28608</v>
      </c>
      <c r="Q30">
        <v>8443</v>
      </c>
      <c r="R30">
        <v>33572</v>
      </c>
      <c r="S30">
        <v>6476582.2202440696</v>
      </c>
      <c r="T30">
        <v>6110820.0612769201</v>
      </c>
      <c r="U30">
        <v>-365762.15896714502</v>
      </c>
      <c r="V30">
        <v>4378735.7094547302</v>
      </c>
      <c r="W30">
        <v>92326472.291298106</v>
      </c>
      <c r="X30">
        <v>228</v>
      </c>
      <c r="Y30">
        <v>880</v>
      </c>
      <c r="Z30">
        <v>348</v>
      </c>
      <c r="AA30">
        <v>1683143.7706719099</v>
      </c>
      <c r="AB30">
        <v>569564.799999999</v>
      </c>
      <c r="AC30">
        <f t="shared" si="0"/>
        <v>1113578.9706719108</v>
      </c>
      <c r="AD30">
        <f t="shared" si="1"/>
        <v>222715.79413438216</v>
      </c>
      <c r="AE30">
        <v>5</v>
      </c>
      <c r="AF30">
        <v>9</v>
      </c>
      <c r="AG30" t="b">
        <v>1</v>
      </c>
    </row>
    <row r="31" spans="1:33" x14ac:dyDescent="0.2">
      <c r="A31">
        <v>10</v>
      </c>
      <c r="B31">
        <v>128</v>
      </c>
      <c r="C31">
        <v>10</v>
      </c>
      <c r="D31">
        <v>1</v>
      </c>
      <c r="E31">
        <v>1</v>
      </c>
      <c r="F31">
        <v>15</v>
      </c>
      <c r="G31">
        <v>5</v>
      </c>
      <c r="H31">
        <v>45.06</v>
      </c>
      <c r="I31">
        <v>49.35</v>
      </c>
      <c r="J31">
        <v>0.3</v>
      </c>
      <c r="K31">
        <v>73979</v>
      </c>
      <c r="L31">
        <v>55194</v>
      </c>
      <c r="M31">
        <v>34104</v>
      </c>
      <c r="N31">
        <v>9911</v>
      </c>
      <c r="O31">
        <v>21552</v>
      </c>
      <c r="P31">
        <v>28608</v>
      </c>
      <c r="Q31">
        <v>8443</v>
      </c>
      <c r="R31">
        <v>33572</v>
      </c>
      <c r="S31">
        <v>6476582.2202440696</v>
      </c>
      <c r="T31">
        <v>3340192.43063846</v>
      </c>
      <c r="U31">
        <v>-3136389.7896056101</v>
      </c>
      <c r="V31">
        <v>4086701.0032922002</v>
      </c>
      <c r="W31">
        <v>46163236.145649001</v>
      </c>
      <c r="X31">
        <v>228</v>
      </c>
      <c r="Y31">
        <v>880</v>
      </c>
      <c r="Z31">
        <v>348</v>
      </c>
      <c r="AA31">
        <v>841571.88533595798</v>
      </c>
      <c r="AB31">
        <v>569564.799999999</v>
      </c>
      <c r="AC31">
        <f t="shared" si="0"/>
        <v>272007.08533595898</v>
      </c>
      <c r="AD31">
        <f t="shared" si="1"/>
        <v>54401.417067191796</v>
      </c>
      <c r="AE31">
        <v>5</v>
      </c>
      <c r="AF31">
        <v>9</v>
      </c>
      <c r="AG31" t="b">
        <v>1</v>
      </c>
    </row>
    <row r="32" spans="1:33" x14ac:dyDescent="0.2">
      <c r="A32">
        <v>10</v>
      </c>
      <c r="B32">
        <v>128</v>
      </c>
      <c r="C32">
        <v>10</v>
      </c>
      <c r="D32">
        <v>1</v>
      </c>
      <c r="E32">
        <v>1</v>
      </c>
      <c r="F32">
        <v>30</v>
      </c>
      <c r="G32">
        <v>5</v>
      </c>
      <c r="H32">
        <v>90.12</v>
      </c>
      <c r="I32">
        <v>98.7</v>
      </c>
      <c r="J32">
        <v>0.3</v>
      </c>
      <c r="K32">
        <v>66709</v>
      </c>
      <c r="L32">
        <v>56831</v>
      </c>
      <c r="M32">
        <v>33231</v>
      </c>
      <c r="N32">
        <v>8967</v>
      </c>
      <c r="O32">
        <v>19320</v>
      </c>
      <c r="P32">
        <v>26212</v>
      </c>
      <c r="Q32">
        <v>7978</v>
      </c>
      <c r="R32">
        <v>30263</v>
      </c>
      <c r="S32">
        <v>7048924.382464</v>
      </c>
      <c r="T32">
        <v>6470727.43199044</v>
      </c>
      <c r="U32">
        <v>-578196.95047355397</v>
      </c>
      <c r="V32">
        <v>7797134.6219710102</v>
      </c>
      <c r="W32">
        <v>221064133.658795</v>
      </c>
      <c r="X32">
        <v>451</v>
      </c>
      <c r="Y32">
        <v>1024</v>
      </c>
      <c r="Z32">
        <v>1318</v>
      </c>
      <c r="AA32">
        <v>1316919.2250517299</v>
      </c>
      <c r="AB32">
        <v>569564.799999999</v>
      </c>
      <c r="AC32">
        <f t="shared" si="0"/>
        <v>747354.42505173094</v>
      </c>
      <c r="AD32">
        <f t="shared" si="1"/>
        <v>149470.88501034619</v>
      </c>
      <c r="AE32">
        <v>5</v>
      </c>
      <c r="AF32">
        <v>0</v>
      </c>
      <c r="AG32" t="b">
        <v>1</v>
      </c>
    </row>
    <row r="33" spans="1:33" x14ac:dyDescent="0.2">
      <c r="A33">
        <v>10</v>
      </c>
      <c r="B33">
        <v>128</v>
      </c>
      <c r="C33">
        <v>10</v>
      </c>
      <c r="D33">
        <v>1</v>
      </c>
      <c r="E33">
        <v>1</v>
      </c>
      <c r="F33">
        <v>30</v>
      </c>
      <c r="G33">
        <v>5</v>
      </c>
      <c r="H33">
        <v>45.06</v>
      </c>
      <c r="I33">
        <v>49.35</v>
      </c>
      <c r="J33">
        <v>0.3</v>
      </c>
      <c r="K33">
        <v>66709</v>
      </c>
      <c r="L33">
        <v>56831</v>
      </c>
      <c r="M33">
        <v>33231</v>
      </c>
      <c r="N33">
        <v>8967</v>
      </c>
      <c r="O33">
        <v>19320</v>
      </c>
      <c r="P33">
        <v>26212</v>
      </c>
      <c r="Q33">
        <v>7978</v>
      </c>
      <c r="R33">
        <v>30263</v>
      </c>
      <c r="S33">
        <v>7048924.382464</v>
      </c>
      <c r="T33">
        <v>3520146.1159952199</v>
      </c>
      <c r="U33">
        <v>-3528778.2664687699</v>
      </c>
      <c r="V33">
        <v>5914953.5137579404</v>
      </c>
      <c r="W33">
        <v>110532066.82939699</v>
      </c>
      <c r="X33">
        <v>451</v>
      </c>
      <c r="Y33">
        <v>1024</v>
      </c>
      <c r="Z33">
        <v>1318</v>
      </c>
      <c r="AA33">
        <v>658459.61252586602</v>
      </c>
      <c r="AB33">
        <v>569564.799999999</v>
      </c>
      <c r="AC33">
        <f t="shared" si="0"/>
        <v>88894.812525867019</v>
      </c>
      <c r="AD33">
        <f t="shared" si="1"/>
        <v>17778.962505173404</v>
      </c>
      <c r="AE33">
        <v>5</v>
      </c>
      <c r="AF33">
        <v>0</v>
      </c>
      <c r="AG33" t="b">
        <v>1</v>
      </c>
    </row>
    <row r="34" spans="1:33" x14ac:dyDescent="0.2">
      <c r="A34" s="2">
        <v>10</v>
      </c>
      <c r="B34" s="2">
        <v>193</v>
      </c>
      <c r="C34" s="2">
        <v>15</v>
      </c>
      <c r="D34" s="2">
        <v>3</v>
      </c>
      <c r="E34" s="2">
        <v>3</v>
      </c>
      <c r="F34" s="2">
        <v>30</v>
      </c>
      <c r="G34" s="2">
        <v>15</v>
      </c>
      <c r="H34" s="2">
        <v>45.06</v>
      </c>
      <c r="I34" s="2">
        <v>49.35</v>
      </c>
      <c r="J34" s="2">
        <v>0.3</v>
      </c>
      <c r="K34" s="2">
        <v>63935</v>
      </c>
      <c r="L34" s="2">
        <v>99389</v>
      </c>
      <c r="M34" s="2">
        <v>28057</v>
      </c>
      <c r="N34" s="2">
        <v>11683</v>
      </c>
      <c r="O34" s="2">
        <v>35259</v>
      </c>
      <c r="P34" s="2">
        <v>40052</v>
      </c>
      <c r="Q34" s="2">
        <v>3731</v>
      </c>
      <c r="R34" s="2">
        <v>37459</v>
      </c>
      <c r="S34" s="2">
        <v>25829764.100000001</v>
      </c>
      <c r="T34" s="2">
        <v>12612779.699999999</v>
      </c>
      <c r="U34" s="2">
        <v>-13216984</v>
      </c>
      <c r="V34" s="2">
        <v>18093694.399999999</v>
      </c>
      <c r="W34" s="2">
        <v>0</v>
      </c>
      <c r="X34" s="2">
        <v>587</v>
      </c>
      <c r="Y34" s="2">
        <v>4042</v>
      </c>
      <c r="Z34" s="2">
        <v>0</v>
      </c>
      <c r="AA34" s="2">
        <v>4674759.3899999997</v>
      </c>
      <c r="AB34" s="2">
        <v>2508838.65</v>
      </c>
      <c r="AC34" s="2">
        <f t="shared" si="0"/>
        <v>2165920.7399999998</v>
      </c>
      <c r="AD34" s="2">
        <f t="shared" si="1"/>
        <v>144394.71599999999</v>
      </c>
      <c r="AE34" s="2">
        <v>15</v>
      </c>
      <c r="AF34" s="2">
        <v>101</v>
      </c>
      <c r="AG34" s="2" t="b">
        <v>1</v>
      </c>
    </row>
    <row r="35" spans="1:33" x14ac:dyDescent="0.2">
      <c r="A35" s="2">
        <v>10</v>
      </c>
      <c r="B35" s="2">
        <v>188</v>
      </c>
      <c r="C35" s="2">
        <v>15</v>
      </c>
      <c r="D35" s="2">
        <v>3</v>
      </c>
      <c r="E35" s="2">
        <v>3</v>
      </c>
      <c r="F35" s="2">
        <v>30</v>
      </c>
      <c r="G35" s="2">
        <v>15</v>
      </c>
      <c r="H35" s="2">
        <v>90.12</v>
      </c>
      <c r="I35" s="2">
        <v>98.7</v>
      </c>
      <c r="J35" s="2">
        <v>0.3</v>
      </c>
      <c r="K35" s="2">
        <v>85254</v>
      </c>
      <c r="L35" s="2">
        <v>87156</v>
      </c>
      <c r="M35" s="2">
        <v>28013</v>
      </c>
      <c r="N35" s="2">
        <v>11640</v>
      </c>
      <c r="O35" s="2">
        <v>5466</v>
      </c>
      <c r="P35" s="2">
        <v>45814</v>
      </c>
      <c r="Q35" s="2">
        <v>4046</v>
      </c>
      <c r="R35" s="2">
        <v>37268</v>
      </c>
      <c r="S35" s="2">
        <v>24352315</v>
      </c>
      <c r="T35" s="2">
        <v>18201976.600000001</v>
      </c>
      <c r="U35" s="2">
        <v>-6150338.4000000004</v>
      </c>
      <c r="V35" s="2">
        <v>17574739.600000001</v>
      </c>
      <c r="W35" s="2">
        <v>0</v>
      </c>
      <c r="X35" s="2">
        <v>545</v>
      </c>
      <c r="Y35" s="2">
        <v>3941</v>
      </c>
      <c r="Z35" s="2">
        <v>0</v>
      </c>
      <c r="AA35" s="2">
        <v>8593645.9299999997</v>
      </c>
      <c r="AB35" s="2">
        <v>2508838.65</v>
      </c>
      <c r="AC35" s="2">
        <f t="shared" si="0"/>
        <v>6084807.2799999993</v>
      </c>
      <c r="AD35" s="2">
        <f t="shared" si="1"/>
        <v>405653.81866666663</v>
      </c>
      <c r="AE35" s="2">
        <v>15</v>
      </c>
      <c r="AF35" s="2">
        <v>196</v>
      </c>
      <c r="AG35" s="2" t="b">
        <v>1</v>
      </c>
    </row>
    <row r="36" spans="1:33" x14ac:dyDescent="0.2">
      <c r="A36" s="2">
        <v>10</v>
      </c>
      <c r="B36" s="2">
        <v>193</v>
      </c>
      <c r="C36" s="2">
        <v>15</v>
      </c>
      <c r="D36" s="2">
        <v>3</v>
      </c>
      <c r="E36" s="2">
        <v>3</v>
      </c>
      <c r="F36" s="2">
        <v>15</v>
      </c>
      <c r="G36" s="2">
        <v>15</v>
      </c>
      <c r="H36" s="2">
        <v>45.06</v>
      </c>
      <c r="I36" s="2">
        <v>49.35</v>
      </c>
      <c r="J36" s="2">
        <v>0.3</v>
      </c>
      <c r="K36" s="2">
        <v>64080</v>
      </c>
      <c r="L36" s="2">
        <v>99460</v>
      </c>
      <c r="M36" s="2">
        <v>27563</v>
      </c>
      <c r="N36" s="2">
        <v>11758</v>
      </c>
      <c r="O36" s="2">
        <v>35536</v>
      </c>
      <c r="P36" s="2">
        <v>40158</v>
      </c>
      <c r="Q36" s="2">
        <v>3711</v>
      </c>
      <c r="R36" s="2">
        <v>37762</v>
      </c>
      <c r="S36" s="2">
        <v>24953226.100000001</v>
      </c>
      <c r="T36" s="2">
        <v>8017986.2599999998</v>
      </c>
      <c r="U36" s="2">
        <v>-16935240</v>
      </c>
      <c r="V36" s="2">
        <v>8751474.9800000004</v>
      </c>
      <c r="W36" s="2">
        <v>0</v>
      </c>
      <c r="X36" s="2">
        <v>2816</v>
      </c>
      <c r="Y36" s="2">
        <v>2072</v>
      </c>
      <c r="Z36" s="2">
        <v>0</v>
      </c>
      <c r="AA36" s="2">
        <v>1606896.71</v>
      </c>
      <c r="AB36" s="2">
        <v>2508838.65</v>
      </c>
      <c r="AC36" s="2">
        <f t="shared" si="0"/>
        <v>-901941.94</v>
      </c>
      <c r="AD36" s="2">
        <f t="shared" si="1"/>
        <v>-60129.462666666666</v>
      </c>
      <c r="AE36" s="2">
        <v>15</v>
      </c>
      <c r="AF36" s="2">
        <v>255</v>
      </c>
      <c r="AG36" s="2" t="b">
        <v>1</v>
      </c>
    </row>
    <row r="37" spans="1:33" x14ac:dyDescent="0.2">
      <c r="A37" s="2">
        <v>10</v>
      </c>
      <c r="B37" s="2">
        <v>188</v>
      </c>
      <c r="C37" s="2">
        <v>15</v>
      </c>
      <c r="D37" s="2">
        <v>3</v>
      </c>
      <c r="E37" s="2">
        <v>3</v>
      </c>
      <c r="F37" s="2">
        <v>15</v>
      </c>
      <c r="G37" s="2">
        <v>15</v>
      </c>
      <c r="H37" s="2">
        <v>90.12</v>
      </c>
      <c r="I37" s="2">
        <v>98.7</v>
      </c>
      <c r="J37" s="2">
        <v>0.3</v>
      </c>
      <c r="K37" s="2">
        <v>84746</v>
      </c>
      <c r="L37" s="2">
        <v>86324</v>
      </c>
      <c r="M37" s="2">
        <v>27917</v>
      </c>
      <c r="N37" s="2">
        <v>11595</v>
      </c>
      <c r="O37" s="2">
        <v>5508</v>
      </c>
      <c r="P37" s="2">
        <v>45618</v>
      </c>
      <c r="Q37" s="2">
        <v>4182</v>
      </c>
      <c r="R37" s="2">
        <v>37392</v>
      </c>
      <c r="S37" s="2">
        <v>23462580.300000001</v>
      </c>
      <c r="T37" s="2">
        <v>8396291.0600000005</v>
      </c>
      <c r="U37" s="2">
        <v>-15066289</v>
      </c>
      <c r="V37" s="2">
        <v>8655608.0500000007</v>
      </c>
      <c r="W37" s="2">
        <v>0</v>
      </c>
      <c r="X37" s="2">
        <v>2744</v>
      </c>
      <c r="Y37" s="2">
        <v>2027</v>
      </c>
      <c r="Z37" s="2">
        <v>0</v>
      </c>
      <c r="AA37" s="2">
        <v>983213.87</v>
      </c>
      <c r="AB37" s="2">
        <v>2508838.65</v>
      </c>
      <c r="AC37" s="2">
        <f t="shared" si="0"/>
        <v>-1525624.7799999998</v>
      </c>
      <c r="AD37" s="2">
        <f t="shared" si="1"/>
        <v>-101708.31866666666</v>
      </c>
      <c r="AE37" s="2">
        <v>15</v>
      </c>
      <c r="AF37" s="2">
        <v>354</v>
      </c>
      <c r="AG37" s="2" t="b">
        <v>1</v>
      </c>
    </row>
    <row r="38" spans="1:33" x14ac:dyDescent="0.2">
      <c r="A38" s="2">
        <v>10</v>
      </c>
      <c r="B38" s="2">
        <v>193</v>
      </c>
      <c r="C38" s="2">
        <v>15</v>
      </c>
      <c r="D38" s="2">
        <v>3</v>
      </c>
      <c r="E38" s="2">
        <v>1</v>
      </c>
      <c r="F38" s="2">
        <v>30</v>
      </c>
      <c r="G38" s="2">
        <v>15</v>
      </c>
      <c r="H38" s="2">
        <v>45.06</v>
      </c>
      <c r="I38" s="2">
        <v>49.35</v>
      </c>
      <c r="J38" s="2">
        <v>0.3</v>
      </c>
      <c r="K38" s="2">
        <v>64242</v>
      </c>
      <c r="L38" s="2">
        <v>100129</v>
      </c>
      <c r="M38" s="2">
        <v>28023</v>
      </c>
      <c r="N38" s="2">
        <v>11735</v>
      </c>
      <c r="O38" s="2">
        <v>35303</v>
      </c>
      <c r="P38" s="2">
        <v>39852</v>
      </c>
      <c r="Q38" s="2">
        <v>3748</v>
      </c>
      <c r="R38" s="2">
        <v>37601</v>
      </c>
      <c r="S38" s="2">
        <v>25626200.300000001</v>
      </c>
      <c r="T38" s="2">
        <v>12570969.800000001</v>
      </c>
      <c r="U38" s="2">
        <v>-13055231</v>
      </c>
      <c r="V38" s="2">
        <v>17864823</v>
      </c>
      <c r="W38" s="2">
        <v>0</v>
      </c>
      <c r="X38" s="2">
        <v>581</v>
      </c>
      <c r="Y38" s="2">
        <v>4031</v>
      </c>
      <c r="Z38" s="2">
        <v>0</v>
      </c>
      <c r="AA38" s="2">
        <v>4698026.3099999996</v>
      </c>
      <c r="AB38" s="2">
        <v>2508838.65</v>
      </c>
      <c r="AC38" s="2">
        <f t="shared" si="0"/>
        <v>2189187.6599999997</v>
      </c>
      <c r="AD38" s="2">
        <f t="shared" si="1"/>
        <v>145945.84399999998</v>
      </c>
      <c r="AE38" s="2">
        <v>15</v>
      </c>
      <c r="AF38" s="2">
        <v>104</v>
      </c>
      <c r="AG38" s="2" t="b">
        <v>1</v>
      </c>
    </row>
    <row r="39" spans="1:33" x14ac:dyDescent="0.2">
      <c r="A39" s="2">
        <v>10</v>
      </c>
      <c r="B39" s="2">
        <v>188</v>
      </c>
      <c r="C39" s="2">
        <v>15</v>
      </c>
      <c r="D39" s="2">
        <v>3</v>
      </c>
      <c r="E39" s="2">
        <v>1</v>
      </c>
      <c r="F39" s="2">
        <v>30</v>
      </c>
      <c r="G39" s="2">
        <v>15</v>
      </c>
      <c r="H39" s="2">
        <v>90.12</v>
      </c>
      <c r="I39" s="2">
        <v>98.7</v>
      </c>
      <c r="J39" s="2">
        <v>0.3</v>
      </c>
      <c r="K39" s="2">
        <v>85560</v>
      </c>
      <c r="L39" s="2">
        <v>86242</v>
      </c>
      <c r="M39" s="2">
        <v>28090</v>
      </c>
      <c r="N39" s="2">
        <v>11706</v>
      </c>
      <c r="O39" s="2">
        <v>5404</v>
      </c>
      <c r="P39" s="2">
        <v>45377</v>
      </c>
      <c r="Q39" s="2">
        <v>4158</v>
      </c>
      <c r="R39" s="2">
        <v>37138</v>
      </c>
      <c r="S39" s="2">
        <v>23789500.699999999</v>
      </c>
      <c r="T39" s="2">
        <v>15071871</v>
      </c>
      <c r="U39" s="2">
        <v>-8717629.6999999993</v>
      </c>
      <c r="V39" s="2">
        <v>17357118</v>
      </c>
      <c r="W39" s="2">
        <v>0</v>
      </c>
      <c r="X39" s="2">
        <v>561</v>
      </c>
      <c r="Y39" s="2">
        <v>3931</v>
      </c>
      <c r="Z39" s="2">
        <v>0</v>
      </c>
      <c r="AA39" s="2">
        <v>6690446.8799999999</v>
      </c>
      <c r="AB39" s="2">
        <v>2508838.65</v>
      </c>
      <c r="AC39" s="2">
        <f t="shared" si="0"/>
        <v>4181608.23</v>
      </c>
      <c r="AD39" s="2">
        <f t="shared" si="1"/>
        <v>278773.88199999998</v>
      </c>
      <c r="AE39" s="2">
        <v>15</v>
      </c>
      <c r="AF39" s="2">
        <v>251</v>
      </c>
      <c r="AG39" s="2" t="b">
        <v>1</v>
      </c>
    </row>
    <row r="40" spans="1:33" x14ac:dyDescent="0.2">
      <c r="A40" s="2">
        <v>10</v>
      </c>
      <c r="B40" s="2">
        <v>193</v>
      </c>
      <c r="C40" s="2">
        <v>15</v>
      </c>
      <c r="D40" s="2">
        <v>3</v>
      </c>
      <c r="E40" s="2">
        <v>1</v>
      </c>
      <c r="F40" s="2">
        <v>15</v>
      </c>
      <c r="G40" s="2">
        <v>15</v>
      </c>
      <c r="H40" s="2">
        <v>45.06</v>
      </c>
      <c r="I40" s="2">
        <v>49.35</v>
      </c>
      <c r="J40" s="2">
        <v>0.3</v>
      </c>
      <c r="K40" s="2">
        <v>64009</v>
      </c>
      <c r="L40" s="2">
        <v>99409</v>
      </c>
      <c r="M40" s="2">
        <v>27356</v>
      </c>
      <c r="N40" s="2">
        <v>11773</v>
      </c>
      <c r="O40" s="2">
        <v>35536</v>
      </c>
      <c r="P40" s="2">
        <v>40016</v>
      </c>
      <c r="Q40" s="2">
        <v>3643</v>
      </c>
      <c r="R40" s="2">
        <v>37782</v>
      </c>
      <c r="S40" s="2">
        <v>25323597</v>
      </c>
      <c r="T40" s="2">
        <v>9119490.4700000007</v>
      </c>
      <c r="U40" s="2">
        <v>-16204107</v>
      </c>
      <c r="V40" s="2">
        <v>8956016.2300000004</v>
      </c>
      <c r="W40" s="2">
        <v>0</v>
      </c>
      <c r="X40" s="2">
        <v>2795</v>
      </c>
      <c r="Y40" s="2">
        <v>2071</v>
      </c>
      <c r="Z40" s="2">
        <v>0</v>
      </c>
      <c r="AA40" s="2">
        <v>2129072.16</v>
      </c>
      <c r="AB40" s="2">
        <v>2508838.65</v>
      </c>
      <c r="AC40" s="2">
        <f t="shared" si="0"/>
        <v>-379766.48999999976</v>
      </c>
      <c r="AD40" s="2">
        <f t="shared" si="1"/>
        <v>-25317.765999999985</v>
      </c>
      <c r="AE40" s="2">
        <v>15</v>
      </c>
      <c r="AF40" s="2">
        <v>220</v>
      </c>
      <c r="AG40" s="2" t="b">
        <v>1</v>
      </c>
    </row>
    <row r="41" spans="1:33" x14ac:dyDescent="0.2">
      <c r="A41" s="2">
        <v>10</v>
      </c>
      <c r="B41" s="2">
        <v>188</v>
      </c>
      <c r="C41" s="2">
        <v>15</v>
      </c>
      <c r="D41" s="2">
        <v>3</v>
      </c>
      <c r="E41" s="2">
        <v>1</v>
      </c>
      <c r="F41" s="2">
        <v>15</v>
      </c>
      <c r="G41" s="2">
        <v>15</v>
      </c>
      <c r="H41" s="2">
        <v>90.12</v>
      </c>
      <c r="I41" s="2">
        <v>98.7</v>
      </c>
      <c r="J41" s="2">
        <v>0.3</v>
      </c>
      <c r="K41" s="2">
        <v>85042</v>
      </c>
      <c r="L41" s="2">
        <v>86176</v>
      </c>
      <c r="M41" s="2">
        <v>27840</v>
      </c>
      <c r="N41" s="2">
        <v>11607</v>
      </c>
      <c r="O41" s="2">
        <v>5552</v>
      </c>
      <c r="P41" s="2">
        <v>45653</v>
      </c>
      <c r="Q41" s="2">
        <v>4293</v>
      </c>
      <c r="R41" s="2">
        <v>37425</v>
      </c>
      <c r="S41" s="2">
        <v>23162912</v>
      </c>
      <c r="T41" s="2">
        <v>7727633.6699999999</v>
      </c>
      <c r="U41" s="2">
        <v>-15435278</v>
      </c>
      <c r="V41" s="2">
        <v>8661396.5700000003</v>
      </c>
      <c r="W41" s="2">
        <v>0</v>
      </c>
      <c r="X41" s="2">
        <v>2732</v>
      </c>
      <c r="Y41" s="2">
        <v>2027</v>
      </c>
      <c r="Z41" s="2">
        <v>0</v>
      </c>
      <c r="AA41" s="2">
        <v>395386.28600000002</v>
      </c>
      <c r="AB41" s="2">
        <v>2508838.65</v>
      </c>
      <c r="AC41" s="2">
        <f t="shared" si="0"/>
        <v>-2113452.3640000001</v>
      </c>
      <c r="AD41" s="2">
        <f t="shared" si="1"/>
        <v>-140896.82426666666</v>
      </c>
      <c r="AE41" s="2">
        <v>15</v>
      </c>
      <c r="AF41" s="2">
        <v>365</v>
      </c>
      <c r="AG41" s="2" t="b">
        <v>1</v>
      </c>
    </row>
    <row r="42" spans="1:33" x14ac:dyDescent="0.2">
      <c r="A42" s="2">
        <v>10</v>
      </c>
      <c r="B42" s="2">
        <v>193</v>
      </c>
      <c r="C42" s="2">
        <v>15</v>
      </c>
      <c r="D42" s="2">
        <v>1</v>
      </c>
      <c r="E42" s="2">
        <v>3</v>
      </c>
      <c r="F42" s="2">
        <v>30</v>
      </c>
      <c r="G42" s="2">
        <v>15</v>
      </c>
      <c r="H42" s="2">
        <v>45.06</v>
      </c>
      <c r="I42" s="2">
        <v>49.35</v>
      </c>
      <c r="J42" s="2">
        <v>0.3</v>
      </c>
      <c r="K42" s="2">
        <v>63877</v>
      </c>
      <c r="L42" s="2">
        <v>99424</v>
      </c>
      <c r="M42" s="2">
        <v>27880</v>
      </c>
      <c r="N42" s="2">
        <v>11725</v>
      </c>
      <c r="O42" s="2">
        <v>35451</v>
      </c>
      <c r="P42" s="2">
        <v>40218</v>
      </c>
      <c r="Q42" s="2">
        <v>3644</v>
      </c>
      <c r="R42" s="2">
        <v>37725</v>
      </c>
      <c r="S42" s="2">
        <v>24260791.600000001</v>
      </c>
      <c r="T42" s="2">
        <v>12752456.300000001</v>
      </c>
      <c r="U42" s="2">
        <v>-11508335</v>
      </c>
      <c r="V42" s="2">
        <v>18251706.600000001</v>
      </c>
      <c r="W42" s="2">
        <v>0</v>
      </c>
      <c r="X42" s="2">
        <v>309</v>
      </c>
      <c r="Y42" s="2">
        <v>3941</v>
      </c>
      <c r="Z42" s="2">
        <v>0</v>
      </c>
      <c r="AA42" s="2">
        <v>5235619.99</v>
      </c>
      <c r="AB42" s="2">
        <v>2508838.65</v>
      </c>
      <c r="AC42" s="2">
        <f t="shared" si="0"/>
        <v>2726781.3400000003</v>
      </c>
      <c r="AD42" s="2">
        <f t="shared" si="1"/>
        <v>181785.42266666668</v>
      </c>
      <c r="AE42" s="2">
        <v>15</v>
      </c>
      <c r="AF42" s="2">
        <v>82</v>
      </c>
      <c r="AG42" s="2" t="b">
        <v>1</v>
      </c>
    </row>
    <row r="43" spans="1:33" x14ac:dyDescent="0.2">
      <c r="A43" s="2">
        <v>10</v>
      </c>
      <c r="B43" s="2">
        <v>188</v>
      </c>
      <c r="C43" s="2">
        <v>15</v>
      </c>
      <c r="D43" s="2">
        <v>1</v>
      </c>
      <c r="E43" s="2">
        <v>3</v>
      </c>
      <c r="F43" s="2">
        <v>30</v>
      </c>
      <c r="G43" s="2">
        <v>15</v>
      </c>
      <c r="H43" s="2">
        <v>90.12</v>
      </c>
      <c r="I43" s="2">
        <v>98.7</v>
      </c>
      <c r="J43" s="2">
        <v>0.3</v>
      </c>
      <c r="K43" s="2">
        <v>85034</v>
      </c>
      <c r="L43" s="2">
        <v>86430</v>
      </c>
      <c r="M43" s="2">
        <v>27947</v>
      </c>
      <c r="N43" s="2">
        <v>11653</v>
      </c>
      <c r="O43" s="2">
        <v>5554</v>
      </c>
      <c r="P43" s="2">
        <v>45696</v>
      </c>
      <c r="Q43" s="2">
        <v>4195</v>
      </c>
      <c r="R43" s="2">
        <v>37236</v>
      </c>
      <c r="S43" s="2">
        <v>23182498.399999999</v>
      </c>
      <c r="T43" s="2">
        <v>18593683.100000001</v>
      </c>
      <c r="U43" s="2">
        <v>-4588815.3</v>
      </c>
      <c r="V43" s="2">
        <v>17749198</v>
      </c>
      <c r="W43" s="2">
        <v>0</v>
      </c>
      <c r="X43" s="2">
        <v>307</v>
      </c>
      <c r="Y43" s="2">
        <v>3835</v>
      </c>
      <c r="Z43" s="2">
        <v>0</v>
      </c>
      <c r="AA43" s="2">
        <v>9811670.0399999991</v>
      </c>
      <c r="AB43" s="2">
        <v>2508838.65</v>
      </c>
      <c r="AC43" s="2">
        <f t="shared" si="0"/>
        <v>7302831.3899999987</v>
      </c>
      <c r="AD43" s="2">
        <f t="shared" si="1"/>
        <v>486855.42599999992</v>
      </c>
      <c r="AE43" s="2">
        <v>15</v>
      </c>
      <c r="AF43" s="2">
        <v>177</v>
      </c>
      <c r="AG43" s="2" t="b">
        <v>1</v>
      </c>
    </row>
    <row r="44" spans="1:33" x14ac:dyDescent="0.2">
      <c r="A44" s="2">
        <v>10</v>
      </c>
      <c r="B44" s="2">
        <v>193</v>
      </c>
      <c r="C44" s="2">
        <v>15</v>
      </c>
      <c r="D44" s="2">
        <v>1</v>
      </c>
      <c r="E44" s="2">
        <v>3</v>
      </c>
      <c r="F44" s="2">
        <v>15</v>
      </c>
      <c r="G44" s="2">
        <v>15</v>
      </c>
      <c r="H44" s="2">
        <v>45.06</v>
      </c>
      <c r="I44" s="2">
        <v>49.35</v>
      </c>
      <c r="J44" s="2">
        <v>0.3</v>
      </c>
      <c r="K44" s="2">
        <v>63844</v>
      </c>
      <c r="L44" s="2">
        <v>98074</v>
      </c>
      <c r="M44" s="2">
        <v>27623</v>
      </c>
      <c r="N44" s="2">
        <v>11726</v>
      </c>
      <c r="O44" s="2">
        <v>35418</v>
      </c>
      <c r="P44" s="2">
        <v>40084</v>
      </c>
      <c r="Q44" s="2">
        <v>3777</v>
      </c>
      <c r="R44" s="2">
        <v>37693</v>
      </c>
      <c r="S44" s="2">
        <v>23584935.199999999</v>
      </c>
      <c r="T44" s="2">
        <v>8522441.9000000004</v>
      </c>
      <c r="U44" s="2">
        <v>-15062493</v>
      </c>
      <c r="V44" s="2">
        <v>9312454.7300000004</v>
      </c>
      <c r="W44" s="2">
        <v>0</v>
      </c>
      <c r="X44" s="2">
        <v>2466</v>
      </c>
      <c r="Y44" s="2">
        <v>2017</v>
      </c>
      <c r="Z44" s="2">
        <v>0</v>
      </c>
      <c r="AA44" s="2">
        <v>2427967.61</v>
      </c>
      <c r="AB44" s="2">
        <v>2508838.65</v>
      </c>
      <c r="AC44" s="2">
        <f t="shared" si="0"/>
        <v>-80871.040000000037</v>
      </c>
      <c r="AD44" s="2">
        <f t="shared" si="1"/>
        <v>-5391.4026666666696</v>
      </c>
      <c r="AE44" s="2">
        <v>15</v>
      </c>
      <c r="AF44" s="2">
        <v>225</v>
      </c>
      <c r="AG44" s="2" t="b">
        <v>1</v>
      </c>
    </row>
    <row r="45" spans="1:33" x14ac:dyDescent="0.2">
      <c r="A45" s="2">
        <v>10</v>
      </c>
      <c r="B45" s="2">
        <v>188</v>
      </c>
      <c r="C45" s="2">
        <v>15</v>
      </c>
      <c r="D45" s="2">
        <v>1</v>
      </c>
      <c r="E45" s="2">
        <v>3</v>
      </c>
      <c r="F45" s="2">
        <v>15</v>
      </c>
      <c r="G45" s="2">
        <v>15</v>
      </c>
      <c r="H45" s="2">
        <v>90.12</v>
      </c>
      <c r="I45" s="2">
        <v>98.7</v>
      </c>
      <c r="J45" s="2">
        <v>0.3</v>
      </c>
      <c r="K45" s="2">
        <v>84824</v>
      </c>
      <c r="L45" s="2">
        <v>85758</v>
      </c>
      <c r="M45" s="2">
        <v>27829</v>
      </c>
      <c r="N45" s="2">
        <v>11598</v>
      </c>
      <c r="O45" s="2">
        <v>5439</v>
      </c>
      <c r="P45" s="2">
        <v>45496</v>
      </c>
      <c r="Q45" s="2">
        <v>4156</v>
      </c>
      <c r="R45" s="2">
        <v>37442</v>
      </c>
      <c r="S45" s="2">
        <v>22095992.600000001</v>
      </c>
      <c r="T45" s="2">
        <v>8688628.5</v>
      </c>
      <c r="U45" s="2">
        <v>-13407364</v>
      </c>
      <c r="V45" s="2">
        <v>9069530.2899999991</v>
      </c>
      <c r="W45" s="2">
        <v>0</v>
      </c>
      <c r="X45" s="2">
        <v>2437</v>
      </c>
      <c r="Y45" s="2">
        <v>1974</v>
      </c>
      <c r="Z45" s="2">
        <v>0</v>
      </c>
      <c r="AA45" s="2">
        <v>2104518.56</v>
      </c>
      <c r="AB45" s="2">
        <v>2508838.65</v>
      </c>
      <c r="AC45" s="2">
        <f t="shared" si="0"/>
        <v>-404320.08999999985</v>
      </c>
      <c r="AD45" s="2">
        <f t="shared" si="1"/>
        <v>-26954.672666666658</v>
      </c>
      <c r="AE45" s="2">
        <v>15</v>
      </c>
      <c r="AF45" s="2">
        <v>331</v>
      </c>
      <c r="AG45" s="2" t="b">
        <v>1</v>
      </c>
    </row>
    <row r="46" spans="1:33" x14ac:dyDescent="0.2">
      <c r="A46" s="2">
        <v>10</v>
      </c>
      <c r="B46" s="2">
        <v>193</v>
      </c>
      <c r="C46" s="2">
        <v>15</v>
      </c>
      <c r="D46" s="2">
        <v>1</v>
      </c>
      <c r="E46" s="2">
        <v>1</v>
      </c>
      <c r="F46" s="2">
        <v>30</v>
      </c>
      <c r="G46" s="2">
        <v>15</v>
      </c>
      <c r="H46" s="2">
        <v>45.06</v>
      </c>
      <c r="I46" s="2">
        <v>49.35</v>
      </c>
      <c r="J46" s="2">
        <v>0.3</v>
      </c>
      <c r="K46" s="2">
        <v>63988</v>
      </c>
      <c r="L46" s="2">
        <v>98835</v>
      </c>
      <c r="M46" s="2">
        <v>28009</v>
      </c>
      <c r="N46" s="2">
        <v>11753</v>
      </c>
      <c r="O46" s="2">
        <v>35429</v>
      </c>
      <c r="P46" s="2">
        <v>40044</v>
      </c>
      <c r="Q46" s="2">
        <v>3682</v>
      </c>
      <c r="R46" s="2">
        <v>37674</v>
      </c>
      <c r="S46" s="2">
        <v>24129787.800000001</v>
      </c>
      <c r="T46" s="2">
        <v>12682515.300000001</v>
      </c>
      <c r="U46" s="2">
        <v>-11447272</v>
      </c>
      <c r="V46" s="2">
        <v>18268613.100000001</v>
      </c>
      <c r="W46" s="2">
        <v>0</v>
      </c>
      <c r="X46" s="2">
        <v>304</v>
      </c>
      <c r="Y46" s="2">
        <v>3940</v>
      </c>
      <c r="Z46" s="2">
        <v>0</v>
      </c>
      <c r="AA46" s="2">
        <v>4863587.59</v>
      </c>
      <c r="AB46" s="2">
        <v>2508838.65</v>
      </c>
      <c r="AC46" s="2">
        <f t="shared" si="0"/>
        <v>2354748.94</v>
      </c>
      <c r="AD46" s="2">
        <f t="shared" si="1"/>
        <v>156983.26266666668</v>
      </c>
      <c r="AE46" s="2">
        <v>15</v>
      </c>
      <c r="AF46" s="2">
        <v>72</v>
      </c>
      <c r="AG46" s="2" t="b">
        <v>1</v>
      </c>
    </row>
    <row r="47" spans="1:33" x14ac:dyDescent="0.2">
      <c r="A47" s="2">
        <v>10</v>
      </c>
      <c r="B47" s="2">
        <v>188</v>
      </c>
      <c r="C47" s="2">
        <v>15</v>
      </c>
      <c r="D47" s="2">
        <v>1</v>
      </c>
      <c r="E47" s="2">
        <v>1</v>
      </c>
      <c r="F47" s="2">
        <v>30</v>
      </c>
      <c r="G47" s="2">
        <v>15</v>
      </c>
      <c r="H47" s="2">
        <v>90.12</v>
      </c>
      <c r="I47" s="2">
        <v>98.7</v>
      </c>
      <c r="J47" s="2">
        <v>0.3</v>
      </c>
      <c r="K47" s="2">
        <v>85137</v>
      </c>
      <c r="L47" s="2">
        <v>86965</v>
      </c>
      <c r="M47" s="2">
        <v>27998</v>
      </c>
      <c r="N47" s="2">
        <v>11623</v>
      </c>
      <c r="O47" s="2">
        <v>5561</v>
      </c>
      <c r="P47" s="2">
        <v>45326</v>
      </c>
      <c r="Q47" s="2">
        <v>4021</v>
      </c>
      <c r="R47" s="2">
        <v>37324</v>
      </c>
      <c r="S47" s="2">
        <v>22462758.800000001</v>
      </c>
      <c r="T47" s="2">
        <v>15870881.199999999</v>
      </c>
      <c r="U47" s="2">
        <v>-6591877.5999999996</v>
      </c>
      <c r="V47" s="2">
        <v>17688701.199999999</v>
      </c>
      <c r="W47" s="2">
        <v>0</v>
      </c>
      <c r="X47" s="2">
        <v>299</v>
      </c>
      <c r="Y47" s="2">
        <v>3830</v>
      </c>
      <c r="Z47" s="2">
        <v>0</v>
      </c>
      <c r="AA47" s="2">
        <v>7571208.8899999997</v>
      </c>
      <c r="AB47" s="2">
        <v>2508838.65</v>
      </c>
      <c r="AC47" s="2">
        <f t="shared" si="0"/>
        <v>5062370.24</v>
      </c>
      <c r="AD47" s="2">
        <f t="shared" si="1"/>
        <v>337491.34933333338</v>
      </c>
      <c r="AE47" s="2">
        <v>15</v>
      </c>
      <c r="AF47" s="2">
        <v>217</v>
      </c>
      <c r="AG47" s="2" t="b">
        <v>1</v>
      </c>
    </row>
    <row r="48" spans="1:33" x14ac:dyDescent="0.2">
      <c r="A48" s="2">
        <v>10</v>
      </c>
      <c r="B48" s="2">
        <v>193</v>
      </c>
      <c r="C48" s="2">
        <v>15</v>
      </c>
      <c r="D48" s="2">
        <v>1</v>
      </c>
      <c r="E48" s="2">
        <v>1</v>
      </c>
      <c r="F48" s="2">
        <v>15</v>
      </c>
      <c r="G48" s="2">
        <v>15</v>
      </c>
      <c r="H48" s="2">
        <v>45.06</v>
      </c>
      <c r="I48" s="2">
        <v>49.35</v>
      </c>
      <c r="J48" s="2">
        <v>0.3</v>
      </c>
      <c r="K48" s="2">
        <v>63482</v>
      </c>
      <c r="L48" s="2">
        <v>98973</v>
      </c>
      <c r="M48" s="2">
        <v>27567</v>
      </c>
      <c r="N48" s="2">
        <v>11678</v>
      </c>
      <c r="O48" s="2">
        <v>35413</v>
      </c>
      <c r="P48" s="2">
        <v>40354</v>
      </c>
      <c r="Q48" s="2">
        <v>3631</v>
      </c>
      <c r="R48" s="2">
        <v>37716</v>
      </c>
      <c r="S48" s="2">
        <v>24184074.800000001</v>
      </c>
      <c r="T48" s="2">
        <v>9295774.1899999995</v>
      </c>
      <c r="U48" s="2">
        <v>-14888301</v>
      </c>
      <c r="V48" s="2">
        <v>9230642.6799999997</v>
      </c>
      <c r="W48" s="2">
        <v>0</v>
      </c>
      <c r="X48" s="2">
        <v>2507</v>
      </c>
      <c r="Y48" s="2">
        <v>2020</v>
      </c>
      <c r="Z48" s="2">
        <v>0</v>
      </c>
      <c r="AA48" s="2">
        <v>2761666.38</v>
      </c>
      <c r="AB48" s="2">
        <v>2508838.65</v>
      </c>
      <c r="AC48" s="2">
        <f t="shared" si="0"/>
        <v>252827.72999999998</v>
      </c>
      <c r="AD48" s="2">
        <f t="shared" si="1"/>
        <v>16855.181999999997</v>
      </c>
      <c r="AE48" s="2">
        <v>15</v>
      </c>
      <c r="AF48" s="2">
        <v>196</v>
      </c>
      <c r="AG48" s="2" t="b">
        <v>1</v>
      </c>
    </row>
    <row r="49" spans="1:33" x14ac:dyDescent="0.2">
      <c r="A49" s="2">
        <v>10</v>
      </c>
      <c r="B49" s="2">
        <v>188</v>
      </c>
      <c r="C49" s="2">
        <v>15</v>
      </c>
      <c r="D49" s="2">
        <v>1</v>
      </c>
      <c r="E49" s="2">
        <v>1</v>
      </c>
      <c r="F49" s="2">
        <v>15</v>
      </c>
      <c r="G49" s="2">
        <v>15</v>
      </c>
      <c r="H49" s="2">
        <v>90.12</v>
      </c>
      <c r="I49" s="2">
        <v>98.7</v>
      </c>
      <c r="J49" s="2">
        <v>0.3</v>
      </c>
      <c r="K49" s="2">
        <v>84948</v>
      </c>
      <c r="L49" s="2">
        <v>85775</v>
      </c>
      <c r="M49" s="2">
        <v>27996</v>
      </c>
      <c r="N49" s="2">
        <v>11578</v>
      </c>
      <c r="O49" s="2">
        <v>5467</v>
      </c>
      <c r="P49" s="2">
        <v>45417</v>
      </c>
      <c r="Q49" s="2">
        <v>4177</v>
      </c>
      <c r="R49" s="2">
        <v>37452</v>
      </c>
      <c r="S49" s="2">
        <v>21924971.800000001</v>
      </c>
      <c r="T49" s="2">
        <v>7428456.0199999996</v>
      </c>
      <c r="U49" s="2">
        <v>-14496516</v>
      </c>
      <c r="V49" s="2">
        <v>9060843.0999999996</v>
      </c>
      <c r="W49" s="2">
        <v>0</v>
      </c>
      <c r="X49" s="2">
        <v>2452</v>
      </c>
      <c r="Y49" s="2">
        <v>1974</v>
      </c>
      <c r="Z49" s="2">
        <v>0</v>
      </c>
      <c r="AA49" s="2">
        <v>1021224</v>
      </c>
      <c r="AB49" s="2">
        <v>2508838.65</v>
      </c>
      <c r="AC49" s="2">
        <f t="shared" si="0"/>
        <v>-1487614.65</v>
      </c>
      <c r="AD49" s="2">
        <f t="shared" si="1"/>
        <v>-99174.31</v>
      </c>
      <c r="AE49" s="2">
        <v>15</v>
      </c>
      <c r="AF49" s="2">
        <v>355</v>
      </c>
      <c r="AG49" s="2" t="b">
        <v>1</v>
      </c>
    </row>
    <row r="50" spans="1:33" x14ac:dyDescent="0.2">
      <c r="A50">
        <v>10</v>
      </c>
      <c r="B50">
        <v>128</v>
      </c>
      <c r="C50">
        <v>10</v>
      </c>
      <c r="D50">
        <v>3</v>
      </c>
      <c r="E50">
        <v>3</v>
      </c>
      <c r="F50">
        <v>15</v>
      </c>
      <c r="G50">
        <v>15</v>
      </c>
      <c r="H50">
        <v>90.12</v>
      </c>
      <c r="I50">
        <v>98.7</v>
      </c>
      <c r="J50">
        <v>0.3</v>
      </c>
      <c r="K50">
        <v>75746</v>
      </c>
      <c r="L50">
        <v>54813</v>
      </c>
      <c r="M50">
        <v>34199</v>
      </c>
      <c r="N50">
        <v>10337</v>
      </c>
      <c r="O50">
        <v>22941</v>
      </c>
      <c r="P50">
        <v>31113</v>
      </c>
      <c r="Q50">
        <v>8338</v>
      </c>
      <c r="R50">
        <v>35596</v>
      </c>
      <c r="S50">
        <v>16841150.929387901</v>
      </c>
      <c r="T50">
        <v>9696916.5411453098</v>
      </c>
      <c r="U50">
        <v>-7144234.38824262</v>
      </c>
      <c r="V50">
        <v>5732650.1778611904</v>
      </c>
      <c r="W50">
        <v>0</v>
      </c>
      <c r="X50">
        <v>1831</v>
      </c>
      <c r="Y50">
        <v>1365</v>
      </c>
      <c r="Z50">
        <v>0</v>
      </c>
      <c r="AA50">
        <v>2902535.5311014098</v>
      </c>
      <c r="AB50">
        <v>1708694.3999999899</v>
      </c>
      <c r="AC50" s="2">
        <f t="shared" si="0"/>
        <v>1193841.1311014199</v>
      </c>
      <c r="AD50" s="2">
        <f t="shared" si="1"/>
        <v>79589.408740094659</v>
      </c>
      <c r="AE50">
        <v>15</v>
      </c>
      <c r="AF50">
        <v>237</v>
      </c>
      <c r="AG50" t="b">
        <v>1</v>
      </c>
    </row>
    <row r="51" spans="1:33" x14ac:dyDescent="0.2">
      <c r="A51">
        <v>10</v>
      </c>
      <c r="B51">
        <v>128</v>
      </c>
      <c r="C51">
        <v>10</v>
      </c>
      <c r="D51">
        <v>3</v>
      </c>
      <c r="E51">
        <v>3</v>
      </c>
      <c r="F51">
        <v>15</v>
      </c>
      <c r="G51">
        <v>15</v>
      </c>
      <c r="H51">
        <v>45.06</v>
      </c>
      <c r="I51">
        <v>49.35</v>
      </c>
      <c r="J51">
        <v>0.3</v>
      </c>
      <c r="K51">
        <v>75746</v>
      </c>
      <c r="L51">
        <v>54813</v>
      </c>
      <c r="M51">
        <v>34199</v>
      </c>
      <c r="N51">
        <v>10337</v>
      </c>
      <c r="O51">
        <v>22941</v>
      </c>
      <c r="P51">
        <v>31113</v>
      </c>
      <c r="Q51">
        <v>8338</v>
      </c>
      <c r="R51">
        <v>35596</v>
      </c>
      <c r="S51">
        <v>16841150.929387901</v>
      </c>
      <c r="T51">
        <v>5702805.4705726504</v>
      </c>
      <c r="U51">
        <v>-11138345.4588152</v>
      </c>
      <c r="V51">
        <v>5732650.1778611904</v>
      </c>
      <c r="W51">
        <v>0</v>
      </c>
      <c r="X51">
        <v>1831</v>
      </c>
      <c r="Y51">
        <v>1365</v>
      </c>
      <c r="Z51">
        <v>0</v>
      </c>
      <c r="AA51">
        <v>1451267.7655507</v>
      </c>
      <c r="AB51">
        <v>1708694.3999999899</v>
      </c>
      <c r="AC51" s="2">
        <f t="shared" si="0"/>
        <v>-257426.63444928988</v>
      </c>
      <c r="AD51" s="2">
        <f t="shared" si="1"/>
        <v>-17161.775629952659</v>
      </c>
      <c r="AE51">
        <v>15</v>
      </c>
      <c r="AF51">
        <v>237</v>
      </c>
      <c r="AG51" t="b">
        <v>1</v>
      </c>
    </row>
    <row r="52" spans="1:33" x14ac:dyDescent="0.2">
      <c r="A52">
        <v>10</v>
      </c>
      <c r="B52">
        <v>128</v>
      </c>
      <c r="C52">
        <v>10</v>
      </c>
      <c r="D52">
        <v>3</v>
      </c>
      <c r="E52">
        <v>3</v>
      </c>
      <c r="F52">
        <v>30</v>
      </c>
      <c r="G52">
        <v>15</v>
      </c>
      <c r="H52">
        <v>90.12</v>
      </c>
      <c r="I52">
        <v>98.7</v>
      </c>
      <c r="J52">
        <v>0.3</v>
      </c>
      <c r="K52">
        <v>76044</v>
      </c>
      <c r="L52">
        <v>55277</v>
      </c>
      <c r="M52">
        <v>34483</v>
      </c>
      <c r="N52">
        <v>10366</v>
      </c>
      <c r="O52">
        <v>22971</v>
      </c>
      <c r="P52">
        <v>30956</v>
      </c>
      <c r="Q52">
        <v>8437</v>
      </c>
      <c r="R52">
        <v>35421</v>
      </c>
      <c r="S52">
        <v>17810243.948886901</v>
      </c>
      <c r="T52">
        <v>17545155.665422302</v>
      </c>
      <c r="U52">
        <v>-265088.28346464701</v>
      </c>
      <c r="V52">
        <v>11601145.368618401</v>
      </c>
      <c r="W52">
        <v>0</v>
      </c>
      <c r="X52">
        <v>399</v>
      </c>
      <c r="Y52">
        <v>2616</v>
      </c>
      <c r="Z52">
        <v>0</v>
      </c>
      <c r="AA52">
        <v>8947470.0011640098</v>
      </c>
      <c r="AB52">
        <v>1708694.3999999899</v>
      </c>
      <c r="AC52" s="2">
        <f t="shared" si="0"/>
        <v>7238775.6011640197</v>
      </c>
      <c r="AD52" s="2">
        <f t="shared" si="1"/>
        <v>482585.04007760133</v>
      </c>
      <c r="AE52">
        <v>15</v>
      </c>
      <c r="AF52">
        <v>109</v>
      </c>
      <c r="AG52" t="b">
        <v>1</v>
      </c>
    </row>
    <row r="53" spans="1:33" x14ac:dyDescent="0.2">
      <c r="A53">
        <v>10</v>
      </c>
      <c r="B53">
        <v>128</v>
      </c>
      <c r="C53">
        <v>10</v>
      </c>
      <c r="D53">
        <v>3</v>
      </c>
      <c r="E53">
        <v>3</v>
      </c>
      <c r="F53">
        <v>30</v>
      </c>
      <c r="G53">
        <v>15</v>
      </c>
      <c r="H53">
        <v>45.06</v>
      </c>
      <c r="I53">
        <v>49.35</v>
      </c>
      <c r="J53">
        <v>0.3</v>
      </c>
      <c r="K53">
        <v>76044</v>
      </c>
      <c r="L53">
        <v>55277</v>
      </c>
      <c r="M53">
        <v>34483</v>
      </c>
      <c r="N53">
        <v>10366</v>
      </c>
      <c r="O53">
        <v>22971</v>
      </c>
      <c r="P53">
        <v>30956</v>
      </c>
      <c r="Q53">
        <v>8437</v>
      </c>
      <c r="R53">
        <v>35421</v>
      </c>
      <c r="S53">
        <v>17810243.948886901</v>
      </c>
      <c r="T53">
        <v>9626925.0327111594</v>
      </c>
      <c r="U53">
        <v>-8183318.9161758004</v>
      </c>
      <c r="V53">
        <v>11601145.368618401</v>
      </c>
      <c r="W53">
        <v>0</v>
      </c>
      <c r="X53">
        <v>399</v>
      </c>
      <c r="Y53">
        <v>2616</v>
      </c>
      <c r="Z53">
        <v>0</v>
      </c>
      <c r="AA53">
        <v>4473735.0005820002</v>
      </c>
      <c r="AB53">
        <v>1708694.3999999899</v>
      </c>
      <c r="AC53" s="2">
        <f t="shared" si="0"/>
        <v>2765040.6005820101</v>
      </c>
      <c r="AD53" s="2">
        <f t="shared" si="1"/>
        <v>184336.04003880068</v>
      </c>
      <c r="AE53">
        <v>15</v>
      </c>
      <c r="AF53">
        <v>109</v>
      </c>
      <c r="AG53" t="b">
        <v>1</v>
      </c>
    </row>
    <row r="54" spans="1:33" x14ac:dyDescent="0.2">
      <c r="A54">
        <v>10</v>
      </c>
      <c r="B54">
        <v>128</v>
      </c>
      <c r="C54">
        <v>10</v>
      </c>
      <c r="D54">
        <v>3</v>
      </c>
      <c r="E54">
        <v>1</v>
      </c>
      <c r="F54">
        <v>15</v>
      </c>
      <c r="G54">
        <v>15</v>
      </c>
      <c r="H54">
        <v>90.12</v>
      </c>
      <c r="I54">
        <v>98.7</v>
      </c>
      <c r="J54">
        <v>0.3</v>
      </c>
      <c r="K54">
        <v>75954</v>
      </c>
      <c r="L54">
        <v>55069</v>
      </c>
      <c r="M54">
        <v>34490</v>
      </c>
      <c r="N54">
        <v>10355</v>
      </c>
      <c r="O54">
        <v>22859</v>
      </c>
      <c r="P54">
        <v>31041</v>
      </c>
      <c r="Q54">
        <v>8143</v>
      </c>
      <c r="R54">
        <v>35613</v>
      </c>
      <c r="S54">
        <v>16816489.794108599</v>
      </c>
      <c r="T54">
        <v>9700612.6074119397</v>
      </c>
      <c r="U54">
        <v>-7115877.1866967296</v>
      </c>
      <c r="V54">
        <v>5880732.3645357704</v>
      </c>
      <c r="W54">
        <v>0</v>
      </c>
      <c r="X54">
        <v>1826</v>
      </c>
      <c r="Y54">
        <v>1364</v>
      </c>
      <c r="Z54">
        <v>0</v>
      </c>
      <c r="AA54">
        <v>2901436.3106182399</v>
      </c>
      <c r="AB54">
        <v>1708694.3999999899</v>
      </c>
      <c r="AC54" s="2">
        <f t="shared" si="0"/>
        <v>1192741.91061825</v>
      </c>
      <c r="AD54" s="2">
        <f t="shared" si="1"/>
        <v>79516.127374550008</v>
      </c>
      <c r="AE54">
        <v>15</v>
      </c>
      <c r="AF54">
        <v>234</v>
      </c>
      <c r="AG54" t="b">
        <v>1</v>
      </c>
    </row>
    <row r="55" spans="1:33" x14ac:dyDescent="0.2">
      <c r="A55">
        <v>10</v>
      </c>
      <c r="B55">
        <v>128</v>
      </c>
      <c r="C55">
        <v>10</v>
      </c>
      <c r="D55">
        <v>3</v>
      </c>
      <c r="E55">
        <v>1</v>
      </c>
      <c r="F55">
        <v>15</v>
      </c>
      <c r="G55">
        <v>15</v>
      </c>
      <c r="H55">
        <v>45.06</v>
      </c>
      <c r="I55">
        <v>49.35</v>
      </c>
      <c r="J55">
        <v>0.3</v>
      </c>
      <c r="K55">
        <v>75954</v>
      </c>
      <c r="L55">
        <v>55069</v>
      </c>
      <c r="M55">
        <v>34490</v>
      </c>
      <c r="N55">
        <v>10355</v>
      </c>
      <c r="O55">
        <v>22859</v>
      </c>
      <c r="P55">
        <v>31041</v>
      </c>
      <c r="Q55">
        <v>8143</v>
      </c>
      <c r="R55">
        <v>35613</v>
      </c>
      <c r="S55">
        <v>16816489.794108599</v>
      </c>
      <c r="T55">
        <v>5704653.50370597</v>
      </c>
      <c r="U55">
        <v>-11111836.290402699</v>
      </c>
      <c r="V55">
        <v>5880732.3645357704</v>
      </c>
      <c r="W55">
        <v>0</v>
      </c>
      <c r="X55">
        <v>1826</v>
      </c>
      <c r="Y55">
        <v>1364</v>
      </c>
      <c r="Z55">
        <v>0</v>
      </c>
      <c r="AA55">
        <v>1450718.15530912</v>
      </c>
      <c r="AB55">
        <v>1708694.3999999899</v>
      </c>
      <c r="AC55" s="2">
        <f t="shared" si="0"/>
        <v>-257976.24469086993</v>
      </c>
      <c r="AD55" s="2">
        <f t="shared" si="1"/>
        <v>-17198.416312724661</v>
      </c>
      <c r="AE55">
        <v>15</v>
      </c>
      <c r="AF55">
        <v>234</v>
      </c>
      <c r="AG55" t="b">
        <v>1</v>
      </c>
    </row>
    <row r="56" spans="1:33" x14ac:dyDescent="0.2">
      <c r="A56">
        <v>10</v>
      </c>
      <c r="B56">
        <v>128</v>
      </c>
      <c r="C56">
        <v>10</v>
      </c>
      <c r="D56">
        <v>3</v>
      </c>
      <c r="E56">
        <v>1</v>
      </c>
      <c r="F56">
        <v>30</v>
      </c>
      <c r="G56">
        <v>15</v>
      </c>
      <c r="H56">
        <v>90.12</v>
      </c>
      <c r="I56">
        <v>98.7</v>
      </c>
      <c r="J56">
        <v>0.3</v>
      </c>
      <c r="K56">
        <v>76299</v>
      </c>
      <c r="L56">
        <v>55181</v>
      </c>
      <c r="M56">
        <v>34275</v>
      </c>
      <c r="N56">
        <v>10356</v>
      </c>
      <c r="O56">
        <v>22856</v>
      </c>
      <c r="P56">
        <v>30652</v>
      </c>
      <c r="Q56">
        <v>8353</v>
      </c>
      <c r="R56">
        <v>35340</v>
      </c>
      <c r="S56">
        <v>17359957.9444266</v>
      </c>
      <c r="T56">
        <v>15641912.4338626</v>
      </c>
      <c r="U56">
        <v>-1718045.5105639801</v>
      </c>
      <c r="V56">
        <v>11757424.1735091</v>
      </c>
      <c r="W56">
        <v>0</v>
      </c>
      <c r="X56">
        <v>398</v>
      </c>
      <c r="Y56">
        <v>2621</v>
      </c>
      <c r="Z56">
        <v>0</v>
      </c>
      <c r="AA56">
        <v>7316118.65982717</v>
      </c>
      <c r="AB56">
        <v>1708694.3999999899</v>
      </c>
      <c r="AC56" s="2">
        <f t="shared" si="0"/>
        <v>5607424.2598271798</v>
      </c>
      <c r="AD56" s="2">
        <f t="shared" si="1"/>
        <v>373828.28398847865</v>
      </c>
      <c r="AE56">
        <v>15</v>
      </c>
      <c r="AF56">
        <v>138</v>
      </c>
      <c r="AG56" t="b">
        <v>1</v>
      </c>
    </row>
    <row r="57" spans="1:33" x14ac:dyDescent="0.2">
      <c r="A57">
        <v>10</v>
      </c>
      <c r="B57">
        <v>128</v>
      </c>
      <c r="C57">
        <v>10</v>
      </c>
      <c r="D57">
        <v>3</v>
      </c>
      <c r="E57">
        <v>1</v>
      </c>
      <c r="F57">
        <v>30</v>
      </c>
      <c r="G57">
        <v>15</v>
      </c>
      <c r="H57">
        <v>45.06</v>
      </c>
      <c r="I57">
        <v>49.35</v>
      </c>
      <c r="J57">
        <v>0.3</v>
      </c>
      <c r="K57">
        <v>76299</v>
      </c>
      <c r="L57">
        <v>55181</v>
      </c>
      <c r="M57">
        <v>34275</v>
      </c>
      <c r="N57">
        <v>10356</v>
      </c>
      <c r="O57">
        <v>22856</v>
      </c>
      <c r="P57">
        <v>30652</v>
      </c>
      <c r="Q57">
        <v>8353</v>
      </c>
      <c r="R57">
        <v>35340</v>
      </c>
      <c r="S57">
        <v>17359957.9444266</v>
      </c>
      <c r="T57">
        <v>8675303.4169313293</v>
      </c>
      <c r="U57">
        <v>-8684654.5274953209</v>
      </c>
      <c r="V57">
        <v>11757424.1735091</v>
      </c>
      <c r="W57">
        <v>0</v>
      </c>
      <c r="X57">
        <v>398</v>
      </c>
      <c r="Y57">
        <v>2621</v>
      </c>
      <c r="Z57">
        <v>0</v>
      </c>
      <c r="AA57">
        <v>3658059.3299135799</v>
      </c>
      <c r="AB57">
        <v>1708694.3999999899</v>
      </c>
      <c r="AC57" s="2">
        <f t="shared" si="0"/>
        <v>1949364.92991359</v>
      </c>
      <c r="AD57" s="2">
        <f t="shared" si="1"/>
        <v>129957.66199423933</v>
      </c>
      <c r="AE57">
        <v>15</v>
      </c>
      <c r="AF57">
        <v>138</v>
      </c>
      <c r="AG57" t="b">
        <v>1</v>
      </c>
    </row>
    <row r="58" spans="1:33" x14ac:dyDescent="0.2">
      <c r="A58">
        <v>10</v>
      </c>
      <c r="B58">
        <v>128</v>
      </c>
      <c r="C58">
        <v>10</v>
      </c>
      <c r="D58">
        <v>1</v>
      </c>
      <c r="E58">
        <v>3</v>
      </c>
      <c r="F58">
        <v>15</v>
      </c>
      <c r="G58">
        <v>15</v>
      </c>
      <c r="H58">
        <v>90.12</v>
      </c>
      <c r="I58">
        <v>98.7</v>
      </c>
      <c r="J58">
        <v>0.3</v>
      </c>
      <c r="K58">
        <v>75277</v>
      </c>
      <c r="L58">
        <v>54712</v>
      </c>
      <c r="M58">
        <v>34304</v>
      </c>
      <c r="N58">
        <v>10288</v>
      </c>
      <c r="O58">
        <v>22819</v>
      </c>
      <c r="P58">
        <v>31295</v>
      </c>
      <c r="Q58">
        <v>8317</v>
      </c>
      <c r="R58">
        <v>35591</v>
      </c>
      <c r="S58">
        <v>15770608.7946683</v>
      </c>
      <c r="T58">
        <v>9791280.1612872891</v>
      </c>
      <c r="U58">
        <v>-5979328.6333810799</v>
      </c>
      <c r="V58">
        <v>6015859.1128444998</v>
      </c>
      <c r="W58">
        <v>0</v>
      </c>
      <c r="X58">
        <v>1622</v>
      </c>
      <c r="Y58">
        <v>1331</v>
      </c>
      <c r="Z58">
        <v>0</v>
      </c>
      <c r="AA58">
        <v>3861427.0563950799</v>
      </c>
      <c r="AB58">
        <v>1708694.3999999899</v>
      </c>
      <c r="AC58" s="2">
        <f t="shared" si="0"/>
        <v>2152732.6563950898</v>
      </c>
      <c r="AD58" s="2">
        <f t="shared" si="1"/>
        <v>143515.51042633932</v>
      </c>
      <c r="AE58">
        <v>15</v>
      </c>
      <c r="AF58">
        <v>220</v>
      </c>
      <c r="AG58" t="b">
        <v>1</v>
      </c>
    </row>
    <row r="59" spans="1:33" x14ac:dyDescent="0.2">
      <c r="A59">
        <v>10</v>
      </c>
      <c r="B59">
        <v>128</v>
      </c>
      <c r="C59">
        <v>10</v>
      </c>
      <c r="D59">
        <v>1</v>
      </c>
      <c r="E59">
        <v>3</v>
      </c>
      <c r="F59">
        <v>15</v>
      </c>
      <c r="G59">
        <v>15</v>
      </c>
      <c r="H59">
        <v>45.06</v>
      </c>
      <c r="I59">
        <v>49.35</v>
      </c>
      <c r="J59">
        <v>0.3</v>
      </c>
      <c r="K59">
        <v>75277</v>
      </c>
      <c r="L59">
        <v>54712</v>
      </c>
      <c r="M59">
        <v>34304</v>
      </c>
      <c r="N59">
        <v>10288</v>
      </c>
      <c r="O59">
        <v>22819</v>
      </c>
      <c r="P59">
        <v>31295</v>
      </c>
      <c r="Q59">
        <v>8317</v>
      </c>
      <c r="R59">
        <v>35591</v>
      </c>
      <c r="S59">
        <v>15770608.7946683</v>
      </c>
      <c r="T59">
        <v>5749987.2806436401</v>
      </c>
      <c r="U59">
        <v>-10020621.514024699</v>
      </c>
      <c r="V59">
        <v>6015859.1128444998</v>
      </c>
      <c r="W59">
        <v>0</v>
      </c>
      <c r="X59">
        <v>1622</v>
      </c>
      <c r="Y59">
        <v>1331</v>
      </c>
      <c r="Z59">
        <v>0</v>
      </c>
      <c r="AA59">
        <v>1930713.52819754</v>
      </c>
      <c r="AB59">
        <v>1708694.3999999899</v>
      </c>
      <c r="AC59" s="2">
        <f t="shared" si="0"/>
        <v>222019.12819755008</v>
      </c>
      <c r="AD59" s="2">
        <f t="shared" si="1"/>
        <v>14801.275213170005</v>
      </c>
      <c r="AE59">
        <v>15</v>
      </c>
      <c r="AF59">
        <v>220</v>
      </c>
      <c r="AG59" t="b">
        <v>1</v>
      </c>
    </row>
    <row r="60" spans="1:33" x14ac:dyDescent="0.2">
      <c r="A60">
        <v>10</v>
      </c>
      <c r="B60">
        <v>128</v>
      </c>
      <c r="C60">
        <v>10</v>
      </c>
      <c r="D60">
        <v>1</v>
      </c>
      <c r="E60">
        <v>3</v>
      </c>
      <c r="F60">
        <v>30</v>
      </c>
      <c r="G60">
        <v>15</v>
      </c>
      <c r="H60">
        <v>90.12</v>
      </c>
      <c r="I60">
        <v>98.7</v>
      </c>
      <c r="J60">
        <v>0.3</v>
      </c>
      <c r="K60">
        <v>76283</v>
      </c>
      <c r="L60">
        <v>55290</v>
      </c>
      <c r="M60">
        <v>34287</v>
      </c>
      <c r="N60">
        <v>10396</v>
      </c>
      <c r="O60">
        <v>23190</v>
      </c>
      <c r="P60">
        <v>31073</v>
      </c>
      <c r="Q60">
        <v>8438</v>
      </c>
      <c r="R60">
        <v>35690</v>
      </c>
      <c r="S60">
        <v>15918787.478277599</v>
      </c>
      <c r="T60">
        <v>13571381.813327</v>
      </c>
      <c r="U60">
        <v>-2347405.6649506199</v>
      </c>
      <c r="V60">
        <v>11781699.0764578</v>
      </c>
      <c r="W60">
        <v>0</v>
      </c>
      <c r="X60">
        <v>267</v>
      </c>
      <c r="Y60">
        <v>2530</v>
      </c>
      <c r="Z60">
        <v>0</v>
      </c>
      <c r="AA60">
        <v>6475809.3119374597</v>
      </c>
      <c r="AB60">
        <v>1708694.3999999899</v>
      </c>
      <c r="AC60" s="2">
        <f t="shared" si="0"/>
        <v>4767114.9119374696</v>
      </c>
      <c r="AD60" s="2">
        <f t="shared" si="1"/>
        <v>317807.6607958313</v>
      </c>
      <c r="AE60">
        <v>15</v>
      </c>
      <c r="AF60">
        <v>153</v>
      </c>
      <c r="AG60" t="b">
        <v>1</v>
      </c>
    </row>
    <row r="61" spans="1:33" x14ac:dyDescent="0.2">
      <c r="A61">
        <v>10</v>
      </c>
      <c r="B61">
        <v>128</v>
      </c>
      <c r="C61">
        <v>10</v>
      </c>
      <c r="D61">
        <v>1</v>
      </c>
      <c r="E61">
        <v>3</v>
      </c>
      <c r="F61">
        <v>30</v>
      </c>
      <c r="G61">
        <v>15</v>
      </c>
      <c r="H61">
        <v>45.06</v>
      </c>
      <c r="I61">
        <v>49.35</v>
      </c>
      <c r="J61">
        <v>0.3</v>
      </c>
      <c r="K61">
        <v>76283</v>
      </c>
      <c r="L61">
        <v>55290</v>
      </c>
      <c r="M61">
        <v>34287</v>
      </c>
      <c r="N61">
        <v>10396</v>
      </c>
      <c r="O61">
        <v>23190</v>
      </c>
      <c r="P61">
        <v>31073</v>
      </c>
      <c r="Q61">
        <v>8438</v>
      </c>
      <c r="R61">
        <v>35690</v>
      </c>
      <c r="S61">
        <v>15918787.478277599</v>
      </c>
      <c r="T61">
        <v>7640038.1066635298</v>
      </c>
      <c r="U61">
        <v>-8278749.3716141498</v>
      </c>
      <c r="V61">
        <v>11781699.0764578</v>
      </c>
      <c r="W61">
        <v>0</v>
      </c>
      <c r="X61">
        <v>267</v>
      </c>
      <c r="Y61">
        <v>2530</v>
      </c>
      <c r="Z61">
        <v>0</v>
      </c>
      <c r="AA61">
        <v>3237904.6559687299</v>
      </c>
      <c r="AB61">
        <v>1708694.3999999899</v>
      </c>
      <c r="AC61" s="2">
        <f t="shared" si="0"/>
        <v>1529210.25596874</v>
      </c>
      <c r="AD61" s="2">
        <f t="shared" si="1"/>
        <v>101947.350397916</v>
      </c>
      <c r="AE61">
        <v>15</v>
      </c>
      <c r="AF61">
        <v>153</v>
      </c>
      <c r="AG61" t="b">
        <v>1</v>
      </c>
    </row>
    <row r="62" spans="1:33" x14ac:dyDescent="0.2">
      <c r="A62">
        <v>10</v>
      </c>
      <c r="B62">
        <v>128</v>
      </c>
      <c r="C62">
        <v>10</v>
      </c>
      <c r="D62">
        <v>1</v>
      </c>
      <c r="E62">
        <v>1</v>
      </c>
      <c r="F62">
        <v>15</v>
      </c>
      <c r="G62">
        <v>15</v>
      </c>
      <c r="H62">
        <v>90.12</v>
      </c>
      <c r="I62">
        <v>98.7</v>
      </c>
      <c r="J62">
        <v>0.3</v>
      </c>
      <c r="K62">
        <v>76101</v>
      </c>
      <c r="L62">
        <v>55057</v>
      </c>
      <c r="M62">
        <v>34305</v>
      </c>
      <c r="N62">
        <v>10352</v>
      </c>
      <c r="O62">
        <v>22893</v>
      </c>
      <c r="P62">
        <v>31017</v>
      </c>
      <c r="Q62">
        <v>8338</v>
      </c>
      <c r="R62">
        <v>35603</v>
      </c>
      <c r="S62">
        <v>15822313.056992</v>
      </c>
      <c r="T62">
        <v>9693786.1922475304</v>
      </c>
      <c r="U62">
        <v>-6128526.8647445301</v>
      </c>
      <c r="V62">
        <v>6144208.6332440795</v>
      </c>
      <c r="W62">
        <v>0</v>
      </c>
      <c r="X62">
        <v>1632</v>
      </c>
      <c r="Y62">
        <v>1329</v>
      </c>
      <c r="Z62">
        <v>0</v>
      </c>
      <c r="AA62">
        <v>3777860.7972181402</v>
      </c>
      <c r="AB62">
        <v>1708694.3999999899</v>
      </c>
      <c r="AC62" s="2">
        <f t="shared" si="0"/>
        <v>2069166.3972181503</v>
      </c>
      <c r="AD62" s="2">
        <f t="shared" si="1"/>
        <v>137944.42648121002</v>
      </c>
      <c r="AE62">
        <v>15</v>
      </c>
      <c r="AF62">
        <v>218</v>
      </c>
      <c r="AG62" t="b">
        <v>1</v>
      </c>
    </row>
    <row r="63" spans="1:33" x14ac:dyDescent="0.2">
      <c r="A63">
        <v>10</v>
      </c>
      <c r="B63">
        <v>128</v>
      </c>
      <c r="C63">
        <v>10</v>
      </c>
      <c r="D63">
        <v>1</v>
      </c>
      <c r="E63">
        <v>1</v>
      </c>
      <c r="F63">
        <v>15</v>
      </c>
      <c r="G63">
        <v>15</v>
      </c>
      <c r="H63">
        <v>45.06</v>
      </c>
      <c r="I63">
        <v>49.35</v>
      </c>
      <c r="J63">
        <v>0.3</v>
      </c>
      <c r="K63">
        <v>76101</v>
      </c>
      <c r="L63">
        <v>55057</v>
      </c>
      <c r="M63">
        <v>34305</v>
      </c>
      <c r="N63">
        <v>10352</v>
      </c>
      <c r="O63">
        <v>22893</v>
      </c>
      <c r="P63">
        <v>31017</v>
      </c>
      <c r="Q63">
        <v>8338</v>
      </c>
      <c r="R63">
        <v>35603</v>
      </c>
      <c r="S63">
        <v>15822313.056992</v>
      </c>
      <c r="T63">
        <v>5701240.2961237598</v>
      </c>
      <c r="U63">
        <v>-10121072.7608683</v>
      </c>
      <c r="V63">
        <v>6144208.6332440795</v>
      </c>
      <c r="W63">
        <v>0</v>
      </c>
      <c r="X63">
        <v>1632</v>
      </c>
      <c r="Y63">
        <v>1329</v>
      </c>
      <c r="Z63">
        <v>0</v>
      </c>
      <c r="AA63">
        <v>1888930.3986090701</v>
      </c>
      <c r="AB63">
        <v>1708694.3999999899</v>
      </c>
      <c r="AC63" s="2">
        <f t="shared" si="0"/>
        <v>180235.99860908021</v>
      </c>
      <c r="AD63" s="2">
        <f t="shared" si="1"/>
        <v>12015.733240605348</v>
      </c>
      <c r="AE63">
        <v>15</v>
      </c>
      <c r="AF63">
        <v>218</v>
      </c>
      <c r="AG63" t="b">
        <v>1</v>
      </c>
    </row>
    <row r="64" spans="1:33" x14ac:dyDescent="0.2">
      <c r="A64">
        <v>10</v>
      </c>
      <c r="B64">
        <v>128</v>
      </c>
      <c r="C64">
        <v>10</v>
      </c>
      <c r="D64">
        <v>1</v>
      </c>
      <c r="E64">
        <v>1</v>
      </c>
      <c r="F64">
        <v>30</v>
      </c>
      <c r="G64">
        <v>15</v>
      </c>
      <c r="H64">
        <v>90.12</v>
      </c>
      <c r="I64">
        <v>98.7</v>
      </c>
      <c r="J64">
        <v>0.3</v>
      </c>
      <c r="K64">
        <v>76398</v>
      </c>
      <c r="L64">
        <v>55610</v>
      </c>
      <c r="M64">
        <v>34599</v>
      </c>
      <c r="N64">
        <v>10405</v>
      </c>
      <c r="O64">
        <v>22920</v>
      </c>
      <c r="P64">
        <v>31106</v>
      </c>
      <c r="Q64">
        <v>8405</v>
      </c>
      <c r="R64">
        <v>35554</v>
      </c>
      <c r="S64">
        <v>16193809.555305099</v>
      </c>
      <c r="T64">
        <v>14622161.5418116</v>
      </c>
      <c r="U64">
        <v>-1571648.01349358</v>
      </c>
      <c r="V64">
        <v>11800812.4385131</v>
      </c>
      <c r="W64">
        <v>0</v>
      </c>
      <c r="X64">
        <v>267</v>
      </c>
      <c r="Y64">
        <v>2532</v>
      </c>
      <c r="Z64">
        <v>0</v>
      </c>
      <c r="AA64">
        <v>7324322.16623851</v>
      </c>
      <c r="AB64">
        <v>1708694.3999999899</v>
      </c>
      <c r="AC64" s="2">
        <f t="shared" si="0"/>
        <v>5615627.7662385199</v>
      </c>
      <c r="AD64" s="2">
        <f t="shared" si="1"/>
        <v>374375.18441590131</v>
      </c>
      <c r="AE64">
        <v>15</v>
      </c>
      <c r="AF64">
        <v>137</v>
      </c>
      <c r="AG64" t="b">
        <v>1</v>
      </c>
    </row>
    <row r="65" spans="1:33" x14ac:dyDescent="0.2">
      <c r="A65">
        <v>10</v>
      </c>
      <c r="B65">
        <v>128</v>
      </c>
      <c r="C65">
        <v>10</v>
      </c>
      <c r="D65">
        <v>1</v>
      </c>
      <c r="E65">
        <v>1</v>
      </c>
      <c r="F65">
        <v>30</v>
      </c>
      <c r="G65">
        <v>15</v>
      </c>
      <c r="H65">
        <v>45.06</v>
      </c>
      <c r="I65">
        <v>49.35</v>
      </c>
      <c r="J65">
        <v>0.3</v>
      </c>
      <c r="K65">
        <v>76398</v>
      </c>
      <c r="L65">
        <v>55610</v>
      </c>
      <c r="M65">
        <v>34599</v>
      </c>
      <c r="N65">
        <v>10405</v>
      </c>
      <c r="O65">
        <v>22920</v>
      </c>
      <c r="P65">
        <v>31106</v>
      </c>
      <c r="Q65">
        <v>8405</v>
      </c>
      <c r="R65">
        <v>35554</v>
      </c>
      <c r="S65">
        <v>16193809.555305099</v>
      </c>
      <c r="T65">
        <v>8165427.9709058004</v>
      </c>
      <c r="U65">
        <v>-8028381.5843993798</v>
      </c>
      <c r="V65">
        <v>11800812.4385131</v>
      </c>
      <c r="W65">
        <v>0</v>
      </c>
      <c r="X65">
        <v>267</v>
      </c>
      <c r="Y65">
        <v>2532</v>
      </c>
      <c r="Z65">
        <v>0</v>
      </c>
      <c r="AA65">
        <v>3662161.0831192499</v>
      </c>
      <c r="AB65">
        <v>1708694.3999999899</v>
      </c>
      <c r="AC65" s="2">
        <f t="shared" si="0"/>
        <v>1953466.68311926</v>
      </c>
      <c r="AD65" s="2">
        <f t="shared" si="1"/>
        <v>130231.11220795066</v>
      </c>
      <c r="AE65">
        <v>15</v>
      </c>
      <c r="AF65">
        <v>137</v>
      </c>
      <c r="AG65" t="b">
        <v>1</v>
      </c>
    </row>
    <row r="66" spans="1:33" x14ac:dyDescent="0.2">
      <c r="A66">
        <v>10</v>
      </c>
      <c r="B66">
        <v>199</v>
      </c>
      <c r="C66">
        <v>15</v>
      </c>
      <c r="D66">
        <v>3</v>
      </c>
      <c r="E66">
        <v>3</v>
      </c>
      <c r="F66">
        <v>15</v>
      </c>
      <c r="G66">
        <v>30</v>
      </c>
      <c r="H66">
        <v>90.12</v>
      </c>
      <c r="I66">
        <v>98.7</v>
      </c>
      <c r="J66">
        <v>0.3</v>
      </c>
      <c r="K66">
        <v>88241</v>
      </c>
      <c r="L66">
        <v>93888</v>
      </c>
      <c r="M66">
        <v>26924</v>
      </c>
      <c r="N66">
        <v>12090</v>
      </c>
      <c r="O66">
        <v>25706</v>
      </c>
      <c r="P66">
        <v>39128</v>
      </c>
      <c r="Q66">
        <v>2996</v>
      </c>
      <c r="R66">
        <v>38060</v>
      </c>
      <c r="S66">
        <v>30116481.626526602</v>
      </c>
      <c r="T66">
        <v>24414507.837606601</v>
      </c>
      <c r="U66">
        <v>-5701973.7889199601</v>
      </c>
      <c r="V66">
        <v>9287902.3168659694</v>
      </c>
      <c r="W66">
        <v>0</v>
      </c>
      <c r="X66">
        <v>3167</v>
      </c>
      <c r="Y66">
        <v>2539</v>
      </c>
      <c r="Z66">
        <v>0</v>
      </c>
      <c r="AA66">
        <v>6390578.44054545</v>
      </c>
      <c r="AB66">
        <v>5017677.3</v>
      </c>
      <c r="AC66" s="2">
        <f t="shared" si="0"/>
        <v>1372901.1405454502</v>
      </c>
      <c r="AD66" s="2">
        <f t="shared" si="1"/>
        <v>45763.371351515008</v>
      </c>
      <c r="AE66">
        <v>30</v>
      </c>
      <c r="AF66">
        <v>516</v>
      </c>
      <c r="AG66" t="b">
        <v>1</v>
      </c>
    </row>
    <row r="67" spans="1:33" x14ac:dyDescent="0.2">
      <c r="A67">
        <v>10</v>
      </c>
      <c r="B67">
        <v>199</v>
      </c>
      <c r="C67">
        <v>15</v>
      </c>
      <c r="D67">
        <v>3</v>
      </c>
      <c r="E67">
        <v>3</v>
      </c>
      <c r="F67">
        <v>15</v>
      </c>
      <c r="G67">
        <v>30</v>
      </c>
      <c r="H67">
        <v>45.06</v>
      </c>
      <c r="I67">
        <v>49.35</v>
      </c>
      <c r="J67">
        <v>0.3</v>
      </c>
      <c r="K67">
        <v>88811</v>
      </c>
      <c r="L67">
        <v>94249</v>
      </c>
      <c r="M67">
        <v>27163</v>
      </c>
      <c r="N67">
        <v>12163</v>
      </c>
      <c r="O67">
        <v>25488</v>
      </c>
      <c r="P67">
        <v>39197</v>
      </c>
      <c r="Q67">
        <v>3091</v>
      </c>
      <c r="R67">
        <v>37996</v>
      </c>
      <c r="S67">
        <v>30815601.8030851</v>
      </c>
      <c r="T67">
        <v>16406563.487194199</v>
      </c>
      <c r="U67">
        <v>-14409038.315890901</v>
      </c>
      <c r="V67">
        <v>8804939.1492255107</v>
      </c>
      <c r="W67">
        <v>0</v>
      </c>
      <c r="X67">
        <v>3158</v>
      </c>
      <c r="Y67">
        <v>2530</v>
      </c>
      <c r="Z67">
        <v>0</v>
      </c>
      <c r="AA67">
        <v>4571570.7649019798</v>
      </c>
      <c r="AB67">
        <v>5017677.3</v>
      </c>
      <c r="AC67" s="2">
        <f t="shared" si="0"/>
        <v>-446106.53509801999</v>
      </c>
      <c r="AD67" s="2">
        <f t="shared" si="1"/>
        <v>-14870.217836600666</v>
      </c>
      <c r="AE67">
        <v>30</v>
      </c>
      <c r="AF67">
        <v>467</v>
      </c>
      <c r="AG67" t="b">
        <v>1</v>
      </c>
    </row>
    <row r="68" spans="1:33" x14ac:dyDescent="0.2">
      <c r="A68">
        <v>10</v>
      </c>
      <c r="B68">
        <v>198</v>
      </c>
      <c r="C68">
        <v>15</v>
      </c>
      <c r="D68">
        <v>3</v>
      </c>
      <c r="E68">
        <v>3</v>
      </c>
      <c r="F68">
        <v>30</v>
      </c>
      <c r="G68">
        <v>30</v>
      </c>
      <c r="H68">
        <v>90.12</v>
      </c>
      <c r="I68">
        <v>98.7</v>
      </c>
      <c r="J68">
        <v>0.3</v>
      </c>
      <c r="K68">
        <v>80000</v>
      </c>
      <c r="L68">
        <v>96000</v>
      </c>
      <c r="M68">
        <v>27065</v>
      </c>
      <c r="N68">
        <v>12115</v>
      </c>
      <c r="O68">
        <v>26543</v>
      </c>
      <c r="P68">
        <v>41092</v>
      </c>
      <c r="Q68">
        <v>3271</v>
      </c>
      <c r="R68">
        <v>38350</v>
      </c>
      <c r="S68">
        <v>37692936.1476864</v>
      </c>
      <c r="T68">
        <v>14581256.767043199</v>
      </c>
      <c r="U68">
        <v>-23111679.3806432</v>
      </c>
      <c r="V68">
        <v>19470854.3054334</v>
      </c>
      <c r="W68">
        <v>0</v>
      </c>
      <c r="X68">
        <v>3183</v>
      </c>
      <c r="Y68">
        <v>4971</v>
      </c>
      <c r="Z68">
        <v>0</v>
      </c>
      <c r="AA68">
        <v>2126136.3299145601</v>
      </c>
      <c r="AB68">
        <v>5017677.3</v>
      </c>
      <c r="AC68" s="2">
        <f t="shared" si="0"/>
        <v>-2891540.9700854397</v>
      </c>
      <c r="AD68" s="2">
        <f t="shared" si="1"/>
        <v>-96384.699002847992</v>
      </c>
      <c r="AE68">
        <v>30</v>
      </c>
      <c r="AF68">
        <v>702</v>
      </c>
      <c r="AG68" t="b">
        <v>1</v>
      </c>
    </row>
    <row r="69" spans="1:33" x14ac:dyDescent="0.2">
      <c r="A69">
        <v>10</v>
      </c>
      <c r="B69">
        <v>199</v>
      </c>
      <c r="C69">
        <v>15</v>
      </c>
      <c r="D69">
        <v>3</v>
      </c>
      <c r="E69">
        <v>3</v>
      </c>
      <c r="F69">
        <v>30</v>
      </c>
      <c r="G69">
        <v>30</v>
      </c>
      <c r="H69">
        <v>45.06</v>
      </c>
      <c r="I69">
        <v>49.35</v>
      </c>
      <c r="J69">
        <v>0.3</v>
      </c>
      <c r="K69">
        <v>89229</v>
      </c>
      <c r="L69">
        <v>96079</v>
      </c>
      <c r="M69">
        <v>27487</v>
      </c>
      <c r="N69">
        <v>12175</v>
      </c>
      <c r="O69">
        <v>25561</v>
      </c>
      <c r="P69">
        <v>39899</v>
      </c>
      <c r="Q69">
        <v>3162</v>
      </c>
      <c r="R69">
        <v>38011</v>
      </c>
      <c r="S69">
        <v>39766899.401008897</v>
      </c>
      <c r="T69">
        <v>15244202.239419101</v>
      </c>
      <c r="U69">
        <v>-24522697.161589701</v>
      </c>
      <c r="V69">
        <v>19442897.8680964</v>
      </c>
      <c r="W69">
        <v>0</v>
      </c>
      <c r="X69">
        <v>3175</v>
      </c>
      <c r="Y69">
        <v>4987</v>
      </c>
      <c r="Z69">
        <v>0</v>
      </c>
      <c r="AA69">
        <v>2633598.9674652698</v>
      </c>
      <c r="AB69">
        <v>5017677.3</v>
      </c>
      <c r="AC69" s="2">
        <f t="shared" si="0"/>
        <v>-2384078.33253473</v>
      </c>
      <c r="AD69" s="2">
        <f t="shared" si="1"/>
        <v>-79469.277751157671</v>
      </c>
      <c r="AE69">
        <v>30</v>
      </c>
      <c r="AF69">
        <v>492</v>
      </c>
      <c r="AG69" t="b">
        <v>1</v>
      </c>
    </row>
    <row r="70" spans="1:33" x14ac:dyDescent="0.2">
      <c r="A70">
        <v>10</v>
      </c>
      <c r="B70">
        <v>199</v>
      </c>
      <c r="C70">
        <v>15</v>
      </c>
      <c r="D70">
        <v>3</v>
      </c>
      <c r="E70">
        <v>1</v>
      </c>
      <c r="F70">
        <v>15</v>
      </c>
      <c r="G70">
        <v>30</v>
      </c>
      <c r="H70">
        <v>90.12</v>
      </c>
      <c r="I70">
        <v>98.7</v>
      </c>
      <c r="J70">
        <v>0.3</v>
      </c>
      <c r="K70">
        <v>88557</v>
      </c>
      <c r="L70">
        <v>94129</v>
      </c>
      <c r="M70">
        <v>26733</v>
      </c>
      <c r="N70">
        <v>12268</v>
      </c>
      <c r="O70">
        <v>25478</v>
      </c>
      <c r="P70">
        <v>39343</v>
      </c>
      <c r="Q70">
        <v>3023</v>
      </c>
      <c r="R70">
        <v>38104</v>
      </c>
      <c r="S70">
        <v>29641491.395477701</v>
      </c>
      <c r="T70">
        <v>20050417.511750601</v>
      </c>
      <c r="U70">
        <v>-9591073.8837270793</v>
      </c>
      <c r="V70">
        <v>9628718.6758367494</v>
      </c>
      <c r="W70">
        <v>0</v>
      </c>
      <c r="X70">
        <v>3178</v>
      </c>
      <c r="Y70">
        <v>2543</v>
      </c>
      <c r="Z70">
        <v>0</v>
      </c>
      <c r="AA70">
        <v>4589632.8509921897</v>
      </c>
      <c r="AB70">
        <v>5017677.3</v>
      </c>
      <c r="AC70" s="2">
        <f t="shared" ref="AC70:AC133" si="2">AA70-AB70</f>
        <v>-428044.44900781009</v>
      </c>
      <c r="AD70" s="2">
        <f t="shared" ref="AD70:AD133" si="3">AC70/G70</f>
        <v>-14268.148300260336</v>
      </c>
      <c r="AE70">
        <v>30</v>
      </c>
      <c r="AF70">
        <v>598</v>
      </c>
      <c r="AG70" t="b">
        <v>1</v>
      </c>
    </row>
    <row r="71" spans="1:33" x14ac:dyDescent="0.2">
      <c r="A71">
        <v>10</v>
      </c>
      <c r="B71">
        <v>200</v>
      </c>
      <c r="C71">
        <v>15</v>
      </c>
      <c r="D71">
        <v>3</v>
      </c>
      <c r="E71">
        <v>1</v>
      </c>
      <c r="F71">
        <v>15</v>
      </c>
      <c r="G71">
        <v>30</v>
      </c>
      <c r="H71">
        <v>45.06</v>
      </c>
      <c r="I71">
        <v>49.35</v>
      </c>
      <c r="J71">
        <v>0.3</v>
      </c>
      <c r="K71">
        <v>87494</v>
      </c>
      <c r="L71">
        <v>92499</v>
      </c>
      <c r="M71">
        <v>26689</v>
      </c>
      <c r="N71">
        <v>12258</v>
      </c>
      <c r="O71">
        <v>24830</v>
      </c>
      <c r="P71">
        <v>38197</v>
      </c>
      <c r="Q71">
        <v>2950</v>
      </c>
      <c r="R71">
        <v>38166</v>
      </c>
      <c r="S71">
        <v>29922414.083046399</v>
      </c>
      <c r="T71">
        <v>13736600.3919411</v>
      </c>
      <c r="U71">
        <v>-16185813.691105301</v>
      </c>
      <c r="V71">
        <v>9065336.7316496093</v>
      </c>
      <c r="W71">
        <v>0</v>
      </c>
      <c r="X71">
        <v>3205</v>
      </c>
      <c r="Y71">
        <v>2549</v>
      </c>
      <c r="Z71">
        <v>0</v>
      </c>
      <c r="AA71">
        <v>2713846.8427943699</v>
      </c>
      <c r="AB71">
        <v>5017677.3</v>
      </c>
      <c r="AC71" s="2">
        <f t="shared" si="2"/>
        <v>-2303830.4572056299</v>
      </c>
      <c r="AD71" s="2">
        <f t="shared" si="3"/>
        <v>-76794.348573520998</v>
      </c>
      <c r="AE71">
        <v>30</v>
      </c>
      <c r="AF71">
        <v>558</v>
      </c>
      <c r="AG71" t="b">
        <v>1</v>
      </c>
    </row>
    <row r="72" spans="1:33" x14ac:dyDescent="0.2">
      <c r="A72">
        <v>10</v>
      </c>
      <c r="B72">
        <v>198</v>
      </c>
      <c r="C72">
        <v>15</v>
      </c>
      <c r="D72">
        <v>3</v>
      </c>
      <c r="E72">
        <v>1</v>
      </c>
      <c r="F72">
        <v>30</v>
      </c>
      <c r="G72">
        <v>30</v>
      </c>
      <c r="H72">
        <v>90.12</v>
      </c>
      <c r="I72">
        <v>98.7</v>
      </c>
      <c r="J72">
        <v>0.3</v>
      </c>
      <c r="K72">
        <v>80515</v>
      </c>
      <c r="L72">
        <v>96386</v>
      </c>
      <c r="M72">
        <v>26993</v>
      </c>
      <c r="N72">
        <v>12175</v>
      </c>
      <c r="O72">
        <v>26499</v>
      </c>
      <c r="P72">
        <v>41236</v>
      </c>
      <c r="Q72">
        <v>3217</v>
      </c>
      <c r="R72">
        <v>38272</v>
      </c>
      <c r="S72">
        <v>39163977.096425802</v>
      </c>
      <c r="T72">
        <v>24425639.138596699</v>
      </c>
      <c r="U72">
        <v>-14738337.957829</v>
      </c>
      <c r="V72">
        <v>18587755.536563199</v>
      </c>
      <c r="W72">
        <v>0</v>
      </c>
      <c r="X72">
        <v>3171</v>
      </c>
      <c r="Y72">
        <v>4969</v>
      </c>
      <c r="Z72">
        <v>0</v>
      </c>
      <c r="AA72">
        <v>8418686.3468886707</v>
      </c>
      <c r="AB72">
        <v>5017677.3</v>
      </c>
      <c r="AC72" s="2">
        <f t="shared" si="2"/>
        <v>3401009.0468886709</v>
      </c>
      <c r="AD72" s="2">
        <f t="shared" si="3"/>
        <v>113366.96822962236</v>
      </c>
      <c r="AE72">
        <v>30</v>
      </c>
      <c r="AF72">
        <v>533</v>
      </c>
      <c r="AG72" t="b">
        <v>1</v>
      </c>
    </row>
    <row r="73" spans="1:33" x14ac:dyDescent="0.2">
      <c r="A73">
        <v>10</v>
      </c>
      <c r="B73">
        <v>199</v>
      </c>
      <c r="C73">
        <v>15</v>
      </c>
      <c r="D73">
        <v>3</v>
      </c>
      <c r="E73">
        <v>1</v>
      </c>
      <c r="F73">
        <v>30</v>
      </c>
      <c r="G73">
        <v>30</v>
      </c>
      <c r="H73">
        <v>45.06</v>
      </c>
      <c r="I73">
        <v>49.35</v>
      </c>
      <c r="J73">
        <v>0.3</v>
      </c>
      <c r="K73">
        <v>89114</v>
      </c>
      <c r="L73">
        <v>95975</v>
      </c>
      <c r="M73">
        <v>27470</v>
      </c>
      <c r="N73">
        <v>12204</v>
      </c>
      <c r="O73">
        <v>25616</v>
      </c>
      <c r="P73">
        <v>39818</v>
      </c>
      <c r="Q73">
        <v>3170</v>
      </c>
      <c r="R73">
        <v>37961</v>
      </c>
      <c r="S73">
        <v>40575933.220669903</v>
      </c>
      <c r="T73">
        <v>16958971.463699099</v>
      </c>
      <c r="U73">
        <v>-23616961.7569708</v>
      </c>
      <c r="V73">
        <v>18482478.629764002</v>
      </c>
      <c r="W73">
        <v>0</v>
      </c>
      <c r="X73">
        <v>3174</v>
      </c>
      <c r="Y73">
        <v>4994</v>
      </c>
      <c r="Z73">
        <v>0</v>
      </c>
      <c r="AA73">
        <v>4640105.7502488196</v>
      </c>
      <c r="AB73">
        <v>5017677.3</v>
      </c>
      <c r="AC73" s="2">
        <f t="shared" si="2"/>
        <v>-377571.54975118022</v>
      </c>
      <c r="AD73" s="2">
        <f t="shared" si="3"/>
        <v>-12585.718325039341</v>
      </c>
      <c r="AE73">
        <v>30</v>
      </c>
      <c r="AF73">
        <v>432</v>
      </c>
      <c r="AG73" t="b">
        <v>1</v>
      </c>
    </row>
    <row r="74" spans="1:33" x14ac:dyDescent="0.2">
      <c r="A74">
        <v>10</v>
      </c>
      <c r="B74">
        <v>203</v>
      </c>
      <c r="C74">
        <v>15</v>
      </c>
      <c r="D74">
        <v>1</v>
      </c>
      <c r="E74">
        <v>3</v>
      </c>
      <c r="F74">
        <v>15</v>
      </c>
      <c r="G74">
        <v>30</v>
      </c>
      <c r="H74">
        <v>90.12</v>
      </c>
      <c r="I74">
        <v>98.7</v>
      </c>
      <c r="J74">
        <v>0.3</v>
      </c>
      <c r="K74">
        <v>74854</v>
      </c>
      <c r="L74">
        <v>99760</v>
      </c>
      <c r="M74">
        <v>26494</v>
      </c>
      <c r="N74">
        <v>12262</v>
      </c>
      <c r="O74">
        <v>22905</v>
      </c>
      <c r="P74">
        <v>35240</v>
      </c>
      <c r="Q74">
        <v>3651</v>
      </c>
      <c r="R74">
        <v>38262</v>
      </c>
      <c r="S74">
        <v>30885049.911348298</v>
      </c>
      <c r="T74">
        <v>24739696.032533299</v>
      </c>
      <c r="U74">
        <v>-6145353.8788149701</v>
      </c>
      <c r="V74">
        <v>9960784.8596400805</v>
      </c>
      <c r="W74">
        <v>0</v>
      </c>
      <c r="X74">
        <v>3229</v>
      </c>
      <c r="Y74">
        <v>2534</v>
      </c>
      <c r="Z74">
        <v>0</v>
      </c>
      <c r="AA74">
        <v>7766409.1240662402</v>
      </c>
      <c r="AB74">
        <v>5017677.3</v>
      </c>
      <c r="AC74" s="2">
        <f t="shared" si="2"/>
        <v>2748731.8240662403</v>
      </c>
      <c r="AD74" s="2">
        <f t="shared" si="3"/>
        <v>91624.394135541341</v>
      </c>
      <c r="AE74">
        <v>30</v>
      </c>
      <c r="AF74">
        <v>474</v>
      </c>
      <c r="AG74" t="b">
        <v>1</v>
      </c>
    </row>
    <row r="75" spans="1:33" x14ac:dyDescent="0.2">
      <c r="A75">
        <v>10</v>
      </c>
      <c r="B75">
        <v>199</v>
      </c>
      <c r="C75">
        <v>15</v>
      </c>
      <c r="D75">
        <v>1</v>
      </c>
      <c r="E75">
        <v>3</v>
      </c>
      <c r="F75">
        <v>15</v>
      </c>
      <c r="G75">
        <v>30</v>
      </c>
      <c r="H75">
        <v>45.06</v>
      </c>
      <c r="I75">
        <v>49.35</v>
      </c>
      <c r="J75">
        <v>0.3</v>
      </c>
      <c r="K75">
        <v>88139</v>
      </c>
      <c r="L75">
        <v>94040</v>
      </c>
      <c r="M75">
        <v>26817</v>
      </c>
      <c r="N75">
        <v>12167</v>
      </c>
      <c r="O75">
        <v>25707</v>
      </c>
      <c r="P75">
        <v>39446</v>
      </c>
      <c r="Q75">
        <v>3101</v>
      </c>
      <c r="R75">
        <v>38240</v>
      </c>
      <c r="S75">
        <v>31148158.184110001</v>
      </c>
      <c r="T75">
        <v>15758628.609583599</v>
      </c>
      <c r="U75">
        <v>-15389529.574526301</v>
      </c>
      <c r="V75">
        <v>9775615.8234457001</v>
      </c>
      <c r="W75">
        <v>0</v>
      </c>
      <c r="X75">
        <v>3187</v>
      </c>
      <c r="Y75">
        <v>2481</v>
      </c>
      <c r="Z75">
        <v>0</v>
      </c>
      <c r="AA75">
        <v>4754893.9609366301</v>
      </c>
      <c r="AB75">
        <v>5017677.3</v>
      </c>
      <c r="AC75" s="2">
        <f t="shared" si="2"/>
        <v>-262783.33906336967</v>
      </c>
      <c r="AD75" s="2">
        <f t="shared" si="3"/>
        <v>-8759.4446354456559</v>
      </c>
      <c r="AE75">
        <v>30</v>
      </c>
      <c r="AF75">
        <v>458</v>
      </c>
      <c r="AG75" t="b">
        <v>1</v>
      </c>
    </row>
    <row r="76" spans="1:33" x14ac:dyDescent="0.2">
      <c r="A76">
        <v>10</v>
      </c>
      <c r="B76">
        <v>200</v>
      </c>
      <c r="C76">
        <v>15</v>
      </c>
      <c r="D76">
        <v>1</v>
      </c>
      <c r="E76">
        <v>3</v>
      </c>
      <c r="F76">
        <v>30</v>
      </c>
      <c r="G76">
        <v>30</v>
      </c>
      <c r="H76">
        <v>90.12</v>
      </c>
      <c r="I76">
        <v>98.7</v>
      </c>
      <c r="J76">
        <v>0.3</v>
      </c>
      <c r="K76">
        <v>88102</v>
      </c>
      <c r="L76">
        <v>94813</v>
      </c>
      <c r="M76">
        <v>27183</v>
      </c>
      <c r="N76">
        <v>12236</v>
      </c>
      <c r="O76">
        <v>25005</v>
      </c>
      <c r="P76">
        <v>39144</v>
      </c>
      <c r="Q76">
        <v>3106</v>
      </c>
      <c r="R76">
        <v>38174</v>
      </c>
      <c r="S76">
        <v>38824222.1987895</v>
      </c>
      <c r="T76">
        <v>19433319.184701499</v>
      </c>
      <c r="U76">
        <v>-19390903.014087901</v>
      </c>
      <c r="V76">
        <v>19366660.224896599</v>
      </c>
      <c r="W76">
        <v>0</v>
      </c>
      <c r="X76">
        <v>3186</v>
      </c>
      <c r="Y76">
        <v>4975</v>
      </c>
      <c r="Z76">
        <v>0</v>
      </c>
      <c r="AA76">
        <v>3373422.0724063399</v>
      </c>
      <c r="AB76">
        <v>5017677.3</v>
      </c>
      <c r="AC76" s="2">
        <f t="shared" si="2"/>
        <v>-1644255.2275936599</v>
      </c>
      <c r="AD76" s="2">
        <f t="shared" si="3"/>
        <v>-54808.507586455329</v>
      </c>
      <c r="AE76">
        <v>30</v>
      </c>
      <c r="AF76">
        <v>568</v>
      </c>
      <c r="AG76" t="b">
        <v>1</v>
      </c>
    </row>
    <row r="77" spans="1:33" x14ac:dyDescent="0.2">
      <c r="A77">
        <v>10</v>
      </c>
      <c r="B77">
        <v>197</v>
      </c>
      <c r="C77">
        <v>15</v>
      </c>
      <c r="D77">
        <v>1</v>
      </c>
      <c r="E77">
        <v>3</v>
      </c>
      <c r="F77">
        <v>30</v>
      </c>
      <c r="G77">
        <v>30</v>
      </c>
      <c r="H77">
        <v>45.06</v>
      </c>
      <c r="I77">
        <v>49.35</v>
      </c>
      <c r="J77">
        <v>0.3</v>
      </c>
      <c r="K77">
        <v>71868</v>
      </c>
      <c r="L77">
        <v>97763</v>
      </c>
      <c r="M77">
        <v>27667</v>
      </c>
      <c r="N77">
        <v>12124</v>
      </c>
      <c r="O77">
        <v>27088</v>
      </c>
      <c r="P77">
        <v>41844</v>
      </c>
      <c r="Q77">
        <v>3204</v>
      </c>
      <c r="R77">
        <v>38198</v>
      </c>
      <c r="S77">
        <v>40000490.2905358</v>
      </c>
      <c r="T77">
        <v>16564383.638966899</v>
      </c>
      <c r="U77">
        <v>-23436106.6515688</v>
      </c>
      <c r="V77">
        <v>19923125.654141199</v>
      </c>
      <c r="W77">
        <v>0</v>
      </c>
      <c r="X77">
        <v>3133</v>
      </c>
      <c r="Y77">
        <v>4879</v>
      </c>
      <c r="Z77">
        <v>0</v>
      </c>
      <c r="AA77">
        <v>4161460.2862599501</v>
      </c>
      <c r="AB77">
        <v>5017677.3</v>
      </c>
      <c r="AC77" s="2">
        <f t="shared" si="2"/>
        <v>-856217.01374004968</v>
      </c>
      <c r="AD77" s="2">
        <f t="shared" si="3"/>
        <v>-28540.567124668323</v>
      </c>
      <c r="AE77">
        <v>30</v>
      </c>
      <c r="AF77">
        <v>417</v>
      </c>
      <c r="AG77" t="b">
        <v>1</v>
      </c>
    </row>
    <row r="78" spans="1:33" x14ac:dyDescent="0.2">
      <c r="A78">
        <v>10</v>
      </c>
      <c r="B78">
        <v>200</v>
      </c>
      <c r="C78">
        <v>15</v>
      </c>
      <c r="D78">
        <v>1</v>
      </c>
      <c r="E78">
        <v>1</v>
      </c>
      <c r="F78">
        <v>15</v>
      </c>
      <c r="G78">
        <v>30</v>
      </c>
      <c r="H78">
        <v>90.12</v>
      </c>
      <c r="I78">
        <v>98.7</v>
      </c>
      <c r="J78">
        <v>0.3</v>
      </c>
      <c r="K78">
        <v>86875</v>
      </c>
      <c r="L78">
        <v>92473</v>
      </c>
      <c r="M78">
        <v>26710</v>
      </c>
      <c r="N78">
        <v>12162</v>
      </c>
      <c r="O78">
        <v>25065</v>
      </c>
      <c r="P78">
        <v>38623</v>
      </c>
      <c r="Q78">
        <v>3008</v>
      </c>
      <c r="R78">
        <v>38448</v>
      </c>
      <c r="S78">
        <v>28406506.144663598</v>
      </c>
      <c r="T78">
        <v>16342364.162526401</v>
      </c>
      <c r="U78">
        <v>-12064141.982137199</v>
      </c>
      <c r="V78">
        <v>10418230.682326701</v>
      </c>
      <c r="W78">
        <v>0</v>
      </c>
      <c r="X78">
        <v>3203</v>
      </c>
      <c r="Y78">
        <v>2499</v>
      </c>
      <c r="Z78">
        <v>0</v>
      </c>
      <c r="AA78">
        <v>3425952.1433042502</v>
      </c>
      <c r="AB78">
        <v>5017677.3</v>
      </c>
      <c r="AC78" s="2">
        <f t="shared" si="2"/>
        <v>-1591725.1566957496</v>
      </c>
      <c r="AD78" s="2">
        <f t="shared" si="3"/>
        <v>-53057.505223191656</v>
      </c>
      <c r="AE78">
        <v>30</v>
      </c>
      <c r="AF78">
        <v>646</v>
      </c>
      <c r="AG78" t="b">
        <v>1</v>
      </c>
    </row>
    <row r="79" spans="1:33" x14ac:dyDescent="0.2">
      <c r="A79">
        <v>10</v>
      </c>
      <c r="B79">
        <v>199</v>
      </c>
      <c r="C79">
        <v>15</v>
      </c>
      <c r="D79">
        <v>1</v>
      </c>
      <c r="E79">
        <v>1</v>
      </c>
      <c r="F79">
        <v>15</v>
      </c>
      <c r="G79">
        <v>30</v>
      </c>
      <c r="H79">
        <v>45.06</v>
      </c>
      <c r="I79">
        <v>49.35</v>
      </c>
      <c r="J79">
        <v>0.3</v>
      </c>
      <c r="K79">
        <v>88121</v>
      </c>
      <c r="L79">
        <v>93117</v>
      </c>
      <c r="M79">
        <v>27034</v>
      </c>
      <c r="N79">
        <v>12110</v>
      </c>
      <c r="O79">
        <v>25506</v>
      </c>
      <c r="P79">
        <v>39433</v>
      </c>
      <c r="Q79">
        <v>3029</v>
      </c>
      <c r="R79">
        <v>38158</v>
      </c>
      <c r="S79">
        <v>31072339.408988301</v>
      </c>
      <c r="T79">
        <v>16221598.3500324</v>
      </c>
      <c r="U79">
        <v>-14850741.0589558</v>
      </c>
      <c r="V79">
        <v>9760804.1087622102</v>
      </c>
      <c r="W79">
        <v>0</v>
      </c>
      <c r="X79">
        <v>3177</v>
      </c>
      <c r="Y79">
        <v>2481</v>
      </c>
      <c r="Z79">
        <v>0</v>
      </c>
      <c r="AA79">
        <v>5361918.8248243202</v>
      </c>
      <c r="AB79">
        <v>5017677.3</v>
      </c>
      <c r="AC79" s="2">
        <f t="shared" si="2"/>
        <v>344241.52482432034</v>
      </c>
      <c r="AD79" s="2">
        <f t="shared" si="3"/>
        <v>11474.717494144012</v>
      </c>
      <c r="AE79">
        <v>30</v>
      </c>
      <c r="AF79">
        <v>471</v>
      </c>
      <c r="AG79" t="b">
        <v>1</v>
      </c>
    </row>
    <row r="80" spans="1:33" x14ac:dyDescent="0.2">
      <c r="A80">
        <v>10</v>
      </c>
      <c r="B80">
        <v>196</v>
      </c>
      <c r="C80">
        <v>15</v>
      </c>
      <c r="D80">
        <v>1</v>
      </c>
      <c r="E80">
        <v>1</v>
      </c>
      <c r="F80">
        <v>30</v>
      </c>
      <c r="G80">
        <v>30</v>
      </c>
      <c r="H80">
        <v>90.12</v>
      </c>
      <c r="I80">
        <v>98.7</v>
      </c>
      <c r="J80">
        <v>0.3</v>
      </c>
      <c r="K80">
        <v>62223</v>
      </c>
      <c r="L80">
        <v>97820</v>
      </c>
      <c r="M80">
        <v>27576</v>
      </c>
      <c r="N80">
        <v>12065</v>
      </c>
      <c r="O80">
        <v>28012</v>
      </c>
      <c r="P80">
        <v>43250</v>
      </c>
      <c r="Q80">
        <v>3374</v>
      </c>
      <c r="R80">
        <v>38249</v>
      </c>
      <c r="S80">
        <v>38042460.157166801</v>
      </c>
      <c r="T80">
        <v>19021546.000703201</v>
      </c>
      <c r="U80">
        <v>-19020914.156463601</v>
      </c>
      <c r="V80">
        <v>19676608.076409899</v>
      </c>
      <c r="W80">
        <v>0</v>
      </c>
      <c r="X80">
        <v>3130</v>
      </c>
      <c r="Y80">
        <v>4860</v>
      </c>
      <c r="Z80">
        <v>0</v>
      </c>
      <c r="AA80">
        <v>3331249.3869251302</v>
      </c>
      <c r="AB80">
        <v>5017677.3</v>
      </c>
      <c r="AC80" s="2">
        <f t="shared" si="2"/>
        <v>-1686427.9130748697</v>
      </c>
      <c r="AD80" s="2">
        <f t="shared" si="3"/>
        <v>-56214.263769162324</v>
      </c>
      <c r="AE80">
        <v>30</v>
      </c>
      <c r="AF80">
        <v>598</v>
      </c>
      <c r="AG80" t="b">
        <v>1</v>
      </c>
    </row>
    <row r="81" spans="1:33" x14ac:dyDescent="0.2">
      <c r="A81">
        <v>10</v>
      </c>
      <c r="B81">
        <v>198</v>
      </c>
      <c r="C81">
        <v>15</v>
      </c>
      <c r="D81">
        <v>1</v>
      </c>
      <c r="E81">
        <v>1</v>
      </c>
      <c r="F81">
        <v>30</v>
      </c>
      <c r="G81">
        <v>30</v>
      </c>
      <c r="H81">
        <v>45.06</v>
      </c>
      <c r="I81">
        <v>49.35</v>
      </c>
      <c r="J81">
        <v>0.3</v>
      </c>
      <c r="K81">
        <v>80714</v>
      </c>
      <c r="L81">
        <v>96731</v>
      </c>
      <c r="M81">
        <v>27648</v>
      </c>
      <c r="N81">
        <v>12211</v>
      </c>
      <c r="O81">
        <v>26284</v>
      </c>
      <c r="P81">
        <v>41137</v>
      </c>
      <c r="Q81">
        <v>3173</v>
      </c>
      <c r="R81">
        <v>38116</v>
      </c>
      <c r="S81">
        <v>40797792.705938302</v>
      </c>
      <c r="T81">
        <v>17331905.4416417</v>
      </c>
      <c r="U81">
        <v>-23465887.264296498</v>
      </c>
      <c r="V81">
        <v>19101919.710503101</v>
      </c>
      <c r="W81">
        <v>0</v>
      </c>
      <c r="X81">
        <v>3155</v>
      </c>
      <c r="Y81">
        <v>4904</v>
      </c>
      <c r="Z81">
        <v>0</v>
      </c>
      <c r="AA81">
        <v>6073512.5786481798</v>
      </c>
      <c r="AB81">
        <v>5017677.3</v>
      </c>
      <c r="AC81" s="2">
        <f t="shared" si="2"/>
        <v>1055835.27864818</v>
      </c>
      <c r="AD81" s="2">
        <f t="shared" si="3"/>
        <v>35194.509288272668</v>
      </c>
      <c r="AE81">
        <v>30</v>
      </c>
      <c r="AF81">
        <v>433</v>
      </c>
      <c r="AG81" t="b">
        <v>1</v>
      </c>
    </row>
    <row r="82" spans="1:33" x14ac:dyDescent="0.2">
      <c r="A82">
        <v>10</v>
      </c>
      <c r="B82">
        <v>138</v>
      </c>
      <c r="C82">
        <v>10</v>
      </c>
      <c r="D82">
        <v>3</v>
      </c>
      <c r="E82">
        <v>3</v>
      </c>
      <c r="F82">
        <v>15</v>
      </c>
      <c r="G82">
        <v>30</v>
      </c>
      <c r="H82">
        <v>90.12</v>
      </c>
      <c r="I82">
        <v>98.7</v>
      </c>
      <c r="J82">
        <v>0.3</v>
      </c>
      <c r="K82">
        <v>72622</v>
      </c>
      <c r="L82">
        <v>62729</v>
      </c>
      <c r="M82">
        <v>33727</v>
      </c>
      <c r="N82">
        <v>10589</v>
      </c>
      <c r="O82">
        <v>5902</v>
      </c>
      <c r="P82">
        <v>42215</v>
      </c>
      <c r="Q82">
        <v>7823</v>
      </c>
      <c r="R82">
        <v>35562</v>
      </c>
      <c r="S82">
        <v>21160299.106495</v>
      </c>
      <c r="T82">
        <v>20359410.753768999</v>
      </c>
      <c r="U82">
        <v>-800888.352726012</v>
      </c>
      <c r="V82">
        <v>6582219.8630843703</v>
      </c>
      <c r="W82">
        <v>0</v>
      </c>
      <c r="X82">
        <v>2145</v>
      </c>
      <c r="Y82">
        <v>1726</v>
      </c>
      <c r="Z82">
        <v>0</v>
      </c>
      <c r="AA82">
        <v>3493425.9358307598</v>
      </c>
      <c r="AB82">
        <v>3417388.79999999</v>
      </c>
      <c r="AC82" s="2">
        <f t="shared" si="2"/>
        <v>76037.135830769781</v>
      </c>
      <c r="AD82" s="2">
        <f t="shared" si="3"/>
        <v>2534.5711943589927</v>
      </c>
      <c r="AE82">
        <v>30</v>
      </c>
      <c r="AF82">
        <v>368</v>
      </c>
      <c r="AG82" t="b">
        <v>1</v>
      </c>
    </row>
    <row r="83" spans="1:33" x14ac:dyDescent="0.2">
      <c r="A83">
        <v>10</v>
      </c>
      <c r="B83">
        <v>138</v>
      </c>
      <c r="C83">
        <v>10</v>
      </c>
      <c r="D83">
        <v>3</v>
      </c>
      <c r="E83">
        <v>3</v>
      </c>
      <c r="F83">
        <v>15</v>
      </c>
      <c r="G83">
        <v>30</v>
      </c>
      <c r="H83">
        <v>45.06</v>
      </c>
      <c r="I83">
        <v>49.35</v>
      </c>
      <c r="J83">
        <v>0.3</v>
      </c>
      <c r="K83">
        <v>72622</v>
      </c>
      <c r="L83">
        <v>62729</v>
      </c>
      <c r="M83">
        <v>33727</v>
      </c>
      <c r="N83">
        <v>10589</v>
      </c>
      <c r="O83">
        <v>5902</v>
      </c>
      <c r="P83">
        <v>42215</v>
      </c>
      <c r="Q83">
        <v>7823</v>
      </c>
      <c r="R83">
        <v>35562</v>
      </c>
      <c r="S83">
        <v>21160299.106495</v>
      </c>
      <c r="T83">
        <v>11888399.7768845</v>
      </c>
      <c r="U83">
        <v>-9271899.3296105396</v>
      </c>
      <c r="V83">
        <v>6582219.8630843703</v>
      </c>
      <c r="W83">
        <v>0</v>
      </c>
      <c r="X83">
        <v>2145</v>
      </c>
      <c r="Y83">
        <v>1726</v>
      </c>
      <c r="Z83">
        <v>0</v>
      </c>
      <c r="AA83">
        <v>1746712.9679153799</v>
      </c>
      <c r="AB83">
        <v>3417388.79999999</v>
      </c>
      <c r="AC83" s="2">
        <f t="shared" si="2"/>
        <v>-1670675.8320846101</v>
      </c>
      <c r="AD83" s="2">
        <f t="shared" si="3"/>
        <v>-55689.194402820336</v>
      </c>
      <c r="AE83">
        <v>30</v>
      </c>
      <c r="AF83">
        <v>368</v>
      </c>
      <c r="AG83" t="b">
        <v>1</v>
      </c>
    </row>
    <row r="84" spans="1:33" x14ac:dyDescent="0.2">
      <c r="A84">
        <v>10</v>
      </c>
      <c r="B84">
        <v>135</v>
      </c>
      <c r="C84">
        <v>10</v>
      </c>
      <c r="D84">
        <v>3</v>
      </c>
      <c r="E84">
        <v>3</v>
      </c>
      <c r="F84">
        <v>30</v>
      </c>
      <c r="G84">
        <v>30</v>
      </c>
      <c r="H84">
        <v>90.12</v>
      </c>
      <c r="I84">
        <v>98.7</v>
      </c>
      <c r="J84">
        <v>0.3</v>
      </c>
      <c r="K84">
        <v>57569</v>
      </c>
      <c r="L84">
        <v>65544</v>
      </c>
      <c r="M84">
        <v>34003</v>
      </c>
      <c r="N84">
        <v>10550</v>
      </c>
      <c r="O84">
        <v>6530</v>
      </c>
      <c r="P84">
        <v>45843</v>
      </c>
      <c r="Q84">
        <v>7822</v>
      </c>
      <c r="R84">
        <v>35782</v>
      </c>
      <c r="S84">
        <v>25612910.744945802</v>
      </c>
      <c r="T84">
        <v>13399871.010262299</v>
      </c>
      <c r="U84">
        <v>-12213039.7346834</v>
      </c>
      <c r="V84">
        <v>12712074.155863101</v>
      </c>
      <c r="W84">
        <v>0</v>
      </c>
      <c r="X84">
        <v>2143</v>
      </c>
      <c r="Y84">
        <v>3328</v>
      </c>
      <c r="Z84">
        <v>0</v>
      </c>
      <c r="AA84">
        <v>809470.82449084998</v>
      </c>
      <c r="AB84">
        <v>3417388.79999999</v>
      </c>
      <c r="AC84" s="2">
        <f t="shared" si="2"/>
        <v>-2607917.9755091402</v>
      </c>
      <c r="AD84" s="2">
        <f t="shared" si="3"/>
        <v>-86930.599183638013</v>
      </c>
      <c r="AE84">
        <v>30</v>
      </c>
      <c r="AF84">
        <v>514</v>
      </c>
      <c r="AG84" t="b">
        <v>1</v>
      </c>
    </row>
    <row r="85" spans="1:33" x14ac:dyDescent="0.2">
      <c r="A85">
        <v>10</v>
      </c>
      <c r="B85">
        <v>135</v>
      </c>
      <c r="C85">
        <v>10</v>
      </c>
      <c r="D85">
        <v>3</v>
      </c>
      <c r="E85">
        <v>3</v>
      </c>
      <c r="F85">
        <v>30</v>
      </c>
      <c r="G85">
        <v>30</v>
      </c>
      <c r="H85">
        <v>45.06</v>
      </c>
      <c r="I85">
        <v>49.35</v>
      </c>
      <c r="J85">
        <v>0.3</v>
      </c>
      <c r="K85">
        <v>57569</v>
      </c>
      <c r="L85">
        <v>65544</v>
      </c>
      <c r="M85">
        <v>34003</v>
      </c>
      <c r="N85">
        <v>10550</v>
      </c>
      <c r="O85">
        <v>6530</v>
      </c>
      <c r="P85">
        <v>45843</v>
      </c>
      <c r="Q85">
        <v>7822</v>
      </c>
      <c r="R85">
        <v>35782</v>
      </c>
      <c r="S85">
        <v>25612910.744945802</v>
      </c>
      <c r="T85">
        <v>8408629.9051311594</v>
      </c>
      <c r="U85">
        <v>-17204280.8398146</v>
      </c>
      <c r="V85">
        <v>12712074.155863101</v>
      </c>
      <c r="W85">
        <v>0</v>
      </c>
      <c r="X85">
        <v>2143</v>
      </c>
      <c r="Y85">
        <v>3328</v>
      </c>
      <c r="Z85">
        <v>0</v>
      </c>
      <c r="AA85">
        <v>404735.41224542499</v>
      </c>
      <c r="AB85">
        <v>3417388.79999999</v>
      </c>
      <c r="AC85" s="2">
        <f t="shared" si="2"/>
        <v>-3012653.3877545651</v>
      </c>
      <c r="AD85" s="2">
        <f t="shared" si="3"/>
        <v>-100421.77959181883</v>
      </c>
      <c r="AE85">
        <v>30</v>
      </c>
      <c r="AF85">
        <v>514</v>
      </c>
      <c r="AG85" t="b">
        <v>1</v>
      </c>
    </row>
    <row r="86" spans="1:33" x14ac:dyDescent="0.2">
      <c r="A86">
        <v>10</v>
      </c>
      <c r="B86">
        <v>140</v>
      </c>
      <c r="C86">
        <v>10</v>
      </c>
      <c r="D86">
        <v>3</v>
      </c>
      <c r="E86">
        <v>1</v>
      </c>
      <c r="F86">
        <v>15</v>
      </c>
      <c r="G86">
        <v>30</v>
      </c>
      <c r="H86">
        <v>90.12</v>
      </c>
      <c r="I86">
        <v>98.7</v>
      </c>
      <c r="J86">
        <v>0.3</v>
      </c>
      <c r="K86">
        <v>78106</v>
      </c>
      <c r="L86">
        <v>61290</v>
      </c>
      <c r="M86">
        <v>33362</v>
      </c>
      <c r="N86">
        <v>10608</v>
      </c>
      <c r="O86">
        <v>5601</v>
      </c>
      <c r="P86">
        <v>40107</v>
      </c>
      <c r="Q86">
        <v>6641</v>
      </c>
      <c r="R86">
        <v>36598</v>
      </c>
      <c r="S86">
        <v>21510551.812253699</v>
      </c>
      <c r="T86">
        <v>16918048.724698499</v>
      </c>
      <c r="U86">
        <v>-4592503.0875552399</v>
      </c>
      <c r="V86">
        <v>6410840.6334572798</v>
      </c>
      <c r="W86">
        <v>0</v>
      </c>
      <c r="X86">
        <v>2176</v>
      </c>
      <c r="Y86">
        <v>1755</v>
      </c>
      <c r="Z86">
        <v>0</v>
      </c>
      <c r="AA86">
        <v>2302658.0422459799</v>
      </c>
      <c r="AB86">
        <v>3417388.79999999</v>
      </c>
      <c r="AC86" s="2">
        <f t="shared" si="2"/>
        <v>-1114730.7577540101</v>
      </c>
      <c r="AD86" s="2">
        <f t="shared" si="3"/>
        <v>-37157.691925133673</v>
      </c>
      <c r="AE86">
        <v>30</v>
      </c>
      <c r="AF86">
        <v>444</v>
      </c>
      <c r="AG86" t="b">
        <v>1</v>
      </c>
    </row>
    <row r="87" spans="1:33" x14ac:dyDescent="0.2">
      <c r="A87">
        <v>10</v>
      </c>
      <c r="B87">
        <v>140</v>
      </c>
      <c r="C87">
        <v>10</v>
      </c>
      <c r="D87">
        <v>3</v>
      </c>
      <c r="E87">
        <v>1</v>
      </c>
      <c r="F87">
        <v>15</v>
      </c>
      <c r="G87">
        <v>30</v>
      </c>
      <c r="H87">
        <v>45.06</v>
      </c>
      <c r="I87">
        <v>49.35</v>
      </c>
      <c r="J87">
        <v>0.3</v>
      </c>
      <c r="K87">
        <v>78106</v>
      </c>
      <c r="L87">
        <v>61290</v>
      </c>
      <c r="M87">
        <v>33362</v>
      </c>
      <c r="N87">
        <v>10608</v>
      </c>
      <c r="O87">
        <v>5601</v>
      </c>
      <c r="P87">
        <v>40107</v>
      </c>
      <c r="Q87">
        <v>6641</v>
      </c>
      <c r="R87">
        <v>36598</v>
      </c>
      <c r="S87">
        <v>21510551.812253699</v>
      </c>
      <c r="T87">
        <v>10167718.7623492</v>
      </c>
      <c r="U87">
        <v>-11342833.0499044</v>
      </c>
      <c r="V87">
        <v>6410840.6334572798</v>
      </c>
      <c r="W87">
        <v>0</v>
      </c>
      <c r="X87">
        <v>2176</v>
      </c>
      <c r="Y87">
        <v>1755</v>
      </c>
      <c r="Z87">
        <v>0</v>
      </c>
      <c r="AA87">
        <v>1151329.0211229899</v>
      </c>
      <c r="AB87">
        <v>3417388.79999999</v>
      </c>
      <c r="AC87" s="2">
        <f t="shared" si="2"/>
        <v>-2266059.7788770003</v>
      </c>
      <c r="AD87" s="2">
        <f t="shared" si="3"/>
        <v>-75535.325962566683</v>
      </c>
      <c r="AE87">
        <v>30</v>
      </c>
      <c r="AF87">
        <v>444</v>
      </c>
      <c r="AG87" t="b">
        <v>1</v>
      </c>
    </row>
    <row r="88" spans="1:33" x14ac:dyDescent="0.2">
      <c r="A88">
        <v>10</v>
      </c>
      <c r="B88">
        <v>136</v>
      </c>
      <c r="C88">
        <v>10</v>
      </c>
      <c r="D88">
        <v>3</v>
      </c>
      <c r="E88">
        <v>1</v>
      </c>
      <c r="F88">
        <v>30</v>
      </c>
      <c r="G88">
        <v>30</v>
      </c>
      <c r="H88">
        <v>90.12</v>
      </c>
      <c r="I88">
        <v>98.7</v>
      </c>
      <c r="J88">
        <v>0.3</v>
      </c>
      <c r="K88">
        <v>57001</v>
      </c>
      <c r="L88">
        <v>64061</v>
      </c>
      <c r="M88">
        <v>34045</v>
      </c>
      <c r="N88">
        <v>10483</v>
      </c>
      <c r="O88">
        <v>6202</v>
      </c>
      <c r="P88">
        <v>44922</v>
      </c>
      <c r="Q88">
        <v>7942</v>
      </c>
      <c r="R88">
        <v>35583</v>
      </c>
      <c r="S88">
        <v>26179493.6631184</v>
      </c>
      <c r="T88">
        <v>15688115.915072599</v>
      </c>
      <c r="U88">
        <v>-10491377.7480458</v>
      </c>
      <c r="V88">
        <v>12553221.2061192</v>
      </c>
      <c r="W88">
        <v>0</v>
      </c>
      <c r="X88">
        <v>2142</v>
      </c>
      <c r="Y88">
        <v>3354</v>
      </c>
      <c r="Z88">
        <v>0</v>
      </c>
      <c r="AA88">
        <v>1294686.87673028</v>
      </c>
      <c r="AB88">
        <v>3417388.79999999</v>
      </c>
      <c r="AC88" s="2">
        <f t="shared" si="2"/>
        <v>-2122701.92326971</v>
      </c>
      <c r="AD88" s="2">
        <f t="shared" si="3"/>
        <v>-70756.730775657008</v>
      </c>
      <c r="AE88">
        <v>30</v>
      </c>
      <c r="AF88">
        <v>466</v>
      </c>
      <c r="AG88" t="b">
        <v>1</v>
      </c>
    </row>
    <row r="89" spans="1:33" x14ac:dyDescent="0.2">
      <c r="A89">
        <v>10</v>
      </c>
      <c r="B89">
        <v>139</v>
      </c>
      <c r="C89">
        <v>10</v>
      </c>
      <c r="D89">
        <v>3</v>
      </c>
      <c r="E89">
        <v>1</v>
      </c>
      <c r="F89">
        <v>30</v>
      </c>
      <c r="G89">
        <v>30</v>
      </c>
      <c r="H89">
        <v>45.06</v>
      </c>
      <c r="I89">
        <v>49.35</v>
      </c>
      <c r="J89">
        <v>0.3</v>
      </c>
      <c r="K89">
        <v>79262</v>
      </c>
      <c r="L89">
        <v>62287</v>
      </c>
      <c r="M89">
        <v>33668</v>
      </c>
      <c r="N89">
        <v>10621</v>
      </c>
      <c r="O89">
        <v>5730</v>
      </c>
      <c r="P89">
        <v>41436</v>
      </c>
      <c r="Q89">
        <v>7123</v>
      </c>
      <c r="R89">
        <v>36013</v>
      </c>
      <c r="S89">
        <v>26784394.545593899</v>
      </c>
      <c r="T89">
        <v>9536237.6878629606</v>
      </c>
      <c r="U89">
        <v>-17248156.857731</v>
      </c>
      <c r="V89">
        <v>12908913.5087843</v>
      </c>
      <c r="W89">
        <v>0</v>
      </c>
      <c r="X89">
        <v>2182</v>
      </c>
      <c r="Y89">
        <v>3443</v>
      </c>
      <c r="Z89">
        <v>0</v>
      </c>
      <c r="AA89">
        <v>633188.00721655495</v>
      </c>
      <c r="AB89">
        <v>3417388.79999999</v>
      </c>
      <c r="AC89" s="2">
        <f t="shared" si="2"/>
        <v>-2784200.792783435</v>
      </c>
      <c r="AD89" s="2">
        <f t="shared" si="3"/>
        <v>-92806.693092781163</v>
      </c>
      <c r="AE89">
        <v>30</v>
      </c>
      <c r="AF89">
        <v>467</v>
      </c>
      <c r="AG89" t="b">
        <v>1</v>
      </c>
    </row>
    <row r="90" spans="1:33" x14ac:dyDescent="0.2">
      <c r="A90">
        <v>10</v>
      </c>
      <c r="B90">
        <v>144</v>
      </c>
      <c r="C90">
        <v>10</v>
      </c>
      <c r="D90">
        <v>1</v>
      </c>
      <c r="E90">
        <v>3</v>
      </c>
      <c r="F90">
        <v>15</v>
      </c>
      <c r="G90">
        <v>30</v>
      </c>
      <c r="H90">
        <v>90.12</v>
      </c>
      <c r="I90">
        <v>98.7</v>
      </c>
      <c r="J90">
        <v>0.3</v>
      </c>
      <c r="K90">
        <v>60719</v>
      </c>
      <c r="L90">
        <v>72271</v>
      </c>
      <c r="M90">
        <v>32976</v>
      </c>
      <c r="N90">
        <v>10658</v>
      </c>
      <c r="O90">
        <v>4883</v>
      </c>
      <c r="P90">
        <v>36051</v>
      </c>
      <c r="Q90">
        <v>5900</v>
      </c>
      <c r="R90">
        <v>37063</v>
      </c>
      <c r="S90">
        <v>21176908.265469</v>
      </c>
      <c r="T90">
        <v>15726279.579289</v>
      </c>
      <c r="U90">
        <v>-5450628.6861798996</v>
      </c>
      <c r="V90">
        <v>7199822.1405656803</v>
      </c>
      <c r="W90">
        <v>0</v>
      </c>
      <c r="X90">
        <v>2256</v>
      </c>
      <c r="Y90">
        <v>1766</v>
      </c>
      <c r="Z90">
        <v>0</v>
      </c>
      <c r="AA90">
        <v>3175467.2612346401</v>
      </c>
      <c r="AB90">
        <v>3417388.79999999</v>
      </c>
      <c r="AC90" s="2">
        <f t="shared" si="2"/>
        <v>-241921.53876534989</v>
      </c>
      <c r="AD90" s="2">
        <f t="shared" si="3"/>
        <v>-8064.0512921783293</v>
      </c>
      <c r="AE90">
        <v>30</v>
      </c>
      <c r="AF90">
        <v>456</v>
      </c>
      <c r="AG90" t="b">
        <v>1</v>
      </c>
    </row>
    <row r="91" spans="1:33" x14ac:dyDescent="0.2">
      <c r="A91">
        <v>10</v>
      </c>
      <c r="B91">
        <v>144</v>
      </c>
      <c r="C91">
        <v>10</v>
      </c>
      <c r="D91">
        <v>1</v>
      </c>
      <c r="E91">
        <v>3</v>
      </c>
      <c r="F91">
        <v>15</v>
      </c>
      <c r="G91">
        <v>30</v>
      </c>
      <c r="H91">
        <v>45.06</v>
      </c>
      <c r="I91">
        <v>49.35</v>
      </c>
      <c r="J91">
        <v>0.3</v>
      </c>
      <c r="K91">
        <v>60719</v>
      </c>
      <c r="L91">
        <v>72271</v>
      </c>
      <c r="M91">
        <v>32976</v>
      </c>
      <c r="N91">
        <v>10658</v>
      </c>
      <c r="O91">
        <v>4883</v>
      </c>
      <c r="P91">
        <v>36051</v>
      </c>
      <c r="Q91">
        <v>5900</v>
      </c>
      <c r="R91">
        <v>37063</v>
      </c>
      <c r="S91">
        <v>21176908.265469</v>
      </c>
      <c r="T91">
        <v>9571834.1896445397</v>
      </c>
      <c r="U91">
        <v>-11605074.0758244</v>
      </c>
      <c r="V91">
        <v>7199822.1405656803</v>
      </c>
      <c r="W91">
        <v>0</v>
      </c>
      <c r="X91">
        <v>2256</v>
      </c>
      <c r="Y91">
        <v>1766</v>
      </c>
      <c r="Z91">
        <v>0</v>
      </c>
      <c r="AA91">
        <v>1587733.6306173201</v>
      </c>
      <c r="AB91">
        <v>3417388.79999999</v>
      </c>
      <c r="AC91" s="2">
        <f t="shared" si="2"/>
        <v>-1829655.16938267</v>
      </c>
      <c r="AD91" s="2">
        <f t="shared" si="3"/>
        <v>-60988.505646088997</v>
      </c>
      <c r="AE91">
        <v>30</v>
      </c>
      <c r="AF91">
        <v>456</v>
      </c>
      <c r="AG91" t="b">
        <v>1</v>
      </c>
    </row>
    <row r="92" spans="1:33" x14ac:dyDescent="0.2">
      <c r="A92">
        <v>10</v>
      </c>
      <c r="B92">
        <v>144</v>
      </c>
      <c r="C92">
        <v>10</v>
      </c>
      <c r="D92">
        <v>1</v>
      </c>
      <c r="E92">
        <v>3</v>
      </c>
      <c r="F92">
        <v>30</v>
      </c>
      <c r="G92">
        <v>30</v>
      </c>
      <c r="H92">
        <v>90.12</v>
      </c>
      <c r="I92">
        <v>98.7</v>
      </c>
      <c r="J92">
        <v>0.3</v>
      </c>
      <c r="K92">
        <v>61182</v>
      </c>
      <c r="L92">
        <v>73079</v>
      </c>
      <c r="M92">
        <v>33139</v>
      </c>
      <c r="N92">
        <v>10697</v>
      </c>
      <c r="O92">
        <v>4882</v>
      </c>
      <c r="P92">
        <v>36849</v>
      </c>
      <c r="Q92">
        <v>5957</v>
      </c>
      <c r="R92">
        <v>37050</v>
      </c>
      <c r="S92">
        <v>28028783.882309798</v>
      </c>
      <c r="T92">
        <v>16043155.8998337</v>
      </c>
      <c r="U92">
        <v>-11985627.9824761</v>
      </c>
      <c r="V92">
        <v>13713764.6016274</v>
      </c>
      <c r="W92">
        <v>0</v>
      </c>
      <c r="X92">
        <v>2250</v>
      </c>
      <c r="Y92">
        <v>3529</v>
      </c>
      <c r="Z92">
        <v>0</v>
      </c>
      <c r="AA92">
        <v>2776424.6649622102</v>
      </c>
      <c r="AB92">
        <v>3417388.79999999</v>
      </c>
      <c r="AC92" s="2">
        <f t="shared" si="2"/>
        <v>-640964.13503777981</v>
      </c>
      <c r="AD92" s="2">
        <f t="shared" si="3"/>
        <v>-21365.471167925993</v>
      </c>
      <c r="AE92">
        <v>30</v>
      </c>
      <c r="AF92">
        <v>436</v>
      </c>
      <c r="AG92" t="b">
        <v>1</v>
      </c>
    </row>
    <row r="93" spans="1:33" x14ac:dyDescent="0.2">
      <c r="A93">
        <v>10</v>
      </c>
      <c r="B93">
        <v>144</v>
      </c>
      <c r="C93">
        <v>10</v>
      </c>
      <c r="D93">
        <v>1</v>
      </c>
      <c r="E93">
        <v>3</v>
      </c>
      <c r="F93">
        <v>30</v>
      </c>
      <c r="G93">
        <v>30</v>
      </c>
      <c r="H93">
        <v>45.06</v>
      </c>
      <c r="I93">
        <v>49.35</v>
      </c>
      <c r="J93">
        <v>0.3</v>
      </c>
      <c r="K93">
        <v>61182</v>
      </c>
      <c r="L93">
        <v>73079</v>
      </c>
      <c r="M93">
        <v>33139</v>
      </c>
      <c r="N93">
        <v>10697</v>
      </c>
      <c r="O93">
        <v>4882</v>
      </c>
      <c r="P93">
        <v>36849</v>
      </c>
      <c r="Q93">
        <v>5957</v>
      </c>
      <c r="R93">
        <v>37050</v>
      </c>
      <c r="S93">
        <v>28028783.882309798</v>
      </c>
      <c r="T93">
        <v>9730272.3499168605</v>
      </c>
      <c r="U93">
        <v>-18298511.5323929</v>
      </c>
      <c r="V93">
        <v>13713764.6016274</v>
      </c>
      <c r="W93">
        <v>0</v>
      </c>
      <c r="X93">
        <v>2250</v>
      </c>
      <c r="Y93">
        <v>3529</v>
      </c>
      <c r="Z93">
        <v>0</v>
      </c>
      <c r="AA93">
        <v>1388212.3324811</v>
      </c>
      <c r="AB93">
        <v>3417388.79999999</v>
      </c>
      <c r="AC93" s="2">
        <f t="shared" si="2"/>
        <v>-2029176.46751889</v>
      </c>
      <c r="AD93" s="2">
        <f t="shared" si="3"/>
        <v>-67639.215583963</v>
      </c>
      <c r="AE93">
        <v>30</v>
      </c>
      <c r="AF93">
        <v>436</v>
      </c>
      <c r="AG93" t="b">
        <v>1</v>
      </c>
    </row>
    <row r="94" spans="1:33" x14ac:dyDescent="0.2">
      <c r="A94">
        <v>10</v>
      </c>
      <c r="B94">
        <v>139</v>
      </c>
      <c r="C94">
        <v>10</v>
      </c>
      <c r="D94">
        <v>1</v>
      </c>
      <c r="E94">
        <v>1</v>
      </c>
      <c r="F94">
        <v>15</v>
      </c>
      <c r="G94">
        <v>30</v>
      </c>
      <c r="H94">
        <v>90.12</v>
      </c>
      <c r="I94">
        <v>98.7</v>
      </c>
      <c r="J94">
        <v>0.3</v>
      </c>
      <c r="K94">
        <v>78968</v>
      </c>
      <c r="L94">
        <v>62041</v>
      </c>
      <c r="M94">
        <v>33288</v>
      </c>
      <c r="N94">
        <v>10661</v>
      </c>
      <c r="O94">
        <v>5648</v>
      </c>
      <c r="P94">
        <v>41198</v>
      </c>
      <c r="Q94">
        <v>7123</v>
      </c>
      <c r="R94">
        <v>36183</v>
      </c>
      <c r="S94">
        <v>20498535.415410802</v>
      </c>
      <c r="T94">
        <v>14093595.299446501</v>
      </c>
      <c r="U94">
        <v>-6404940.1159643298</v>
      </c>
      <c r="V94">
        <v>6927404.42800151</v>
      </c>
      <c r="W94">
        <v>0</v>
      </c>
      <c r="X94">
        <v>2184</v>
      </c>
      <c r="Y94">
        <v>1713</v>
      </c>
      <c r="Z94">
        <v>0</v>
      </c>
      <c r="AA94">
        <v>3942768.94450976</v>
      </c>
      <c r="AB94">
        <v>3417388.79999999</v>
      </c>
      <c r="AC94" s="2">
        <f t="shared" si="2"/>
        <v>525380.14450976998</v>
      </c>
      <c r="AD94" s="2">
        <f t="shared" si="3"/>
        <v>17512.671483659</v>
      </c>
      <c r="AE94">
        <v>30</v>
      </c>
      <c r="AF94">
        <v>485</v>
      </c>
      <c r="AG94" t="b">
        <v>1</v>
      </c>
    </row>
    <row r="95" spans="1:33" x14ac:dyDescent="0.2">
      <c r="A95">
        <v>10</v>
      </c>
      <c r="B95">
        <v>139</v>
      </c>
      <c r="C95">
        <v>10</v>
      </c>
      <c r="D95">
        <v>1</v>
      </c>
      <c r="E95">
        <v>1</v>
      </c>
      <c r="F95">
        <v>15</v>
      </c>
      <c r="G95">
        <v>30</v>
      </c>
      <c r="H95">
        <v>45.06</v>
      </c>
      <c r="I95">
        <v>49.35</v>
      </c>
      <c r="J95">
        <v>0.3</v>
      </c>
      <c r="K95">
        <v>78479</v>
      </c>
      <c r="L95">
        <v>62272</v>
      </c>
      <c r="M95">
        <v>33407</v>
      </c>
      <c r="N95">
        <v>10626</v>
      </c>
      <c r="O95">
        <v>5709</v>
      </c>
      <c r="P95">
        <v>40908</v>
      </c>
      <c r="Q95">
        <v>7095</v>
      </c>
      <c r="R95">
        <v>36002</v>
      </c>
      <c r="S95">
        <v>20436414.1661832</v>
      </c>
      <c r="T95">
        <v>8743884.5185206607</v>
      </c>
      <c r="U95">
        <v>-11692529.647662601</v>
      </c>
      <c r="V95">
        <v>6912866.9303601803</v>
      </c>
      <c r="W95">
        <v>0</v>
      </c>
      <c r="X95">
        <v>2183</v>
      </c>
      <c r="Y95">
        <v>1713</v>
      </c>
      <c r="Z95">
        <v>0</v>
      </c>
      <c r="AA95">
        <v>1961435.1597955099</v>
      </c>
      <c r="AB95">
        <v>3417388.79999999</v>
      </c>
      <c r="AC95" s="2">
        <f t="shared" si="2"/>
        <v>-1455953.6402044802</v>
      </c>
      <c r="AD95" s="2">
        <f t="shared" si="3"/>
        <v>-48531.788006816008</v>
      </c>
      <c r="AE95">
        <v>30</v>
      </c>
      <c r="AF95">
        <v>489</v>
      </c>
      <c r="AG95" t="b">
        <v>1</v>
      </c>
    </row>
    <row r="96" spans="1:33" x14ac:dyDescent="0.2">
      <c r="A96">
        <v>10</v>
      </c>
      <c r="B96">
        <v>141</v>
      </c>
      <c r="C96">
        <v>10</v>
      </c>
      <c r="D96">
        <v>1</v>
      </c>
      <c r="E96">
        <v>1</v>
      </c>
      <c r="F96">
        <v>30</v>
      </c>
      <c r="G96">
        <v>30</v>
      </c>
      <c r="H96">
        <v>90.12</v>
      </c>
      <c r="I96">
        <v>98.7</v>
      </c>
      <c r="J96">
        <v>0.3</v>
      </c>
      <c r="K96">
        <v>76490</v>
      </c>
      <c r="L96">
        <v>62100</v>
      </c>
      <c r="M96">
        <v>33509</v>
      </c>
      <c r="N96">
        <v>10667</v>
      </c>
      <c r="O96">
        <v>5374</v>
      </c>
      <c r="P96">
        <v>39560</v>
      </c>
      <c r="Q96">
        <v>6329</v>
      </c>
      <c r="R96">
        <v>36927</v>
      </c>
      <c r="S96">
        <v>27284871.102792699</v>
      </c>
      <c r="T96">
        <v>16231091.4886893</v>
      </c>
      <c r="U96">
        <v>-11053779.614103399</v>
      </c>
      <c r="V96">
        <v>13532822.267656</v>
      </c>
      <c r="W96">
        <v>0</v>
      </c>
      <c r="X96">
        <v>2220</v>
      </c>
      <c r="Y96">
        <v>3432</v>
      </c>
      <c r="Z96">
        <v>0</v>
      </c>
      <c r="AA96">
        <v>1228319.2444604801</v>
      </c>
      <c r="AB96">
        <v>3417388.79999999</v>
      </c>
      <c r="AC96" s="2">
        <f t="shared" si="2"/>
        <v>-2189069.5555395102</v>
      </c>
      <c r="AD96" s="2">
        <f t="shared" si="3"/>
        <v>-72968.985184650344</v>
      </c>
      <c r="AE96">
        <v>30</v>
      </c>
      <c r="AF96">
        <v>442</v>
      </c>
      <c r="AG96" t="b">
        <v>1</v>
      </c>
    </row>
    <row r="97" spans="1:33" x14ac:dyDescent="0.2">
      <c r="A97">
        <v>10</v>
      </c>
      <c r="B97">
        <v>141</v>
      </c>
      <c r="C97">
        <v>10</v>
      </c>
      <c r="D97">
        <v>1</v>
      </c>
      <c r="E97">
        <v>1</v>
      </c>
      <c r="F97">
        <v>30</v>
      </c>
      <c r="G97">
        <v>30</v>
      </c>
      <c r="H97">
        <v>45.06</v>
      </c>
      <c r="I97">
        <v>49.35</v>
      </c>
      <c r="J97">
        <v>0.3</v>
      </c>
      <c r="K97">
        <v>76490</v>
      </c>
      <c r="L97">
        <v>62100</v>
      </c>
      <c r="M97">
        <v>33509</v>
      </c>
      <c r="N97">
        <v>10667</v>
      </c>
      <c r="O97">
        <v>5374</v>
      </c>
      <c r="P97">
        <v>39560</v>
      </c>
      <c r="Q97">
        <v>6329</v>
      </c>
      <c r="R97">
        <v>36927</v>
      </c>
      <c r="S97">
        <v>27284871.102792699</v>
      </c>
      <c r="T97">
        <v>9824240.1443446502</v>
      </c>
      <c r="U97">
        <v>-17460630.958448</v>
      </c>
      <c r="V97">
        <v>13532822.267656</v>
      </c>
      <c r="W97">
        <v>0</v>
      </c>
      <c r="X97">
        <v>2220</v>
      </c>
      <c r="Y97">
        <v>3432</v>
      </c>
      <c r="Z97">
        <v>0</v>
      </c>
      <c r="AA97">
        <v>614159.62223024305</v>
      </c>
      <c r="AB97">
        <v>3417388.79999999</v>
      </c>
      <c r="AC97" s="2">
        <f t="shared" si="2"/>
        <v>-2803229.1777697471</v>
      </c>
      <c r="AD97" s="2">
        <f t="shared" si="3"/>
        <v>-93440.972592324906</v>
      </c>
      <c r="AE97">
        <v>30</v>
      </c>
      <c r="AF97">
        <v>442</v>
      </c>
      <c r="AG97" t="b">
        <v>1</v>
      </c>
    </row>
    <row r="98" spans="1:33" x14ac:dyDescent="0.2">
      <c r="A98">
        <v>10</v>
      </c>
      <c r="B98">
        <v>219</v>
      </c>
      <c r="C98">
        <v>15</v>
      </c>
      <c r="D98">
        <v>3</v>
      </c>
      <c r="E98">
        <v>3</v>
      </c>
      <c r="F98">
        <v>15</v>
      </c>
      <c r="G98">
        <v>50</v>
      </c>
      <c r="H98">
        <v>90.12</v>
      </c>
      <c r="I98">
        <v>98.7</v>
      </c>
      <c r="J98">
        <v>0.3</v>
      </c>
      <c r="K98">
        <v>66785</v>
      </c>
      <c r="L98">
        <v>108647</v>
      </c>
      <c r="M98">
        <v>25266</v>
      </c>
      <c r="N98">
        <v>13042</v>
      </c>
      <c r="O98">
        <v>29318</v>
      </c>
      <c r="P98">
        <v>43188</v>
      </c>
      <c r="Q98">
        <v>3068</v>
      </c>
      <c r="R98">
        <v>38278</v>
      </c>
      <c r="S98">
        <v>36839042.575356297</v>
      </c>
      <c r="T98">
        <v>44361847.406659499</v>
      </c>
      <c r="U98">
        <v>7522804.8313032398</v>
      </c>
      <c r="V98">
        <v>10567362.488749299</v>
      </c>
      <c r="W98">
        <v>0</v>
      </c>
      <c r="X98">
        <v>3474</v>
      </c>
      <c r="Y98">
        <v>2372</v>
      </c>
      <c r="Z98">
        <v>0</v>
      </c>
      <c r="AA98">
        <v>13751101.738272799</v>
      </c>
      <c r="AB98">
        <v>8362795.5</v>
      </c>
      <c r="AC98" s="2">
        <f t="shared" si="2"/>
        <v>5388306.2382727992</v>
      </c>
      <c r="AD98" s="2">
        <f t="shared" si="3"/>
        <v>107766.12476545598</v>
      </c>
      <c r="AE98">
        <v>50</v>
      </c>
      <c r="AF98">
        <v>714</v>
      </c>
      <c r="AG98" t="b">
        <v>1</v>
      </c>
    </row>
    <row r="99" spans="1:33" x14ac:dyDescent="0.2">
      <c r="A99">
        <v>10</v>
      </c>
      <c r="B99">
        <v>218</v>
      </c>
      <c r="C99">
        <v>15</v>
      </c>
      <c r="D99">
        <v>3</v>
      </c>
      <c r="E99">
        <v>3</v>
      </c>
      <c r="F99">
        <v>15</v>
      </c>
      <c r="G99">
        <v>50</v>
      </c>
      <c r="H99">
        <v>45.06</v>
      </c>
      <c r="I99">
        <v>49.35</v>
      </c>
      <c r="J99">
        <v>0.3</v>
      </c>
      <c r="K99">
        <v>67439</v>
      </c>
      <c r="L99">
        <v>109826</v>
      </c>
      <c r="M99">
        <v>25376</v>
      </c>
      <c r="N99">
        <v>13068</v>
      </c>
      <c r="O99">
        <v>34663</v>
      </c>
      <c r="P99">
        <v>39103</v>
      </c>
      <c r="Q99">
        <v>3086</v>
      </c>
      <c r="R99">
        <v>37888</v>
      </c>
      <c r="S99">
        <v>38069350.722259797</v>
      </c>
      <c r="T99">
        <v>29052788.611126602</v>
      </c>
      <c r="U99">
        <v>-9016562.1111332309</v>
      </c>
      <c r="V99">
        <v>11387424.539475</v>
      </c>
      <c r="W99">
        <v>0</v>
      </c>
      <c r="X99">
        <v>3465</v>
      </c>
      <c r="Y99">
        <v>2371</v>
      </c>
      <c r="Z99">
        <v>0</v>
      </c>
      <c r="AA99">
        <v>9433456.0791799594</v>
      </c>
      <c r="AB99">
        <v>8362795.5</v>
      </c>
      <c r="AC99" s="2">
        <f t="shared" si="2"/>
        <v>1070660.5791799594</v>
      </c>
      <c r="AD99" s="2">
        <f t="shared" si="3"/>
        <v>21413.211583599186</v>
      </c>
      <c r="AE99">
        <v>50</v>
      </c>
      <c r="AF99">
        <v>646</v>
      </c>
      <c r="AG99" t="b">
        <v>1</v>
      </c>
    </row>
    <row r="100" spans="1:33" x14ac:dyDescent="0.2">
      <c r="A100">
        <v>10</v>
      </c>
      <c r="B100">
        <v>217</v>
      </c>
      <c r="C100">
        <v>15</v>
      </c>
      <c r="D100">
        <v>3</v>
      </c>
      <c r="E100">
        <v>3</v>
      </c>
      <c r="F100">
        <v>30</v>
      </c>
      <c r="G100">
        <v>50</v>
      </c>
      <c r="H100">
        <v>90.12</v>
      </c>
      <c r="I100">
        <v>98.7</v>
      </c>
      <c r="J100">
        <v>0.3</v>
      </c>
      <c r="K100">
        <v>68639</v>
      </c>
      <c r="L100">
        <v>112946</v>
      </c>
      <c r="M100">
        <v>26264</v>
      </c>
      <c r="N100">
        <v>13024</v>
      </c>
      <c r="O100">
        <v>36019</v>
      </c>
      <c r="P100">
        <v>40786</v>
      </c>
      <c r="Q100">
        <v>3338</v>
      </c>
      <c r="R100">
        <v>38193</v>
      </c>
      <c r="S100">
        <v>47130654.813767903</v>
      </c>
      <c r="T100">
        <v>48992849.1107357</v>
      </c>
      <c r="U100">
        <v>1862194.2969678601</v>
      </c>
      <c r="V100">
        <v>21146013.442159399</v>
      </c>
      <c r="W100">
        <v>0</v>
      </c>
      <c r="X100">
        <v>3406</v>
      </c>
      <c r="Y100">
        <v>4614</v>
      </c>
      <c r="Z100">
        <v>0</v>
      </c>
      <c r="AA100">
        <v>13566917.012350701</v>
      </c>
      <c r="AB100">
        <v>8362795.5</v>
      </c>
      <c r="AC100" s="2">
        <f t="shared" si="2"/>
        <v>5204121.5123507008</v>
      </c>
      <c r="AD100" s="2">
        <f t="shared" si="3"/>
        <v>104082.43024701401</v>
      </c>
      <c r="AE100">
        <v>50</v>
      </c>
      <c r="AF100">
        <v>591</v>
      </c>
      <c r="AG100" t="b">
        <v>1</v>
      </c>
    </row>
    <row r="101" spans="1:33" x14ac:dyDescent="0.2">
      <c r="A101">
        <v>10</v>
      </c>
      <c r="B101">
        <v>214</v>
      </c>
      <c r="C101">
        <v>15</v>
      </c>
      <c r="D101">
        <v>3</v>
      </c>
      <c r="E101">
        <v>3</v>
      </c>
      <c r="F101">
        <v>30</v>
      </c>
      <c r="G101">
        <v>50</v>
      </c>
      <c r="H101">
        <v>45.06</v>
      </c>
      <c r="I101">
        <v>49.35</v>
      </c>
      <c r="J101">
        <v>0.3</v>
      </c>
      <c r="K101">
        <v>82708</v>
      </c>
      <c r="L101">
        <v>104926</v>
      </c>
      <c r="M101">
        <v>26208</v>
      </c>
      <c r="N101">
        <v>13051</v>
      </c>
      <c r="O101">
        <v>5236</v>
      </c>
      <c r="P101">
        <v>44035</v>
      </c>
      <c r="Q101">
        <v>3213</v>
      </c>
      <c r="R101">
        <v>38104</v>
      </c>
      <c r="S101">
        <v>47775704.882429101</v>
      </c>
      <c r="T101">
        <v>30510291.274507198</v>
      </c>
      <c r="U101">
        <v>-17265413.607921802</v>
      </c>
      <c r="V101">
        <v>21556336.058362</v>
      </c>
      <c r="W101">
        <v>0</v>
      </c>
      <c r="X101">
        <v>3359</v>
      </c>
      <c r="Y101">
        <v>4546</v>
      </c>
      <c r="Z101">
        <v>0</v>
      </c>
      <c r="AA101">
        <v>8520166.1218146905</v>
      </c>
      <c r="AB101">
        <v>8362795.5</v>
      </c>
      <c r="AC101" s="2">
        <f t="shared" si="2"/>
        <v>157370.62181469053</v>
      </c>
      <c r="AD101" s="2">
        <f t="shared" si="3"/>
        <v>3147.4124362938105</v>
      </c>
      <c r="AE101">
        <v>50</v>
      </c>
      <c r="AF101">
        <v>559</v>
      </c>
      <c r="AG101" t="b">
        <v>1</v>
      </c>
    </row>
    <row r="102" spans="1:33" x14ac:dyDescent="0.2">
      <c r="A102">
        <v>10</v>
      </c>
      <c r="B102">
        <v>216</v>
      </c>
      <c r="C102">
        <v>15</v>
      </c>
      <c r="D102">
        <v>3</v>
      </c>
      <c r="E102">
        <v>1</v>
      </c>
      <c r="F102">
        <v>15</v>
      </c>
      <c r="G102">
        <v>50</v>
      </c>
      <c r="H102">
        <v>90.12</v>
      </c>
      <c r="I102">
        <v>98.7</v>
      </c>
      <c r="J102">
        <v>0.3</v>
      </c>
      <c r="K102">
        <v>71096</v>
      </c>
      <c r="L102">
        <v>108959</v>
      </c>
      <c r="M102">
        <v>25510</v>
      </c>
      <c r="N102">
        <v>13018</v>
      </c>
      <c r="O102">
        <v>4890</v>
      </c>
      <c r="P102">
        <v>41668</v>
      </c>
      <c r="Q102">
        <v>3202</v>
      </c>
      <c r="R102">
        <v>38212</v>
      </c>
      <c r="S102">
        <v>36900485.233308397</v>
      </c>
      <c r="T102">
        <v>44207682.968072601</v>
      </c>
      <c r="U102">
        <v>7307197.7347641299</v>
      </c>
      <c r="V102">
        <v>10308108.669684101</v>
      </c>
      <c r="W102">
        <v>0</v>
      </c>
      <c r="X102">
        <v>3450</v>
      </c>
      <c r="Y102">
        <v>2341</v>
      </c>
      <c r="Z102">
        <v>0</v>
      </c>
      <c r="AA102">
        <v>18720599.074388001</v>
      </c>
      <c r="AB102">
        <v>8362795.5</v>
      </c>
      <c r="AC102" s="2">
        <f t="shared" si="2"/>
        <v>10357803.574388001</v>
      </c>
      <c r="AD102" s="2">
        <f t="shared" si="3"/>
        <v>207156.07148776003</v>
      </c>
      <c r="AE102">
        <v>50</v>
      </c>
      <c r="AF102">
        <v>767</v>
      </c>
      <c r="AG102" t="b">
        <v>1</v>
      </c>
    </row>
    <row r="103" spans="1:33" x14ac:dyDescent="0.2">
      <c r="A103">
        <v>10</v>
      </c>
      <c r="B103">
        <v>218</v>
      </c>
      <c r="C103">
        <v>15</v>
      </c>
      <c r="D103">
        <v>3</v>
      </c>
      <c r="E103">
        <v>1</v>
      </c>
      <c r="F103">
        <v>15</v>
      </c>
      <c r="G103">
        <v>50</v>
      </c>
      <c r="H103">
        <v>45.06</v>
      </c>
      <c r="I103">
        <v>49.35</v>
      </c>
      <c r="J103">
        <v>0.3</v>
      </c>
      <c r="K103">
        <v>67236</v>
      </c>
      <c r="L103">
        <v>109326</v>
      </c>
      <c r="M103">
        <v>25227</v>
      </c>
      <c r="N103">
        <v>13075</v>
      </c>
      <c r="O103">
        <v>34992</v>
      </c>
      <c r="P103">
        <v>39313</v>
      </c>
      <c r="Q103">
        <v>3152</v>
      </c>
      <c r="R103">
        <v>38376</v>
      </c>
      <c r="S103">
        <v>36933249.662123702</v>
      </c>
      <c r="T103">
        <v>25350914.749671999</v>
      </c>
      <c r="U103">
        <v>-11582334.912451699</v>
      </c>
      <c r="V103">
        <v>10796713.8331175</v>
      </c>
      <c r="W103">
        <v>0</v>
      </c>
      <c r="X103">
        <v>3489</v>
      </c>
      <c r="Y103">
        <v>2364</v>
      </c>
      <c r="Z103">
        <v>0</v>
      </c>
      <c r="AA103">
        <v>7493332.7819590196</v>
      </c>
      <c r="AB103">
        <v>8362795.5</v>
      </c>
      <c r="AC103" s="2">
        <f t="shared" si="2"/>
        <v>-869462.7180409804</v>
      </c>
      <c r="AD103" s="2">
        <f t="shared" si="3"/>
        <v>-17389.254360819607</v>
      </c>
      <c r="AE103">
        <v>50</v>
      </c>
      <c r="AF103">
        <v>775</v>
      </c>
      <c r="AG103" t="b">
        <v>1</v>
      </c>
    </row>
    <row r="104" spans="1:33" x14ac:dyDescent="0.2">
      <c r="A104">
        <v>10</v>
      </c>
      <c r="B104">
        <v>221</v>
      </c>
      <c r="C104">
        <v>15</v>
      </c>
      <c r="D104">
        <v>3</v>
      </c>
      <c r="E104">
        <v>1</v>
      </c>
      <c r="F104">
        <v>30</v>
      </c>
      <c r="G104">
        <v>50</v>
      </c>
      <c r="H104">
        <v>90.12</v>
      </c>
      <c r="I104">
        <v>98.7</v>
      </c>
      <c r="J104">
        <v>0.3</v>
      </c>
      <c r="K104">
        <v>75199</v>
      </c>
      <c r="L104">
        <v>108158</v>
      </c>
      <c r="M104">
        <v>25600</v>
      </c>
      <c r="N104">
        <v>13110</v>
      </c>
      <c r="O104">
        <v>27653</v>
      </c>
      <c r="P104">
        <v>41906</v>
      </c>
      <c r="Q104">
        <v>3192</v>
      </c>
      <c r="R104">
        <v>38231</v>
      </c>
      <c r="S104">
        <v>48494183.115060002</v>
      </c>
      <c r="T104">
        <v>47538622.279030003</v>
      </c>
      <c r="U104">
        <v>-955560.83602998406</v>
      </c>
      <c r="V104">
        <v>22438439.547102898</v>
      </c>
      <c r="W104">
        <v>0</v>
      </c>
      <c r="X104">
        <v>3496</v>
      </c>
      <c r="Y104">
        <v>4680</v>
      </c>
      <c r="Z104">
        <v>0</v>
      </c>
      <c r="AA104">
        <v>13116528.9711025</v>
      </c>
      <c r="AB104">
        <v>8362795.5</v>
      </c>
      <c r="AC104" s="2">
        <f t="shared" si="2"/>
        <v>4753733.4711025003</v>
      </c>
      <c r="AD104" s="2">
        <f t="shared" si="3"/>
        <v>95074.669422050007</v>
      </c>
      <c r="AE104">
        <v>50</v>
      </c>
      <c r="AF104">
        <v>626</v>
      </c>
      <c r="AG104" t="b">
        <v>1</v>
      </c>
    </row>
    <row r="105" spans="1:33" x14ac:dyDescent="0.2">
      <c r="A105">
        <v>10</v>
      </c>
      <c r="B105">
        <v>227</v>
      </c>
      <c r="C105">
        <v>15</v>
      </c>
      <c r="D105">
        <v>3</v>
      </c>
      <c r="E105">
        <v>1</v>
      </c>
      <c r="F105">
        <v>30</v>
      </c>
      <c r="G105">
        <v>50</v>
      </c>
      <c r="H105">
        <v>45.06</v>
      </c>
      <c r="I105">
        <v>49.35</v>
      </c>
      <c r="J105">
        <v>0.3</v>
      </c>
      <c r="K105">
        <v>77744</v>
      </c>
      <c r="L105">
        <v>112457</v>
      </c>
      <c r="M105">
        <v>25082</v>
      </c>
      <c r="N105">
        <v>13155</v>
      </c>
      <c r="O105">
        <v>23122</v>
      </c>
      <c r="P105">
        <v>35720</v>
      </c>
      <c r="Q105">
        <v>3778</v>
      </c>
      <c r="R105">
        <v>38006</v>
      </c>
      <c r="S105">
        <v>50594843.725469001</v>
      </c>
      <c r="T105">
        <v>30998854.485293001</v>
      </c>
      <c r="U105">
        <v>-19595989.240176</v>
      </c>
      <c r="V105">
        <v>23496909.369991001</v>
      </c>
      <c r="W105">
        <v>0</v>
      </c>
      <c r="X105">
        <v>3618</v>
      </c>
      <c r="Y105">
        <v>4832</v>
      </c>
      <c r="Z105">
        <v>0</v>
      </c>
      <c r="AA105">
        <v>9072905.5900607109</v>
      </c>
      <c r="AB105">
        <v>8362795.5</v>
      </c>
      <c r="AC105" s="2">
        <f t="shared" si="2"/>
        <v>710110.09006071091</v>
      </c>
      <c r="AD105" s="2">
        <f t="shared" si="3"/>
        <v>14202.201801214218</v>
      </c>
      <c r="AE105">
        <v>50</v>
      </c>
      <c r="AF105">
        <v>543</v>
      </c>
      <c r="AG105" t="b">
        <v>1</v>
      </c>
    </row>
    <row r="106" spans="1:33" x14ac:dyDescent="0.2">
      <c r="A106">
        <v>10</v>
      </c>
      <c r="B106">
        <v>219</v>
      </c>
      <c r="C106">
        <v>15</v>
      </c>
      <c r="D106">
        <v>1</v>
      </c>
      <c r="E106">
        <v>3</v>
      </c>
      <c r="F106">
        <v>15</v>
      </c>
      <c r="G106">
        <v>50</v>
      </c>
      <c r="H106">
        <v>90.12</v>
      </c>
      <c r="I106">
        <v>98.7</v>
      </c>
      <c r="J106">
        <v>0.3</v>
      </c>
      <c r="K106">
        <v>66437</v>
      </c>
      <c r="L106">
        <v>108611</v>
      </c>
      <c r="M106">
        <v>25505</v>
      </c>
      <c r="N106">
        <v>12985</v>
      </c>
      <c r="O106">
        <v>29269</v>
      </c>
      <c r="P106">
        <v>42779</v>
      </c>
      <c r="Q106">
        <v>3077</v>
      </c>
      <c r="R106">
        <v>38040</v>
      </c>
      <c r="S106">
        <v>35279297.496927001</v>
      </c>
      <c r="T106">
        <v>38865913.0166732</v>
      </c>
      <c r="U106">
        <v>3586615.5197462798</v>
      </c>
      <c r="V106">
        <v>10543696.5370482</v>
      </c>
      <c r="W106">
        <v>0</v>
      </c>
      <c r="X106">
        <v>3483</v>
      </c>
      <c r="Y106">
        <v>2283</v>
      </c>
      <c r="Z106">
        <v>0</v>
      </c>
      <c r="AA106">
        <v>12108055.6128029</v>
      </c>
      <c r="AB106">
        <v>8362795.5</v>
      </c>
      <c r="AC106" s="2">
        <f t="shared" si="2"/>
        <v>3745260.1128029004</v>
      </c>
      <c r="AD106" s="2">
        <f t="shared" si="3"/>
        <v>74905.202256058008</v>
      </c>
      <c r="AE106">
        <v>50</v>
      </c>
      <c r="AF106">
        <v>803</v>
      </c>
      <c r="AG106" t="b">
        <v>1</v>
      </c>
    </row>
    <row r="107" spans="1:33" x14ac:dyDescent="0.2">
      <c r="A107">
        <v>10</v>
      </c>
      <c r="B107">
        <v>218</v>
      </c>
      <c r="C107">
        <v>15</v>
      </c>
      <c r="D107">
        <v>1</v>
      </c>
      <c r="E107">
        <v>3</v>
      </c>
      <c r="F107">
        <v>15</v>
      </c>
      <c r="G107">
        <v>50</v>
      </c>
      <c r="H107">
        <v>45.06</v>
      </c>
      <c r="I107">
        <v>49.35</v>
      </c>
      <c r="J107">
        <v>0.3</v>
      </c>
      <c r="K107">
        <v>67249</v>
      </c>
      <c r="L107">
        <v>109430</v>
      </c>
      <c r="M107">
        <v>25140</v>
      </c>
      <c r="N107">
        <v>13089</v>
      </c>
      <c r="O107">
        <v>34884</v>
      </c>
      <c r="P107">
        <v>39664</v>
      </c>
      <c r="Q107">
        <v>3159</v>
      </c>
      <c r="R107">
        <v>38197</v>
      </c>
      <c r="S107">
        <v>38513652.439644597</v>
      </c>
      <c r="T107">
        <v>28766987.704115398</v>
      </c>
      <c r="U107">
        <v>-9746664.7355291806</v>
      </c>
      <c r="V107">
        <v>12683548.668361301</v>
      </c>
      <c r="W107">
        <v>0</v>
      </c>
      <c r="X107">
        <v>3480</v>
      </c>
      <c r="Y107">
        <v>2309</v>
      </c>
      <c r="Z107">
        <v>0</v>
      </c>
      <c r="AA107">
        <v>10809443.9746118</v>
      </c>
      <c r="AB107">
        <v>8362795.5</v>
      </c>
      <c r="AC107" s="2">
        <f t="shared" si="2"/>
        <v>2446648.4746118002</v>
      </c>
      <c r="AD107" s="2">
        <f t="shared" si="3"/>
        <v>48932.969492236007</v>
      </c>
      <c r="AE107">
        <v>50</v>
      </c>
      <c r="AF107">
        <v>673</v>
      </c>
      <c r="AG107" t="b">
        <v>1</v>
      </c>
    </row>
    <row r="108" spans="1:33" x14ac:dyDescent="0.2">
      <c r="A108">
        <v>10</v>
      </c>
      <c r="B108">
        <v>219</v>
      </c>
      <c r="C108">
        <v>15</v>
      </c>
      <c r="D108">
        <v>1</v>
      </c>
      <c r="E108">
        <v>3</v>
      </c>
      <c r="F108">
        <v>30</v>
      </c>
      <c r="G108">
        <v>50</v>
      </c>
      <c r="H108">
        <v>90.12</v>
      </c>
      <c r="I108">
        <v>98.7</v>
      </c>
      <c r="J108">
        <v>0.3</v>
      </c>
      <c r="K108">
        <v>66747</v>
      </c>
      <c r="L108">
        <v>109939</v>
      </c>
      <c r="M108">
        <v>25970</v>
      </c>
      <c r="N108">
        <v>13016</v>
      </c>
      <c r="O108">
        <v>29392</v>
      </c>
      <c r="P108">
        <v>43637</v>
      </c>
      <c r="Q108">
        <v>3369</v>
      </c>
      <c r="R108">
        <v>38338</v>
      </c>
      <c r="S108">
        <v>48310465.655351698</v>
      </c>
      <c r="T108">
        <v>50856527.421485297</v>
      </c>
      <c r="U108">
        <v>2546061.7661335599</v>
      </c>
      <c r="V108">
        <v>22756492.816640399</v>
      </c>
      <c r="W108">
        <v>0</v>
      </c>
      <c r="X108">
        <v>3444</v>
      </c>
      <c r="Y108">
        <v>4601</v>
      </c>
      <c r="Z108">
        <v>0</v>
      </c>
      <c r="AA108">
        <v>17041571.6926127</v>
      </c>
      <c r="AB108">
        <v>8362795.5</v>
      </c>
      <c r="AC108" s="2">
        <f t="shared" si="2"/>
        <v>8678776.1926127002</v>
      </c>
      <c r="AD108" s="2">
        <f t="shared" si="3"/>
        <v>173575.523852254</v>
      </c>
      <c r="AE108">
        <v>50</v>
      </c>
      <c r="AF108">
        <v>551</v>
      </c>
      <c r="AG108" t="b">
        <v>1</v>
      </c>
    </row>
    <row r="109" spans="1:33" x14ac:dyDescent="0.2">
      <c r="A109">
        <v>10</v>
      </c>
      <c r="B109">
        <v>214</v>
      </c>
      <c r="C109">
        <v>15</v>
      </c>
      <c r="D109">
        <v>1</v>
      </c>
      <c r="E109">
        <v>3</v>
      </c>
      <c r="F109">
        <v>30</v>
      </c>
      <c r="G109">
        <v>50</v>
      </c>
      <c r="H109">
        <v>45.06</v>
      </c>
      <c r="I109">
        <v>49.35</v>
      </c>
      <c r="J109">
        <v>0.3</v>
      </c>
      <c r="K109">
        <v>82139</v>
      </c>
      <c r="L109">
        <v>104046</v>
      </c>
      <c r="M109">
        <v>26262</v>
      </c>
      <c r="N109">
        <v>12967</v>
      </c>
      <c r="O109">
        <v>5306</v>
      </c>
      <c r="P109">
        <v>44592</v>
      </c>
      <c r="Q109">
        <v>3303</v>
      </c>
      <c r="R109">
        <v>38553</v>
      </c>
      <c r="S109">
        <v>46617398.065269999</v>
      </c>
      <c r="T109">
        <v>28954153.6117681</v>
      </c>
      <c r="U109">
        <v>-17663244.453501798</v>
      </c>
      <c r="V109">
        <v>23053149.774319399</v>
      </c>
      <c r="W109">
        <v>0</v>
      </c>
      <c r="X109">
        <v>3348</v>
      </c>
      <c r="Y109">
        <v>4480</v>
      </c>
      <c r="Z109">
        <v>0</v>
      </c>
      <c r="AA109">
        <v>8500052.5515435096</v>
      </c>
      <c r="AB109">
        <v>8362795.5</v>
      </c>
      <c r="AC109" s="2">
        <f t="shared" si="2"/>
        <v>137257.05154350959</v>
      </c>
      <c r="AD109" s="2">
        <f t="shared" si="3"/>
        <v>2745.1410308701916</v>
      </c>
      <c r="AE109">
        <v>50</v>
      </c>
      <c r="AF109">
        <v>612</v>
      </c>
      <c r="AG109" t="b">
        <v>1</v>
      </c>
    </row>
    <row r="110" spans="1:33" x14ac:dyDescent="0.2">
      <c r="A110" s="1">
        <v>10</v>
      </c>
      <c r="B110" s="1">
        <v>215</v>
      </c>
      <c r="C110" s="1">
        <v>15</v>
      </c>
      <c r="D110" s="1">
        <v>1</v>
      </c>
      <c r="E110" s="1">
        <v>1</v>
      </c>
      <c r="F110" s="1">
        <v>15</v>
      </c>
      <c r="G110" s="1">
        <v>50</v>
      </c>
      <c r="H110" s="1">
        <v>90.12</v>
      </c>
      <c r="I110" s="1">
        <v>98.7</v>
      </c>
      <c r="J110" s="1">
        <v>0.3</v>
      </c>
      <c r="K110" s="1">
        <v>76775</v>
      </c>
      <c r="L110" s="1">
        <v>105230</v>
      </c>
      <c r="M110" s="1">
        <v>25406</v>
      </c>
      <c r="N110" s="1">
        <v>13029</v>
      </c>
      <c r="O110" s="1">
        <v>5253</v>
      </c>
      <c r="P110" s="1">
        <v>42591</v>
      </c>
      <c r="Q110" s="1">
        <v>3114</v>
      </c>
      <c r="R110" s="1">
        <v>38386</v>
      </c>
      <c r="S110" s="1">
        <v>36394592.4257375</v>
      </c>
      <c r="T110" s="1">
        <v>47119967.583480701</v>
      </c>
      <c r="U110" s="1">
        <v>10725375.157743201</v>
      </c>
      <c r="V110" s="1">
        <v>10848259.829345001</v>
      </c>
      <c r="W110" s="1">
        <v>0</v>
      </c>
      <c r="X110" s="1">
        <v>3412</v>
      </c>
      <c r="Y110" s="1">
        <v>2262</v>
      </c>
      <c r="Z110" s="1">
        <v>0</v>
      </c>
      <c r="AA110" s="1">
        <v>20660188.789602999</v>
      </c>
      <c r="AB110" s="1">
        <v>8362795.5</v>
      </c>
      <c r="AC110" s="3">
        <f t="shared" si="2"/>
        <v>12297393.289602999</v>
      </c>
      <c r="AD110" s="2">
        <f t="shared" si="3"/>
        <v>245947.86579205998</v>
      </c>
      <c r="AE110" s="1">
        <v>50</v>
      </c>
      <c r="AF110" s="1">
        <v>712</v>
      </c>
      <c r="AG110" s="1" t="b">
        <v>1</v>
      </c>
    </row>
    <row r="111" spans="1:33" x14ac:dyDescent="0.2">
      <c r="A111">
        <v>10</v>
      </c>
      <c r="B111">
        <v>218</v>
      </c>
      <c r="C111">
        <v>15</v>
      </c>
      <c r="D111">
        <v>1</v>
      </c>
      <c r="E111">
        <v>1</v>
      </c>
      <c r="F111">
        <v>15</v>
      </c>
      <c r="G111">
        <v>50</v>
      </c>
      <c r="H111">
        <v>45.06</v>
      </c>
      <c r="I111">
        <v>49.35</v>
      </c>
      <c r="J111">
        <v>0.3</v>
      </c>
      <c r="K111">
        <v>67405</v>
      </c>
      <c r="L111">
        <v>109488</v>
      </c>
      <c r="M111">
        <v>25164</v>
      </c>
      <c r="N111">
        <v>13027</v>
      </c>
      <c r="O111">
        <v>34934</v>
      </c>
      <c r="P111">
        <v>39532</v>
      </c>
      <c r="Q111">
        <v>3167</v>
      </c>
      <c r="R111">
        <v>38235</v>
      </c>
      <c r="S111">
        <v>37994174.486437201</v>
      </c>
      <c r="T111">
        <v>27841873.535813399</v>
      </c>
      <c r="U111">
        <v>-10152300.9506237</v>
      </c>
      <c r="V111">
        <v>11933027.5023244</v>
      </c>
      <c r="W111">
        <v>0</v>
      </c>
      <c r="X111">
        <v>3463</v>
      </c>
      <c r="Y111">
        <v>2302</v>
      </c>
      <c r="Z111">
        <v>0</v>
      </c>
      <c r="AA111">
        <v>8284284.7662291499</v>
      </c>
      <c r="AB111">
        <v>8362795.5</v>
      </c>
      <c r="AC111" s="2">
        <f t="shared" si="2"/>
        <v>-78510.733770850115</v>
      </c>
      <c r="AD111" s="2">
        <f t="shared" si="3"/>
        <v>-1570.2146754170024</v>
      </c>
      <c r="AE111">
        <v>50</v>
      </c>
      <c r="AF111">
        <v>649</v>
      </c>
      <c r="AG111" t="b">
        <v>1</v>
      </c>
    </row>
    <row r="112" spans="1:33" x14ac:dyDescent="0.2">
      <c r="A112">
        <v>10</v>
      </c>
      <c r="B112">
        <v>220</v>
      </c>
      <c r="C112">
        <v>15</v>
      </c>
      <c r="D112">
        <v>1</v>
      </c>
      <c r="E112">
        <v>1</v>
      </c>
      <c r="F112">
        <v>30</v>
      </c>
      <c r="G112">
        <v>50</v>
      </c>
      <c r="H112">
        <v>90.12</v>
      </c>
      <c r="I112">
        <v>98.7</v>
      </c>
      <c r="J112">
        <v>0.3</v>
      </c>
      <c r="K112">
        <v>66327</v>
      </c>
      <c r="L112">
        <v>108557</v>
      </c>
      <c r="M112">
        <v>25635</v>
      </c>
      <c r="N112">
        <v>13109</v>
      </c>
      <c r="O112">
        <v>28612</v>
      </c>
      <c r="P112">
        <v>42462</v>
      </c>
      <c r="Q112">
        <v>3342</v>
      </c>
      <c r="R112">
        <v>38334</v>
      </c>
      <c r="S112">
        <v>46288324.877170898</v>
      </c>
      <c r="T112">
        <v>41141167.046559602</v>
      </c>
      <c r="U112">
        <v>-5147157.8306112802</v>
      </c>
      <c r="V112">
        <v>21809785.377733201</v>
      </c>
      <c r="W112">
        <v>0</v>
      </c>
      <c r="X112">
        <v>3492</v>
      </c>
      <c r="Y112">
        <v>4590</v>
      </c>
      <c r="Z112">
        <v>0</v>
      </c>
      <c r="AA112">
        <v>11429637.7481404</v>
      </c>
      <c r="AB112">
        <v>8362795.5</v>
      </c>
      <c r="AC112" s="2">
        <f t="shared" si="2"/>
        <v>3066842.2481404003</v>
      </c>
      <c r="AD112" s="2">
        <f t="shared" si="3"/>
        <v>61336.844962808005</v>
      </c>
      <c r="AE112">
        <v>50</v>
      </c>
      <c r="AF112">
        <v>759</v>
      </c>
      <c r="AG112" t="b">
        <v>1</v>
      </c>
    </row>
    <row r="113" spans="1:33" x14ac:dyDescent="0.2">
      <c r="A113">
        <v>10</v>
      </c>
      <c r="B113">
        <v>219</v>
      </c>
      <c r="C113">
        <v>15</v>
      </c>
      <c r="D113">
        <v>1</v>
      </c>
      <c r="E113">
        <v>1</v>
      </c>
      <c r="F113">
        <v>30</v>
      </c>
      <c r="G113">
        <v>50</v>
      </c>
      <c r="H113">
        <v>45.06</v>
      </c>
      <c r="I113">
        <v>49.35</v>
      </c>
      <c r="J113">
        <v>0.3</v>
      </c>
      <c r="K113">
        <v>66922</v>
      </c>
      <c r="L113">
        <v>110482</v>
      </c>
      <c r="M113">
        <v>26058</v>
      </c>
      <c r="N113">
        <v>13008</v>
      </c>
      <c r="O113">
        <v>29417</v>
      </c>
      <c r="P113">
        <v>43485</v>
      </c>
      <c r="Q113">
        <v>3424</v>
      </c>
      <c r="R113">
        <v>38193</v>
      </c>
      <c r="S113">
        <v>49047165.8767545</v>
      </c>
      <c r="T113">
        <v>29934983.074675601</v>
      </c>
      <c r="U113">
        <v>-19112182.802078899</v>
      </c>
      <c r="V113">
        <v>22046951.575263299</v>
      </c>
      <c r="W113">
        <v>0</v>
      </c>
      <c r="X113">
        <v>3460</v>
      </c>
      <c r="Y113">
        <v>4588</v>
      </c>
      <c r="Z113">
        <v>0</v>
      </c>
      <c r="AA113">
        <v>7974301.9509452302</v>
      </c>
      <c r="AB113">
        <v>8362795.5</v>
      </c>
      <c r="AC113" s="2">
        <f t="shared" si="2"/>
        <v>-388493.5490547698</v>
      </c>
      <c r="AD113" s="2">
        <f t="shared" si="3"/>
        <v>-7769.870981095396</v>
      </c>
      <c r="AE113">
        <v>50</v>
      </c>
      <c r="AF113">
        <v>538</v>
      </c>
      <c r="AG113" t="b">
        <v>1</v>
      </c>
    </row>
    <row r="114" spans="1:33" x14ac:dyDescent="0.2">
      <c r="A114">
        <v>10</v>
      </c>
      <c r="B114">
        <v>157</v>
      </c>
      <c r="C114">
        <v>10</v>
      </c>
      <c r="D114">
        <v>3</v>
      </c>
      <c r="E114">
        <v>3</v>
      </c>
      <c r="F114">
        <v>15</v>
      </c>
      <c r="G114">
        <v>50</v>
      </c>
      <c r="H114">
        <v>45.06</v>
      </c>
      <c r="I114">
        <v>49.35</v>
      </c>
      <c r="J114">
        <v>0.3</v>
      </c>
      <c r="K114">
        <v>60887</v>
      </c>
      <c r="L114">
        <v>81180</v>
      </c>
      <c r="M114">
        <v>31820</v>
      </c>
      <c r="N114">
        <v>11142</v>
      </c>
      <c r="O114">
        <v>27213</v>
      </c>
      <c r="P114">
        <v>30126</v>
      </c>
      <c r="Q114">
        <v>4763</v>
      </c>
      <c r="R114">
        <v>37594</v>
      </c>
      <c r="S114">
        <v>28195499.529406499</v>
      </c>
      <c r="T114">
        <v>24021836.3558289</v>
      </c>
      <c r="U114">
        <v>-4173663.1735776002</v>
      </c>
      <c r="V114">
        <v>8944218.2669921592</v>
      </c>
      <c r="W114">
        <v>0</v>
      </c>
      <c r="X114">
        <v>2447</v>
      </c>
      <c r="Y114">
        <v>1670</v>
      </c>
      <c r="Z114">
        <v>0</v>
      </c>
      <c r="AA114">
        <v>7584277.7872077497</v>
      </c>
      <c r="AB114">
        <v>5695647.9999999898</v>
      </c>
      <c r="AC114" s="2">
        <f t="shared" si="2"/>
        <v>1888629.7872077599</v>
      </c>
      <c r="AD114" s="2">
        <f t="shared" si="3"/>
        <v>37772.595744155202</v>
      </c>
      <c r="AE114">
        <v>50</v>
      </c>
      <c r="AF114">
        <v>462</v>
      </c>
      <c r="AG114" t="b">
        <v>1</v>
      </c>
    </row>
    <row r="115" spans="1:33" x14ac:dyDescent="0.2">
      <c r="A115">
        <v>10</v>
      </c>
      <c r="B115">
        <v>159</v>
      </c>
      <c r="C115">
        <v>10</v>
      </c>
      <c r="D115">
        <v>3</v>
      </c>
      <c r="E115">
        <v>3</v>
      </c>
      <c r="F115">
        <v>15</v>
      </c>
      <c r="G115">
        <v>50</v>
      </c>
      <c r="H115">
        <v>90.12</v>
      </c>
      <c r="I115">
        <v>98.7</v>
      </c>
      <c r="J115">
        <v>0.3</v>
      </c>
      <c r="K115">
        <v>59751</v>
      </c>
      <c r="L115">
        <v>79643</v>
      </c>
      <c r="M115">
        <v>31694</v>
      </c>
      <c r="N115">
        <v>11199</v>
      </c>
      <c r="O115">
        <v>6512</v>
      </c>
      <c r="P115">
        <v>48087</v>
      </c>
      <c r="Q115">
        <v>4665</v>
      </c>
      <c r="R115">
        <v>37465</v>
      </c>
      <c r="S115">
        <v>27038447.6851063</v>
      </c>
      <c r="T115">
        <v>37286114.115466699</v>
      </c>
      <c r="U115">
        <v>10247666.430360399</v>
      </c>
      <c r="V115">
        <v>8322387.4417445296</v>
      </c>
      <c r="W115">
        <v>0</v>
      </c>
      <c r="X115">
        <v>2474</v>
      </c>
      <c r="Y115">
        <v>1683</v>
      </c>
      <c r="Z115">
        <v>0</v>
      </c>
      <c r="AA115">
        <v>9729417.1285724193</v>
      </c>
      <c r="AB115">
        <v>5695647.9999999898</v>
      </c>
      <c r="AC115" s="2">
        <f t="shared" si="2"/>
        <v>4033769.1285724295</v>
      </c>
      <c r="AD115" s="2">
        <f t="shared" si="3"/>
        <v>80675.382571448587</v>
      </c>
      <c r="AE115">
        <v>50</v>
      </c>
      <c r="AF115">
        <v>525</v>
      </c>
      <c r="AG115" t="b">
        <v>1</v>
      </c>
    </row>
    <row r="116" spans="1:33" x14ac:dyDescent="0.2">
      <c r="A116">
        <v>10</v>
      </c>
      <c r="B116">
        <v>157</v>
      </c>
      <c r="C116">
        <v>10</v>
      </c>
      <c r="D116">
        <v>3</v>
      </c>
      <c r="E116">
        <v>3</v>
      </c>
      <c r="F116">
        <v>30</v>
      </c>
      <c r="G116">
        <v>50</v>
      </c>
      <c r="H116">
        <v>45.06</v>
      </c>
      <c r="I116">
        <v>49.35</v>
      </c>
      <c r="J116">
        <v>0.3</v>
      </c>
      <c r="K116">
        <v>61467</v>
      </c>
      <c r="L116">
        <v>81817</v>
      </c>
      <c r="M116">
        <v>32519</v>
      </c>
      <c r="N116">
        <v>11206</v>
      </c>
      <c r="O116">
        <v>27122</v>
      </c>
      <c r="P116">
        <v>30669</v>
      </c>
      <c r="Q116">
        <v>4826</v>
      </c>
      <c r="R116">
        <v>37319</v>
      </c>
      <c r="S116">
        <v>36874673.547138304</v>
      </c>
      <c r="T116">
        <v>27247929.175788</v>
      </c>
      <c r="U116">
        <v>-9626744.3713502791</v>
      </c>
      <c r="V116">
        <v>16882120.846648902</v>
      </c>
      <c r="W116">
        <v>0</v>
      </c>
      <c r="X116">
        <v>2444</v>
      </c>
      <c r="Y116">
        <v>3295</v>
      </c>
      <c r="Z116">
        <v>0</v>
      </c>
      <c r="AA116">
        <v>9363298.0882001705</v>
      </c>
      <c r="AB116">
        <v>5695647.9999999898</v>
      </c>
      <c r="AC116" s="2">
        <f t="shared" si="2"/>
        <v>3667650.0882001808</v>
      </c>
      <c r="AD116" s="2">
        <f t="shared" si="3"/>
        <v>73353.001764003609</v>
      </c>
      <c r="AE116">
        <v>50</v>
      </c>
      <c r="AF116">
        <v>341</v>
      </c>
      <c r="AG116" t="b">
        <v>1</v>
      </c>
    </row>
    <row r="117" spans="1:33" x14ac:dyDescent="0.2">
      <c r="A117">
        <v>10</v>
      </c>
      <c r="B117">
        <v>154</v>
      </c>
      <c r="C117">
        <v>10</v>
      </c>
      <c r="D117">
        <v>3</v>
      </c>
      <c r="E117">
        <v>3</v>
      </c>
      <c r="F117">
        <v>30</v>
      </c>
      <c r="G117">
        <v>50</v>
      </c>
      <c r="H117">
        <v>90.12</v>
      </c>
      <c r="I117">
        <v>98.7</v>
      </c>
      <c r="J117">
        <v>0.3</v>
      </c>
      <c r="K117">
        <v>74848</v>
      </c>
      <c r="L117">
        <v>73523</v>
      </c>
      <c r="M117">
        <v>33046</v>
      </c>
      <c r="N117">
        <v>11130</v>
      </c>
      <c r="O117">
        <v>21860</v>
      </c>
      <c r="P117">
        <v>32718</v>
      </c>
      <c r="Q117">
        <v>4851</v>
      </c>
      <c r="R117">
        <v>37559</v>
      </c>
      <c r="S117">
        <v>34834250.653181903</v>
      </c>
      <c r="T117">
        <v>42037733.208424799</v>
      </c>
      <c r="U117">
        <v>7203482.55524287</v>
      </c>
      <c r="V117">
        <v>16030662.788935</v>
      </c>
      <c r="W117">
        <v>0</v>
      </c>
      <c r="X117">
        <v>2392</v>
      </c>
      <c r="Y117">
        <v>3227</v>
      </c>
      <c r="Z117">
        <v>0</v>
      </c>
      <c r="AA117">
        <v>11582147.9118545</v>
      </c>
      <c r="AB117">
        <v>5695647.9999999898</v>
      </c>
      <c r="AC117" s="2">
        <f t="shared" si="2"/>
        <v>5886499.9118545102</v>
      </c>
      <c r="AD117" s="2">
        <f t="shared" si="3"/>
        <v>117729.9982370902</v>
      </c>
      <c r="AE117">
        <v>50</v>
      </c>
      <c r="AF117">
        <v>428</v>
      </c>
      <c r="AG117" t="b">
        <v>1</v>
      </c>
    </row>
    <row r="118" spans="1:33" x14ac:dyDescent="0.2">
      <c r="A118">
        <v>10</v>
      </c>
      <c r="B118">
        <v>156</v>
      </c>
      <c r="C118">
        <v>10</v>
      </c>
      <c r="D118">
        <v>3</v>
      </c>
      <c r="E118">
        <v>1</v>
      </c>
      <c r="F118">
        <v>15</v>
      </c>
      <c r="G118">
        <v>50</v>
      </c>
      <c r="H118">
        <v>45.06</v>
      </c>
      <c r="I118">
        <v>49.35</v>
      </c>
      <c r="J118">
        <v>0.3</v>
      </c>
      <c r="K118">
        <v>64036</v>
      </c>
      <c r="L118">
        <v>80267</v>
      </c>
      <c r="M118">
        <v>32122</v>
      </c>
      <c r="N118">
        <v>11165</v>
      </c>
      <c r="O118">
        <v>20560</v>
      </c>
      <c r="P118">
        <v>30745</v>
      </c>
      <c r="Q118">
        <v>4818</v>
      </c>
      <c r="R118">
        <v>37308</v>
      </c>
      <c r="S118">
        <v>28761564.7879043</v>
      </c>
      <c r="T118">
        <v>24366930.7338094</v>
      </c>
      <c r="U118">
        <v>-4394634.0540949199</v>
      </c>
      <c r="V118">
        <v>8468722.8258324806</v>
      </c>
      <c r="W118">
        <v>0</v>
      </c>
      <c r="X118">
        <v>2421</v>
      </c>
      <c r="Y118">
        <v>1685</v>
      </c>
      <c r="Z118">
        <v>0</v>
      </c>
      <c r="AA118">
        <v>9171997.0604542494</v>
      </c>
      <c r="AB118">
        <v>5695647.9999999898</v>
      </c>
      <c r="AC118" s="2">
        <f t="shared" si="2"/>
        <v>3476349.0604542596</v>
      </c>
      <c r="AD118" s="2">
        <f t="shared" si="3"/>
        <v>69526.981209085192</v>
      </c>
      <c r="AE118">
        <v>50</v>
      </c>
      <c r="AF118">
        <v>476</v>
      </c>
      <c r="AG118" t="b">
        <v>1</v>
      </c>
    </row>
    <row r="119" spans="1:33" x14ac:dyDescent="0.2">
      <c r="A119">
        <v>10</v>
      </c>
      <c r="B119">
        <v>155</v>
      </c>
      <c r="C119">
        <v>10</v>
      </c>
      <c r="D119">
        <v>3</v>
      </c>
      <c r="E119">
        <v>1</v>
      </c>
      <c r="F119">
        <v>15</v>
      </c>
      <c r="G119">
        <v>50</v>
      </c>
      <c r="H119">
        <v>90.12</v>
      </c>
      <c r="I119">
        <v>98.7</v>
      </c>
      <c r="J119">
        <v>0.3</v>
      </c>
      <c r="K119">
        <v>69409</v>
      </c>
      <c r="L119">
        <v>76043</v>
      </c>
      <c r="M119">
        <v>32026</v>
      </c>
      <c r="N119">
        <v>11162</v>
      </c>
      <c r="O119">
        <v>21439</v>
      </c>
      <c r="P119">
        <v>31894</v>
      </c>
      <c r="Q119">
        <v>4706</v>
      </c>
      <c r="R119">
        <v>37563</v>
      </c>
      <c r="S119">
        <v>26704203.357740398</v>
      </c>
      <c r="T119">
        <v>35311211.812885404</v>
      </c>
      <c r="U119">
        <v>8607008.4551449604</v>
      </c>
      <c r="V119">
        <v>7937821.9849208901</v>
      </c>
      <c r="W119">
        <v>0</v>
      </c>
      <c r="X119">
        <v>2400</v>
      </c>
      <c r="Y119">
        <v>1665</v>
      </c>
      <c r="Z119">
        <v>0</v>
      </c>
      <c r="AA119">
        <v>11244624.286627701</v>
      </c>
      <c r="AB119">
        <v>5695647.9999999898</v>
      </c>
      <c r="AC119" s="2">
        <f t="shared" si="2"/>
        <v>5548976.2866277108</v>
      </c>
      <c r="AD119" s="2">
        <f t="shared" si="3"/>
        <v>110979.52573255422</v>
      </c>
      <c r="AE119">
        <v>50</v>
      </c>
      <c r="AF119">
        <v>572</v>
      </c>
      <c r="AG119" t="b">
        <v>1</v>
      </c>
    </row>
    <row r="120" spans="1:33" x14ac:dyDescent="0.2">
      <c r="A120">
        <v>10</v>
      </c>
      <c r="B120">
        <v>157</v>
      </c>
      <c r="C120">
        <v>10</v>
      </c>
      <c r="D120">
        <v>3</v>
      </c>
      <c r="E120">
        <v>1</v>
      </c>
      <c r="F120">
        <v>30</v>
      </c>
      <c r="G120">
        <v>50</v>
      </c>
      <c r="H120">
        <v>45.06</v>
      </c>
      <c r="I120">
        <v>49.35</v>
      </c>
      <c r="J120">
        <v>0.3</v>
      </c>
      <c r="K120">
        <v>61509</v>
      </c>
      <c r="L120">
        <v>81941</v>
      </c>
      <c r="M120">
        <v>32396</v>
      </c>
      <c r="N120">
        <v>11196</v>
      </c>
      <c r="O120">
        <v>27127</v>
      </c>
      <c r="P120">
        <v>30469</v>
      </c>
      <c r="Q120">
        <v>4686</v>
      </c>
      <c r="R120">
        <v>37347</v>
      </c>
      <c r="S120">
        <v>35277106.459473103</v>
      </c>
      <c r="T120">
        <v>22595009.8559049</v>
      </c>
      <c r="U120">
        <v>-12682096.6035682</v>
      </c>
      <c r="V120">
        <v>16154341.3130347</v>
      </c>
      <c r="W120">
        <v>0</v>
      </c>
      <c r="X120">
        <v>2456</v>
      </c>
      <c r="Y120">
        <v>3296</v>
      </c>
      <c r="Z120">
        <v>0</v>
      </c>
      <c r="AA120">
        <v>5085076.7400743496</v>
      </c>
      <c r="AB120">
        <v>5695647.9999999898</v>
      </c>
      <c r="AC120" s="2">
        <f t="shared" si="2"/>
        <v>-610571.25992564019</v>
      </c>
      <c r="AD120" s="2">
        <f t="shared" si="3"/>
        <v>-12211.425198512803</v>
      </c>
      <c r="AE120">
        <v>50</v>
      </c>
      <c r="AF120">
        <v>469</v>
      </c>
      <c r="AG120" t="b">
        <v>1</v>
      </c>
    </row>
    <row r="121" spans="1:33" x14ac:dyDescent="0.2">
      <c r="A121">
        <v>10</v>
      </c>
      <c r="B121">
        <v>154</v>
      </c>
      <c r="C121">
        <v>10</v>
      </c>
      <c r="D121">
        <v>3</v>
      </c>
      <c r="E121">
        <v>1</v>
      </c>
      <c r="F121">
        <v>30</v>
      </c>
      <c r="G121">
        <v>50</v>
      </c>
      <c r="H121">
        <v>90.12</v>
      </c>
      <c r="I121">
        <v>98.7</v>
      </c>
      <c r="J121">
        <v>0.3</v>
      </c>
      <c r="K121">
        <v>74506</v>
      </c>
      <c r="L121">
        <v>73280</v>
      </c>
      <c r="M121">
        <v>32758</v>
      </c>
      <c r="N121">
        <v>11114</v>
      </c>
      <c r="O121">
        <v>21975</v>
      </c>
      <c r="P121">
        <v>33227</v>
      </c>
      <c r="Q121">
        <v>4843</v>
      </c>
      <c r="R121">
        <v>37655</v>
      </c>
      <c r="S121">
        <v>34628629.441862598</v>
      </c>
      <c r="T121">
        <v>39656611.441306897</v>
      </c>
      <c r="U121">
        <v>5027981.9994443199</v>
      </c>
      <c r="V121">
        <v>16189588.846561801</v>
      </c>
      <c r="W121">
        <v>0</v>
      </c>
      <c r="X121">
        <v>2385</v>
      </c>
      <c r="Y121">
        <v>3242</v>
      </c>
      <c r="Z121">
        <v>0</v>
      </c>
      <c r="AA121">
        <v>10447655.591003999</v>
      </c>
      <c r="AB121">
        <v>5695647.9999999898</v>
      </c>
      <c r="AC121" s="2">
        <f t="shared" si="2"/>
        <v>4752007.5910040094</v>
      </c>
      <c r="AD121" s="2">
        <f t="shared" si="3"/>
        <v>95040.15182008018</v>
      </c>
      <c r="AE121">
        <v>50</v>
      </c>
      <c r="AF121">
        <v>475</v>
      </c>
      <c r="AG121" t="b">
        <v>1</v>
      </c>
    </row>
    <row r="122" spans="1:33" x14ac:dyDescent="0.2">
      <c r="A122">
        <v>10</v>
      </c>
      <c r="B122">
        <v>156</v>
      </c>
      <c r="C122">
        <v>10</v>
      </c>
      <c r="D122">
        <v>1</v>
      </c>
      <c r="E122">
        <v>3</v>
      </c>
      <c r="F122">
        <v>15</v>
      </c>
      <c r="G122">
        <v>50</v>
      </c>
      <c r="H122">
        <v>45.06</v>
      </c>
      <c r="I122">
        <v>49.35</v>
      </c>
      <c r="J122">
        <v>0.3</v>
      </c>
      <c r="K122">
        <v>63932</v>
      </c>
      <c r="L122">
        <v>80076</v>
      </c>
      <c r="M122">
        <v>31719</v>
      </c>
      <c r="N122">
        <v>11159</v>
      </c>
      <c r="O122">
        <v>20774</v>
      </c>
      <c r="P122">
        <v>31266</v>
      </c>
      <c r="Q122">
        <v>4774</v>
      </c>
      <c r="R122">
        <v>37401</v>
      </c>
      <c r="S122">
        <v>28263681.197136998</v>
      </c>
      <c r="T122">
        <v>22951451.2170908</v>
      </c>
      <c r="U122">
        <v>-5312229.9800461996</v>
      </c>
      <c r="V122">
        <v>9300063.0754520502</v>
      </c>
      <c r="W122">
        <v>0</v>
      </c>
      <c r="X122">
        <v>2434</v>
      </c>
      <c r="Y122">
        <v>1630</v>
      </c>
      <c r="Z122">
        <v>0</v>
      </c>
      <c r="AA122">
        <v>8862879.4383330997</v>
      </c>
      <c r="AB122">
        <v>5695647.9999999898</v>
      </c>
      <c r="AC122" s="2">
        <f t="shared" si="2"/>
        <v>3167231.43833311</v>
      </c>
      <c r="AD122" s="2">
        <f t="shared" si="3"/>
        <v>63344.628766662201</v>
      </c>
      <c r="AE122">
        <v>50</v>
      </c>
      <c r="AF122">
        <v>512</v>
      </c>
      <c r="AG122" t="b">
        <v>1</v>
      </c>
    </row>
    <row r="123" spans="1:33" x14ac:dyDescent="0.2">
      <c r="A123">
        <v>10</v>
      </c>
      <c r="B123">
        <v>154</v>
      </c>
      <c r="C123">
        <v>10</v>
      </c>
      <c r="D123">
        <v>1</v>
      </c>
      <c r="E123">
        <v>3</v>
      </c>
      <c r="F123">
        <v>15</v>
      </c>
      <c r="G123">
        <v>50</v>
      </c>
      <c r="H123">
        <v>90.12</v>
      </c>
      <c r="I123">
        <v>98.7</v>
      </c>
      <c r="J123">
        <v>0.3</v>
      </c>
      <c r="K123">
        <v>74530</v>
      </c>
      <c r="L123">
        <v>72657</v>
      </c>
      <c r="M123">
        <v>32088</v>
      </c>
      <c r="N123">
        <v>11121</v>
      </c>
      <c r="O123">
        <v>21921</v>
      </c>
      <c r="P123">
        <v>32371</v>
      </c>
      <c r="Q123">
        <v>4924</v>
      </c>
      <c r="R123">
        <v>37480</v>
      </c>
      <c r="S123">
        <v>26605978.429641001</v>
      </c>
      <c r="T123">
        <v>35895245.503313497</v>
      </c>
      <c r="U123">
        <v>9289267.0736725107</v>
      </c>
      <c r="V123">
        <v>9017586.6765397806</v>
      </c>
      <c r="W123">
        <v>0</v>
      </c>
      <c r="X123">
        <v>2393</v>
      </c>
      <c r="Y123">
        <v>1613</v>
      </c>
      <c r="Z123">
        <v>0</v>
      </c>
      <c r="AA123">
        <v>11128173.8925176</v>
      </c>
      <c r="AB123">
        <v>5695647.9999999898</v>
      </c>
      <c r="AC123" s="2">
        <f t="shared" si="2"/>
        <v>5432525.8925176105</v>
      </c>
      <c r="AD123" s="2">
        <f t="shared" si="3"/>
        <v>108650.5178503522</v>
      </c>
      <c r="AE123">
        <v>50</v>
      </c>
      <c r="AF123">
        <v>546</v>
      </c>
      <c r="AG123" t="b">
        <v>1</v>
      </c>
    </row>
    <row r="124" spans="1:33" x14ac:dyDescent="0.2">
      <c r="A124">
        <v>10</v>
      </c>
      <c r="B124">
        <v>161</v>
      </c>
      <c r="C124">
        <v>10</v>
      </c>
      <c r="D124">
        <v>1</v>
      </c>
      <c r="E124">
        <v>3</v>
      </c>
      <c r="F124">
        <v>30</v>
      </c>
      <c r="G124">
        <v>50</v>
      </c>
      <c r="H124">
        <v>45.06</v>
      </c>
      <c r="I124">
        <v>49.35</v>
      </c>
      <c r="J124">
        <v>0.3</v>
      </c>
      <c r="K124">
        <v>66272</v>
      </c>
      <c r="L124">
        <v>79201</v>
      </c>
      <c r="M124">
        <v>31708</v>
      </c>
      <c r="N124">
        <v>11221</v>
      </c>
      <c r="O124">
        <v>6182</v>
      </c>
      <c r="P124">
        <v>45883</v>
      </c>
      <c r="Q124">
        <v>4642</v>
      </c>
      <c r="R124">
        <v>37240</v>
      </c>
      <c r="S124">
        <v>36882735.263782904</v>
      </c>
      <c r="T124">
        <v>24609721.812995601</v>
      </c>
      <c r="U124">
        <v>-12273013.4507873</v>
      </c>
      <c r="V124">
        <v>18704919.659489602</v>
      </c>
      <c r="W124">
        <v>0</v>
      </c>
      <c r="X124">
        <v>2514</v>
      </c>
      <c r="Y124">
        <v>3353</v>
      </c>
      <c r="Z124">
        <v>0</v>
      </c>
      <c r="AA124">
        <v>8767882.9305619001</v>
      </c>
      <c r="AB124">
        <v>5695647.9999999898</v>
      </c>
      <c r="AC124" s="2">
        <f t="shared" si="2"/>
        <v>3072234.9305619104</v>
      </c>
      <c r="AD124" s="2">
        <f t="shared" si="3"/>
        <v>61444.698611238207</v>
      </c>
      <c r="AE124">
        <v>50</v>
      </c>
      <c r="AF124">
        <v>431</v>
      </c>
      <c r="AG124" t="b">
        <v>1</v>
      </c>
    </row>
    <row r="125" spans="1:33" x14ac:dyDescent="0.2">
      <c r="A125">
        <v>10</v>
      </c>
      <c r="B125">
        <v>162</v>
      </c>
      <c r="C125">
        <v>10</v>
      </c>
      <c r="D125">
        <v>1</v>
      </c>
      <c r="E125">
        <v>3</v>
      </c>
      <c r="F125">
        <v>30</v>
      </c>
      <c r="G125">
        <v>50</v>
      </c>
      <c r="H125">
        <v>90.12</v>
      </c>
      <c r="I125">
        <v>98.7</v>
      </c>
      <c r="J125">
        <v>0.3</v>
      </c>
      <c r="K125">
        <v>75411</v>
      </c>
      <c r="L125">
        <v>78498</v>
      </c>
      <c r="M125">
        <v>31639</v>
      </c>
      <c r="N125">
        <v>11360</v>
      </c>
      <c r="O125">
        <v>6039</v>
      </c>
      <c r="P125">
        <v>44687</v>
      </c>
      <c r="Q125">
        <v>4658</v>
      </c>
      <c r="R125">
        <v>37185</v>
      </c>
      <c r="S125">
        <v>37866397.677130699</v>
      </c>
      <c r="T125">
        <v>46310350.039002702</v>
      </c>
      <c r="U125">
        <v>8443952.3618720006</v>
      </c>
      <c r="V125">
        <v>18703971.790360101</v>
      </c>
      <c r="W125">
        <v>0</v>
      </c>
      <c r="X125">
        <v>2523</v>
      </c>
      <c r="Y125">
        <v>3374</v>
      </c>
      <c r="Z125">
        <v>0</v>
      </c>
      <c r="AA125">
        <v>19302296.267535601</v>
      </c>
      <c r="AB125">
        <v>5695647.9999999898</v>
      </c>
      <c r="AC125" s="2">
        <f t="shared" si="2"/>
        <v>13606648.267535612</v>
      </c>
      <c r="AD125" s="2">
        <f t="shared" si="3"/>
        <v>272132.96535071224</v>
      </c>
      <c r="AE125">
        <v>50</v>
      </c>
      <c r="AF125">
        <v>381</v>
      </c>
      <c r="AG125" t="b">
        <v>1</v>
      </c>
    </row>
    <row r="126" spans="1:33" x14ac:dyDescent="0.2">
      <c r="A126">
        <v>10</v>
      </c>
      <c r="B126">
        <v>158</v>
      </c>
      <c r="C126">
        <v>10</v>
      </c>
      <c r="D126">
        <v>1</v>
      </c>
      <c r="E126">
        <v>1</v>
      </c>
      <c r="F126">
        <v>15</v>
      </c>
      <c r="G126">
        <v>50</v>
      </c>
      <c r="H126">
        <v>45.06</v>
      </c>
      <c r="I126">
        <v>49.35</v>
      </c>
      <c r="J126">
        <v>0.3</v>
      </c>
      <c r="K126">
        <v>60364</v>
      </c>
      <c r="L126">
        <v>80304</v>
      </c>
      <c r="M126">
        <v>31777</v>
      </c>
      <c r="N126">
        <v>11169</v>
      </c>
      <c r="O126">
        <v>26415</v>
      </c>
      <c r="P126">
        <v>29519</v>
      </c>
      <c r="Q126">
        <v>4716</v>
      </c>
      <c r="R126">
        <v>37416</v>
      </c>
      <c r="S126">
        <v>27004404.5002767</v>
      </c>
      <c r="T126">
        <v>19885415.543485198</v>
      </c>
      <c r="U126">
        <v>-7118988.9567914903</v>
      </c>
      <c r="V126">
        <v>9173795.9984365106</v>
      </c>
      <c r="W126">
        <v>0</v>
      </c>
      <c r="X126">
        <v>2466</v>
      </c>
      <c r="Y126">
        <v>1656</v>
      </c>
      <c r="Z126">
        <v>0</v>
      </c>
      <c r="AA126">
        <v>5043628.6454064902</v>
      </c>
      <c r="AB126">
        <v>5695647.9999999898</v>
      </c>
      <c r="AC126" s="2">
        <f t="shared" si="2"/>
        <v>-652019.35459349956</v>
      </c>
      <c r="AD126" s="2">
        <f t="shared" si="3"/>
        <v>-13040.38709186999</v>
      </c>
      <c r="AE126">
        <v>50</v>
      </c>
      <c r="AF126">
        <v>578</v>
      </c>
      <c r="AG126" t="b">
        <v>1</v>
      </c>
    </row>
    <row r="127" spans="1:33" x14ac:dyDescent="0.2">
      <c r="A127">
        <v>10</v>
      </c>
      <c r="B127">
        <v>159</v>
      </c>
      <c r="C127">
        <v>10</v>
      </c>
      <c r="D127">
        <v>1</v>
      </c>
      <c r="E127">
        <v>1</v>
      </c>
      <c r="F127">
        <v>15</v>
      </c>
      <c r="G127">
        <v>50</v>
      </c>
      <c r="H127">
        <v>90.12</v>
      </c>
      <c r="I127">
        <v>98.7</v>
      </c>
      <c r="J127">
        <v>0.3</v>
      </c>
      <c r="K127">
        <v>59639</v>
      </c>
      <c r="L127">
        <v>79327</v>
      </c>
      <c r="M127">
        <v>31850</v>
      </c>
      <c r="N127">
        <v>11217</v>
      </c>
      <c r="O127">
        <v>6533</v>
      </c>
      <c r="P127">
        <v>48208</v>
      </c>
      <c r="Q127">
        <v>4630</v>
      </c>
      <c r="R127">
        <v>37475</v>
      </c>
      <c r="S127">
        <v>26576047.711718898</v>
      </c>
      <c r="T127">
        <v>33259098.689709</v>
      </c>
      <c r="U127">
        <v>6683050.9779901197</v>
      </c>
      <c r="V127">
        <v>8536772.3655629605</v>
      </c>
      <c r="W127">
        <v>0</v>
      </c>
      <c r="X127">
        <v>2497</v>
      </c>
      <c r="Y127">
        <v>1653</v>
      </c>
      <c r="Z127">
        <v>0</v>
      </c>
      <c r="AA127">
        <v>7565291.5493179597</v>
      </c>
      <c r="AB127">
        <v>5695647.9999999898</v>
      </c>
      <c r="AC127" s="2">
        <f t="shared" si="2"/>
        <v>1869643.5493179699</v>
      </c>
      <c r="AD127" s="2">
        <f t="shared" si="3"/>
        <v>37392.870986359398</v>
      </c>
      <c r="AE127">
        <v>50</v>
      </c>
      <c r="AF127">
        <v>569</v>
      </c>
      <c r="AG127" t="b">
        <v>1</v>
      </c>
    </row>
    <row r="128" spans="1:33" x14ac:dyDescent="0.2">
      <c r="A128">
        <v>10</v>
      </c>
      <c r="B128">
        <v>158</v>
      </c>
      <c r="C128">
        <v>10</v>
      </c>
      <c r="D128">
        <v>1</v>
      </c>
      <c r="E128">
        <v>1</v>
      </c>
      <c r="F128">
        <v>30</v>
      </c>
      <c r="G128">
        <v>50</v>
      </c>
      <c r="H128">
        <v>45.06</v>
      </c>
      <c r="I128">
        <v>49.35</v>
      </c>
      <c r="J128">
        <v>0.3</v>
      </c>
      <c r="K128">
        <v>60644</v>
      </c>
      <c r="L128">
        <v>81439</v>
      </c>
      <c r="M128">
        <v>31893</v>
      </c>
      <c r="N128">
        <v>11247</v>
      </c>
      <c r="O128">
        <v>26320</v>
      </c>
      <c r="P128">
        <v>30071</v>
      </c>
      <c r="Q128">
        <v>4772</v>
      </c>
      <c r="R128">
        <v>37306</v>
      </c>
      <c r="S128">
        <v>36594963.118134797</v>
      </c>
      <c r="T128">
        <v>24053925.6845771</v>
      </c>
      <c r="U128">
        <v>-12541037.4335576</v>
      </c>
      <c r="V128">
        <v>17710513.648871802</v>
      </c>
      <c r="W128">
        <v>0</v>
      </c>
      <c r="X128">
        <v>2454</v>
      </c>
      <c r="Y128">
        <v>3275</v>
      </c>
      <c r="Z128">
        <v>0</v>
      </c>
      <c r="AA128">
        <v>9404356.9071934707</v>
      </c>
      <c r="AB128">
        <v>5695647.9999999898</v>
      </c>
      <c r="AC128" s="2">
        <f t="shared" si="2"/>
        <v>3708708.907193481</v>
      </c>
      <c r="AD128" s="2">
        <f t="shared" si="3"/>
        <v>74174.17814386962</v>
      </c>
      <c r="AE128">
        <v>50</v>
      </c>
      <c r="AF128">
        <v>459</v>
      </c>
      <c r="AG128" t="b">
        <v>1</v>
      </c>
    </row>
    <row r="129" spans="1:33" x14ac:dyDescent="0.2">
      <c r="A129">
        <v>10</v>
      </c>
      <c r="B129">
        <v>157</v>
      </c>
      <c r="C129">
        <v>10</v>
      </c>
      <c r="D129">
        <v>1</v>
      </c>
      <c r="E129">
        <v>1</v>
      </c>
      <c r="F129">
        <v>30</v>
      </c>
      <c r="G129">
        <v>50</v>
      </c>
      <c r="H129">
        <v>90.12</v>
      </c>
      <c r="I129">
        <v>98.7</v>
      </c>
      <c r="J129">
        <v>0.3</v>
      </c>
      <c r="K129">
        <v>61391</v>
      </c>
      <c r="L129">
        <v>81723</v>
      </c>
      <c r="M129">
        <v>32251</v>
      </c>
      <c r="N129">
        <v>11231</v>
      </c>
      <c r="O129">
        <v>27187</v>
      </c>
      <c r="P129">
        <v>30694</v>
      </c>
      <c r="Q129">
        <v>4816</v>
      </c>
      <c r="R129">
        <v>37510</v>
      </c>
      <c r="S129">
        <v>33761086.425325699</v>
      </c>
      <c r="T129">
        <v>34327769.446578696</v>
      </c>
      <c r="U129">
        <v>566683.02125297405</v>
      </c>
      <c r="V129">
        <v>16280107.232778201</v>
      </c>
      <c r="W129">
        <v>0</v>
      </c>
      <c r="X129">
        <v>2448</v>
      </c>
      <c r="Y129">
        <v>3275</v>
      </c>
      <c r="Z129">
        <v>0</v>
      </c>
      <c r="AA129">
        <v>9536472.5573194809</v>
      </c>
      <c r="AB129">
        <v>5695647.9999999898</v>
      </c>
      <c r="AC129" s="2">
        <f t="shared" si="2"/>
        <v>3840824.5573194912</v>
      </c>
      <c r="AD129" s="2">
        <f t="shared" si="3"/>
        <v>76816.491146389817</v>
      </c>
      <c r="AE129">
        <v>50</v>
      </c>
      <c r="AF129">
        <v>566</v>
      </c>
      <c r="AG129" t="b">
        <v>1</v>
      </c>
    </row>
    <row r="130" spans="1:33" x14ac:dyDescent="0.2">
      <c r="A130">
        <v>10</v>
      </c>
      <c r="B130">
        <v>188</v>
      </c>
      <c r="C130">
        <v>15</v>
      </c>
      <c r="D130">
        <v>3</v>
      </c>
      <c r="E130">
        <v>3</v>
      </c>
      <c r="F130">
        <v>30</v>
      </c>
      <c r="G130">
        <v>5</v>
      </c>
      <c r="H130">
        <v>45.06</v>
      </c>
      <c r="I130">
        <v>49.35</v>
      </c>
      <c r="J130">
        <v>0.4</v>
      </c>
      <c r="K130">
        <v>73201</v>
      </c>
      <c r="L130">
        <v>80143</v>
      </c>
      <c r="M130">
        <v>27706</v>
      </c>
      <c r="N130">
        <v>9613</v>
      </c>
      <c r="O130">
        <v>4666</v>
      </c>
      <c r="P130">
        <v>35978</v>
      </c>
      <c r="Q130">
        <v>3883</v>
      </c>
      <c r="R130">
        <v>29728</v>
      </c>
      <c r="S130">
        <v>10806189.4214107</v>
      </c>
      <c r="T130">
        <v>4562060.5937548503</v>
      </c>
      <c r="U130">
        <v>-6244128.82765585</v>
      </c>
      <c r="V130">
        <v>7755040.2873828001</v>
      </c>
      <c r="W130">
        <v>169541653.29869601</v>
      </c>
      <c r="X130">
        <v>421</v>
      </c>
      <c r="Y130">
        <v>1763</v>
      </c>
      <c r="Z130">
        <v>1774</v>
      </c>
      <c r="AA130">
        <v>1189562.9402638201</v>
      </c>
      <c r="AB130">
        <v>836279.55</v>
      </c>
      <c r="AC130">
        <f t="shared" si="2"/>
        <v>353283.39026382007</v>
      </c>
      <c r="AD130">
        <f t="shared" si="3"/>
        <v>70656.678052764008</v>
      </c>
      <c r="AE130">
        <v>5</v>
      </c>
      <c r="AF130">
        <v>0</v>
      </c>
      <c r="AG130" t="b">
        <v>1</v>
      </c>
    </row>
    <row r="131" spans="1:33" x14ac:dyDescent="0.2">
      <c r="A131">
        <v>10</v>
      </c>
      <c r="B131">
        <v>188</v>
      </c>
      <c r="C131">
        <v>15</v>
      </c>
      <c r="D131">
        <v>3</v>
      </c>
      <c r="E131">
        <v>3</v>
      </c>
      <c r="F131">
        <v>30</v>
      </c>
      <c r="G131">
        <v>5</v>
      </c>
      <c r="H131">
        <v>90.12</v>
      </c>
      <c r="I131">
        <v>98.7</v>
      </c>
      <c r="J131">
        <v>0.4</v>
      </c>
      <c r="K131">
        <v>72883</v>
      </c>
      <c r="L131">
        <v>80273</v>
      </c>
      <c r="M131">
        <v>27462</v>
      </c>
      <c r="N131">
        <v>9476</v>
      </c>
      <c r="O131">
        <v>4724</v>
      </c>
      <c r="P131">
        <v>36180</v>
      </c>
      <c r="Q131">
        <v>3820</v>
      </c>
      <c r="R131">
        <v>29420</v>
      </c>
      <c r="S131">
        <v>10817228.5385169</v>
      </c>
      <c r="T131">
        <v>8287841.6375096999</v>
      </c>
      <c r="U131">
        <v>-2529386.9010072099</v>
      </c>
      <c r="V131">
        <v>8284156.8750839904</v>
      </c>
      <c r="W131">
        <v>356820395.16383803</v>
      </c>
      <c r="X131">
        <v>442</v>
      </c>
      <c r="Y131">
        <v>1760</v>
      </c>
      <c r="Z131">
        <v>1875</v>
      </c>
      <c r="AA131">
        <v>2379125.88052765</v>
      </c>
      <c r="AB131">
        <v>836279.55</v>
      </c>
      <c r="AC131">
        <f t="shared" si="2"/>
        <v>1542846.33052765</v>
      </c>
      <c r="AD131">
        <f t="shared" si="3"/>
        <v>308569.26610552997</v>
      </c>
      <c r="AE131">
        <v>5</v>
      </c>
      <c r="AF131">
        <v>0</v>
      </c>
      <c r="AG131" t="b">
        <v>1</v>
      </c>
    </row>
    <row r="132" spans="1:33" x14ac:dyDescent="0.2">
      <c r="A132">
        <v>10</v>
      </c>
      <c r="B132">
        <v>188</v>
      </c>
      <c r="C132">
        <v>15</v>
      </c>
      <c r="D132">
        <v>3</v>
      </c>
      <c r="E132">
        <v>3</v>
      </c>
      <c r="F132">
        <v>15</v>
      </c>
      <c r="G132">
        <v>5</v>
      </c>
      <c r="H132">
        <v>45.06</v>
      </c>
      <c r="I132">
        <v>49.35</v>
      </c>
      <c r="J132">
        <v>0.4</v>
      </c>
      <c r="K132">
        <v>82438</v>
      </c>
      <c r="L132">
        <v>84252</v>
      </c>
      <c r="M132">
        <v>27700</v>
      </c>
      <c r="N132">
        <v>11084</v>
      </c>
      <c r="O132">
        <v>5242</v>
      </c>
      <c r="P132">
        <v>41061</v>
      </c>
      <c r="Q132">
        <v>4030</v>
      </c>
      <c r="R132">
        <v>35079</v>
      </c>
      <c r="S132">
        <v>10738477.0956675</v>
      </c>
      <c r="T132">
        <v>4880490.8084871201</v>
      </c>
      <c r="U132">
        <v>-5857986.2871804098</v>
      </c>
      <c r="V132">
        <v>7146329.5232064202</v>
      </c>
      <c r="W132">
        <v>53834769.424228899</v>
      </c>
      <c r="X132">
        <v>396</v>
      </c>
      <c r="Y132">
        <v>1561</v>
      </c>
      <c r="Z132">
        <v>371</v>
      </c>
      <c r="AA132">
        <v>2225737.42244844</v>
      </c>
      <c r="AB132">
        <v>836279.55</v>
      </c>
      <c r="AC132">
        <f t="shared" si="2"/>
        <v>1389457.8724484399</v>
      </c>
      <c r="AD132">
        <f t="shared" si="3"/>
        <v>277891.57448968798</v>
      </c>
      <c r="AE132">
        <v>5</v>
      </c>
      <c r="AF132">
        <v>10</v>
      </c>
      <c r="AG132" t="b">
        <v>1</v>
      </c>
    </row>
    <row r="133" spans="1:33" x14ac:dyDescent="0.2">
      <c r="A133">
        <v>10</v>
      </c>
      <c r="B133">
        <v>188</v>
      </c>
      <c r="C133">
        <v>15</v>
      </c>
      <c r="D133">
        <v>3</v>
      </c>
      <c r="E133">
        <v>3</v>
      </c>
      <c r="F133">
        <v>15</v>
      </c>
      <c r="G133">
        <v>5</v>
      </c>
      <c r="H133">
        <v>90.12</v>
      </c>
      <c r="I133">
        <v>98.7</v>
      </c>
      <c r="J133">
        <v>0.4</v>
      </c>
      <c r="K133">
        <v>82438</v>
      </c>
      <c r="L133">
        <v>84252</v>
      </c>
      <c r="M133">
        <v>27700</v>
      </c>
      <c r="N133">
        <v>11084</v>
      </c>
      <c r="O133">
        <v>5242</v>
      </c>
      <c r="P133">
        <v>41061</v>
      </c>
      <c r="Q133">
        <v>4030</v>
      </c>
      <c r="R133">
        <v>35079</v>
      </c>
      <c r="S133">
        <v>10738477.0956675</v>
      </c>
      <c r="T133">
        <v>8924702.0669742394</v>
      </c>
      <c r="U133">
        <v>-1813775.02869329</v>
      </c>
      <c r="V133">
        <v>8124390.9000574099</v>
      </c>
      <c r="W133">
        <v>107669538.84845699</v>
      </c>
      <c r="X133">
        <v>396</v>
      </c>
      <c r="Y133">
        <v>1561</v>
      </c>
      <c r="Z133">
        <v>371</v>
      </c>
      <c r="AA133">
        <v>4451474.84489688</v>
      </c>
      <c r="AB133">
        <v>836279.55</v>
      </c>
      <c r="AC133">
        <f t="shared" si="2"/>
        <v>3615195.2948968802</v>
      </c>
      <c r="AD133">
        <f t="shared" si="3"/>
        <v>723039.05897937599</v>
      </c>
      <c r="AE133">
        <v>5</v>
      </c>
      <c r="AF133">
        <v>10</v>
      </c>
      <c r="AG133" t="b">
        <v>1</v>
      </c>
    </row>
    <row r="134" spans="1:33" x14ac:dyDescent="0.2">
      <c r="A134">
        <v>10</v>
      </c>
      <c r="B134">
        <v>188</v>
      </c>
      <c r="C134">
        <v>15</v>
      </c>
      <c r="D134">
        <v>3</v>
      </c>
      <c r="E134">
        <v>1</v>
      </c>
      <c r="F134">
        <v>30</v>
      </c>
      <c r="G134">
        <v>5</v>
      </c>
      <c r="H134">
        <v>45.06</v>
      </c>
      <c r="I134">
        <v>49.35</v>
      </c>
      <c r="J134">
        <v>0.4</v>
      </c>
      <c r="K134">
        <v>73241</v>
      </c>
      <c r="L134">
        <v>79490</v>
      </c>
      <c r="M134">
        <v>27740</v>
      </c>
      <c r="N134">
        <v>9495</v>
      </c>
      <c r="O134">
        <v>4638</v>
      </c>
      <c r="P134">
        <v>35785</v>
      </c>
      <c r="Q134">
        <v>3920</v>
      </c>
      <c r="R134">
        <v>29036</v>
      </c>
      <c r="S134">
        <v>10735529.452371299</v>
      </c>
      <c r="T134">
        <v>4471817.9402576303</v>
      </c>
      <c r="U134">
        <v>-6263711.5121136904</v>
      </c>
      <c r="V134">
        <v>7816405.8238301799</v>
      </c>
      <c r="W134">
        <v>198685725.32852399</v>
      </c>
      <c r="X134">
        <v>403</v>
      </c>
      <c r="Y134">
        <v>1772</v>
      </c>
      <c r="Z134">
        <v>1955</v>
      </c>
      <c r="AA134">
        <v>1069239.4022675401</v>
      </c>
      <c r="AB134">
        <v>836279.55</v>
      </c>
      <c r="AC134">
        <f t="shared" ref="AC134:AC197" si="4">AA134-AB134</f>
        <v>232959.85226754006</v>
      </c>
      <c r="AD134">
        <f t="shared" ref="AD134:AD197" si="5">AC134/G134</f>
        <v>46591.970453508009</v>
      </c>
      <c r="AE134">
        <v>5</v>
      </c>
      <c r="AF134">
        <v>0</v>
      </c>
      <c r="AG134" t="b">
        <v>1</v>
      </c>
    </row>
    <row r="135" spans="1:33" x14ac:dyDescent="0.2">
      <c r="A135">
        <v>10</v>
      </c>
      <c r="B135">
        <v>188</v>
      </c>
      <c r="C135">
        <v>15</v>
      </c>
      <c r="D135">
        <v>3</v>
      </c>
      <c r="E135">
        <v>1</v>
      </c>
      <c r="F135">
        <v>30</v>
      </c>
      <c r="G135">
        <v>5</v>
      </c>
      <c r="H135">
        <v>90.12</v>
      </c>
      <c r="I135">
        <v>98.7</v>
      </c>
      <c r="J135">
        <v>0.4</v>
      </c>
      <c r="K135">
        <v>73241</v>
      </c>
      <c r="L135">
        <v>79490</v>
      </c>
      <c r="M135">
        <v>27740</v>
      </c>
      <c r="N135">
        <v>9495</v>
      </c>
      <c r="O135">
        <v>4638</v>
      </c>
      <c r="P135">
        <v>35785</v>
      </c>
      <c r="Q135">
        <v>3920</v>
      </c>
      <c r="R135">
        <v>29036</v>
      </c>
      <c r="S135">
        <v>10735529.452371299</v>
      </c>
      <c r="T135">
        <v>8107356.3305152701</v>
      </c>
      <c r="U135">
        <v>-2628173.1218560501</v>
      </c>
      <c r="V135">
        <v>8701447.4416097291</v>
      </c>
      <c r="W135">
        <v>397371450.65704799</v>
      </c>
      <c r="X135">
        <v>403</v>
      </c>
      <c r="Y135">
        <v>1772</v>
      </c>
      <c r="Z135">
        <v>1955</v>
      </c>
      <c r="AA135">
        <v>2138478.8045350802</v>
      </c>
      <c r="AB135">
        <v>836279.55</v>
      </c>
      <c r="AC135">
        <f t="shared" si="4"/>
        <v>1302199.2545350802</v>
      </c>
      <c r="AD135">
        <f t="shared" si="5"/>
        <v>260439.85090701602</v>
      </c>
      <c r="AE135">
        <v>5</v>
      </c>
      <c r="AF135">
        <v>0</v>
      </c>
      <c r="AG135" t="b">
        <v>1</v>
      </c>
    </row>
    <row r="136" spans="1:33" x14ac:dyDescent="0.2">
      <c r="A136">
        <v>10</v>
      </c>
      <c r="B136">
        <v>188</v>
      </c>
      <c r="C136">
        <v>15</v>
      </c>
      <c r="D136">
        <v>3</v>
      </c>
      <c r="E136">
        <v>1</v>
      </c>
      <c r="F136">
        <v>15</v>
      </c>
      <c r="G136">
        <v>5</v>
      </c>
      <c r="H136">
        <v>45.06</v>
      </c>
      <c r="I136">
        <v>49.35</v>
      </c>
      <c r="J136">
        <v>0.4</v>
      </c>
      <c r="K136">
        <v>82157</v>
      </c>
      <c r="L136">
        <v>84042</v>
      </c>
      <c r="M136">
        <v>27920</v>
      </c>
      <c r="N136">
        <v>10997</v>
      </c>
      <c r="O136">
        <v>5230</v>
      </c>
      <c r="P136">
        <v>41124</v>
      </c>
      <c r="Q136">
        <v>4073</v>
      </c>
      <c r="R136">
        <v>34867</v>
      </c>
      <c r="S136">
        <v>10823878.068362599</v>
      </c>
      <c r="T136">
        <v>4876056.5466633504</v>
      </c>
      <c r="U136">
        <v>-5947821.5216993196</v>
      </c>
      <c r="V136">
        <v>6486029.2101214603</v>
      </c>
      <c r="W136">
        <v>63274040.415482499</v>
      </c>
      <c r="X136">
        <v>347</v>
      </c>
      <c r="Y136">
        <v>1586</v>
      </c>
      <c r="Z136">
        <v>432</v>
      </c>
      <c r="AA136">
        <v>2214695.3148151501</v>
      </c>
      <c r="AB136">
        <v>836279.55</v>
      </c>
      <c r="AC136">
        <f t="shared" si="4"/>
        <v>1378415.7648151501</v>
      </c>
      <c r="AD136">
        <f t="shared" si="5"/>
        <v>275683.15296303004</v>
      </c>
      <c r="AE136">
        <v>5</v>
      </c>
      <c r="AF136">
        <v>10</v>
      </c>
      <c r="AG136" t="b">
        <v>1</v>
      </c>
    </row>
    <row r="137" spans="1:33" x14ac:dyDescent="0.2">
      <c r="A137">
        <v>10</v>
      </c>
      <c r="B137">
        <v>188</v>
      </c>
      <c r="C137">
        <v>15</v>
      </c>
      <c r="D137">
        <v>3</v>
      </c>
      <c r="E137">
        <v>1</v>
      </c>
      <c r="F137">
        <v>15</v>
      </c>
      <c r="G137">
        <v>5</v>
      </c>
      <c r="H137">
        <v>90.12</v>
      </c>
      <c r="I137">
        <v>98.7</v>
      </c>
      <c r="J137">
        <v>0.4</v>
      </c>
      <c r="K137">
        <v>82157</v>
      </c>
      <c r="L137">
        <v>84042</v>
      </c>
      <c r="M137">
        <v>27920</v>
      </c>
      <c r="N137">
        <v>10997</v>
      </c>
      <c r="O137">
        <v>5230</v>
      </c>
      <c r="P137">
        <v>41124</v>
      </c>
      <c r="Q137">
        <v>4073</v>
      </c>
      <c r="R137">
        <v>34867</v>
      </c>
      <c r="S137">
        <v>10823878.068362599</v>
      </c>
      <c r="T137">
        <v>8915833.5433267001</v>
      </c>
      <c r="U137">
        <v>-1908044.5250359699</v>
      </c>
      <c r="V137">
        <v>6674538.97746382</v>
      </c>
      <c r="W137">
        <v>126548080.830965</v>
      </c>
      <c r="X137">
        <v>347</v>
      </c>
      <c r="Y137">
        <v>1586</v>
      </c>
      <c r="Z137">
        <v>432</v>
      </c>
      <c r="AA137">
        <v>4429390.6296303002</v>
      </c>
      <c r="AB137">
        <v>836279.55</v>
      </c>
      <c r="AC137">
        <f t="shared" si="4"/>
        <v>3593111.0796303004</v>
      </c>
      <c r="AD137">
        <f t="shared" si="5"/>
        <v>718622.2159260601</v>
      </c>
      <c r="AE137">
        <v>5</v>
      </c>
      <c r="AF137">
        <v>10</v>
      </c>
      <c r="AG137" t="b">
        <v>1</v>
      </c>
    </row>
    <row r="138" spans="1:33" x14ac:dyDescent="0.2">
      <c r="A138">
        <v>10</v>
      </c>
      <c r="B138">
        <v>188</v>
      </c>
      <c r="C138">
        <v>15</v>
      </c>
      <c r="D138">
        <v>1</v>
      </c>
      <c r="E138">
        <v>3</v>
      </c>
      <c r="F138">
        <v>30</v>
      </c>
      <c r="G138">
        <v>5</v>
      </c>
      <c r="H138">
        <v>45.06</v>
      </c>
      <c r="I138">
        <v>49.35</v>
      </c>
      <c r="J138">
        <v>0.4</v>
      </c>
      <c r="K138">
        <v>69221</v>
      </c>
      <c r="L138">
        <v>79600</v>
      </c>
      <c r="M138">
        <v>27121</v>
      </c>
      <c r="N138">
        <v>8968</v>
      </c>
      <c r="O138">
        <v>4469</v>
      </c>
      <c r="P138">
        <v>34101</v>
      </c>
      <c r="Q138">
        <v>3734</v>
      </c>
      <c r="R138">
        <v>27369</v>
      </c>
      <c r="S138">
        <v>8788953.7974082101</v>
      </c>
      <c r="T138">
        <v>4097841.6380453799</v>
      </c>
      <c r="U138">
        <v>-4691112.15936282</v>
      </c>
      <c r="V138">
        <v>7307717.4252950503</v>
      </c>
      <c r="W138">
        <v>230563600.89242801</v>
      </c>
      <c r="X138">
        <v>423</v>
      </c>
      <c r="Y138">
        <v>1325</v>
      </c>
      <c r="Z138">
        <v>2333</v>
      </c>
      <c r="AA138">
        <v>1256818.7656718499</v>
      </c>
      <c r="AB138">
        <v>836279.55</v>
      </c>
      <c r="AC138">
        <f t="shared" si="4"/>
        <v>420539.2156718499</v>
      </c>
      <c r="AD138">
        <f t="shared" si="5"/>
        <v>84107.843134369978</v>
      </c>
      <c r="AE138">
        <v>5</v>
      </c>
      <c r="AF138">
        <v>0</v>
      </c>
      <c r="AG138" t="b">
        <v>1</v>
      </c>
    </row>
    <row r="139" spans="1:33" x14ac:dyDescent="0.2">
      <c r="A139">
        <v>10</v>
      </c>
      <c r="B139">
        <v>188</v>
      </c>
      <c r="C139">
        <v>15</v>
      </c>
      <c r="D139">
        <v>1</v>
      </c>
      <c r="E139">
        <v>3</v>
      </c>
      <c r="F139">
        <v>30</v>
      </c>
      <c r="G139">
        <v>5</v>
      </c>
      <c r="H139">
        <v>90.12</v>
      </c>
      <c r="I139">
        <v>98.7</v>
      </c>
      <c r="J139">
        <v>0.4</v>
      </c>
      <c r="K139">
        <v>69221</v>
      </c>
      <c r="L139">
        <v>79600</v>
      </c>
      <c r="M139">
        <v>27121</v>
      </c>
      <c r="N139">
        <v>8968</v>
      </c>
      <c r="O139">
        <v>4469</v>
      </c>
      <c r="P139">
        <v>34101</v>
      </c>
      <c r="Q139">
        <v>3734</v>
      </c>
      <c r="R139">
        <v>27369</v>
      </c>
      <c r="S139">
        <v>8788953.7974082101</v>
      </c>
      <c r="T139">
        <v>7359403.7260907702</v>
      </c>
      <c r="U139">
        <v>-1429550.0713174299</v>
      </c>
      <c r="V139">
        <v>9199320.8707563393</v>
      </c>
      <c r="W139">
        <v>461127201.78485602</v>
      </c>
      <c r="X139">
        <v>423</v>
      </c>
      <c r="Y139">
        <v>1325</v>
      </c>
      <c r="Z139">
        <v>2333</v>
      </c>
      <c r="AA139">
        <v>2513637.5313437101</v>
      </c>
      <c r="AB139">
        <v>836279.55</v>
      </c>
      <c r="AC139">
        <f t="shared" si="4"/>
        <v>1677357.9813437101</v>
      </c>
      <c r="AD139">
        <f t="shared" si="5"/>
        <v>335471.596268742</v>
      </c>
      <c r="AE139">
        <v>5</v>
      </c>
      <c r="AF139">
        <v>0</v>
      </c>
      <c r="AG139" t="b">
        <v>1</v>
      </c>
    </row>
    <row r="140" spans="1:33" x14ac:dyDescent="0.2">
      <c r="A140">
        <v>10</v>
      </c>
      <c r="B140">
        <v>188</v>
      </c>
      <c r="C140">
        <v>15</v>
      </c>
      <c r="D140">
        <v>1</v>
      </c>
      <c r="E140">
        <v>3</v>
      </c>
      <c r="F140">
        <v>15</v>
      </c>
      <c r="G140">
        <v>5</v>
      </c>
      <c r="H140">
        <v>45.06</v>
      </c>
      <c r="I140">
        <v>49.35</v>
      </c>
      <c r="J140">
        <v>0.4</v>
      </c>
      <c r="K140">
        <v>80866</v>
      </c>
      <c r="L140">
        <v>83389</v>
      </c>
      <c r="M140">
        <v>27588</v>
      </c>
      <c r="N140">
        <v>10862</v>
      </c>
      <c r="O140">
        <v>5210</v>
      </c>
      <c r="P140">
        <v>40675</v>
      </c>
      <c r="Q140">
        <v>3925</v>
      </c>
      <c r="R140">
        <v>34534</v>
      </c>
      <c r="S140">
        <v>9358106.30028948</v>
      </c>
      <c r="T140">
        <v>4350561.7347170198</v>
      </c>
      <c r="U140">
        <v>-5007544.5655724499</v>
      </c>
      <c r="V140">
        <v>6012871.7266017403</v>
      </c>
      <c r="W140">
        <v>63408636.897882</v>
      </c>
      <c r="X140">
        <v>373</v>
      </c>
      <c r="Y140">
        <v>1301</v>
      </c>
      <c r="Z140">
        <v>551</v>
      </c>
      <c r="AA140">
        <v>2200249.9985740199</v>
      </c>
      <c r="AB140">
        <v>836279.55</v>
      </c>
      <c r="AC140">
        <f t="shared" si="4"/>
        <v>1363970.4485740198</v>
      </c>
      <c r="AD140">
        <f t="shared" si="5"/>
        <v>272794.08971480397</v>
      </c>
      <c r="AE140">
        <v>5</v>
      </c>
      <c r="AF140">
        <v>11</v>
      </c>
      <c r="AG140" t="b">
        <v>1</v>
      </c>
    </row>
    <row r="141" spans="1:33" x14ac:dyDescent="0.2">
      <c r="A141">
        <v>10</v>
      </c>
      <c r="B141">
        <v>188</v>
      </c>
      <c r="C141">
        <v>15</v>
      </c>
      <c r="D141">
        <v>1</v>
      </c>
      <c r="E141">
        <v>3</v>
      </c>
      <c r="F141">
        <v>15</v>
      </c>
      <c r="G141">
        <v>5</v>
      </c>
      <c r="H141">
        <v>90.12</v>
      </c>
      <c r="I141">
        <v>98.7</v>
      </c>
      <c r="J141">
        <v>0.4</v>
      </c>
      <c r="K141">
        <v>80866</v>
      </c>
      <c r="L141">
        <v>83389</v>
      </c>
      <c r="M141">
        <v>27588</v>
      </c>
      <c r="N141">
        <v>10862</v>
      </c>
      <c r="O141">
        <v>5210</v>
      </c>
      <c r="P141">
        <v>40675</v>
      </c>
      <c r="Q141">
        <v>3925</v>
      </c>
      <c r="R141">
        <v>34534</v>
      </c>
      <c r="S141">
        <v>9358106.30028948</v>
      </c>
      <c r="T141">
        <v>7864843.9194340399</v>
      </c>
      <c r="U141">
        <v>-1493262.3808554299</v>
      </c>
      <c r="V141">
        <v>6440741.0276818704</v>
      </c>
      <c r="W141">
        <v>126817273.795764</v>
      </c>
      <c r="X141">
        <v>373</v>
      </c>
      <c r="Y141">
        <v>1301</v>
      </c>
      <c r="Z141">
        <v>551</v>
      </c>
      <c r="AA141">
        <v>4400499.9971480398</v>
      </c>
      <c r="AB141">
        <v>836279.55</v>
      </c>
      <c r="AC141">
        <f t="shared" si="4"/>
        <v>3564220.4471480399</v>
      </c>
      <c r="AD141">
        <f t="shared" si="5"/>
        <v>712844.08942960796</v>
      </c>
      <c r="AE141">
        <v>5</v>
      </c>
      <c r="AF141">
        <v>11</v>
      </c>
      <c r="AG141" t="b">
        <v>1</v>
      </c>
    </row>
    <row r="142" spans="1:33" x14ac:dyDescent="0.2">
      <c r="A142">
        <v>10</v>
      </c>
      <c r="B142">
        <v>188</v>
      </c>
      <c r="C142">
        <v>15</v>
      </c>
      <c r="D142">
        <v>1</v>
      </c>
      <c r="E142">
        <v>1</v>
      </c>
      <c r="F142">
        <v>30</v>
      </c>
      <c r="G142">
        <v>5</v>
      </c>
      <c r="H142">
        <v>45.06</v>
      </c>
      <c r="I142">
        <v>49.35</v>
      </c>
      <c r="J142">
        <v>0.4</v>
      </c>
      <c r="K142">
        <v>73598</v>
      </c>
      <c r="L142">
        <v>82628</v>
      </c>
      <c r="M142">
        <v>28331</v>
      </c>
      <c r="N142">
        <v>9660</v>
      </c>
      <c r="O142">
        <v>4655</v>
      </c>
      <c r="P142">
        <v>36633</v>
      </c>
      <c r="Q142">
        <v>3823</v>
      </c>
      <c r="R142">
        <v>30226</v>
      </c>
      <c r="S142">
        <v>10538699.846666699</v>
      </c>
      <c r="T142">
        <v>4433211.9579795897</v>
      </c>
      <c r="U142">
        <v>-6105487.8886871599</v>
      </c>
      <c r="V142">
        <v>8633534.8944895007</v>
      </c>
      <c r="W142">
        <v>160358575.51492599</v>
      </c>
      <c r="X142">
        <v>675</v>
      </c>
      <c r="Y142">
        <v>1519</v>
      </c>
      <c r="Z142">
        <v>1779</v>
      </c>
      <c r="AA142">
        <v>1703979.1922507901</v>
      </c>
      <c r="AB142">
        <v>836279.55</v>
      </c>
      <c r="AC142">
        <f t="shared" si="4"/>
        <v>867699.64225079003</v>
      </c>
      <c r="AD142">
        <f t="shared" si="5"/>
        <v>173539.92845015801</v>
      </c>
      <c r="AE142">
        <v>5</v>
      </c>
      <c r="AF142">
        <v>0</v>
      </c>
      <c r="AG142" t="b">
        <v>1</v>
      </c>
    </row>
    <row r="143" spans="1:33" x14ac:dyDescent="0.2">
      <c r="A143">
        <v>10</v>
      </c>
      <c r="B143">
        <v>188</v>
      </c>
      <c r="C143">
        <v>15</v>
      </c>
      <c r="D143">
        <v>1</v>
      </c>
      <c r="E143">
        <v>1</v>
      </c>
      <c r="F143">
        <v>30</v>
      </c>
      <c r="G143">
        <v>5</v>
      </c>
      <c r="H143">
        <v>90.12</v>
      </c>
      <c r="I143">
        <v>98.7</v>
      </c>
      <c r="J143">
        <v>0.4</v>
      </c>
      <c r="K143">
        <v>72017</v>
      </c>
      <c r="L143">
        <v>82169</v>
      </c>
      <c r="M143">
        <v>28924</v>
      </c>
      <c r="N143">
        <v>9404</v>
      </c>
      <c r="O143">
        <v>4599</v>
      </c>
      <c r="P143">
        <v>35835</v>
      </c>
      <c r="Q143">
        <v>3796</v>
      </c>
      <c r="R143">
        <v>28857</v>
      </c>
      <c r="S143">
        <v>9839191.3654734604</v>
      </c>
      <c r="T143">
        <v>7733210.6041965997</v>
      </c>
      <c r="U143">
        <v>-2105980.7612768598</v>
      </c>
      <c r="V143">
        <v>10740839.363754399</v>
      </c>
      <c r="W143">
        <v>396089791.67850399</v>
      </c>
      <c r="X143">
        <v>683</v>
      </c>
      <c r="Y143">
        <v>1451</v>
      </c>
      <c r="Z143">
        <v>2011</v>
      </c>
      <c r="AA143">
        <v>3012046.7021514699</v>
      </c>
      <c r="AB143">
        <v>836279.55</v>
      </c>
      <c r="AC143">
        <f t="shared" si="4"/>
        <v>2175767.1521514701</v>
      </c>
      <c r="AD143">
        <f t="shared" si="5"/>
        <v>435153.43043029401</v>
      </c>
      <c r="AE143">
        <v>5</v>
      </c>
      <c r="AF143">
        <v>0</v>
      </c>
      <c r="AG143" t="b">
        <v>1</v>
      </c>
    </row>
    <row r="144" spans="1:33" x14ac:dyDescent="0.2">
      <c r="A144">
        <v>10</v>
      </c>
      <c r="B144">
        <v>188</v>
      </c>
      <c r="C144">
        <v>15</v>
      </c>
      <c r="D144">
        <v>1</v>
      </c>
      <c r="E144">
        <v>1</v>
      </c>
      <c r="F144">
        <v>15</v>
      </c>
      <c r="G144">
        <v>5</v>
      </c>
      <c r="H144">
        <v>45.06</v>
      </c>
      <c r="I144">
        <v>49.35</v>
      </c>
      <c r="J144">
        <v>0.4</v>
      </c>
      <c r="K144">
        <v>81324</v>
      </c>
      <c r="L144">
        <v>83964</v>
      </c>
      <c r="M144">
        <v>27943</v>
      </c>
      <c r="N144">
        <v>10927</v>
      </c>
      <c r="O144">
        <v>5075</v>
      </c>
      <c r="P144">
        <v>40258</v>
      </c>
      <c r="Q144">
        <v>4007</v>
      </c>
      <c r="R144">
        <v>34329</v>
      </c>
      <c r="S144">
        <v>9231517.9200947396</v>
      </c>
      <c r="T144">
        <v>4166370.0356052602</v>
      </c>
      <c r="U144">
        <v>-5065147.8844894702</v>
      </c>
      <c r="V144">
        <v>6252528.4474631799</v>
      </c>
      <c r="W144">
        <v>69570621.1665833</v>
      </c>
      <c r="X144">
        <v>338</v>
      </c>
      <c r="Y144">
        <v>1331</v>
      </c>
      <c r="Z144">
        <v>544</v>
      </c>
      <c r="AA144">
        <v>1954661.0664250101</v>
      </c>
      <c r="AB144">
        <v>836279.55</v>
      </c>
      <c r="AC144">
        <f t="shared" si="4"/>
        <v>1118381.51642501</v>
      </c>
      <c r="AD144">
        <f t="shared" si="5"/>
        <v>223676.30328500201</v>
      </c>
      <c r="AE144">
        <v>5</v>
      </c>
      <c r="AF144">
        <v>10</v>
      </c>
      <c r="AG144" t="b">
        <v>1</v>
      </c>
    </row>
    <row r="145" spans="1:33" x14ac:dyDescent="0.2">
      <c r="A145">
        <v>10</v>
      </c>
      <c r="B145">
        <v>188</v>
      </c>
      <c r="C145">
        <v>15</v>
      </c>
      <c r="D145">
        <v>1</v>
      </c>
      <c r="E145">
        <v>1</v>
      </c>
      <c r="F145">
        <v>15</v>
      </c>
      <c r="G145">
        <v>5</v>
      </c>
      <c r="H145">
        <v>90.12</v>
      </c>
      <c r="I145">
        <v>98.7</v>
      </c>
      <c r="J145">
        <v>0.4</v>
      </c>
      <c r="K145">
        <v>81324</v>
      </c>
      <c r="L145">
        <v>83964</v>
      </c>
      <c r="M145">
        <v>27943</v>
      </c>
      <c r="N145">
        <v>10927</v>
      </c>
      <c r="O145">
        <v>5075</v>
      </c>
      <c r="P145">
        <v>40258</v>
      </c>
      <c r="Q145">
        <v>4007</v>
      </c>
      <c r="R145">
        <v>34329</v>
      </c>
      <c r="S145">
        <v>9231517.9200947396</v>
      </c>
      <c r="T145">
        <v>7496460.5212105298</v>
      </c>
      <c r="U145">
        <v>-1735057.3988842</v>
      </c>
      <c r="V145">
        <v>6756837.8968831701</v>
      </c>
      <c r="W145">
        <v>139141242.333166</v>
      </c>
      <c r="X145">
        <v>338</v>
      </c>
      <c r="Y145">
        <v>1331</v>
      </c>
      <c r="Z145">
        <v>544</v>
      </c>
      <c r="AA145">
        <v>3909322.13285003</v>
      </c>
      <c r="AB145">
        <v>836279.55</v>
      </c>
      <c r="AC145">
        <f t="shared" si="4"/>
        <v>3073042.5828500297</v>
      </c>
      <c r="AD145">
        <f t="shared" si="5"/>
        <v>614608.51657000592</v>
      </c>
      <c r="AE145">
        <v>5</v>
      </c>
      <c r="AF145">
        <v>10</v>
      </c>
      <c r="AG145" t="b">
        <v>1</v>
      </c>
    </row>
    <row r="146" spans="1:33" x14ac:dyDescent="0.2">
      <c r="A146">
        <v>10</v>
      </c>
      <c r="B146">
        <v>128</v>
      </c>
      <c r="C146">
        <v>10</v>
      </c>
      <c r="D146">
        <v>3</v>
      </c>
      <c r="E146">
        <v>3</v>
      </c>
      <c r="F146">
        <v>30</v>
      </c>
      <c r="G146">
        <v>5</v>
      </c>
      <c r="H146">
        <v>45.06</v>
      </c>
      <c r="I146">
        <v>49.35</v>
      </c>
      <c r="J146">
        <v>0.4</v>
      </c>
      <c r="K146">
        <v>68591</v>
      </c>
      <c r="L146">
        <v>54812</v>
      </c>
      <c r="M146">
        <v>33676</v>
      </c>
      <c r="N146">
        <v>9111</v>
      </c>
      <c r="O146">
        <v>19342</v>
      </c>
      <c r="P146">
        <v>26755</v>
      </c>
      <c r="Q146">
        <v>8189</v>
      </c>
      <c r="R146">
        <v>30359</v>
      </c>
      <c r="S146">
        <v>7541889.9870219603</v>
      </c>
      <c r="T146">
        <v>3916312.0733064502</v>
      </c>
      <c r="U146">
        <v>-3625577.9137155102</v>
      </c>
      <c r="V146">
        <v>5971741.3645932702</v>
      </c>
      <c r="W146">
        <v>115990092.190375</v>
      </c>
      <c r="X146">
        <v>309</v>
      </c>
      <c r="Y146">
        <v>1110</v>
      </c>
      <c r="Z146">
        <v>1174</v>
      </c>
      <c r="AA146">
        <v>863827.65086346096</v>
      </c>
      <c r="AB146">
        <v>569564.799999999</v>
      </c>
      <c r="AC146">
        <f t="shared" si="4"/>
        <v>294262.85086346196</v>
      </c>
      <c r="AD146">
        <f t="shared" si="5"/>
        <v>58852.570172692394</v>
      </c>
      <c r="AE146">
        <v>5</v>
      </c>
      <c r="AF146">
        <v>0</v>
      </c>
      <c r="AG146" t="b">
        <v>1</v>
      </c>
    </row>
    <row r="147" spans="1:33" x14ac:dyDescent="0.2">
      <c r="A147">
        <v>10</v>
      </c>
      <c r="B147">
        <v>128</v>
      </c>
      <c r="C147">
        <v>10</v>
      </c>
      <c r="D147">
        <v>3</v>
      </c>
      <c r="E147">
        <v>3</v>
      </c>
      <c r="F147">
        <v>30</v>
      </c>
      <c r="G147">
        <v>5</v>
      </c>
      <c r="H147">
        <v>90.12</v>
      </c>
      <c r="I147">
        <v>98.7</v>
      </c>
      <c r="J147">
        <v>0.4</v>
      </c>
      <c r="K147">
        <v>68591</v>
      </c>
      <c r="L147">
        <v>54812</v>
      </c>
      <c r="M147">
        <v>33676</v>
      </c>
      <c r="N147">
        <v>9111</v>
      </c>
      <c r="O147">
        <v>19342</v>
      </c>
      <c r="P147">
        <v>26755</v>
      </c>
      <c r="Q147">
        <v>8189</v>
      </c>
      <c r="R147">
        <v>30359</v>
      </c>
      <c r="S147">
        <v>7541889.9870219603</v>
      </c>
      <c r="T147">
        <v>7263059.3466128996</v>
      </c>
      <c r="U147">
        <v>-278830.640409065</v>
      </c>
      <c r="V147">
        <v>7773500.3388776397</v>
      </c>
      <c r="W147">
        <v>231980184.38075101</v>
      </c>
      <c r="X147">
        <v>309</v>
      </c>
      <c r="Y147">
        <v>1110</v>
      </c>
      <c r="Z147">
        <v>1174</v>
      </c>
      <c r="AA147">
        <v>1727655.3017269201</v>
      </c>
      <c r="AB147">
        <v>569564.799999999</v>
      </c>
      <c r="AC147">
        <f t="shared" si="4"/>
        <v>1158090.5017269212</v>
      </c>
      <c r="AD147">
        <f t="shared" si="5"/>
        <v>231618.10034538424</v>
      </c>
      <c r="AE147">
        <v>5</v>
      </c>
      <c r="AF147">
        <v>0</v>
      </c>
      <c r="AG147" t="b">
        <v>1</v>
      </c>
    </row>
    <row r="148" spans="1:33" x14ac:dyDescent="0.2">
      <c r="A148">
        <v>10</v>
      </c>
      <c r="B148">
        <v>128</v>
      </c>
      <c r="C148">
        <v>10</v>
      </c>
      <c r="D148">
        <v>3</v>
      </c>
      <c r="E148">
        <v>3</v>
      </c>
      <c r="F148">
        <v>15</v>
      </c>
      <c r="G148">
        <v>5</v>
      </c>
      <c r="H148">
        <v>45.06</v>
      </c>
      <c r="I148">
        <v>49.35</v>
      </c>
      <c r="J148">
        <v>0.4</v>
      </c>
      <c r="K148">
        <v>74751</v>
      </c>
      <c r="L148">
        <v>54535</v>
      </c>
      <c r="M148">
        <v>34123</v>
      </c>
      <c r="N148">
        <v>10058</v>
      </c>
      <c r="O148">
        <v>21981</v>
      </c>
      <c r="P148">
        <v>29042</v>
      </c>
      <c r="Q148">
        <v>8506</v>
      </c>
      <c r="R148">
        <v>34040</v>
      </c>
      <c r="S148">
        <v>7780765.4271160904</v>
      </c>
      <c r="T148">
        <v>3812655.4955675099</v>
      </c>
      <c r="U148">
        <v>-3968109.9315485698</v>
      </c>
      <c r="V148">
        <v>4378212.0967790196</v>
      </c>
      <c r="W148">
        <v>32805878.247428901</v>
      </c>
      <c r="X148">
        <v>209</v>
      </c>
      <c r="Y148">
        <v>1080</v>
      </c>
      <c r="Z148">
        <v>223</v>
      </c>
      <c r="AA148">
        <v>1257977.90038673</v>
      </c>
      <c r="AB148">
        <v>569564.799999999</v>
      </c>
      <c r="AC148">
        <f t="shared" si="4"/>
        <v>688413.10038673098</v>
      </c>
      <c r="AD148">
        <f t="shared" si="5"/>
        <v>137682.62007734619</v>
      </c>
      <c r="AE148">
        <v>5</v>
      </c>
      <c r="AF148">
        <v>9</v>
      </c>
      <c r="AG148" t="b">
        <v>1</v>
      </c>
    </row>
    <row r="149" spans="1:33" x14ac:dyDescent="0.2">
      <c r="A149">
        <v>10</v>
      </c>
      <c r="B149">
        <v>128</v>
      </c>
      <c r="C149">
        <v>10</v>
      </c>
      <c r="D149">
        <v>3</v>
      </c>
      <c r="E149">
        <v>3</v>
      </c>
      <c r="F149">
        <v>15</v>
      </c>
      <c r="G149">
        <v>5</v>
      </c>
      <c r="H149">
        <v>90.12</v>
      </c>
      <c r="I149">
        <v>98.7</v>
      </c>
      <c r="J149">
        <v>0.4</v>
      </c>
      <c r="K149">
        <v>74751</v>
      </c>
      <c r="L149">
        <v>54535</v>
      </c>
      <c r="M149">
        <v>34123</v>
      </c>
      <c r="N149">
        <v>10058</v>
      </c>
      <c r="O149">
        <v>21981</v>
      </c>
      <c r="P149">
        <v>29042</v>
      </c>
      <c r="Q149">
        <v>8506</v>
      </c>
      <c r="R149">
        <v>34040</v>
      </c>
      <c r="S149">
        <v>7780765.4271160904</v>
      </c>
      <c r="T149">
        <v>7055746.19113502</v>
      </c>
      <c r="U149">
        <v>-725019.23598106497</v>
      </c>
      <c r="V149">
        <v>4452254.5970137101</v>
      </c>
      <c r="W149">
        <v>65611756.494857803</v>
      </c>
      <c r="X149">
        <v>209</v>
      </c>
      <c r="Y149">
        <v>1080</v>
      </c>
      <c r="Z149">
        <v>223</v>
      </c>
      <c r="AA149">
        <v>2515955.80077346</v>
      </c>
      <c r="AB149">
        <v>569564.799999999</v>
      </c>
      <c r="AC149">
        <f t="shared" si="4"/>
        <v>1946391.0007734611</v>
      </c>
      <c r="AD149">
        <f t="shared" si="5"/>
        <v>389278.20015469223</v>
      </c>
      <c r="AE149">
        <v>5</v>
      </c>
      <c r="AF149">
        <v>9</v>
      </c>
      <c r="AG149" t="b">
        <v>1</v>
      </c>
    </row>
    <row r="150" spans="1:33" x14ac:dyDescent="0.2">
      <c r="A150">
        <v>10</v>
      </c>
      <c r="B150">
        <v>128</v>
      </c>
      <c r="C150">
        <v>10</v>
      </c>
      <c r="D150">
        <v>3</v>
      </c>
      <c r="E150">
        <v>1</v>
      </c>
      <c r="F150">
        <v>30</v>
      </c>
      <c r="G150">
        <v>5</v>
      </c>
      <c r="H150">
        <v>45.06</v>
      </c>
      <c r="I150">
        <v>49.35</v>
      </c>
      <c r="J150">
        <v>0.4</v>
      </c>
      <c r="K150">
        <v>68404</v>
      </c>
      <c r="L150">
        <v>55399</v>
      </c>
      <c r="M150">
        <v>33677</v>
      </c>
      <c r="N150">
        <v>8989</v>
      </c>
      <c r="O150">
        <v>19154</v>
      </c>
      <c r="P150">
        <v>26694</v>
      </c>
      <c r="Q150">
        <v>8249</v>
      </c>
      <c r="R150">
        <v>29652</v>
      </c>
      <c r="S150">
        <v>7554635.3455544598</v>
      </c>
      <c r="T150">
        <v>3537001.9021616499</v>
      </c>
      <c r="U150">
        <v>-4017633.4433928099</v>
      </c>
      <c r="V150">
        <v>4829847.0987820104</v>
      </c>
      <c r="W150">
        <v>138470916.62101299</v>
      </c>
      <c r="X150">
        <v>332</v>
      </c>
      <c r="Y150">
        <v>1126</v>
      </c>
      <c r="Z150">
        <v>1289</v>
      </c>
      <c r="AA150">
        <v>358080.75600372802</v>
      </c>
      <c r="AB150">
        <v>569564.799999999</v>
      </c>
      <c r="AC150">
        <f t="shared" si="4"/>
        <v>-211484.04399627098</v>
      </c>
      <c r="AD150">
        <f t="shared" si="5"/>
        <v>-42296.808799254199</v>
      </c>
      <c r="AE150">
        <v>5</v>
      </c>
      <c r="AF150">
        <v>21</v>
      </c>
      <c r="AG150" t="b">
        <v>1</v>
      </c>
    </row>
    <row r="151" spans="1:33" x14ac:dyDescent="0.2">
      <c r="A151">
        <v>10</v>
      </c>
      <c r="B151">
        <v>128</v>
      </c>
      <c r="C151">
        <v>10</v>
      </c>
      <c r="D151">
        <v>3</v>
      </c>
      <c r="E151">
        <v>1</v>
      </c>
      <c r="F151">
        <v>30</v>
      </c>
      <c r="G151">
        <v>5</v>
      </c>
      <c r="H151">
        <v>90.12</v>
      </c>
      <c r="I151">
        <v>98.7</v>
      </c>
      <c r="J151">
        <v>0.4</v>
      </c>
      <c r="K151">
        <v>68404</v>
      </c>
      <c r="L151">
        <v>55399</v>
      </c>
      <c r="M151">
        <v>33677</v>
      </c>
      <c r="N151">
        <v>8989</v>
      </c>
      <c r="O151">
        <v>19154</v>
      </c>
      <c r="P151">
        <v>26694</v>
      </c>
      <c r="Q151">
        <v>8249</v>
      </c>
      <c r="R151">
        <v>29652</v>
      </c>
      <c r="S151">
        <v>7554635.3455544598</v>
      </c>
      <c r="T151">
        <v>6504439.0043233</v>
      </c>
      <c r="U151">
        <v>-1050196.3412311601</v>
      </c>
      <c r="V151">
        <v>5378038.2109220903</v>
      </c>
      <c r="W151">
        <v>276941833.24202698</v>
      </c>
      <c r="X151">
        <v>332</v>
      </c>
      <c r="Y151">
        <v>1126</v>
      </c>
      <c r="Z151">
        <v>1289</v>
      </c>
      <c r="AA151">
        <v>716161.51200745697</v>
      </c>
      <c r="AB151">
        <v>569564.799999999</v>
      </c>
      <c r="AC151">
        <f t="shared" si="4"/>
        <v>146596.71200745797</v>
      </c>
      <c r="AD151">
        <f t="shared" si="5"/>
        <v>29319.342401491595</v>
      </c>
      <c r="AE151">
        <v>5</v>
      </c>
      <c r="AF151">
        <v>21</v>
      </c>
      <c r="AG151" t="b">
        <v>1</v>
      </c>
    </row>
    <row r="152" spans="1:33" x14ac:dyDescent="0.2">
      <c r="A152">
        <v>10</v>
      </c>
      <c r="B152">
        <v>128</v>
      </c>
      <c r="C152">
        <v>10</v>
      </c>
      <c r="D152">
        <v>3</v>
      </c>
      <c r="E152">
        <v>1</v>
      </c>
      <c r="F152">
        <v>15</v>
      </c>
      <c r="G152">
        <v>5</v>
      </c>
      <c r="H152">
        <v>45.06</v>
      </c>
      <c r="I152">
        <v>49.35</v>
      </c>
      <c r="J152">
        <v>0.4</v>
      </c>
      <c r="K152">
        <v>73728</v>
      </c>
      <c r="L152">
        <v>54993</v>
      </c>
      <c r="M152">
        <v>34218</v>
      </c>
      <c r="N152">
        <v>9903</v>
      </c>
      <c r="O152">
        <v>21137</v>
      </c>
      <c r="P152">
        <v>28401</v>
      </c>
      <c r="Q152">
        <v>8458</v>
      </c>
      <c r="R152">
        <v>33282</v>
      </c>
      <c r="S152">
        <v>7649470.8212552797</v>
      </c>
      <c r="T152">
        <v>3802667.2683041901</v>
      </c>
      <c r="U152">
        <v>-3846803.5529510798</v>
      </c>
      <c r="V152">
        <v>4015730.50242119</v>
      </c>
      <c r="W152">
        <v>52322706.174108803</v>
      </c>
      <c r="X152">
        <v>412</v>
      </c>
      <c r="Y152">
        <v>934</v>
      </c>
      <c r="Z152">
        <v>376</v>
      </c>
      <c r="AA152">
        <v>1239530.5055007001</v>
      </c>
      <c r="AB152">
        <v>569564.799999999</v>
      </c>
      <c r="AC152">
        <f t="shared" si="4"/>
        <v>669965.70550070109</v>
      </c>
      <c r="AD152">
        <f t="shared" si="5"/>
        <v>133993.14110014023</v>
      </c>
      <c r="AE152">
        <v>5</v>
      </c>
      <c r="AF152">
        <v>9</v>
      </c>
      <c r="AG152" t="b">
        <v>1</v>
      </c>
    </row>
    <row r="153" spans="1:33" x14ac:dyDescent="0.2">
      <c r="A153">
        <v>10</v>
      </c>
      <c r="B153">
        <v>128</v>
      </c>
      <c r="C153">
        <v>10</v>
      </c>
      <c r="D153">
        <v>3</v>
      </c>
      <c r="E153">
        <v>1</v>
      </c>
      <c r="F153">
        <v>15</v>
      </c>
      <c r="G153">
        <v>5</v>
      </c>
      <c r="H153">
        <v>90.12</v>
      </c>
      <c r="I153">
        <v>98.7</v>
      </c>
      <c r="J153">
        <v>0.4</v>
      </c>
      <c r="K153">
        <v>73728</v>
      </c>
      <c r="L153">
        <v>54993</v>
      </c>
      <c r="M153">
        <v>34218</v>
      </c>
      <c r="N153">
        <v>9903</v>
      </c>
      <c r="O153">
        <v>21137</v>
      </c>
      <c r="P153">
        <v>28401</v>
      </c>
      <c r="Q153">
        <v>8458</v>
      </c>
      <c r="R153">
        <v>33282</v>
      </c>
      <c r="S153">
        <v>7649470.8212552797</v>
      </c>
      <c r="T153">
        <v>7035769.7366083898</v>
      </c>
      <c r="U153">
        <v>-613701.08464689204</v>
      </c>
      <c r="V153">
        <v>4408899.1403371496</v>
      </c>
      <c r="W153">
        <v>104645412.348217</v>
      </c>
      <c r="X153">
        <v>412</v>
      </c>
      <c r="Y153">
        <v>934</v>
      </c>
      <c r="Z153">
        <v>376</v>
      </c>
      <c r="AA153">
        <v>2479061.01100141</v>
      </c>
      <c r="AB153">
        <v>569564.799999999</v>
      </c>
      <c r="AC153">
        <f t="shared" si="4"/>
        <v>1909496.2110014111</v>
      </c>
      <c r="AD153">
        <f t="shared" si="5"/>
        <v>381899.24220028223</v>
      </c>
      <c r="AE153">
        <v>5</v>
      </c>
      <c r="AF153">
        <v>9</v>
      </c>
      <c r="AG153" t="b">
        <v>1</v>
      </c>
    </row>
    <row r="154" spans="1:33" x14ac:dyDescent="0.2">
      <c r="A154">
        <v>10</v>
      </c>
      <c r="B154">
        <v>128</v>
      </c>
      <c r="C154">
        <v>10</v>
      </c>
      <c r="D154">
        <v>1</v>
      </c>
      <c r="E154">
        <v>3</v>
      </c>
      <c r="F154">
        <v>30</v>
      </c>
      <c r="G154">
        <v>5</v>
      </c>
      <c r="H154">
        <v>45.06</v>
      </c>
      <c r="I154">
        <v>49.35</v>
      </c>
      <c r="J154">
        <v>0.4</v>
      </c>
      <c r="K154">
        <v>68545</v>
      </c>
      <c r="L154">
        <v>55422</v>
      </c>
      <c r="M154">
        <v>33812</v>
      </c>
      <c r="N154">
        <v>9084</v>
      </c>
      <c r="O154">
        <v>19610</v>
      </c>
      <c r="P154">
        <v>26964</v>
      </c>
      <c r="Q154">
        <v>8012</v>
      </c>
      <c r="R154">
        <v>30660</v>
      </c>
      <c r="S154">
        <v>7187134.7786391601</v>
      </c>
      <c r="T154">
        <v>3388395.5586859901</v>
      </c>
      <c r="U154">
        <v>-3798739.2199531598</v>
      </c>
      <c r="V154">
        <v>5642548.1068459097</v>
      </c>
      <c r="W154">
        <v>111520661.05204</v>
      </c>
      <c r="X154">
        <v>410</v>
      </c>
      <c r="Y154">
        <v>988</v>
      </c>
      <c r="Z154">
        <v>1214</v>
      </c>
      <c r="AA154">
        <v>846153.39772349899</v>
      </c>
      <c r="AB154">
        <v>569564.799999999</v>
      </c>
      <c r="AC154">
        <f t="shared" si="4"/>
        <v>276588.59772349999</v>
      </c>
      <c r="AD154">
        <f t="shared" si="5"/>
        <v>55317.719544699998</v>
      </c>
      <c r="AE154">
        <v>5</v>
      </c>
      <c r="AF154">
        <v>0</v>
      </c>
      <c r="AG154" t="b">
        <v>1</v>
      </c>
    </row>
    <row r="155" spans="1:33" x14ac:dyDescent="0.2">
      <c r="A155">
        <v>10</v>
      </c>
      <c r="B155">
        <v>128</v>
      </c>
      <c r="C155">
        <v>10</v>
      </c>
      <c r="D155">
        <v>1</v>
      </c>
      <c r="E155">
        <v>3</v>
      </c>
      <c r="F155">
        <v>30</v>
      </c>
      <c r="G155">
        <v>5</v>
      </c>
      <c r="H155">
        <v>90.12</v>
      </c>
      <c r="I155">
        <v>98.7</v>
      </c>
      <c r="J155">
        <v>0.4</v>
      </c>
      <c r="K155">
        <v>68545</v>
      </c>
      <c r="L155">
        <v>55422</v>
      </c>
      <c r="M155">
        <v>33812</v>
      </c>
      <c r="N155">
        <v>9084</v>
      </c>
      <c r="O155">
        <v>19610</v>
      </c>
      <c r="P155">
        <v>26964</v>
      </c>
      <c r="Q155">
        <v>8012</v>
      </c>
      <c r="R155">
        <v>30660</v>
      </c>
      <c r="S155">
        <v>7187134.7786391601</v>
      </c>
      <c r="T155">
        <v>6207226.3173719896</v>
      </c>
      <c r="U155">
        <v>-979908.46126717096</v>
      </c>
      <c r="V155">
        <v>7243450.7840845101</v>
      </c>
      <c r="W155">
        <v>223041322.10407999</v>
      </c>
      <c r="X155">
        <v>410</v>
      </c>
      <c r="Y155">
        <v>988</v>
      </c>
      <c r="Z155">
        <v>1214</v>
      </c>
      <c r="AA155">
        <v>1692306.7954469901</v>
      </c>
      <c r="AB155">
        <v>569564.799999999</v>
      </c>
      <c r="AC155">
        <f t="shared" si="4"/>
        <v>1122741.9954469912</v>
      </c>
      <c r="AD155">
        <f t="shared" si="5"/>
        <v>224548.39908939824</v>
      </c>
      <c r="AE155">
        <v>5</v>
      </c>
      <c r="AF155">
        <v>0</v>
      </c>
      <c r="AG155" t="b">
        <v>1</v>
      </c>
    </row>
    <row r="156" spans="1:33" x14ac:dyDescent="0.2">
      <c r="A156">
        <v>10</v>
      </c>
      <c r="B156">
        <v>128</v>
      </c>
      <c r="C156">
        <v>10</v>
      </c>
      <c r="D156">
        <v>1</v>
      </c>
      <c r="E156">
        <v>3</v>
      </c>
      <c r="F156">
        <v>15</v>
      </c>
      <c r="G156">
        <v>5</v>
      </c>
      <c r="H156">
        <v>45.06</v>
      </c>
      <c r="I156">
        <v>49.35</v>
      </c>
      <c r="J156">
        <v>0.4</v>
      </c>
      <c r="K156">
        <v>74527</v>
      </c>
      <c r="L156">
        <v>55303</v>
      </c>
      <c r="M156">
        <v>34124</v>
      </c>
      <c r="N156">
        <v>10052</v>
      </c>
      <c r="O156">
        <v>21799</v>
      </c>
      <c r="P156">
        <v>29154</v>
      </c>
      <c r="Q156">
        <v>8333</v>
      </c>
      <c r="R156">
        <v>33926</v>
      </c>
      <c r="S156">
        <v>6192225.1488616597</v>
      </c>
      <c r="T156">
        <v>3301841.9897032198</v>
      </c>
      <c r="U156">
        <v>-2890383.1591584301</v>
      </c>
      <c r="V156">
        <v>3634443.2522369502</v>
      </c>
      <c r="W156">
        <v>36323546.924106002</v>
      </c>
      <c r="X156">
        <v>239</v>
      </c>
      <c r="Y156">
        <v>819</v>
      </c>
      <c r="Z156">
        <v>313</v>
      </c>
      <c r="AA156">
        <v>1257977.90038673</v>
      </c>
      <c r="AB156">
        <v>569564.799999999</v>
      </c>
      <c r="AC156">
        <f t="shared" si="4"/>
        <v>688413.10038673098</v>
      </c>
      <c r="AD156">
        <f t="shared" si="5"/>
        <v>137682.62007734619</v>
      </c>
      <c r="AE156">
        <v>5</v>
      </c>
      <c r="AF156">
        <v>9</v>
      </c>
      <c r="AG156" t="b">
        <v>1</v>
      </c>
    </row>
    <row r="157" spans="1:33" x14ac:dyDescent="0.2">
      <c r="A157">
        <v>10</v>
      </c>
      <c r="B157">
        <v>128</v>
      </c>
      <c r="C157">
        <v>10</v>
      </c>
      <c r="D157">
        <v>1</v>
      </c>
      <c r="E157">
        <v>3</v>
      </c>
      <c r="F157">
        <v>15</v>
      </c>
      <c r="G157">
        <v>5</v>
      </c>
      <c r="H157">
        <v>90.12</v>
      </c>
      <c r="I157">
        <v>98.7</v>
      </c>
      <c r="J157">
        <v>0.4</v>
      </c>
      <c r="K157">
        <v>74527</v>
      </c>
      <c r="L157">
        <v>55303</v>
      </c>
      <c r="M157">
        <v>34124</v>
      </c>
      <c r="N157">
        <v>10052</v>
      </c>
      <c r="O157">
        <v>21799</v>
      </c>
      <c r="P157">
        <v>29154</v>
      </c>
      <c r="Q157">
        <v>8333</v>
      </c>
      <c r="R157">
        <v>33926</v>
      </c>
      <c r="S157">
        <v>6192225.1488616597</v>
      </c>
      <c r="T157">
        <v>6034119.1794064501</v>
      </c>
      <c r="U157">
        <v>-158105.969455204</v>
      </c>
      <c r="V157">
        <v>3745951.8065314698</v>
      </c>
      <c r="W157">
        <v>72647093.848212093</v>
      </c>
      <c r="X157">
        <v>239</v>
      </c>
      <c r="Y157">
        <v>819</v>
      </c>
      <c r="Z157">
        <v>313</v>
      </c>
      <c r="AA157">
        <v>2515955.80077346</v>
      </c>
      <c r="AB157">
        <v>569564.799999999</v>
      </c>
      <c r="AC157">
        <f t="shared" si="4"/>
        <v>1946391.0007734611</v>
      </c>
      <c r="AD157">
        <f t="shared" si="5"/>
        <v>389278.20015469223</v>
      </c>
      <c r="AE157">
        <v>5</v>
      </c>
      <c r="AF157">
        <v>9</v>
      </c>
      <c r="AG157" t="b">
        <v>1</v>
      </c>
    </row>
    <row r="158" spans="1:33" x14ac:dyDescent="0.2">
      <c r="A158">
        <v>10</v>
      </c>
      <c r="B158">
        <v>128</v>
      </c>
      <c r="C158">
        <v>10</v>
      </c>
      <c r="D158">
        <v>1</v>
      </c>
      <c r="E158">
        <v>1</v>
      </c>
      <c r="F158">
        <v>30</v>
      </c>
      <c r="G158">
        <v>5</v>
      </c>
      <c r="H158">
        <v>45.06</v>
      </c>
      <c r="I158">
        <v>49.35</v>
      </c>
      <c r="J158">
        <v>0.4</v>
      </c>
      <c r="K158">
        <v>68637</v>
      </c>
      <c r="L158">
        <v>55486</v>
      </c>
      <c r="M158">
        <v>33606</v>
      </c>
      <c r="N158">
        <v>8965</v>
      </c>
      <c r="O158">
        <v>19222</v>
      </c>
      <c r="P158">
        <v>26819</v>
      </c>
      <c r="Q158">
        <v>8001</v>
      </c>
      <c r="R158">
        <v>29823</v>
      </c>
      <c r="S158">
        <v>6995679.5463811997</v>
      </c>
      <c r="T158">
        <v>3307808.0953130601</v>
      </c>
      <c r="U158">
        <v>-3687871.4510681401</v>
      </c>
      <c r="V158">
        <v>5518596.4000974298</v>
      </c>
      <c r="W158">
        <v>133216435.939318</v>
      </c>
      <c r="X158">
        <v>405</v>
      </c>
      <c r="Y158">
        <v>1006</v>
      </c>
      <c r="Z158">
        <v>1339</v>
      </c>
      <c r="AA158">
        <v>738703.44655958703</v>
      </c>
      <c r="AB158">
        <v>569564.799999999</v>
      </c>
      <c r="AC158">
        <f t="shared" si="4"/>
        <v>169138.64655958803</v>
      </c>
      <c r="AD158">
        <f t="shared" si="5"/>
        <v>33827.729311917603</v>
      </c>
      <c r="AE158">
        <v>5</v>
      </c>
      <c r="AF158">
        <v>0</v>
      </c>
      <c r="AG158" t="b">
        <v>1</v>
      </c>
    </row>
    <row r="159" spans="1:33" x14ac:dyDescent="0.2">
      <c r="A159">
        <v>10</v>
      </c>
      <c r="B159">
        <v>128</v>
      </c>
      <c r="C159">
        <v>10</v>
      </c>
      <c r="D159">
        <v>1</v>
      </c>
      <c r="E159">
        <v>1</v>
      </c>
      <c r="F159">
        <v>30</v>
      </c>
      <c r="G159">
        <v>5</v>
      </c>
      <c r="H159">
        <v>90.12</v>
      </c>
      <c r="I159">
        <v>98.7</v>
      </c>
      <c r="J159">
        <v>0.4</v>
      </c>
      <c r="K159">
        <v>68637</v>
      </c>
      <c r="L159">
        <v>55486</v>
      </c>
      <c r="M159">
        <v>33606</v>
      </c>
      <c r="N159">
        <v>8965</v>
      </c>
      <c r="O159">
        <v>19222</v>
      </c>
      <c r="P159">
        <v>26819</v>
      </c>
      <c r="Q159">
        <v>8001</v>
      </c>
      <c r="R159">
        <v>29823</v>
      </c>
      <c r="S159">
        <v>6995679.5463811997</v>
      </c>
      <c r="T159">
        <v>6046051.3906261204</v>
      </c>
      <c r="U159">
        <v>-949628.15575508296</v>
      </c>
      <c r="V159">
        <v>6979706.49288557</v>
      </c>
      <c r="W159">
        <v>266432871.878636</v>
      </c>
      <c r="X159">
        <v>405</v>
      </c>
      <c r="Y159">
        <v>1006</v>
      </c>
      <c r="Z159">
        <v>1339</v>
      </c>
      <c r="AA159">
        <v>1477406.8931191701</v>
      </c>
      <c r="AB159">
        <v>569564.799999999</v>
      </c>
      <c r="AC159">
        <f t="shared" si="4"/>
        <v>907842.0931191711</v>
      </c>
      <c r="AD159">
        <f t="shared" si="5"/>
        <v>181568.41862383421</v>
      </c>
      <c r="AE159">
        <v>5</v>
      </c>
      <c r="AF159">
        <v>0</v>
      </c>
      <c r="AG159" t="b">
        <v>1</v>
      </c>
    </row>
    <row r="160" spans="1:33" x14ac:dyDescent="0.2">
      <c r="A160">
        <v>10</v>
      </c>
      <c r="B160">
        <v>128</v>
      </c>
      <c r="C160">
        <v>10</v>
      </c>
      <c r="D160">
        <v>1</v>
      </c>
      <c r="E160">
        <v>1</v>
      </c>
      <c r="F160">
        <v>15</v>
      </c>
      <c r="G160">
        <v>5</v>
      </c>
      <c r="H160">
        <v>45.06</v>
      </c>
      <c r="I160">
        <v>49.35</v>
      </c>
      <c r="J160">
        <v>0.4</v>
      </c>
      <c r="K160">
        <v>73081</v>
      </c>
      <c r="L160">
        <v>55052</v>
      </c>
      <c r="M160">
        <v>34069</v>
      </c>
      <c r="N160">
        <v>9798</v>
      </c>
      <c r="O160">
        <v>21322</v>
      </c>
      <c r="P160">
        <v>28554</v>
      </c>
      <c r="Q160">
        <v>8273</v>
      </c>
      <c r="R160">
        <v>33305</v>
      </c>
      <c r="S160">
        <v>6627479.4327770397</v>
      </c>
      <c r="T160">
        <v>3278450.5067463201</v>
      </c>
      <c r="U160">
        <v>-3349028.9260307201</v>
      </c>
      <c r="V160">
        <v>3876456.8729921002</v>
      </c>
      <c r="W160">
        <v>55984490.432678401</v>
      </c>
      <c r="X160">
        <v>283</v>
      </c>
      <c r="Y160">
        <v>846</v>
      </c>
      <c r="Z160">
        <v>462</v>
      </c>
      <c r="AA160">
        <v>1226789.2564441899</v>
      </c>
      <c r="AB160">
        <v>569564.799999999</v>
      </c>
      <c r="AC160">
        <f t="shared" si="4"/>
        <v>657224.45644419093</v>
      </c>
      <c r="AD160">
        <f t="shared" si="5"/>
        <v>131444.89128883817</v>
      </c>
      <c r="AE160">
        <v>5</v>
      </c>
      <c r="AF160">
        <v>9</v>
      </c>
      <c r="AG160" t="b">
        <v>1</v>
      </c>
    </row>
    <row r="161" spans="1:33" x14ac:dyDescent="0.2">
      <c r="A161">
        <v>10</v>
      </c>
      <c r="B161">
        <v>128</v>
      </c>
      <c r="C161">
        <v>10</v>
      </c>
      <c r="D161">
        <v>1</v>
      </c>
      <c r="E161">
        <v>1</v>
      </c>
      <c r="F161">
        <v>15</v>
      </c>
      <c r="G161">
        <v>5</v>
      </c>
      <c r="H161">
        <v>90.12</v>
      </c>
      <c r="I161">
        <v>98.7</v>
      </c>
      <c r="J161">
        <v>0.4</v>
      </c>
      <c r="K161">
        <v>73081</v>
      </c>
      <c r="L161">
        <v>55052</v>
      </c>
      <c r="M161">
        <v>34069</v>
      </c>
      <c r="N161">
        <v>9798</v>
      </c>
      <c r="O161">
        <v>21322</v>
      </c>
      <c r="P161">
        <v>28554</v>
      </c>
      <c r="Q161">
        <v>8273</v>
      </c>
      <c r="R161">
        <v>33305</v>
      </c>
      <c r="S161">
        <v>6627479.4327770397</v>
      </c>
      <c r="T161">
        <v>5987336.2134926496</v>
      </c>
      <c r="U161">
        <v>-640143.21928439499</v>
      </c>
      <c r="V161">
        <v>4093954.9183850298</v>
      </c>
      <c r="W161">
        <v>111968980.865356</v>
      </c>
      <c r="X161">
        <v>283</v>
      </c>
      <c r="Y161">
        <v>846</v>
      </c>
      <c r="Z161">
        <v>462</v>
      </c>
      <c r="AA161">
        <v>2453578.5128883799</v>
      </c>
      <c r="AB161">
        <v>569564.799999999</v>
      </c>
      <c r="AC161">
        <f t="shared" si="4"/>
        <v>1884013.712888381</v>
      </c>
      <c r="AD161">
        <f t="shared" si="5"/>
        <v>376802.7425776762</v>
      </c>
      <c r="AE161">
        <v>5</v>
      </c>
      <c r="AF161">
        <v>9</v>
      </c>
      <c r="AG161" t="b">
        <v>1</v>
      </c>
    </row>
    <row r="162" spans="1:33" x14ac:dyDescent="0.2">
      <c r="A162">
        <v>10</v>
      </c>
      <c r="B162">
        <v>188</v>
      </c>
      <c r="C162">
        <v>15</v>
      </c>
      <c r="D162">
        <v>3</v>
      </c>
      <c r="E162">
        <v>3</v>
      </c>
      <c r="F162">
        <v>30</v>
      </c>
      <c r="G162">
        <v>15</v>
      </c>
      <c r="H162">
        <v>45.06</v>
      </c>
      <c r="I162">
        <v>49.35</v>
      </c>
      <c r="J162">
        <v>0.4</v>
      </c>
      <c r="K162">
        <v>84874</v>
      </c>
      <c r="L162">
        <v>86545</v>
      </c>
      <c r="M162">
        <v>27998</v>
      </c>
      <c r="N162">
        <v>11620</v>
      </c>
      <c r="O162">
        <v>5534</v>
      </c>
      <c r="P162">
        <v>45354</v>
      </c>
      <c r="Q162">
        <v>4250</v>
      </c>
      <c r="R162">
        <v>37158</v>
      </c>
      <c r="S162">
        <v>24057839.9047984</v>
      </c>
      <c r="T162">
        <v>9161520.1947115995</v>
      </c>
      <c r="U162">
        <v>-14896319.7100868</v>
      </c>
      <c r="V162">
        <v>17556769.257683702</v>
      </c>
      <c r="W162">
        <v>0</v>
      </c>
      <c r="X162">
        <v>548</v>
      </c>
      <c r="Y162">
        <v>3935</v>
      </c>
      <c r="Z162">
        <v>0</v>
      </c>
      <c r="AA162">
        <v>5101248.7223567897</v>
      </c>
      <c r="AB162">
        <v>2508838.65</v>
      </c>
      <c r="AC162" s="2">
        <f t="shared" si="4"/>
        <v>2592410.0723567898</v>
      </c>
      <c r="AD162" s="2">
        <f t="shared" si="5"/>
        <v>172827.33815711932</v>
      </c>
      <c r="AE162">
        <v>15</v>
      </c>
      <c r="AF162">
        <v>214</v>
      </c>
      <c r="AG162" t="b">
        <v>1</v>
      </c>
    </row>
    <row r="163" spans="1:33" x14ac:dyDescent="0.2">
      <c r="A163">
        <v>10</v>
      </c>
      <c r="B163">
        <v>188</v>
      </c>
      <c r="C163">
        <v>15</v>
      </c>
      <c r="D163">
        <v>3</v>
      </c>
      <c r="E163">
        <v>3</v>
      </c>
      <c r="F163">
        <v>30</v>
      </c>
      <c r="G163">
        <v>15</v>
      </c>
      <c r="H163">
        <v>90.12</v>
      </c>
      <c r="I163">
        <v>98.7</v>
      </c>
      <c r="J163">
        <v>0.4</v>
      </c>
      <c r="K163">
        <v>84874</v>
      </c>
      <c r="L163">
        <v>86545</v>
      </c>
      <c r="M163">
        <v>27998</v>
      </c>
      <c r="N163">
        <v>11620</v>
      </c>
      <c r="O163">
        <v>5534</v>
      </c>
      <c r="P163">
        <v>45354</v>
      </c>
      <c r="Q163">
        <v>4250</v>
      </c>
      <c r="R163">
        <v>37158</v>
      </c>
      <c r="S163">
        <v>24057839.9047984</v>
      </c>
      <c r="T163">
        <v>15814201.7394232</v>
      </c>
      <c r="U163">
        <v>-8243638.1653752504</v>
      </c>
      <c r="V163">
        <v>17556769.257683702</v>
      </c>
      <c r="W163">
        <v>0</v>
      </c>
      <c r="X163">
        <v>548</v>
      </c>
      <c r="Y163">
        <v>3935</v>
      </c>
      <c r="Z163">
        <v>0</v>
      </c>
      <c r="AA163">
        <v>10202497.444713499</v>
      </c>
      <c r="AB163">
        <v>2508838.65</v>
      </c>
      <c r="AC163" s="2">
        <f t="shared" si="4"/>
        <v>7693658.794713499</v>
      </c>
      <c r="AD163" s="2">
        <f t="shared" si="5"/>
        <v>512910.58631423325</v>
      </c>
      <c r="AE163">
        <v>15</v>
      </c>
      <c r="AF163">
        <v>214</v>
      </c>
      <c r="AG163" t="b">
        <v>1</v>
      </c>
    </row>
    <row r="164" spans="1:33" x14ac:dyDescent="0.2">
      <c r="A164">
        <v>10</v>
      </c>
      <c r="B164">
        <v>188</v>
      </c>
      <c r="C164">
        <v>15</v>
      </c>
      <c r="D164">
        <v>3</v>
      </c>
      <c r="E164">
        <v>3</v>
      </c>
      <c r="F164">
        <v>15</v>
      </c>
      <c r="G164">
        <v>15</v>
      </c>
      <c r="H164">
        <v>45.06</v>
      </c>
      <c r="I164">
        <v>49.35</v>
      </c>
      <c r="J164">
        <v>0.4</v>
      </c>
      <c r="K164">
        <v>84943</v>
      </c>
      <c r="L164">
        <v>86333</v>
      </c>
      <c r="M164">
        <v>27702</v>
      </c>
      <c r="N164">
        <v>11623</v>
      </c>
      <c r="O164">
        <v>5512</v>
      </c>
      <c r="P164">
        <v>45517</v>
      </c>
      <c r="Q164">
        <v>4136</v>
      </c>
      <c r="R164">
        <v>37391</v>
      </c>
      <c r="S164">
        <v>23195320.563554499</v>
      </c>
      <c r="T164">
        <v>5085287.3035008302</v>
      </c>
      <c r="U164">
        <v>-18110033.260053702</v>
      </c>
      <c r="V164">
        <v>8661396.5655684192</v>
      </c>
      <c r="W164">
        <v>0</v>
      </c>
      <c r="X164">
        <v>2735</v>
      </c>
      <c r="Y164">
        <v>2027</v>
      </c>
      <c r="Z164">
        <v>0</v>
      </c>
      <c r="AA164">
        <v>263590.85726512503</v>
      </c>
      <c r="AB164">
        <v>2508838.65</v>
      </c>
      <c r="AC164" s="2">
        <f t="shared" si="4"/>
        <v>-2245247.7927348749</v>
      </c>
      <c r="AD164" s="2">
        <f t="shared" si="5"/>
        <v>-149683.18618232498</v>
      </c>
      <c r="AE164">
        <v>15</v>
      </c>
      <c r="AF164">
        <v>368</v>
      </c>
      <c r="AG164" t="b">
        <v>1</v>
      </c>
    </row>
    <row r="165" spans="1:33" x14ac:dyDescent="0.2">
      <c r="A165">
        <v>10</v>
      </c>
      <c r="B165">
        <v>188</v>
      </c>
      <c r="C165">
        <v>15</v>
      </c>
      <c r="D165">
        <v>3</v>
      </c>
      <c r="E165">
        <v>3</v>
      </c>
      <c r="F165">
        <v>15</v>
      </c>
      <c r="G165">
        <v>15</v>
      </c>
      <c r="H165">
        <v>90.12</v>
      </c>
      <c r="I165">
        <v>98.7</v>
      </c>
      <c r="J165">
        <v>0.4</v>
      </c>
      <c r="K165">
        <v>84943</v>
      </c>
      <c r="L165">
        <v>86333</v>
      </c>
      <c r="M165">
        <v>27702</v>
      </c>
      <c r="N165">
        <v>11623</v>
      </c>
      <c r="O165">
        <v>5512</v>
      </c>
      <c r="P165">
        <v>45517</v>
      </c>
      <c r="Q165">
        <v>4136</v>
      </c>
      <c r="R165">
        <v>37391</v>
      </c>
      <c r="S165">
        <v>23195320.563554499</v>
      </c>
      <c r="T165">
        <v>7661735.95700166</v>
      </c>
      <c r="U165">
        <v>-15533584.606552901</v>
      </c>
      <c r="V165">
        <v>8661396.5655684192</v>
      </c>
      <c r="W165">
        <v>0</v>
      </c>
      <c r="X165">
        <v>2735</v>
      </c>
      <c r="Y165">
        <v>2027</v>
      </c>
      <c r="Z165">
        <v>0</v>
      </c>
      <c r="AA165">
        <v>527181.71453025099</v>
      </c>
      <c r="AB165">
        <v>2508838.65</v>
      </c>
      <c r="AC165" s="2">
        <f t="shared" si="4"/>
        <v>-1981656.9354697489</v>
      </c>
      <c r="AD165" s="2">
        <f t="shared" si="5"/>
        <v>-132110.46236464992</v>
      </c>
      <c r="AE165">
        <v>15</v>
      </c>
      <c r="AF165">
        <v>368</v>
      </c>
      <c r="AG165" t="b">
        <v>1</v>
      </c>
    </row>
    <row r="166" spans="1:33" x14ac:dyDescent="0.2">
      <c r="A166">
        <v>10</v>
      </c>
      <c r="B166">
        <v>188</v>
      </c>
      <c r="C166">
        <v>15</v>
      </c>
      <c r="D166">
        <v>3</v>
      </c>
      <c r="E166">
        <v>1</v>
      </c>
      <c r="F166">
        <v>30</v>
      </c>
      <c r="G166">
        <v>15</v>
      </c>
      <c r="H166">
        <v>45.06</v>
      </c>
      <c r="I166">
        <v>49.35</v>
      </c>
      <c r="J166">
        <v>0.4</v>
      </c>
      <c r="K166">
        <v>84746</v>
      </c>
      <c r="L166">
        <v>86908</v>
      </c>
      <c r="M166">
        <v>28183</v>
      </c>
      <c r="N166">
        <v>11670</v>
      </c>
      <c r="O166">
        <v>5565</v>
      </c>
      <c r="P166">
        <v>45484</v>
      </c>
      <c r="Q166">
        <v>4210</v>
      </c>
      <c r="R166">
        <v>37365</v>
      </c>
      <c r="S166">
        <v>24123753.946350999</v>
      </c>
      <c r="T166">
        <v>9031525.2827892601</v>
      </c>
      <c r="U166">
        <v>-15092228.6635617</v>
      </c>
      <c r="V166">
        <v>17566759.0786612</v>
      </c>
      <c r="W166">
        <v>0</v>
      </c>
      <c r="X166">
        <v>559</v>
      </c>
      <c r="Y166">
        <v>3936</v>
      </c>
      <c r="Z166">
        <v>0</v>
      </c>
      <c r="AA166">
        <v>4918770.3923097104</v>
      </c>
      <c r="AB166">
        <v>2508838.65</v>
      </c>
      <c r="AC166" s="2">
        <f t="shared" si="4"/>
        <v>2409931.7423097105</v>
      </c>
      <c r="AD166" s="2">
        <f t="shared" si="5"/>
        <v>160662.11615398069</v>
      </c>
      <c r="AE166">
        <v>15</v>
      </c>
      <c r="AF166">
        <v>215</v>
      </c>
      <c r="AG166" t="b">
        <v>1</v>
      </c>
    </row>
    <row r="167" spans="1:33" x14ac:dyDescent="0.2">
      <c r="A167">
        <v>10</v>
      </c>
      <c r="B167">
        <v>188</v>
      </c>
      <c r="C167">
        <v>15</v>
      </c>
      <c r="D167">
        <v>3</v>
      </c>
      <c r="E167">
        <v>1</v>
      </c>
      <c r="F167">
        <v>30</v>
      </c>
      <c r="G167">
        <v>15</v>
      </c>
      <c r="H167">
        <v>90.12</v>
      </c>
      <c r="I167">
        <v>98.7</v>
      </c>
      <c r="J167">
        <v>0.4</v>
      </c>
      <c r="K167">
        <v>84746</v>
      </c>
      <c r="L167">
        <v>86908</v>
      </c>
      <c r="M167">
        <v>28183</v>
      </c>
      <c r="N167">
        <v>11670</v>
      </c>
      <c r="O167">
        <v>5565</v>
      </c>
      <c r="P167">
        <v>45484</v>
      </c>
      <c r="Q167">
        <v>4210</v>
      </c>
      <c r="R167">
        <v>37365</v>
      </c>
      <c r="S167">
        <v>24123753.946350999</v>
      </c>
      <c r="T167">
        <v>15554211.915578499</v>
      </c>
      <c r="U167">
        <v>-8569542.0307724606</v>
      </c>
      <c r="V167">
        <v>17566759.0786612</v>
      </c>
      <c r="W167">
        <v>0</v>
      </c>
      <c r="X167">
        <v>559</v>
      </c>
      <c r="Y167">
        <v>3936</v>
      </c>
      <c r="Z167">
        <v>0</v>
      </c>
      <c r="AA167">
        <v>9837540.7846194301</v>
      </c>
      <c r="AB167">
        <v>2508838.65</v>
      </c>
      <c r="AC167" s="2">
        <f t="shared" si="4"/>
        <v>7328702.1346194297</v>
      </c>
      <c r="AD167" s="2">
        <f t="shared" si="5"/>
        <v>488580.142307962</v>
      </c>
      <c r="AE167">
        <v>15</v>
      </c>
      <c r="AF167">
        <v>215</v>
      </c>
      <c r="AG167" t="b">
        <v>1</v>
      </c>
    </row>
    <row r="168" spans="1:33" x14ac:dyDescent="0.2">
      <c r="A168">
        <v>10</v>
      </c>
      <c r="B168">
        <v>188</v>
      </c>
      <c r="C168">
        <v>15</v>
      </c>
      <c r="D168">
        <v>3</v>
      </c>
      <c r="E168">
        <v>1</v>
      </c>
      <c r="F168">
        <v>15</v>
      </c>
      <c r="G168">
        <v>15</v>
      </c>
      <c r="H168">
        <v>45.06</v>
      </c>
      <c r="I168">
        <v>49.35</v>
      </c>
      <c r="J168">
        <v>0.4</v>
      </c>
      <c r="K168">
        <v>84713</v>
      </c>
      <c r="L168">
        <v>86300</v>
      </c>
      <c r="M168">
        <v>27907</v>
      </c>
      <c r="N168">
        <v>11583</v>
      </c>
      <c r="O168">
        <v>5599</v>
      </c>
      <c r="P168">
        <v>45585</v>
      </c>
      <c r="Q168">
        <v>4170</v>
      </c>
      <c r="R168">
        <v>37381</v>
      </c>
      <c r="S168">
        <v>23136908.800283398</v>
      </c>
      <c r="T168">
        <v>5085287.3035008302</v>
      </c>
      <c r="U168">
        <v>-18051621.496782601</v>
      </c>
      <c r="V168">
        <v>8657005.8868128601</v>
      </c>
      <c r="W168">
        <v>0</v>
      </c>
      <c r="X168">
        <v>2730</v>
      </c>
      <c r="Y168">
        <v>2027</v>
      </c>
      <c r="Z168">
        <v>0</v>
      </c>
      <c r="AA168">
        <v>263590.85726512503</v>
      </c>
      <c r="AB168">
        <v>2508838.65</v>
      </c>
      <c r="AC168" s="2">
        <f t="shared" si="4"/>
        <v>-2245247.7927348749</v>
      </c>
      <c r="AD168" s="2">
        <f t="shared" si="5"/>
        <v>-149683.18618232498</v>
      </c>
      <c r="AE168">
        <v>15</v>
      </c>
      <c r="AF168">
        <v>365</v>
      </c>
      <c r="AG168" t="b">
        <v>1</v>
      </c>
    </row>
    <row r="169" spans="1:33" x14ac:dyDescent="0.2">
      <c r="A169">
        <v>10</v>
      </c>
      <c r="B169">
        <v>188</v>
      </c>
      <c r="C169">
        <v>15</v>
      </c>
      <c r="D169">
        <v>3</v>
      </c>
      <c r="E169">
        <v>1</v>
      </c>
      <c r="F169">
        <v>15</v>
      </c>
      <c r="G169">
        <v>15</v>
      </c>
      <c r="H169">
        <v>90.12</v>
      </c>
      <c r="I169">
        <v>98.7</v>
      </c>
      <c r="J169">
        <v>0.4</v>
      </c>
      <c r="K169">
        <v>84713</v>
      </c>
      <c r="L169">
        <v>86300</v>
      </c>
      <c r="M169">
        <v>27907</v>
      </c>
      <c r="N169">
        <v>11583</v>
      </c>
      <c r="O169">
        <v>5599</v>
      </c>
      <c r="P169">
        <v>45585</v>
      </c>
      <c r="Q169">
        <v>4170</v>
      </c>
      <c r="R169">
        <v>37381</v>
      </c>
      <c r="S169">
        <v>23136908.800283398</v>
      </c>
      <c r="T169">
        <v>7661735.95700166</v>
      </c>
      <c r="U169">
        <v>-15475172.843281699</v>
      </c>
      <c r="V169">
        <v>8657005.8868128601</v>
      </c>
      <c r="W169">
        <v>0</v>
      </c>
      <c r="X169">
        <v>2730</v>
      </c>
      <c r="Y169">
        <v>2027</v>
      </c>
      <c r="Z169">
        <v>0</v>
      </c>
      <c r="AA169">
        <v>527181.71453025099</v>
      </c>
      <c r="AB169">
        <v>2508838.65</v>
      </c>
      <c r="AC169" s="2">
        <f t="shared" si="4"/>
        <v>-1981656.9354697489</v>
      </c>
      <c r="AD169" s="2">
        <f t="shared" si="5"/>
        <v>-132110.46236464992</v>
      </c>
      <c r="AE169">
        <v>15</v>
      </c>
      <c r="AF169">
        <v>365</v>
      </c>
      <c r="AG169" t="b">
        <v>1</v>
      </c>
    </row>
    <row r="170" spans="1:33" x14ac:dyDescent="0.2">
      <c r="A170">
        <v>10</v>
      </c>
      <c r="B170">
        <v>188</v>
      </c>
      <c r="C170">
        <v>15</v>
      </c>
      <c r="D170">
        <v>1</v>
      </c>
      <c r="E170">
        <v>3</v>
      </c>
      <c r="F170">
        <v>30</v>
      </c>
      <c r="G170">
        <v>15</v>
      </c>
      <c r="H170">
        <v>45.06</v>
      </c>
      <c r="I170">
        <v>49.35</v>
      </c>
      <c r="J170">
        <v>0.4</v>
      </c>
      <c r="K170">
        <v>84896</v>
      </c>
      <c r="L170">
        <v>86534</v>
      </c>
      <c r="M170">
        <v>27974</v>
      </c>
      <c r="N170">
        <v>11672</v>
      </c>
      <c r="O170">
        <v>5553</v>
      </c>
      <c r="P170">
        <v>45411</v>
      </c>
      <c r="Q170">
        <v>4144</v>
      </c>
      <c r="R170">
        <v>37248</v>
      </c>
      <c r="S170">
        <v>22974120.0590459</v>
      </c>
      <c r="T170">
        <v>9191680.1855714004</v>
      </c>
      <c r="U170">
        <v>-13782439.873474499</v>
      </c>
      <c r="V170">
        <v>17553035.890249901</v>
      </c>
      <c r="W170">
        <v>0</v>
      </c>
      <c r="X170">
        <v>323</v>
      </c>
      <c r="Y170">
        <v>3828</v>
      </c>
      <c r="Z170">
        <v>0</v>
      </c>
      <c r="AA170">
        <v>5818524.6957065295</v>
      </c>
      <c r="AB170">
        <v>2508838.65</v>
      </c>
      <c r="AC170" s="2">
        <f t="shared" si="4"/>
        <v>3309686.0457065296</v>
      </c>
      <c r="AD170" s="2">
        <f t="shared" si="5"/>
        <v>220645.73638043532</v>
      </c>
      <c r="AE170">
        <v>15</v>
      </c>
      <c r="AF170">
        <v>196</v>
      </c>
      <c r="AG170" t="b">
        <v>1</v>
      </c>
    </row>
    <row r="171" spans="1:33" x14ac:dyDescent="0.2">
      <c r="A171">
        <v>10</v>
      </c>
      <c r="B171">
        <v>188</v>
      </c>
      <c r="C171">
        <v>15</v>
      </c>
      <c r="D171">
        <v>1</v>
      </c>
      <c r="E171">
        <v>3</v>
      </c>
      <c r="F171">
        <v>30</v>
      </c>
      <c r="G171">
        <v>15</v>
      </c>
      <c r="H171">
        <v>90.12</v>
      </c>
      <c r="I171">
        <v>98.7</v>
      </c>
      <c r="J171">
        <v>0.4</v>
      </c>
      <c r="K171">
        <v>84896</v>
      </c>
      <c r="L171">
        <v>86534</v>
      </c>
      <c r="M171">
        <v>27974</v>
      </c>
      <c r="N171">
        <v>11672</v>
      </c>
      <c r="O171">
        <v>5553</v>
      </c>
      <c r="P171">
        <v>45411</v>
      </c>
      <c r="Q171">
        <v>4144</v>
      </c>
      <c r="R171">
        <v>37248</v>
      </c>
      <c r="S171">
        <v>22974120.0590459</v>
      </c>
      <c r="T171">
        <v>15874521.721142801</v>
      </c>
      <c r="U171">
        <v>-7099598.3379031699</v>
      </c>
      <c r="V171">
        <v>17553035.890249901</v>
      </c>
      <c r="W171">
        <v>0</v>
      </c>
      <c r="X171">
        <v>323</v>
      </c>
      <c r="Y171">
        <v>3828</v>
      </c>
      <c r="Z171">
        <v>0</v>
      </c>
      <c r="AA171">
        <v>11637049.391412999</v>
      </c>
      <c r="AB171">
        <v>2508838.65</v>
      </c>
      <c r="AC171" s="2">
        <f t="shared" si="4"/>
        <v>9128210.7414129991</v>
      </c>
      <c r="AD171" s="2">
        <f t="shared" si="5"/>
        <v>608547.38276086666</v>
      </c>
      <c r="AE171">
        <v>15</v>
      </c>
      <c r="AF171">
        <v>196</v>
      </c>
      <c r="AG171" t="b">
        <v>1</v>
      </c>
    </row>
    <row r="172" spans="1:33" x14ac:dyDescent="0.2">
      <c r="A172">
        <v>10</v>
      </c>
      <c r="B172">
        <v>188</v>
      </c>
      <c r="C172">
        <v>15</v>
      </c>
      <c r="D172">
        <v>1</v>
      </c>
      <c r="E172">
        <v>3</v>
      </c>
      <c r="F172">
        <v>15</v>
      </c>
      <c r="G172">
        <v>15</v>
      </c>
      <c r="H172">
        <v>45.06</v>
      </c>
      <c r="I172">
        <v>49.35</v>
      </c>
      <c r="J172">
        <v>0.4</v>
      </c>
      <c r="K172">
        <v>84506</v>
      </c>
      <c r="L172">
        <v>85645</v>
      </c>
      <c r="M172">
        <v>27733</v>
      </c>
      <c r="N172">
        <v>11628</v>
      </c>
      <c r="O172">
        <v>5502</v>
      </c>
      <c r="P172">
        <v>45454</v>
      </c>
      <c r="Q172">
        <v>4137</v>
      </c>
      <c r="R172">
        <v>37363</v>
      </c>
      <c r="S172">
        <v>21934722.476093698</v>
      </c>
      <c r="T172">
        <v>5133066.3226815602</v>
      </c>
      <c r="U172">
        <v>-16801656.1534121</v>
      </c>
      <c r="V172">
        <v>9072025.7918600999</v>
      </c>
      <c r="W172">
        <v>0</v>
      </c>
      <c r="X172">
        <v>2437</v>
      </c>
      <c r="Y172">
        <v>1974</v>
      </c>
      <c r="Z172">
        <v>0</v>
      </c>
      <c r="AA172">
        <v>1013510.6491934099</v>
      </c>
      <c r="AB172">
        <v>2508838.65</v>
      </c>
      <c r="AC172" s="2">
        <f t="shared" si="4"/>
        <v>-1495328.0008065901</v>
      </c>
      <c r="AD172" s="2">
        <f t="shared" si="5"/>
        <v>-99688.533387105999</v>
      </c>
      <c r="AE172">
        <v>15</v>
      </c>
      <c r="AF172">
        <v>342</v>
      </c>
      <c r="AG172" t="b">
        <v>1</v>
      </c>
    </row>
    <row r="173" spans="1:33" x14ac:dyDescent="0.2">
      <c r="A173">
        <v>10</v>
      </c>
      <c r="B173">
        <v>188</v>
      </c>
      <c r="C173">
        <v>15</v>
      </c>
      <c r="D173">
        <v>1</v>
      </c>
      <c r="E173">
        <v>3</v>
      </c>
      <c r="F173">
        <v>15</v>
      </c>
      <c r="G173">
        <v>15</v>
      </c>
      <c r="H173">
        <v>90.12</v>
      </c>
      <c r="I173">
        <v>98.7</v>
      </c>
      <c r="J173">
        <v>0.4</v>
      </c>
      <c r="K173">
        <v>84506</v>
      </c>
      <c r="L173">
        <v>85645</v>
      </c>
      <c r="M173">
        <v>27733</v>
      </c>
      <c r="N173">
        <v>11628</v>
      </c>
      <c r="O173">
        <v>5502</v>
      </c>
      <c r="P173">
        <v>45454</v>
      </c>
      <c r="Q173">
        <v>4137</v>
      </c>
      <c r="R173">
        <v>37363</v>
      </c>
      <c r="S173">
        <v>21934722.476093698</v>
      </c>
      <c r="T173">
        <v>7757293.9953631302</v>
      </c>
      <c r="U173">
        <v>-14177428.4807305</v>
      </c>
      <c r="V173">
        <v>9072025.7918600999</v>
      </c>
      <c r="W173">
        <v>0</v>
      </c>
      <c r="X173">
        <v>2437</v>
      </c>
      <c r="Y173">
        <v>1974</v>
      </c>
      <c r="Z173">
        <v>0</v>
      </c>
      <c r="AA173">
        <v>2027021.2983868299</v>
      </c>
      <c r="AB173">
        <v>2508838.65</v>
      </c>
      <c r="AC173" s="2">
        <f t="shared" si="4"/>
        <v>-481817.35161317</v>
      </c>
      <c r="AD173" s="2">
        <f t="shared" si="5"/>
        <v>-32121.156774211333</v>
      </c>
      <c r="AE173">
        <v>15</v>
      </c>
      <c r="AF173">
        <v>342</v>
      </c>
      <c r="AG173" t="b">
        <v>1</v>
      </c>
    </row>
    <row r="174" spans="1:33" x14ac:dyDescent="0.2">
      <c r="A174">
        <v>10</v>
      </c>
      <c r="B174">
        <v>188</v>
      </c>
      <c r="C174">
        <v>15</v>
      </c>
      <c r="D174">
        <v>1</v>
      </c>
      <c r="E174">
        <v>1</v>
      </c>
      <c r="F174">
        <v>30</v>
      </c>
      <c r="G174">
        <v>15</v>
      </c>
      <c r="H174">
        <v>45.06</v>
      </c>
      <c r="I174">
        <v>49.35</v>
      </c>
      <c r="J174">
        <v>0.4</v>
      </c>
      <c r="K174">
        <v>85135</v>
      </c>
      <c r="L174">
        <v>86803</v>
      </c>
      <c r="M174">
        <v>27973</v>
      </c>
      <c r="N174">
        <v>11689</v>
      </c>
      <c r="O174">
        <v>5478</v>
      </c>
      <c r="P174">
        <v>45268</v>
      </c>
      <c r="Q174">
        <v>4116</v>
      </c>
      <c r="R174">
        <v>37274</v>
      </c>
      <c r="S174">
        <v>22619000.3578934</v>
      </c>
      <c r="T174">
        <v>8590907.1380020306</v>
      </c>
      <c r="U174">
        <v>-14028093.219891399</v>
      </c>
      <c r="V174">
        <v>17741504.7509268</v>
      </c>
      <c r="W174">
        <v>0</v>
      </c>
      <c r="X174">
        <v>319</v>
      </c>
      <c r="Y174">
        <v>3830</v>
      </c>
      <c r="Z174">
        <v>0</v>
      </c>
      <c r="AA174">
        <v>5017493.9656140497</v>
      </c>
      <c r="AB174">
        <v>2508838.65</v>
      </c>
      <c r="AC174" s="2">
        <f t="shared" si="4"/>
        <v>2508655.3156140498</v>
      </c>
      <c r="AD174" s="2">
        <f t="shared" si="5"/>
        <v>167243.68770760333</v>
      </c>
      <c r="AE174">
        <v>15</v>
      </c>
      <c r="AF174">
        <v>213</v>
      </c>
      <c r="AG174" t="b">
        <v>1</v>
      </c>
    </row>
    <row r="175" spans="1:33" x14ac:dyDescent="0.2">
      <c r="A175">
        <v>10</v>
      </c>
      <c r="B175">
        <v>188</v>
      </c>
      <c r="C175">
        <v>15</v>
      </c>
      <c r="D175">
        <v>1</v>
      </c>
      <c r="E175">
        <v>1</v>
      </c>
      <c r="F175">
        <v>30</v>
      </c>
      <c r="G175">
        <v>15</v>
      </c>
      <c r="H175">
        <v>90.12</v>
      </c>
      <c r="I175">
        <v>98.7</v>
      </c>
      <c r="J175">
        <v>0.4</v>
      </c>
      <c r="K175">
        <v>85135</v>
      </c>
      <c r="L175">
        <v>86803</v>
      </c>
      <c r="M175">
        <v>27973</v>
      </c>
      <c r="N175">
        <v>11689</v>
      </c>
      <c r="O175">
        <v>5478</v>
      </c>
      <c r="P175">
        <v>45268</v>
      </c>
      <c r="Q175">
        <v>4116</v>
      </c>
      <c r="R175">
        <v>37274</v>
      </c>
      <c r="S175">
        <v>22619000.3578934</v>
      </c>
      <c r="T175">
        <v>14672975.626003999</v>
      </c>
      <c r="U175">
        <v>-7946024.7318893801</v>
      </c>
      <c r="V175">
        <v>17741504.7509268</v>
      </c>
      <c r="W175">
        <v>0</v>
      </c>
      <c r="X175">
        <v>319</v>
      </c>
      <c r="Y175">
        <v>3830</v>
      </c>
      <c r="Z175">
        <v>0</v>
      </c>
      <c r="AA175">
        <v>10034987.931228099</v>
      </c>
      <c r="AB175">
        <v>2508838.65</v>
      </c>
      <c r="AC175" s="2">
        <f t="shared" si="4"/>
        <v>7526149.281228099</v>
      </c>
      <c r="AD175" s="2">
        <f t="shared" si="5"/>
        <v>501743.28541520663</v>
      </c>
      <c r="AE175">
        <v>15</v>
      </c>
      <c r="AF175">
        <v>213</v>
      </c>
      <c r="AG175" t="b">
        <v>1</v>
      </c>
    </row>
    <row r="176" spans="1:33" x14ac:dyDescent="0.2">
      <c r="A176">
        <v>10</v>
      </c>
      <c r="B176">
        <v>188</v>
      </c>
      <c r="C176">
        <v>15</v>
      </c>
      <c r="D176">
        <v>1</v>
      </c>
      <c r="E176">
        <v>1</v>
      </c>
      <c r="F176">
        <v>15</v>
      </c>
      <c r="G176">
        <v>15</v>
      </c>
      <c r="H176">
        <v>45.06</v>
      </c>
      <c r="I176">
        <v>49.35</v>
      </c>
      <c r="J176">
        <v>0.4</v>
      </c>
      <c r="K176">
        <v>84625</v>
      </c>
      <c r="L176">
        <v>85810</v>
      </c>
      <c r="M176">
        <v>27925</v>
      </c>
      <c r="N176">
        <v>11621</v>
      </c>
      <c r="O176">
        <v>5524</v>
      </c>
      <c r="P176">
        <v>45346</v>
      </c>
      <c r="Q176">
        <v>4163</v>
      </c>
      <c r="R176">
        <v>37277</v>
      </c>
      <c r="S176">
        <v>21967555.9134381</v>
      </c>
      <c r="T176">
        <v>5426475.3809533603</v>
      </c>
      <c r="U176">
        <v>-16541080.532484701</v>
      </c>
      <c r="V176">
        <v>9056949.7590545397</v>
      </c>
      <c r="W176">
        <v>0</v>
      </c>
      <c r="X176">
        <v>2429</v>
      </c>
      <c r="Y176">
        <v>1974</v>
      </c>
      <c r="Z176">
        <v>0</v>
      </c>
      <c r="AA176">
        <v>1404722.72688914</v>
      </c>
      <c r="AB176">
        <v>2508838.65</v>
      </c>
      <c r="AC176" s="2">
        <f t="shared" si="4"/>
        <v>-1104115.9231108599</v>
      </c>
      <c r="AD176" s="2">
        <f t="shared" si="5"/>
        <v>-73607.728207390668</v>
      </c>
      <c r="AE176">
        <v>15</v>
      </c>
      <c r="AF176">
        <v>330</v>
      </c>
      <c r="AG176" t="b">
        <v>1</v>
      </c>
    </row>
    <row r="177" spans="1:33" x14ac:dyDescent="0.2">
      <c r="A177">
        <v>10</v>
      </c>
      <c r="B177">
        <v>188</v>
      </c>
      <c r="C177">
        <v>15</v>
      </c>
      <c r="D177">
        <v>1</v>
      </c>
      <c r="E177">
        <v>1</v>
      </c>
      <c r="F177">
        <v>15</v>
      </c>
      <c r="G177">
        <v>15</v>
      </c>
      <c r="H177">
        <v>90.12</v>
      </c>
      <c r="I177">
        <v>98.7</v>
      </c>
      <c r="J177">
        <v>0.4</v>
      </c>
      <c r="K177">
        <v>84625</v>
      </c>
      <c r="L177">
        <v>85810</v>
      </c>
      <c r="M177">
        <v>27925</v>
      </c>
      <c r="N177">
        <v>11621</v>
      </c>
      <c r="O177">
        <v>5524</v>
      </c>
      <c r="P177">
        <v>45346</v>
      </c>
      <c r="Q177">
        <v>4163</v>
      </c>
      <c r="R177">
        <v>37277</v>
      </c>
      <c r="S177">
        <v>21967555.9134381</v>
      </c>
      <c r="T177">
        <v>8344112.1119067203</v>
      </c>
      <c r="U177">
        <v>-13623443.801531401</v>
      </c>
      <c r="V177">
        <v>9056949.7590545397</v>
      </c>
      <c r="W177">
        <v>0</v>
      </c>
      <c r="X177">
        <v>2429</v>
      </c>
      <c r="Y177">
        <v>1974</v>
      </c>
      <c r="Z177">
        <v>0</v>
      </c>
      <c r="AA177">
        <v>2809445.4537782799</v>
      </c>
      <c r="AB177">
        <v>2508838.65</v>
      </c>
      <c r="AC177" s="2">
        <f t="shared" si="4"/>
        <v>300606.80377828004</v>
      </c>
      <c r="AD177" s="2">
        <f t="shared" si="5"/>
        <v>20040.453585218671</v>
      </c>
      <c r="AE177">
        <v>15</v>
      </c>
      <c r="AF177">
        <v>330</v>
      </c>
      <c r="AG177" t="b">
        <v>1</v>
      </c>
    </row>
    <row r="178" spans="1:33" x14ac:dyDescent="0.2">
      <c r="A178">
        <v>10</v>
      </c>
      <c r="B178">
        <v>128</v>
      </c>
      <c r="C178">
        <v>10</v>
      </c>
      <c r="D178">
        <v>3</v>
      </c>
      <c r="E178">
        <v>3</v>
      </c>
      <c r="F178">
        <v>30</v>
      </c>
      <c r="G178">
        <v>15</v>
      </c>
      <c r="H178">
        <v>45.06</v>
      </c>
      <c r="I178">
        <v>49.35</v>
      </c>
      <c r="J178">
        <v>0.4</v>
      </c>
      <c r="K178">
        <v>76343</v>
      </c>
      <c r="L178">
        <v>55616</v>
      </c>
      <c r="M178">
        <v>34398</v>
      </c>
      <c r="N178">
        <v>10370</v>
      </c>
      <c r="O178">
        <v>22865</v>
      </c>
      <c r="P178">
        <v>31042</v>
      </c>
      <c r="Q178">
        <v>8339</v>
      </c>
      <c r="R178">
        <v>35392</v>
      </c>
      <c r="S178">
        <v>17608990.937100299</v>
      </c>
      <c r="T178">
        <v>8463610.4105313793</v>
      </c>
      <c r="U178">
        <v>-9145380.5265689604</v>
      </c>
      <c r="V178">
        <v>11740859.987288101</v>
      </c>
      <c r="W178">
        <v>0</v>
      </c>
      <c r="X178">
        <v>398</v>
      </c>
      <c r="Y178">
        <v>2613</v>
      </c>
      <c r="Z178">
        <v>0</v>
      </c>
      <c r="AA178">
        <v>5417206.6717728097</v>
      </c>
      <c r="AB178">
        <v>1708694.3999999899</v>
      </c>
      <c r="AC178" s="2">
        <f t="shared" si="4"/>
        <v>3708512.2717728196</v>
      </c>
      <c r="AD178" s="2">
        <f t="shared" si="5"/>
        <v>247234.15145152129</v>
      </c>
      <c r="AE178">
        <v>15</v>
      </c>
      <c r="AF178">
        <v>124</v>
      </c>
      <c r="AG178" t="b">
        <v>1</v>
      </c>
    </row>
    <row r="179" spans="1:33" x14ac:dyDescent="0.2">
      <c r="A179">
        <v>10</v>
      </c>
      <c r="B179">
        <v>128</v>
      </c>
      <c r="C179">
        <v>10</v>
      </c>
      <c r="D179">
        <v>3</v>
      </c>
      <c r="E179">
        <v>3</v>
      </c>
      <c r="F179">
        <v>30</v>
      </c>
      <c r="G179">
        <v>15</v>
      </c>
      <c r="H179">
        <v>90.12</v>
      </c>
      <c r="I179">
        <v>98.7</v>
      </c>
      <c r="J179">
        <v>0.4</v>
      </c>
      <c r="K179">
        <v>76343</v>
      </c>
      <c r="L179">
        <v>55616</v>
      </c>
      <c r="M179">
        <v>34398</v>
      </c>
      <c r="N179">
        <v>10370</v>
      </c>
      <c r="O179">
        <v>22865</v>
      </c>
      <c r="P179">
        <v>31042</v>
      </c>
      <c r="Q179">
        <v>8339</v>
      </c>
      <c r="R179">
        <v>35392</v>
      </c>
      <c r="S179">
        <v>17608990.937100299</v>
      </c>
      <c r="T179">
        <v>15218526.4210627</v>
      </c>
      <c r="U179">
        <v>-2390464.5160375698</v>
      </c>
      <c r="V179">
        <v>11740859.987288101</v>
      </c>
      <c r="W179">
        <v>0</v>
      </c>
      <c r="X179">
        <v>398</v>
      </c>
      <c r="Y179">
        <v>2613</v>
      </c>
      <c r="Z179">
        <v>0</v>
      </c>
      <c r="AA179">
        <v>10834413.343545601</v>
      </c>
      <c r="AB179">
        <v>1708694.3999999899</v>
      </c>
      <c r="AC179" s="2">
        <f t="shared" si="4"/>
        <v>9125718.9435456116</v>
      </c>
      <c r="AD179" s="2">
        <f t="shared" si="5"/>
        <v>608381.26290304074</v>
      </c>
      <c r="AE179">
        <v>15</v>
      </c>
      <c r="AF179">
        <v>124</v>
      </c>
      <c r="AG179" t="b">
        <v>1</v>
      </c>
    </row>
    <row r="180" spans="1:33" x14ac:dyDescent="0.2">
      <c r="A180">
        <v>10</v>
      </c>
      <c r="B180">
        <v>128</v>
      </c>
      <c r="C180">
        <v>10</v>
      </c>
      <c r="D180">
        <v>3</v>
      </c>
      <c r="E180">
        <v>3</v>
      </c>
      <c r="F180">
        <v>15</v>
      </c>
      <c r="G180">
        <v>15</v>
      </c>
      <c r="H180">
        <v>45.06</v>
      </c>
      <c r="I180">
        <v>49.35</v>
      </c>
      <c r="J180">
        <v>0.4</v>
      </c>
      <c r="K180">
        <v>75752</v>
      </c>
      <c r="L180">
        <v>55100</v>
      </c>
      <c r="M180">
        <v>34341</v>
      </c>
      <c r="N180">
        <v>10366</v>
      </c>
      <c r="O180">
        <v>23000</v>
      </c>
      <c r="P180">
        <v>31186</v>
      </c>
      <c r="Q180">
        <v>8429</v>
      </c>
      <c r="R180">
        <v>35632</v>
      </c>
      <c r="S180">
        <v>16809088.3002178</v>
      </c>
      <c r="T180">
        <v>5462502.1744134501</v>
      </c>
      <c r="U180">
        <v>-11346586.125804299</v>
      </c>
      <c r="V180">
        <v>5732650.1778611904</v>
      </c>
      <c r="W180">
        <v>0</v>
      </c>
      <c r="X180">
        <v>1828</v>
      </c>
      <c r="Y180">
        <v>1365</v>
      </c>
      <c r="Z180">
        <v>0</v>
      </c>
      <c r="AA180">
        <v>1933804.24697972</v>
      </c>
      <c r="AB180">
        <v>1708694.3999999899</v>
      </c>
      <c r="AC180" s="2">
        <f t="shared" si="4"/>
        <v>225109.84697973006</v>
      </c>
      <c r="AD180" s="2">
        <f t="shared" si="5"/>
        <v>15007.323131982004</v>
      </c>
      <c r="AE180">
        <v>15</v>
      </c>
      <c r="AF180">
        <v>235</v>
      </c>
      <c r="AG180" t="b">
        <v>1</v>
      </c>
    </row>
    <row r="181" spans="1:33" x14ac:dyDescent="0.2">
      <c r="A181">
        <v>10</v>
      </c>
      <c r="B181">
        <v>128</v>
      </c>
      <c r="C181">
        <v>10</v>
      </c>
      <c r="D181">
        <v>3</v>
      </c>
      <c r="E181">
        <v>3</v>
      </c>
      <c r="F181">
        <v>15</v>
      </c>
      <c r="G181">
        <v>15</v>
      </c>
      <c r="H181">
        <v>90.12</v>
      </c>
      <c r="I181">
        <v>98.7</v>
      </c>
      <c r="J181">
        <v>0.4</v>
      </c>
      <c r="K181">
        <v>75752</v>
      </c>
      <c r="L181">
        <v>55100</v>
      </c>
      <c r="M181">
        <v>34341</v>
      </c>
      <c r="N181">
        <v>10366</v>
      </c>
      <c r="O181">
        <v>23000</v>
      </c>
      <c r="P181">
        <v>31186</v>
      </c>
      <c r="Q181">
        <v>8429</v>
      </c>
      <c r="R181">
        <v>35632</v>
      </c>
      <c r="S181">
        <v>16809088.3002178</v>
      </c>
      <c r="T181">
        <v>9216309.9488269109</v>
      </c>
      <c r="U181">
        <v>-7592778.3513908796</v>
      </c>
      <c r="V181">
        <v>5732650.1778611904</v>
      </c>
      <c r="W181">
        <v>0</v>
      </c>
      <c r="X181">
        <v>1828</v>
      </c>
      <c r="Y181">
        <v>1365</v>
      </c>
      <c r="Z181">
        <v>0</v>
      </c>
      <c r="AA181">
        <v>3867608.4939594399</v>
      </c>
      <c r="AB181">
        <v>1708694.3999999899</v>
      </c>
      <c r="AC181" s="2">
        <f t="shared" si="4"/>
        <v>2158914.0939594498</v>
      </c>
      <c r="AD181" s="2">
        <f t="shared" si="5"/>
        <v>143927.60626396333</v>
      </c>
      <c r="AE181">
        <v>15</v>
      </c>
      <c r="AF181">
        <v>235</v>
      </c>
      <c r="AG181" t="b">
        <v>1</v>
      </c>
    </row>
    <row r="182" spans="1:33" x14ac:dyDescent="0.2">
      <c r="A182">
        <v>10</v>
      </c>
      <c r="B182">
        <v>128</v>
      </c>
      <c r="C182">
        <v>10</v>
      </c>
      <c r="D182">
        <v>3</v>
      </c>
      <c r="E182">
        <v>1</v>
      </c>
      <c r="F182">
        <v>30</v>
      </c>
      <c r="G182">
        <v>15</v>
      </c>
      <c r="H182">
        <v>45.06</v>
      </c>
      <c r="I182">
        <v>49.35</v>
      </c>
      <c r="J182">
        <v>0.4</v>
      </c>
      <c r="K182">
        <v>76191</v>
      </c>
      <c r="L182">
        <v>55681</v>
      </c>
      <c r="M182">
        <v>34414</v>
      </c>
      <c r="N182">
        <v>10345</v>
      </c>
      <c r="O182">
        <v>22908</v>
      </c>
      <c r="P182">
        <v>31125</v>
      </c>
      <c r="Q182">
        <v>8325</v>
      </c>
      <c r="R182">
        <v>35489</v>
      </c>
      <c r="S182">
        <v>17339336.035494201</v>
      </c>
      <c r="T182">
        <v>8133495.72926665</v>
      </c>
      <c r="U182">
        <v>-9205840.3062275909</v>
      </c>
      <c r="V182">
        <v>11805669.8585051</v>
      </c>
      <c r="W182">
        <v>0</v>
      </c>
      <c r="X182">
        <v>377</v>
      </c>
      <c r="Y182">
        <v>2621</v>
      </c>
      <c r="Z182">
        <v>0</v>
      </c>
      <c r="AA182">
        <v>4967901.9826025199</v>
      </c>
      <c r="AB182">
        <v>1708694.3999999899</v>
      </c>
      <c r="AC182" s="2">
        <f t="shared" si="4"/>
        <v>3259207.5826025298</v>
      </c>
      <c r="AD182" s="2">
        <f t="shared" si="5"/>
        <v>217280.50550683532</v>
      </c>
      <c r="AE182">
        <v>15</v>
      </c>
      <c r="AF182">
        <v>137</v>
      </c>
      <c r="AG182" t="b">
        <v>1</v>
      </c>
    </row>
    <row r="183" spans="1:33" x14ac:dyDescent="0.2">
      <c r="A183">
        <v>10</v>
      </c>
      <c r="B183">
        <v>128</v>
      </c>
      <c r="C183">
        <v>10</v>
      </c>
      <c r="D183">
        <v>3</v>
      </c>
      <c r="E183">
        <v>1</v>
      </c>
      <c r="F183">
        <v>30</v>
      </c>
      <c r="G183">
        <v>15</v>
      </c>
      <c r="H183">
        <v>90.12</v>
      </c>
      <c r="I183">
        <v>98.7</v>
      </c>
      <c r="J183">
        <v>0.4</v>
      </c>
      <c r="K183">
        <v>76191</v>
      </c>
      <c r="L183">
        <v>55681</v>
      </c>
      <c r="M183">
        <v>34414</v>
      </c>
      <c r="N183">
        <v>10345</v>
      </c>
      <c r="O183">
        <v>22908</v>
      </c>
      <c r="P183">
        <v>31125</v>
      </c>
      <c r="Q183">
        <v>8325</v>
      </c>
      <c r="R183">
        <v>35489</v>
      </c>
      <c r="S183">
        <v>17339336.035494201</v>
      </c>
      <c r="T183">
        <v>14558297.0585333</v>
      </c>
      <c r="U183">
        <v>-2781038.9769609398</v>
      </c>
      <c r="V183">
        <v>11805669.8585051</v>
      </c>
      <c r="W183">
        <v>0</v>
      </c>
      <c r="X183">
        <v>377</v>
      </c>
      <c r="Y183">
        <v>2621</v>
      </c>
      <c r="Z183">
        <v>0</v>
      </c>
      <c r="AA183">
        <v>9935803.9652050491</v>
      </c>
      <c r="AB183">
        <v>1708694.3999999899</v>
      </c>
      <c r="AC183" s="2">
        <f t="shared" si="4"/>
        <v>8227109.565205059</v>
      </c>
      <c r="AD183" s="2">
        <f t="shared" si="5"/>
        <v>548473.97101367055</v>
      </c>
      <c r="AE183">
        <v>15</v>
      </c>
      <c r="AF183">
        <v>137</v>
      </c>
      <c r="AG183" t="b">
        <v>1</v>
      </c>
    </row>
    <row r="184" spans="1:33" x14ac:dyDescent="0.2">
      <c r="A184">
        <v>10</v>
      </c>
      <c r="B184">
        <v>128</v>
      </c>
      <c r="C184">
        <v>10</v>
      </c>
      <c r="D184">
        <v>3</v>
      </c>
      <c r="E184">
        <v>1</v>
      </c>
      <c r="F184">
        <v>15</v>
      </c>
      <c r="G184">
        <v>15</v>
      </c>
      <c r="H184">
        <v>45.06</v>
      </c>
      <c r="I184">
        <v>49.35</v>
      </c>
      <c r="J184">
        <v>0.4</v>
      </c>
      <c r="K184">
        <v>76133</v>
      </c>
      <c r="L184">
        <v>55054</v>
      </c>
      <c r="M184">
        <v>34309</v>
      </c>
      <c r="N184">
        <v>10376</v>
      </c>
      <c r="O184">
        <v>22904</v>
      </c>
      <c r="P184">
        <v>30901</v>
      </c>
      <c r="Q184">
        <v>8433</v>
      </c>
      <c r="R184">
        <v>35498</v>
      </c>
      <c r="S184">
        <v>16789411.0662141</v>
      </c>
      <c r="T184">
        <v>5421524.1927237799</v>
      </c>
      <c r="U184">
        <v>-11367886.8734903</v>
      </c>
      <c r="V184">
        <v>5876341.6857802104</v>
      </c>
      <c r="W184">
        <v>0</v>
      </c>
      <c r="X184">
        <v>1826</v>
      </c>
      <c r="Y184">
        <v>1363</v>
      </c>
      <c r="Z184">
        <v>0</v>
      </c>
      <c r="AA184">
        <v>1879166.93806015</v>
      </c>
      <c r="AB184">
        <v>1708694.3999999899</v>
      </c>
      <c r="AC184" s="2">
        <f t="shared" si="4"/>
        <v>170472.53806016012</v>
      </c>
      <c r="AD184" s="2">
        <f t="shared" si="5"/>
        <v>11364.835870677342</v>
      </c>
      <c r="AE184">
        <v>15</v>
      </c>
      <c r="AF184">
        <v>236</v>
      </c>
      <c r="AG184" t="b">
        <v>1</v>
      </c>
    </row>
    <row r="185" spans="1:33" x14ac:dyDescent="0.2">
      <c r="A185">
        <v>10</v>
      </c>
      <c r="B185">
        <v>128</v>
      </c>
      <c r="C185">
        <v>10</v>
      </c>
      <c r="D185">
        <v>3</v>
      </c>
      <c r="E185">
        <v>1</v>
      </c>
      <c r="F185">
        <v>15</v>
      </c>
      <c r="G185">
        <v>15</v>
      </c>
      <c r="H185">
        <v>90.12</v>
      </c>
      <c r="I185">
        <v>98.7</v>
      </c>
      <c r="J185">
        <v>0.4</v>
      </c>
      <c r="K185">
        <v>76133</v>
      </c>
      <c r="L185">
        <v>55054</v>
      </c>
      <c r="M185">
        <v>34309</v>
      </c>
      <c r="N185">
        <v>10376</v>
      </c>
      <c r="O185">
        <v>22904</v>
      </c>
      <c r="P185">
        <v>30901</v>
      </c>
      <c r="Q185">
        <v>8433</v>
      </c>
      <c r="R185">
        <v>35498</v>
      </c>
      <c r="S185">
        <v>16789411.0662141</v>
      </c>
      <c r="T185">
        <v>9134353.9854475595</v>
      </c>
      <c r="U185">
        <v>-7655057.08076654</v>
      </c>
      <c r="V185">
        <v>5876341.6857802104</v>
      </c>
      <c r="W185">
        <v>0</v>
      </c>
      <c r="X185">
        <v>1826</v>
      </c>
      <c r="Y185">
        <v>1363</v>
      </c>
      <c r="Z185">
        <v>0</v>
      </c>
      <c r="AA185">
        <v>3758333.8761203</v>
      </c>
      <c r="AB185">
        <v>1708694.3999999899</v>
      </c>
      <c r="AC185" s="2">
        <f t="shared" si="4"/>
        <v>2049639.4761203101</v>
      </c>
      <c r="AD185" s="2">
        <f t="shared" si="5"/>
        <v>136642.63174135401</v>
      </c>
      <c r="AE185">
        <v>15</v>
      </c>
      <c r="AF185">
        <v>236</v>
      </c>
      <c r="AG185" t="b">
        <v>1</v>
      </c>
    </row>
    <row r="186" spans="1:33" x14ac:dyDescent="0.2">
      <c r="A186">
        <v>10</v>
      </c>
      <c r="B186">
        <v>128</v>
      </c>
      <c r="C186">
        <v>10</v>
      </c>
      <c r="D186">
        <v>1</v>
      </c>
      <c r="E186">
        <v>3</v>
      </c>
      <c r="F186">
        <v>30</v>
      </c>
      <c r="G186">
        <v>15</v>
      </c>
      <c r="H186">
        <v>45.06</v>
      </c>
      <c r="I186">
        <v>49.35</v>
      </c>
      <c r="J186">
        <v>0.4</v>
      </c>
      <c r="K186">
        <v>76203</v>
      </c>
      <c r="L186">
        <v>55456</v>
      </c>
      <c r="M186">
        <v>34499</v>
      </c>
      <c r="N186">
        <v>10377</v>
      </c>
      <c r="O186">
        <v>22902</v>
      </c>
      <c r="P186">
        <v>31045</v>
      </c>
      <c r="Q186">
        <v>8389</v>
      </c>
      <c r="R186">
        <v>35377</v>
      </c>
      <c r="S186">
        <v>16655944.3552683</v>
      </c>
      <c r="T186">
        <v>8381857.0349913603</v>
      </c>
      <c r="U186">
        <v>-8274087.32027693</v>
      </c>
      <c r="V186">
        <v>11803190.1060376</v>
      </c>
      <c r="W186">
        <v>0</v>
      </c>
      <c r="X186">
        <v>263</v>
      </c>
      <c r="Y186">
        <v>2531</v>
      </c>
      <c r="Z186">
        <v>0</v>
      </c>
      <c r="AA186">
        <v>5985264.8232561201</v>
      </c>
      <c r="AB186">
        <v>1708694.3999999899</v>
      </c>
      <c r="AC186" s="2">
        <f t="shared" si="4"/>
        <v>4276570.42325613</v>
      </c>
      <c r="AD186" s="2">
        <f t="shared" si="5"/>
        <v>285104.69488374202</v>
      </c>
      <c r="AE186">
        <v>15</v>
      </c>
      <c r="AF186">
        <v>109</v>
      </c>
      <c r="AG186" t="b">
        <v>1</v>
      </c>
    </row>
    <row r="187" spans="1:33" x14ac:dyDescent="0.2">
      <c r="A187">
        <v>10</v>
      </c>
      <c r="B187">
        <v>128</v>
      </c>
      <c r="C187">
        <v>10</v>
      </c>
      <c r="D187">
        <v>1</v>
      </c>
      <c r="E187">
        <v>3</v>
      </c>
      <c r="F187">
        <v>30</v>
      </c>
      <c r="G187">
        <v>15</v>
      </c>
      <c r="H187">
        <v>90.12</v>
      </c>
      <c r="I187">
        <v>98.7</v>
      </c>
      <c r="J187">
        <v>0.4</v>
      </c>
      <c r="K187">
        <v>76203</v>
      </c>
      <c r="L187">
        <v>55456</v>
      </c>
      <c r="M187">
        <v>34499</v>
      </c>
      <c r="N187">
        <v>10377</v>
      </c>
      <c r="O187">
        <v>22902</v>
      </c>
      <c r="P187">
        <v>31045</v>
      </c>
      <c r="Q187">
        <v>8389</v>
      </c>
      <c r="R187">
        <v>35377</v>
      </c>
      <c r="S187">
        <v>16655944.3552683</v>
      </c>
      <c r="T187">
        <v>15055019.6699827</v>
      </c>
      <c r="U187">
        <v>-1600924.6852855601</v>
      </c>
      <c r="V187">
        <v>11803190.1060376</v>
      </c>
      <c r="W187">
        <v>0</v>
      </c>
      <c r="X187">
        <v>263</v>
      </c>
      <c r="Y187">
        <v>2531</v>
      </c>
      <c r="Z187">
        <v>0</v>
      </c>
      <c r="AA187">
        <v>11970529.646512199</v>
      </c>
      <c r="AB187">
        <v>1708694.3999999899</v>
      </c>
      <c r="AC187" s="2">
        <f t="shared" si="4"/>
        <v>10261835.24651221</v>
      </c>
      <c r="AD187" s="2">
        <f t="shared" si="5"/>
        <v>684122.34976748063</v>
      </c>
      <c r="AE187">
        <v>15</v>
      </c>
      <c r="AF187">
        <v>109</v>
      </c>
      <c r="AG187" t="b">
        <v>1</v>
      </c>
    </row>
    <row r="188" spans="1:33" x14ac:dyDescent="0.2">
      <c r="A188">
        <v>10</v>
      </c>
      <c r="B188">
        <v>128</v>
      </c>
      <c r="C188">
        <v>10</v>
      </c>
      <c r="D188">
        <v>1</v>
      </c>
      <c r="E188">
        <v>3</v>
      </c>
      <c r="F188">
        <v>15</v>
      </c>
      <c r="G188">
        <v>15</v>
      </c>
      <c r="H188">
        <v>45.06</v>
      </c>
      <c r="I188">
        <v>49.35</v>
      </c>
      <c r="J188">
        <v>0.4</v>
      </c>
      <c r="K188">
        <v>75751</v>
      </c>
      <c r="L188">
        <v>54803</v>
      </c>
      <c r="M188">
        <v>34259</v>
      </c>
      <c r="N188">
        <v>10329</v>
      </c>
      <c r="O188">
        <v>23008</v>
      </c>
      <c r="P188">
        <v>31084</v>
      </c>
      <c r="Q188">
        <v>8354</v>
      </c>
      <c r="R188">
        <v>35595</v>
      </c>
      <c r="S188">
        <v>15791708.7360864</v>
      </c>
      <c r="T188">
        <v>5427287.1122948099</v>
      </c>
      <c r="U188">
        <v>-10364421.6237916</v>
      </c>
      <c r="V188">
        <v>6015859.1128444998</v>
      </c>
      <c r="W188">
        <v>0</v>
      </c>
      <c r="X188">
        <v>1624</v>
      </c>
      <c r="Y188">
        <v>1331</v>
      </c>
      <c r="Z188">
        <v>0</v>
      </c>
      <c r="AA188">
        <v>2573065.2638421701</v>
      </c>
      <c r="AB188">
        <v>1708694.3999999899</v>
      </c>
      <c r="AC188" s="2">
        <f t="shared" si="4"/>
        <v>864370.86384218023</v>
      </c>
      <c r="AD188" s="2">
        <f t="shared" si="5"/>
        <v>57624.724256145346</v>
      </c>
      <c r="AE188">
        <v>15</v>
      </c>
      <c r="AF188">
        <v>217</v>
      </c>
      <c r="AG188" t="b">
        <v>1</v>
      </c>
    </row>
    <row r="189" spans="1:33" x14ac:dyDescent="0.2">
      <c r="A189">
        <v>10</v>
      </c>
      <c r="B189">
        <v>128</v>
      </c>
      <c r="C189">
        <v>10</v>
      </c>
      <c r="D189">
        <v>1</v>
      </c>
      <c r="E189">
        <v>3</v>
      </c>
      <c r="F189">
        <v>15</v>
      </c>
      <c r="G189">
        <v>15</v>
      </c>
      <c r="H189">
        <v>90.12</v>
      </c>
      <c r="I189">
        <v>98.7</v>
      </c>
      <c r="J189">
        <v>0.4</v>
      </c>
      <c r="K189">
        <v>75751</v>
      </c>
      <c r="L189">
        <v>54803</v>
      </c>
      <c r="M189">
        <v>34259</v>
      </c>
      <c r="N189">
        <v>10329</v>
      </c>
      <c r="O189">
        <v>23008</v>
      </c>
      <c r="P189">
        <v>31084</v>
      </c>
      <c r="Q189">
        <v>8354</v>
      </c>
      <c r="R189">
        <v>35595</v>
      </c>
      <c r="S189">
        <v>15791708.7360864</v>
      </c>
      <c r="T189">
        <v>9145879.8245896194</v>
      </c>
      <c r="U189">
        <v>-6645828.9114968004</v>
      </c>
      <c r="V189">
        <v>6015859.1128444998</v>
      </c>
      <c r="W189">
        <v>0</v>
      </c>
      <c r="X189">
        <v>1624</v>
      </c>
      <c r="Y189">
        <v>1331</v>
      </c>
      <c r="Z189">
        <v>0</v>
      </c>
      <c r="AA189">
        <v>5146130.5276843403</v>
      </c>
      <c r="AB189">
        <v>1708694.3999999899</v>
      </c>
      <c r="AC189" s="2">
        <f t="shared" si="4"/>
        <v>3437436.1276843501</v>
      </c>
      <c r="AD189" s="2">
        <f t="shared" si="5"/>
        <v>229162.40851229001</v>
      </c>
      <c r="AE189">
        <v>15</v>
      </c>
      <c r="AF189">
        <v>217</v>
      </c>
      <c r="AG189" t="b">
        <v>1</v>
      </c>
    </row>
    <row r="190" spans="1:33" x14ac:dyDescent="0.2">
      <c r="A190">
        <v>10</v>
      </c>
      <c r="B190">
        <v>128</v>
      </c>
      <c r="C190">
        <v>10</v>
      </c>
      <c r="D190">
        <v>1</v>
      </c>
      <c r="E190">
        <v>1</v>
      </c>
      <c r="F190">
        <v>30</v>
      </c>
      <c r="G190">
        <v>15</v>
      </c>
      <c r="H190">
        <v>45.06</v>
      </c>
      <c r="I190">
        <v>49.35</v>
      </c>
      <c r="J190">
        <v>0.4</v>
      </c>
      <c r="K190">
        <v>75973</v>
      </c>
      <c r="L190">
        <v>55745</v>
      </c>
      <c r="M190">
        <v>34432</v>
      </c>
      <c r="N190">
        <v>10354</v>
      </c>
      <c r="O190">
        <v>22890</v>
      </c>
      <c r="P190">
        <v>31043</v>
      </c>
      <c r="Q190">
        <v>8304</v>
      </c>
      <c r="R190">
        <v>35557</v>
      </c>
      <c r="S190">
        <v>15762613.1197486</v>
      </c>
      <c r="T190">
        <v>6730642.5088857301</v>
      </c>
      <c r="U190">
        <v>-9031970.6108628996</v>
      </c>
      <c r="V190">
        <v>11771335.7339228</v>
      </c>
      <c r="W190">
        <v>0</v>
      </c>
      <c r="X190">
        <v>267</v>
      </c>
      <c r="Y190">
        <v>2526</v>
      </c>
      <c r="Z190">
        <v>0</v>
      </c>
      <c r="AA190">
        <v>3783645.4551152801</v>
      </c>
      <c r="AB190">
        <v>1708694.3999999899</v>
      </c>
      <c r="AC190" s="2">
        <f t="shared" si="4"/>
        <v>2074951.0551152902</v>
      </c>
      <c r="AD190" s="2">
        <f t="shared" si="5"/>
        <v>138330.07034101934</v>
      </c>
      <c r="AE190">
        <v>15</v>
      </c>
      <c r="AF190">
        <v>166</v>
      </c>
      <c r="AG190" t="b">
        <v>1</v>
      </c>
    </row>
    <row r="191" spans="1:33" x14ac:dyDescent="0.2">
      <c r="A191">
        <v>10</v>
      </c>
      <c r="B191">
        <v>128</v>
      </c>
      <c r="C191">
        <v>10</v>
      </c>
      <c r="D191">
        <v>1</v>
      </c>
      <c r="E191">
        <v>1</v>
      </c>
      <c r="F191">
        <v>30</v>
      </c>
      <c r="G191">
        <v>15</v>
      </c>
      <c r="H191">
        <v>90.12</v>
      </c>
      <c r="I191">
        <v>98.7</v>
      </c>
      <c r="J191">
        <v>0.4</v>
      </c>
      <c r="K191">
        <v>75973</v>
      </c>
      <c r="L191">
        <v>55745</v>
      </c>
      <c r="M191">
        <v>34432</v>
      </c>
      <c r="N191">
        <v>10354</v>
      </c>
      <c r="O191">
        <v>22890</v>
      </c>
      <c r="P191">
        <v>31043</v>
      </c>
      <c r="Q191">
        <v>8304</v>
      </c>
      <c r="R191">
        <v>35557</v>
      </c>
      <c r="S191">
        <v>15762613.1197486</v>
      </c>
      <c r="T191">
        <v>11752590.6177714</v>
      </c>
      <c r="U191">
        <v>-4010022.5019771601</v>
      </c>
      <c r="V191">
        <v>11771335.7339228</v>
      </c>
      <c r="W191">
        <v>0</v>
      </c>
      <c r="X191">
        <v>267</v>
      </c>
      <c r="Y191">
        <v>2526</v>
      </c>
      <c r="Z191">
        <v>0</v>
      </c>
      <c r="AA191">
        <v>7567290.9102305602</v>
      </c>
      <c r="AB191">
        <v>1708694.3999999899</v>
      </c>
      <c r="AC191" s="2">
        <f t="shared" si="4"/>
        <v>5858596.5102305701</v>
      </c>
      <c r="AD191" s="2">
        <f t="shared" si="5"/>
        <v>390573.100682038</v>
      </c>
      <c r="AE191">
        <v>15</v>
      </c>
      <c r="AF191">
        <v>166</v>
      </c>
      <c r="AG191" t="b">
        <v>1</v>
      </c>
    </row>
    <row r="192" spans="1:33" x14ac:dyDescent="0.2">
      <c r="A192">
        <v>10</v>
      </c>
      <c r="B192">
        <v>128</v>
      </c>
      <c r="C192">
        <v>10</v>
      </c>
      <c r="D192">
        <v>1</v>
      </c>
      <c r="E192">
        <v>1</v>
      </c>
      <c r="F192">
        <v>15</v>
      </c>
      <c r="G192">
        <v>15</v>
      </c>
      <c r="H192">
        <v>45.06</v>
      </c>
      <c r="I192">
        <v>49.35</v>
      </c>
      <c r="J192">
        <v>0.4</v>
      </c>
      <c r="K192">
        <v>75842</v>
      </c>
      <c r="L192">
        <v>54986</v>
      </c>
      <c r="M192">
        <v>34315</v>
      </c>
      <c r="N192">
        <v>10402</v>
      </c>
      <c r="O192">
        <v>22987</v>
      </c>
      <c r="P192">
        <v>31124</v>
      </c>
      <c r="Q192">
        <v>8439</v>
      </c>
      <c r="R192">
        <v>35690</v>
      </c>
      <c r="S192">
        <v>15798974.8832369</v>
      </c>
      <c r="T192">
        <v>5427287.1122948099</v>
      </c>
      <c r="U192">
        <v>-10371687.770942099</v>
      </c>
      <c r="V192">
        <v>6155691.4903601902</v>
      </c>
      <c r="W192">
        <v>0</v>
      </c>
      <c r="X192">
        <v>1624</v>
      </c>
      <c r="Y192">
        <v>1330</v>
      </c>
      <c r="Z192">
        <v>0</v>
      </c>
      <c r="AA192">
        <v>2573065.2638421701</v>
      </c>
      <c r="AB192">
        <v>1708694.3999999899</v>
      </c>
      <c r="AC192" s="2">
        <f t="shared" si="4"/>
        <v>864370.86384218023</v>
      </c>
      <c r="AD192" s="2">
        <f t="shared" si="5"/>
        <v>57624.724256145346</v>
      </c>
      <c r="AE192">
        <v>15</v>
      </c>
      <c r="AF192">
        <v>218</v>
      </c>
      <c r="AG192" t="b">
        <v>1</v>
      </c>
    </row>
    <row r="193" spans="1:33" x14ac:dyDescent="0.2">
      <c r="A193">
        <v>10</v>
      </c>
      <c r="B193">
        <v>128</v>
      </c>
      <c r="C193">
        <v>10</v>
      </c>
      <c r="D193">
        <v>1</v>
      </c>
      <c r="E193">
        <v>1</v>
      </c>
      <c r="F193">
        <v>15</v>
      </c>
      <c r="G193">
        <v>15</v>
      </c>
      <c r="H193">
        <v>90.12</v>
      </c>
      <c r="I193">
        <v>98.7</v>
      </c>
      <c r="J193">
        <v>0.4</v>
      </c>
      <c r="K193">
        <v>75842</v>
      </c>
      <c r="L193">
        <v>54986</v>
      </c>
      <c r="M193">
        <v>34315</v>
      </c>
      <c r="N193">
        <v>10402</v>
      </c>
      <c r="O193">
        <v>22987</v>
      </c>
      <c r="P193">
        <v>31124</v>
      </c>
      <c r="Q193">
        <v>8439</v>
      </c>
      <c r="R193">
        <v>35690</v>
      </c>
      <c r="S193">
        <v>15798974.8832369</v>
      </c>
      <c r="T193">
        <v>9145879.8245896194</v>
      </c>
      <c r="U193">
        <v>-6653095.0586473597</v>
      </c>
      <c r="V193">
        <v>6155691.4903601902</v>
      </c>
      <c r="W193">
        <v>0</v>
      </c>
      <c r="X193">
        <v>1624</v>
      </c>
      <c r="Y193">
        <v>1330</v>
      </c>
      <c r="Z193">
        <v>0</v>
      </c>
      <c r="AA193">
        <v>5146130.5276843403</v>
      </c>
      <c r="AB193">
        <v>1708694.3999999899</v>
      </c>
      <c r="AC193" s="2">
        <f t="shared" si="4"/>
        <v>3437436.1276843501</v>
      </c>
      <c r="AD193" s="2">
        <f t="shared" si="5"/>
        <v>229162.40851229001</v>
      </c>
      <c r="AE193">
        <v>15</v>
      </c>
      <c r="AF193">
        <v>218</v>
      </c>
      <c r="AG193" t="b">
        <v>1</v>
      </c>
    </row>
    <row r="194" spans="1:33" x14ac:dyDescent="0.2">
      <c r="A194">
        <v>10</v>
      </c>
      <c r="B194">
        <v>198</v>
      </c>
      <c r="C194">
        <v>15</v>
      </c>
      <c r="D194">
        <v>3</v>
      </c>
      <c r="E194">
        <v>3</v>
      </c>
      <c r="F194">
        <v>30</v>
      </c>
      <c r="G194">
        <v>30</v>
      </c>
      <c r="H194">
        <v>45.06</v>
      </c>
      <c r="I194">
        <v>49.35</v>
      </c>
      <c r="J194">
        <v>0.4</v>
      </c>
      <c r="K194">
        <v>81327</v>
      </c>
      <c r="L194">
        <v>98501</v>
      </c>
      <c r="M194">
        <v>27633</v>
      </c>
      <c r="N194">
        <v>12131</v>
      </c>
      <c r="O194">
        <v>26339</v>
      </c>
      <c r="P194">
        <v>41968</v>
      </c>
      <c r="Q194">
        <v>3537</v>
      </c>
      <c r="R194">
        <v>38051</v>
      </c>
      <c r="S194">
        <v>39851833.748984098</v>
      </c>
      <c r="T194">
        <v>14738333.6806088</v>
      </c>
      <c r="U194">
        <v>-25113500.0683752</v>
      </c>
      <c r="V194">
        <v>18435799.055436</v>
      </c>
      <c r="W194">
        <v>0</v>
      </c>
      <c r="X194">
        <v>3160</v>
      </c>
      <c r="Y194">
        <v>4972</v>
      </c>
      <c r="Z194">
        <v>0</v>
      </c>
      <c r="AA194">
        <v>5063276.17728817</v>
      </c>
      <c r="AB194">
        <v>5017677.3</v>
      </c>
      <c r="AC194" s="2">
        <f t="shared" si="4"/>
        <v>45598.877288170159</v>
      </c>
      <c r="AD194" s="2">
        <f t="shared" si="5"/>
        <v>1519.9625762723385</v>
      </c>
      <c r="AE194">
        <v>30</v>
      </c>
      <c r="AF194">
        <v>488</v>
      </c>
      <c r="AG194" t="b">
        <v>1</v>
      </c>
    </row>
    <row r="195" spans="1:33" x14ac:dyDescent="0.2">
      <c r="A195">
        <v>10</v>
      </c>
      <c r="B195">
        <v>198</v>
      </c>
      <c r="C195">
        <v>15</v>
      </c>
      <c r="D195">
        <v>3</v>
      </c>
      <c r="E195">
        <v>3</v>
      </c>
      <c r="F195">
        <v>30</v>
      </c>
      <c r="G195">
        <v>30</v>
      </c>
      <c r="H195">
        <v>90.12</v>
      </c>
      <c r="I195">
        <v>98.7</v>
      </c>
      <c r="J195">
        <v>0.4</v>
      </c>
      <c r="K195">
        <v>81327</v>
      </c>
      <c r="L195">
        <v>98501</v>
      </c>
      <c r="M195">
        <v>27633</v>
      </c>
      <c r="N195">
        <v>12131</v>
      </c>
      <c r="O195">
        <v>26339</v>
      </c>
      <c r="P195">
        <v>41968</v>
      </c>
      <c r="Q195">
        <v>3537</v>
      </c>
      <c r="R195">
        <v>38051</v>
      </c>
      <c r="S195">
        <v>39851833.748984098</v>
      </c>
      <c r="T195">
        <v>24458990.061217699</v>
      </c>
      <c r="U195">
        <v>-15392843.687766301</v>
      </c>
      <c r="V195">
        <v>18435799.055436</v>
      </c>
      <c r="W195">
        <v>0</v>
      </c>
      <c r="X195">
        <v>3160</v>
      </c>
      <c r="Y195">
        <v>4972</v>
      </c>
      <c r="Z195">
        <v>0</v>
      </c>
      <c r="AA195">
        <v>10126552.354576301</v>
      </c>
      <c r="AB195">
        <v>5017677.3</v>
      </c>
      <c r="AC195" s="2">
        <f t="shared" si="4"/>
        <v>5108875.054576301</v>
      </c>
      <c r="AD195" s="2">
        <f t="shared" si="5"/>
        <v>170295.83515254335</v>
      </c>
      <c r="AE195">
        <v>30</v>
      </c>
      <c r="AF195">
        <v>488</v>
      </c>
      <c r="AG195" t="b">
        <v>1</v>
      </c>
    </row>
    <row r="196" spans="1:33" x14ac:dyDescent="0.2">
      <c r="A196">
        <v>10</v>
      </c>
      <c r="B196">
        <v>199</v>
      </c>
      <c r="C196">
        <v>15</v>
      </c>
      <c r="D196">
        <v>3</v>
      </c>
      <c r="E196">
        <v>3</v>
      </c>
      <c r="F196">
        <v>15</v>
      </c>
      <c r="G196">
        <v>30</v>
      </c>
      <c r="H196">
        <v>45.06</v>
      </c>
      <c r="I196">
        <v>49.35</v>
      </c>
      <c r="J196">
        <v>0.4</v>
      </c>
      <c r="K196">
        <v>88465</v>
      </c>
      <c r="L196">
        <v>95056</v>
      </c>
      <c r="M196">
        <v>27040</v>
      </c>
      <c r="N196">
        <v>12179</v>
      </c>
      <c r="O196">
        <v>25609</v>
      </c>
      <c r="P196">
        <v>39900</v>
      </c>
      <c r="Q196">
        <v>3255</v>
      </c>
      <c r="R196">
        <v>38124</v>
      </c>
      <c r="S196">
        <v>30410778.9955476</v>
      </c>
      <c r="T196">
        <v>14022266.871186299</v>
      </c>
      <c r="U196">
        <v>-16388512.1243612</v>
      </c>
      <c r="V196">
        <v>9784023.2870957498</v>
      </c>
      <c r="W196">
        <v>0</v>
      </c>
      <c r="X196">
        <v>3179</v>
      </c>
      <c r="Y196">
        <v>2539</v>
      </c>
      <c r="Z196">
        <v>0</v>
      </c>
      <c r="AA196">
        <v>5283522.7435954604</v>
      </c>
      <c r="AB196">
        <v>5017677.3</v>
      </c>
      <c r="AC196" s="2">
        <f t="shared" si="4"/>
        <v>265845.44359546062</v>
      </c>
      <c r="AD196" s="2">
        <f t="shared" si="5"/>
        <v>8861.514786515354</v>
      </c>
      <c r="AE196">
        <v>30</v>
      </c>
      <c r="AF196">
        <v>507</v>
      </c>
      <c r="AG196" t="b">
        <v>1</v>
      </c>
    </row>
    <row r="197" spans="1:33" x14ac:dyDescent="0.2">
      <c r="A197">
        <v>10</v>
      </c>
      <c r="B197">
        <v>199</v>
      </c>
      <c r="C197">
        <v>15</v>
      </c>
      <c r="D197">
        <v>3</v>
      </c>
      <c r="E197">
        <v>3</v>
      </c>
      <c r="F197">
        <v>15</v>
      </c>
      <c r="G197">
        <v>30</v>
      </c>
      <c r="H197">
        <v>90.12</v>
      </c>
      <c r="I197">
        <v>98.7</v>
      </c>
      <c r="J197">
        <v>0.4</v>
      </c>
      <c r="K197">
        <v>88465</v>
      </c>
      <c r="L197">
        <v>95056</v>
      </c>
      <c r="M197">
        <v>27040</v>
      </c>
      <c r="N197">
        <v>12179</v>
      </c>
      <c r="O197">
        <v>25609</v>
      </c>
      <c r="P197">
        <v>39900</v>
      </c>
      <c r="Q197">
        <v>3255</v>
      </c>
      <c r="R197">
        <v>38124</v>
      </c>
      <c r="S197">
        <v>30410778.9955476</v>
      </c>
      <c r="T197">
        <v>23026856.442372698</v>
      </c>
      <c r="U197">
        <v>-7383922.5531748896</v>
      </c>
      <c r="V197">
        <v>9784023.2870957498</v>
      </c>
      <c r="W197">
        <v>0</v>
      </c>
      <c r="X197">
        <v>3179</v>
      </c>
      <c r="Y197">
        <v>2539</v>
      </c>
      <c r="Z197">
        <v>0</v>
      </c>
      <c r="AA197">
        <v>10567045.4871909</v>
      </c>
      <c r="AB197">
        <v>5017677.3</v>
      </c>
      <c r="AC197" s="2">
        <f t="shared" si="4"/>
        <v>5549368.1871909006</v>
      </c>
      <c r="AD197" s="2">
        <f t="shared" si="5"/>
        <v>184978.93957303002</v>
      </c>
      <c r="AE197">
        <v>30</v>
      </c>
      <c r="AF197">
        <v>507</v>
      </c>
      <c r="AG197" t="b">
        <v>1</v>
      </c>
    </row>
    <row r="198" spans="1:33" x14ac:dyDescent="0.2">
      <c r="A198">
        <v>10</v>
      </c>
      <c r="B198">
        <v>200</v>
      </c>
      <c r="C198">
        <v>15</v>
      </c>
      <c r="D198">
        <v>3</v>
      </c>
      <c r="E198">
        <v>1</v>
      </c>
      <c r="F198">
        <v>30</v>
      </c>
      <c r="G198">
        <v>30</v>
      </c>
      <c r="H198">
        <v>45.06</v>
      </c>
      <c r="I198">
        <v>49.35</v>
      </c>
      <c r="J198">
        <v>0.4</v>
      </c>
      <c r="K198">
        <v>88664</v>
      </c>
      <c r="L198">
        <v>95601</v>
      </c>
      <c r="M198">
        <v>27230</v>
      </c>
      <c r="N198">
        <v>12303</v>
      </c>
      <c r="O198">
        <v>24905</v>
      </c>
      <c r="P198">
        <v>40165</v>
      </c>
      <c r="Q198">
        <v>3485</v>
      </c>
      <c r="R198">
        <v>38161</v>
      </c>
      <c r="S198">
        <v>39128362.053837001</v>
      </c>
      <c r="T198">
        <v>11827968.984556301</v>
      </c>
      <c r="U198">
        <v>-27300393.069280598</v>
      </c>
      <c r="V198">
        <v>19211092.6403706</v>
      </c>
      <c r="W198">
        <v>0</v>
      </c>
      <c r="X198">
        <v>3210</v>
      </c>
      <c r="Y198">
        <v>5032</v>
      </c>
      <c r="Z198">
        <v>0</v>
      </c>
      <c r="AA198">
        <v>3290091.3893891699</v>
      </c>
      <c r="AB198">
        <v>5017677.3</v>
      </c>
      <c r="AC198" s="2">
        <f t="shared" ref="AC198:AC257" si="6">AA198-AB198</f>
        <v>-1727585.9106108299</v>
      </c>
      <c r="AD198" s="2">
        <f t="shared" ref="AD198:AD257" si="7">AC198/G198</f>
        <v>-57586.197020360996</v>
      </c>
      <c r="AE198">
        <v>30</v>
      </c>
      <c r="AF198">
        <v>617</v>
      </c>
      <c r="AG198" t="b">
        <v>1</v>
      </c>
    </row>
    <row r="199" spans="1:33" x14ac:dyDescent="0.2">
      <c r="A199">
        <v>10</v>
      </c>
      <c r="B199">
        <v>200</v>
      </c>
      <c r="C199">
        <v>15</v>
      </c>
      <c r="D199">
        <v>3</v>
      </c>
      <c r="E199">
        <v>1</v>
      </c>
      <c r="F199">
        <v>30</v>
      </c>
      <c r="G199">
        <v>30</v>
      </c>
      <c r="H199">
        <v>90.12</v>
      </c>
      <c r="I199">
        <v>98.7</v>
      </c>
      <c r="J199">
        <v>0.4</v>
      </c>
      <c r="K199">
        <v>88664</v>
      </c>
      <c r="L199">
        <v>95601</v>
      </c>
      <c r="M199">
        <v>27230</v>
      </c>
      <c r="N199">
        <v>12303</v>
      </c>
      <c r="O199">
        <v>24905</v>
      </c>
      <c r="P199">
        <v>40165</v>
      </c>
      <c r="Q199">
        <v>3485</v>
      </c>
      <c r="R199">
        <v>38161</v>
      </c>
      <c r="S199">
        <v>39128362.053837001</v>
      </c>
      <c r="T199">
        <v>18638260.669112701</v>
      </c>
      <c r="U199">
        <v>-20490101.3847243</v>
      </c>
      <c r="V199">
        <v>19211092.6403706</v>
      </c>
      <c r="W199">
        <v>0</v>
      </c>
      <c r="X199">
        <v>3210</v>
      </c>
      <c r="Y199">
        <v>5032</v>
      </c>
      <c r="Z199">
        <v>0</v>
      </c>
      <c r="AA199">
        <v>6580182.7787783397</v>
      </c>
      <c r="AB199">
        <v>5017677.3</v>
      </c>
      <c r="AC199" s="2">
        <f t="shared" si="6"/>
        <v>1562505.4787783399</v>
      </c>
      <c r="AD199" s="2">
        <f t="shared" si="7"/>
        <v>52083.515959277996</v>
      </c>
      <c r="AE199">
        <v>30</v>
      </c>
      <c r="AF199">
        <v>617</v>
      </c>
      <c r="AG199" t="b">
        <v>1</v>
      </c>
    </row>
    <row r="200" spans="1:33" x14ac:dyDescent="0.2">
      <c r="A200">
        <v>10</v>
      </c>
      <c r="B200">
        <v>199</v>
      </c>
      <c r="C200">
        <v>15</v>
      </c>
      <c r="D200">
        <v>3</v>
      </c>
      <c r="E200">
        <v>1</v>
      </c>
      <c r="F200">
        <v>15</v>
      </c>
      <c r="G200">
        <v>30</v>
      </c>
      <c r="H200">
        <v>45.06</v>
      </c>
      <c r="I200">
        <v>49.35</v>
      </c>
      <c r="J200">
        <v>0.4</v>
      </c>
      <c r="K200">
        <v>88564</v>
      </c>
      <c r="L200">
        <v>94855</v>
      </c>
      <c r="M200">
        <v>27132</v>
      </c>
      <c r="N200">
        <v>12181</v>
      </c>
      <c r="O200">
        <v>25528</v>
      </c>
      <c r="P200">
        <v>39923</v>
      </c>
      <c r="Q200">
        <v>3287</v>
      </c>
      <c r="R200">
        <v>38211</v>
      </c>
      <c r="S200">
        <v>29824650.015843101</v>
      </c>
      <c r="T200">
        <v>13121796.9038372</v>
      </c>
      <c r="U200">
        <v>-16702853.112005901</v>
      </c>
      <c r="V200">
        <v>9567914.8420090303</v>
      </c>
      <c r="W200">
        <v>0</v>
      </c>
      <c r="X200">
        <v>3188</v>
      </c>
      <c r="Y200">
        <v>2541</v>
      </c>
      <c r="Z200">
        <v>0</v>
      </c>
      <c r="AA200">
        <v>5098514.9280688502</v>
      </c>
      <c r="AB200">
        <v>5017677.3</v>
      </c>
      <c r="AC200" s="2">
        <f t="shared" si="6"/>
        <v>80837.628068850376</v>
      </c>
      <c r="AD200" s="2">
        <f t="shared" si="7"/>
        <v>2694.5876022950124</v>
      </c>
      <c r="AE200">
        <v>30</v>
      </c>
      <c r="AF200">
        <v>566</v>
      </c>
      <c r="AG200" t="b">
        <v>1</v>
      </c>
    </row>
    <row r="201" spans="1:33" x14ac:dyDescent="0.2">
      <c r="A201">
        <v>10</v>
      </c>
      <c r="B201">
        <v>199</v>
      </c>
      <c r="C201">
        <v>15</v>
      </c>
      <c r="D201">
        <v>3</v>
      </c>
      <c r="E201">
        <v>1</v>
      </c>
      <c r="F201">
        <v>15</v>
      </c>
      <c r="G201">
        <v>30</v>
      </c>
      <c r="H201">
        <v>90.12</v>
      </c>
      <c r="I201">
        <v>98.7</v>
      </c>
      <c r="J201">
        <v>0.4</v>
      </c>
      <c r="K201">
        <v>88564</v>
      </c>
      <c r="L201">
        <v>94855</v>
      </c>
      <c r="M201">
        <v>27132</v>
      </c>
      <c r="N201">
        <v>12181</v>
      </c>
      <c r="O201">
        <v>25528</v>
      </c>
      <c r="P201">
        <v>39923</v>
      </c>
      <c r="Q201">
        <v>3287</v>
      </c>
      <c r="R201">
        <v>38211</v>
      </c>
      <c r="S201">
        <v>29824650.015843101</v>
      </c>
      <c r="T201">
        <v>21225916.5076744</v>
      </c>
      <c r="U201">
        <v>-8598733.5081687197</v>
      </c>
      <c r="V201">
        <v>9567914.8420090303</v>
      </c>
      <c r="W201">
        <v>0</v>
      </c>
      <c r="X201">
        <v>3188</v>
      </c>
      <c r="Y201">
        <v>2541</v>
      </c>
      <c r="Z201">
        <v>0</v>
      </c>
      <c r="AA201">
        <v>10197029.8561377</v>
      </c>
      <c r="AB201">
        <v>5017677.3</v>
      </c>
      <c r="AC201" s="2">
        <f t="shared" si="6"/>
        <v>5179352.5561377006</v>
      </c>
      <c r="AD201" s="2">
        <f t="shared" si="7"/>
        <v>172645.08520459002</v>
      </c>
      <c r="AE201">
        <v>30</v>
      </c>
      <c r="AF201">
        <v>566</v>
      </c>
      <c r="AG201" t="b">
        <v>1</v>
      </c>
    </row>
    <row r="202" spans="1:33" x14ac:dyDescent="0.2">
      <c r="A202">
        <v>10</v>
      </c>
      <c r="B202">
        <v>203</v>
      </c>
      <c r="C202">
        <v>15</v>
      </c>
      <c r="D202">
        <v>1</v>
      </c>
      <c r="E202">
        <v>3</v>
      </c>
      <c r="F202">
        <v>30</v>
      </c>
      <c r="G202">
        <v>30</v>
      </c>
      <c r="H202">
        <v>45.06</v>
      </c>
      <c r="I202">
        <v>49.35</v>
      </c>
      <c r="J202">
        <v>0.4</v>
      </c>
      <c r="K202">
        <v>75689</v>
      </c>
      <c r="L202">
        <v>102882</v>
      </c>
      <c r="M202">
        <v>26894</v>
      </c>
      <c r="N202">
        <v>12339</v>
      </c>
      <c r="O202">
        <v>22854</v>
      </c>
      <c r="P202">
        <v>36886</v>
      </c>
      <c r="Q202">
        <v>4278</v>
      </c>
      <c r="R202">
        <v>38183</v>
      </c>
      <c r="S202">
        <v>38838883.915863097</v>
      </c>
      <c r="T202">
        <v>10438459.8568593</v>
      </c>
      <c r="U202">
        <v>-28400424.0590038</v>
      </c>
      <c r="V202">
        <v>19792475.973113898</v>
      </c>
      <c r="W202">
        <v>0</v>
      </c>
      <c r="X202">
        <v>3246</v>
      </c>
      <c r="Y202">
        <v>5041</v>
      </c>
      <c r="Z202">
        <v>0</v>
      </c>
      <c r="AA202">
        <v>1503045.2258701299</v>
      </c>
      <c r="AB202">
        <v>5017677.3</v>
      </c>
      <c r="AC202" s="2">
        <f t="shared" si="6"/>
        <v>-3514632.0741298702</v>
      </c>
      <c r="AD202" s="2">
        <f t="shared" si="7"/>
        <v>-117154.40247099567</v>
      </c>
      <c r="AE202">
        <v>30</v>
      </c>
      <c r="AF202">
        <v>648</v>
      </c>
      <c r="AG202" t="b">
        <v>1</v>
      </c>
    </row>
    <row r="203" spans="1:33" x14ac:dyDescent="0.2">
      <c r="A203">
        <v>10</v>
      </c>
      <c r="B203">
        <v>203</v>
      </c>
      <c r="C203">
        <v>15</v>
      </c>
      <c r="D203">
        <v>1</v>
      </c>
      <c r="E203">
        <v>3</v>
      </c>
      <c r="F203">
        <v>30</v>
      </c>
      <c r="G203">
        <v>30</v>
      </c>
      <c r="H203">
        <v>90.12</v>
      </c>
      <c r="I203">
        <v>98.7</v>
      </c>
      <c r="J203">
        <v>0.4</v>
      </c>
      <c r="K203">
        <v>75689</v>
      </c>
      <c r="L203">
        <v>102882</v>
      </c>
      <c r="M203">
        <v>26894</v>
      </c>
      <c r="N203">
        <v>12339</v>
      </c>
      <c r="O203">
        <v>22854</v>
      </c>
      <c r="P203">
        <v>36886</v>
      </c>
      <c r="Q203">
        <v>4278</v>
      </c>
      <c r="R203">
        <v>38183</v>
      </c>
      <c r="S203">
        <v>38838883.915863097</v>
      </c>
      <c r="T203">
        <v>15859242.4137186</v>
      </c>
      <c r="U203">
        <v>-22979641.5021444</v>
      </c>
      <c r="V203">
        <v>19792475.973113898</v>
      </c>
      <c r="W203">
        <v>0</v>
      </c>
      <c r="X203">
        <v>3246</v>
      </c>
      <c r="Y203">
        <v>5041</v>
      </c>
      <c r="Z203">
        <v>0</v>
      </c>
      <c r="AA203">
        <v>3006090.4517402598</v>
      </c>
      <c r="AB203">
        <v>5017677.3</v>
      </c>
      <c r="AC203" s="2">
        <f t="shared" si="6"/>
        <v>-2011586.84825974</v>
      </c>
      <c r="AD203" s="2">
        <f t="shared" si="7"/>
        <v>-67052.894941991341</v>
      </c>
      <c r="AE203">
        <v>30</v>
      </c>
      <c r="AF203">
        <v>648</v>
      </c>
      <c r="AG203" t="b">
        <v>1</v>
      </c>
    </row>
    <row r="204" spans="1:33" x14ac:dyDescent="0.2">
      <c r="A204">
        <v>10</v>
      </c>
      <c r="B204">
        <v>197</v>
      </c>
      <c r="C204">
        <v>15</v>
      </c>
      <c r="D204">
        <v>1</v>
      </c>
      <c r="E204">
        <v>3</v>
      </c>
      <c r="F204">
        <v>15</v>
      </c>
      <c r="G204">
        <v>30</v>
      </c>
      <c r="H204">
        <v>45.06</v>
      </c>
      <c r="I204">
        <v>49.35</v>
      </c>
      <c r="J204">
        <v>0.4</v>
      </c>
      <c r="K204">
        <v>71129</v>
      </c>
      <c r="L204">
        <v>96016</v>
      </c>
      <c r="M204">
        <v>27178</v>
      </c>
      <c r="N204">
        <v>12126</v>
      </c>
      <c r="O204">
        <v>27347</v>
      </c>
      <c r="P204">
        <v>42234</v>
      </c>
      <c r="Q204">
        <v>3392</v>
      </c>
      <c r="R204">
        <v>38378</v>
      </c>
      <c r="S204">
        <v>27899509.6309589</v>
      </c>
      <c r="T204">
        <v>10493748.6501843</v>
      </c>
      <c r="U204">
        <v>-17405760.9807746</v>
      </c>
      <c r="V204">
        <v>10497373.8198584</v>
      </c>
      <c r="W204">
        <v>0</v>
      </c>
      <c r="X204">
        <v>3161</v>
      </c>
      <c r="Y204">
        <v>2456</v>
      </c>
      <c r="Z204">
        <v>0</v>
      </c>
      <c r="AA204">
        <v>2219870.1394600598</v>
      </c>
      <c r="AB204">
        <v>5017677.3</v>
      </c>
      <c r="AC204" s="2">
        <f t="shared" si="6"/>
        <v>-2797807.16053994</v>
      </c>
      <c r="AD204" s="2">
        <f t="shared" si="7"/>
        <v>-93260.23868466467</v>
      </c>
      <c r="AE204">
        <v>30</v>
      </c>
      <c r="AF204">
        <v>643</v>
      </c>
      <c r="AG204" t="b">
        <v>1</v>
      </c>
    </row>
    <row r="205" spans="1:33" x14ac:dyDescent="0.2">
      <c r="A205">
        <v>10</v>
      </c>
      <c r="B205">
        <v>197</v>
      </c>
      <c r="C205">
        <v>15</v>
      </c>
      <c r="D205">
        <v>1</v>
      </c>
      <c r="E205">
        <v>3</v>
      </c>
      <c r="F205">
        <v>15</v>
      </c>
      <c r="G205">
        <v>30</v>
      </c>
      <c r="H205">
        <v>90.12</v>
      </c>
      <c r="I205">
        <v>98.7</v>
      </c>
      <c r="J205">
        <v>0.4</v>
      </c>
      <c r="K205">
        <v>71129</v>
      </c>
      <c r="L205">
        <v>96016</v>
      </c>
      <c r="M205">
        <v>27178</v>
      </c>
      <c r="N205">
        <v>12126</v>
      </c>
      <c r="O205">
        <v>27347</v>
      </c>
      <c r="P205">
        <v>42234</v>
      </c>
      <c r="Q205">
        <v>3392</v>
      </c>
      <c r="R205">
        <v>38378</v>
      </c>
      <c r="S205">
        <v>27899509.6309589</v>
      </c>
      <c r="T205">
        <v>15969820.000368601</v>
      </c>
      <c r="U205">
        <v>-11929689.630590299</v>
      </c>
      <c r="V205">
        <v>10497373.8198584</v>
      </c>
      <c r="W205">
        <v>0</v>
      </c>
      <c r="X205">
        <v>3161</v>
      </c>
      <c r="Y205">
        <v>2456</v>
      </c>
      <c r="Z205">
        <v>0</v>
      </c>
      <c r="AA205">
        <v>4439740.2789201299</v>
      </c>
      <c r="AB205">
        <v>5017677.3</v>
      </c>
      <c r="AC205" s="2">
        <f t="shared" si="6"/>
        <v>-577937.02107986994</v>
      </c>
      <c r="AD205" s="2">
        <f t="shared" si="7"/>
        <v>-19264.567369328997</v>
      </c>
      <c r="AE205">
        <v>30</v>
      </c>
      <c r="AF205">
        <v>643</v>
      </c>
      <c r="AG205" t="b">
        <v>1</v>
      </c>
    </row>
    <row r="206" spans="1:33" x14ac:dyDescent="0.2">
      <c r="A206">
        <v>10</v>
      </c>
      <c r="B206">
        <v>198</v>
      </c>
      <c r="C206">
        <v>15</v>
      </c>
      <c r="D206">
        <v>1</v>
      </c>
      <c r="E206">
        <v>1</v>
      </c>
      <c r="F206">
        <v>30</v>
      </c>
      <c r="G206">
        <v>30</v>
      </c>
      <c r="H206">
        <v>45.06</v>
      </c>
      <c r="I206">
        <v>49.35</v>
      </c>
      <c r="J206">
        <v>0.4</v>
      </c>
      <c r="K206">
        <v>81223</v>
      </c>
      <c r="L206">
        <v>98125</v>
      </c>
      <c r="M206">
        <v>27218</v>
      </c>
      <c r="N206">
        <v>12244</v>
      </c>
      <c r="O206">
        <v>26535</v>
      </c>
      <c r="P206">
        <v>42228</v>
      </c>
      <c r="Q206">
        <v>3602</v>
      </c>
      <c r="R206">
        <v>38382</v>
      </c>
      <c r="S206">
        <v>39183325.719999902</v>
      </c>
      <c r="T206">
        <v>13708052.726290099</v>
      </c>
      <c r="U206">
        <v>-25475272.993709799</v>
      </c>
      <c r="V206">
        <v>19054042.464482401</v>
      </c>
      <c r="W206">
        <v>0</v>
      </c>
      <c r="X206">
        <v>3158</v>
      </c>
      <c r="Y206">
        <v>4913</v>
      </c>
      <c r="Z206">
        <v>0</v>
      </c>
      <c r="AA206">
        <v>5232988.1185036004</v>
      </c>
      <c r="AB206">
        <v>5017677.3</v>
      </c>
      <c r="AC206" s="2">
        <f t="shared" si="6"/>
        <v>215310.81850360055</v>
      </c>
      <c r="AD206" s="2">
        <f t="shared" si="7"/>
        <v>7177.0272834533516</v>
      </c>
      <c r="AE206">
        <v>30</v>
      </c>
      <c r="AF206">
        <v>519</v>
      </c>
      <c r="AG206" t="b">
        <v>1</v>
      </c>
    </row>
    <row r="207" spans="1:33" x14ac:dyDescent="0.2">
      <c r="A207">
        <v>10</v>
      </c>
      <c r="B207">
        <v>198</v>
      </c>
      <c r="C207">
        <v>15</v>
      </c>
      <c r="D207">
        <v>1</v>
      </c>
      <c r="E207">
        <v>1</v>
      </c>
      <c r="F207">
        <v>30</v>
      </c>
      <c r="G207">
        <v>30</v>
      </c>
      <c r="H207">
        <v>90.12</v>
      </c>
      <c r="I207">
        <v>98.7</v>
      </c>
      <c r="J207">
        <v>0.4</v>
      </c>
      <c r="K207">
        <v>81223</v>
      </c>
      <c r="L207">
        <v>98125</v>
      </c>
      <c r="M207">
        <v>27218</v>
      </c>
      <c r="N207">
        <v>12244</v>
      </c>
      <c r="O207">
        <v>26535</v>
      </c>
      <c r="P207">
        <v>42228</v>
      </c>
      <c r="Q207">
        <v>3602</v>
      </c>
      <c r="R207">
        <v>38382</v>
      </c>
      <c r="S207">
        <v>39183325.719999902</v>
      </c>
      <c r="T207">
        <v>22398428.152580298</v>
      </c>
      <c r="U207">
        <v>-16784897.5674196</v>
      </c>
      <c r="V207">
        <v>19054042.464482401</v>
      </c>
      <c r="W207">
        <v>0</v>
      </c>
      <c r="X207">
        <v>3158</v>
      </c>
      <c r="Y207">
        <v>4913</v>
      </c>
      <c r="Z207">
        <v>0</v>
      </c>
      <c r="AA207">
        <v>10465976.237007201</v>
      </c>
      <c r="AB207">
        <v>5017677.3</v>
      </c>
      <c r="AC207" s="2">
        <f t="shared" si="6"/>
        <v>5448298.9370072009</v>
      </c>
      <c r="AD207" s="2">
        <f t="shared" si="7"/>
        <v>181609.96456690671</v>
      </c>
      <c r="AE207">
        <v>30</v>
      </c>
      <c r="AF207">
        <v>519</v>
      </c>
      <c r="AG207" t="b">
        <v>1</v>
      </c>
    </row>
    <row r="208" spans="1:33" x14ac:dyDescent="0.2">
      <c r="A208">
        <v>10</v>
      </c>
      <c r="B208">
        <v>198</v>
      </c>
      <c r="C208">
        <v>15</v>
      </c>
      <c r="D208">
        <v>1</v>
      </c>
      <c r="E208">
        <v>1</v>
      </c>
      <c r="F208">
        <v>15</v>
      </c>
      <c r="G208">
        <v>30</v>
      </c>
      <c r="H208">
        <v>45.06</v>
      </c>
      <c r="I208">
        <v>49.35</v>
      </c>
      <c r="J208">
        <v>0.4</v>
      </c>
      <c r="K208">
        <v>80104</v>
      </c>
      <c r="L208">
        <v>95472</v>
      </c>
      <c r="M208">
        <v>27097</v>
      </c>
      <c r="N208">
        <v>12163</v>
      </c>
      <c r="O208">
        <v>26325</v>
      </c>
      <c r="P208">
        <v>41196</v>
      </c>
      <c r="Q208">
        <v>3259</v>
      </c>
      <c r="R208">
        <v>38385</v>
      </c>
      <c r="S208">
        <v>30230492.222088799</v>
      </c>
      <c r="T208">
        <v>13466614.346083</v>
      </c>
      <c r="U208">
        <v>-16763877.8760057</v>
      </c>
      <c r="V208">
        <v>9591766.6810400803</v>
      </c>
      <c r="W208">
        <v>0</v>
      </c>
      <c r="X208">
        <v>3161</v>
      </c>
      <c r="Y208">
        <v>2468</v>
      </c>
      <c r="Z208">
        <v>0</v>
      </c>
      <c r="AA208">
        <v>5214638.5250161598</v>
      </c>
      <c r="AB208">
        <v>5017677.3</v>
      </c>
      <c r="AC208" s="2">
        <f t="shared" si="6"/>
        <v>196961.22501615994</v>
      </c>
      <c r="AD208" s="2">
        <f t="shared" si="7"/>
        <v>6565.3741672053311</v>
      </c>
      <c r="AE208">
        <v>30</v>
      </c>
      <c r="AF208">
        <v>525</v>
      </c>
      <c r="AG208" t="b">
        <v>1</v>
      </c>
    </row>
    <row r="209" spans="1:33" x14ac:dyDescent="0.2">
      <c r="A209">
        <v>10</v>
      </c>
      <c r="B209">
        <v>198</v>
      </c>
      <c r="C209">
        <v>15</v>
      </c>
      <c r="D209">
        <v>1</v>
      </c>
      <c r="E209">
        <v>1</v>
      </c>
      <c r="F209">
        <v>15</v>
      </c>
      <c r="G209">
        <v>30</v>
      </c>
      <c r="H209">
        <v>90.12</v>
      </c>
      <c r="I209">
        <v>98.7</v>
      </c>
      <c r="J209">
        <v>0.4</v>
      </c>
      <c r="K209">
        <v>80104</v>
      </c>
      <c r="L209">
        <v>95472</v>
      </c>
      <c r="M209">
        <v>27097</v>
      </c>
      <c r="N209">
        <v>12163</v>
      </c>
      <c r="O209">
        <v>26325</v>
      </c>
      <c r="P209">
        <v>41196</v>
      </c>
      <c r="Q209">
        <v>3259</v>
      </c>
      <c r="R209">
        <v>38385</v>
      </c>
      <c r="S209">
        <v>30230492.222088799</v>
      </c>
      <c r="T209">
        <v>21915551.392166</v>
      </c>
      <c r="U209">
        <v>-8314940.8299227199</v>
      </c>
      <c r="V209">
        <v>9591766.6810400803</v>
      </c>
      <c r="W209">
        <v>0</v>
      </c>
      <c r="X209">
        <v>3161</v>
      </c>
      <c r="Y209">
        <v>2468</v>
      </c>
      <c r="Z209">
        <v>0</v>
      </c>
      <c r="AA209">
        <v>10429277.050032301</v>
      </c>
      <c r="AB209">
        <v>5017677.3</v>
      </c>
      <c r="AC209" s="2">
        <f t="shared" si="6"/>
        <v>5411599.7500323011</v>
      </c>
      <c r="AD209" s="2">
        <f t="shared" si="7"/>
        <v>180386.65833441002</v>
      </c>
      <c r="AE209">
        <v>30</v>
      </c>
      <c r="AF209">
        <v>525</v>
      </c>
      <c r="AG209" t="b">
        <v>1</v>
      </c>
    </row>
    <row r="210" spans="1:33" x14ac:dyDescent="0.2">
      <c r="A210">
        <v>10</v>
      </c>
      <c r="B210">
        <v>139</v>
      </c>
      <c r="C210">
        <v>10</v>
      </c>
      <c r="D210">
        <v>3</v>
      </c>
      <c r="E210">
        <v>3</v>
      </c>
      <c r="F210">
        <v>30</v>
      </c>
      <c r="G210">
        <v>30</v>
      </c>
      <c r="H210">
        <v>45.06</v>
      </c>
      <c r="I210">
        <v>49.35</v>
      </c>
      <c r="J210">
        <v>0.4</v>
      </c>
      <c r="K210">
        <v>79342</v>
      </c>
      <c r="L210">
        <v>63193</v>
      </c>
      <c r="M210">
        <v>33895</v>
      </c>
      <c r="N210">
        <v>10616</v>
      </c>
      <c r="O210">
        <v>5812</v>
      </c>
      <c r="P210">
        <v>42247</v>
      </c>
      <c r="Q210">
        <v>7207</v>
      </c>
      <c r="R210">
        <v>36062</v>
      </c>
      <c r="S210">
        <v>28394408.554519899</v>
      </c>
      <c r="T210">
        <v>11765634.7590576</v>
      </c>
      <c r="U210">
        <v>-16628773.795462299</v>
      </c>
      <c r="V210">
        <v>12818213.375251999</v>
      </c>
      <c r="W210">
        <v>0</v>
      </c>
      <c r="X210">
        <v>2175</v>
      </c>
      <c r="Y210">
        <v>3445</v>
      </c>
      <c r="Z210">
        <v>0</v>
      </c>
      <c r="AA210">
        <v>3618228.58595797</v>
      </c>
      <c r="AB210">
        <v>3417388.79999999</v>
      </c>
      <c r="AC210" s="2">
        <f t="shared" si="6"/>
        <v>200839.78595797997</v>
      </c>
      <c r="AD210" s="2">
        <f t="shared" si="7"/>
        <v>6694.6595319326652</v>
      </c>
      <c r="AE210">
        <v>30</v>
      </c>
      <c r="AF210">
        <v>382</v>
      </c>
      <c r="AG210" t="b">
        <v>1</v>
      </c>
    </row>
    <row r="211" spans="1:33" x14ac:dyDescent="0.2">
      <c r="A211">
        <v>10</v>
      </c>
      <c r="B211">
        <v>139</v>
      </c>
      <c r="C211">
        <v>10</v>
      </c>
      <c r="D211">
        <v>3</v>
      </c>
      <c r="E211">
        <v>3</v>
      </c>
      <c r="F211">
        <v>30</v>
      </c>
      <c r="G211">
        <v>30</v>
      </c>
      <c r="H211">
        <v>90.12</v>
      </c>
      <c r="I211">
        <v>98.7</v>
      </c>
      <c r="J211">
        <v>0.4</v>
      </c>
      <c r="K211">
        <v>79342</v>
      </c>
      <c r="L211">
        <v>63193</v>
      </c>
      <c r="M211">
        <v>33895</v>
      </c>
      <c r="N211">
        <v>10616</v>
      </c>
      <c r="O211">
        <v>5812</v>
      </c>
      <c r="P211">
        <v>42247</v>
      </c>
      <c r="Q211">
        <v>7207</v>
      </c>
      <c r="R211">
        <v>36062</v>
      </c>
      <c r="S211">
        <v>28394408.554519899</v>
      </c>
      <c r="T211">
        <v>20113880.718115199</v>
      </c>
      <c r="U211">
        <v>-8280527.8364047902</v>
      </c>
      <c r="V211">
        <v>12818213.375251999</v>
      </c>
      <c r="W211">
        <v>0</v>
      </c>
      <c r="X211">
        <v>2175</v>
      </c>
      <c r="Y211">
        <v>3445</v>
      </c>
      <c r="Z211">
        <v>0</v>
      </c>
      <c r="AA211">
        <v>7236457.17191594</v>
      </c>
      <c r="AB211">
        <v>3417388.79999999</v>
      </c>
      <c r="AC211" s="2">
        <f t="shared" si="6"/>
        <v>3819068.37191595</v>
      </c>
      <c r="AD211" s="2">
        <f t="shared" si="7"/>
        <v>127302.279063865</v>
      </c>
      <c r="AE211">
        <v>30</v>
      </c>
      <c r="AF211">
        <v>382</v>
      </c>
      <c r="AG211" t="b">
        <v>1</v>
      </c>
    </row>
    <row r="212" spans="1:33" x14ac:dyDescent="0.2">
      <c r="A212">
        <v>10</v>
      </c>
      <c r="B212">
        <v>139</v>
      </c>
      <c r="C212">
        <v>10</v>
      </c>
      <c r="D212">
        <v>3</v>
      </c>
      <c r="E212">
        <v>3</v>
      </c>
      <c r="F212">
        <v>15</v>
      </c>
      <c r="G212">
        <v>30</v>
      </c>
      <c r="H212">
        <v>45.06</v>
      </c>
      <c r="I212">
        <v>49.35</v>
      </c>
      <c r="J212">
        <v>0.4</v>
      </c>
      <c r="K212">
        <v>78999</v>
      </c>
      <c r="L212">
        <v>62472</v>
      </c>
      <c r="M212">
        <v>33426</v>
      </c>
      <c r="N212">
        <v>10631</v>
      </c>
      <c r="O212">
        <v>5692</v>
      </c>
      <c r="P212">
        <v>41332</v>
      </c>
      <c r="Q212">
        <v>7116</v>
      </c>
      <c r="R212">
        <v>36090</v>
      </c>
      <c r="S212">
        <v>21112954.985390399</v>
      </c>
      <c r="T212">
        <v>9035486.2368516698</v>
      </c>
      <c r="U212">
        <v>-12077468.748538701</v>
      </c>
      <c r="V212">
        <v>7123936.05422178</v>
      </c>
      <c r="W212">
        <v>0</v>
      </c>
      <c r="X212">
        <v>2187</v>
      </c>
      <c r="Y212">
        <v>1750</v>
      </c>
      <c r="Z212">
        <v>0</v>
      </c>
      <c r="AA212">
        <v>2088948.50419996</v>
      </c>
      <c r="AB212">
        <v>3417388.79999999</v>
      </c>
      <c r="AC212" s="2">
        <f t="shared" si="6"/>
        <v>-1328440.29580003</v>
      </c>
      <c r="AD212" s="2">
        <f t="shared" si="7"/>
        <v>-44281.343193334331</v>
      </c>
      <c r="AE212">
        <v>30</v>
      </c>
      <c r="AF212">
        <v>483</v>
      </c>
      <c r="AG212" t="b">
        <v>1</v>
      </c>
    </row>
    <row r="213" spans="1:33" x14ac:dyDescent="0.2">
      <c r="A213">
        <v>10</v>
      </c>
      <c r="B213">
        <v>139</v>
      </c>
      <c r="C213">
        <v>10</v>
      </c>
      <c r="D213">
        <v>3</v>
      </c>
      <c r="E213">
        <v>3</v>
      </c>
      <c r="F213">
        <v>15</v>
      </c>
      <c r="G213">
        <v>30</v>
      </c>
      <c r="H213">
        <v>90.12</v>
      </c>
      <c r="I213">
        <v>98.7</v>
      </c>
      <c r="J213">
        <v>0.4</v>
      </c>
      <c r="K213">
        <v>78999</v>
      </c>
      <c r="L213">
        <v>62472</v>
      </c>
      <c r="M213">
        <v>33426</v>
      </c>
      <c r="N213">
        <v>10631</v>
      </c>
      <c r="O213">
        <v>5692</v>
      </c>
      <c r="P213">
        <v>41332</v>
      </c>
      <c r="Q213">
        <v>7116</v>
      </c>
      <c r="R213">
        <v>36090</v>
      </c>
      <c r="S213">
        <v>21112954.985390399</v>
      </c>
      <c r="T213">
        <v>14653583.6737033</v>
      </c>
      <c r="U213">
        <v>-6459371.31168711</v>
      </c>
      <c r="V213">
        <v>7123936.05422178</v>
      </c>
      <c r="W213">
        <v>0</v>
      </c>
      <c r="X213">
        <v>2187</v>
      </c>
      <c r="Y213">
        <v>1750</v>
      </c>
      <c r="Z213">
        <v>0</v>
      </c>
      <c r="AA213">
        <v>4177897.0083999299</v>
      </c>
      <c r="AB213">
        <v>3417388.79999999</v>
      </c>
      <c r="AC213" s="2">
        <f t="shared" si="6"/>
        <v>760508.20839993982</v>
      </c>
      <c r="AD213" s="2">
        <f t="shared" si="7"/>
        <v>25350.273613331326</v>
      </c>
      <c r="AE213">
        <v>30</v>
      </c>
      <c r="AF213">
        <v>483</v>
      </c>
      <c r="AG213" t="b">
        <v>1</v>
      </c>
    </row>
    <row r="214" spans="1:33" x14ac:dyDescent="0.2">
      <c r="A214">
        <v>10</v>
      </c>
      <c r="B214">
        <v>137</v>
      </c>
      <c r="C214">
        <v>10</v>
      </c>
      <c r="D214">
        <v>3</v>
      </c>
      <c r="E214">
        <v>1</v>
      </c>
      <c r="F214">
        <v>30</v>
      </c>
      <c r="G214">
        <v>30</v>
      </c>
      <c r="H214">
        <v>45.06</v>
      </c>
      <c r="I214">
        <v>49.35</v>
      </c>
      <c r="J214">
        <v>0.4</v>
      </c>
      <c r="K214">
        <v>65293</v>
      </c>
      <c r="L214">
        <v>64413</v>
      </c>
      <c r="M214">
        <v>34089</v>
      </c>
      <c r="N214">
        <v>10581</v>
      </c>
      <c r="O214">
        <v>6150</v>
      </c>
      <c r="P214">
        <v>44369</v>
      </c>
      <c r="Q214">
        <v>7793</v>
      </c>
      <c r="R214">
        <v>35578</v>
      </c>
      <c r="S214">
        <v>27334367.767490201</v>
      </c>
      <c r="T214">
        <v>10085548.354691699</v>
      </c>
      <c r="U214">
        <v>-17248819.412798401</v>
      </c>
      <c r="V214">
        <v>13052609.736393999</v>
      </c>
      <c r="W214">
        <v>0</v>
      </c>
      <c r="X214">
        <v>2164</v>
      </c>
      <c r="Y214">
        <v>3380</v>
      </c>
      <c r="Z214">
        <v>0</v>
      </c>
      <c r="AA214">
        <v>1857450.81995385</v>
      </c>
      <c r="AB214">
        <v>3417388.79999999</v>
      </c>
      <c r="AC214" s="2">
        <f t="shared" si="6"/>
        <v>-1559937.98004614</v>
      </c>
      <c r="AD214" s="2">
        <f t="shared" si="7"/>
        <v>-51997.932668204667</v>
      </c>
      <c r="AE214">
        <v>30</v>
      </c>
      <c r="AF214">
        <v>445</v>
      </c>
      <c r="AG214" t="b">
        <v>1</v>
      </c>
    </row>
    <row r="215" spans="1:33" x14ac:dyDescent="0.2">
      <c r="A215">
        <v>10</v>
      </c>
      <c r="B215">
        <v>137</v>
      </c>
      <c r="C215">
        <v>10</v>
      </c>
      <c r="D215">
        <v>3</v>
      </c>
      <c r="E215">
        <v>1</v>
      </c>
      <c r="F215">
        <v>30</v>
      </c>
      <c r="G215">
        <v>30</v>
      </c>
      <c r="H215">
        <v>90.12</v>
      </c>
      <c r="I215">
        <v>98.7</v>
      </c>
      <c r="J215">
        <v>0.4</v>
      </c>
      <c r="K215">
        <v>65293</v>
      </c>
      <c r="L215">
        <v>64413</v>
      </c>
      <c r="M215">
        <v>34089</v>
      </c>
      <c r="N215">
        <v>10581</v>
      </c>
      <c r="O215">
        <v>6150</v>
      </c>
      <c r="P215">
        <v>44369</v>
      </c>
      <c r="Q215">
        <v>7793</v>
      </c>
      <c r="R215">
        <v>35578</v>
      </c>
      <c r="S215">
        <v>27334367.767490201</v>
      </c>
      <c r="T215">
        <v>16753707.909383399</v>
      </c>
      <c r="U215">
        <v>-10580659.858106701</v>
      </c>
      <c r="V215">
        <v>13052609.736393999</v>
      </c>
      <c r="W215">
        <v>0</v>
      </c>
      <c r="X215">
        <v>2164</v>
      </c>
      <c r="Y215">
        <v>3380</v>
      </c>
      <c r="Z215">
        <v>0</v>
      </c>
      <c r="AA215">
        <v>3714901.6399077098</v>
      </c>
      <c r="AB215">
        <v>3417388.79999999</v>
      </c>
      <c r="AC215" s="2">
        <f t="shared" si="6"/>
        <v>297512.83990771975</v>
      </c>
      <c r="AD215" s="2">
        <f t="shared" si="7"/>
        <v>9917.0946635906585</v>
      </c>
      <c r="AE215">
        <v>30</v>
      </c>
      <c r="AF215">
        <v>445</v>
      </c>
      <c r="AG215" t="b">
        <v>1</v>
      </c>
    </row>
    <row r="216" spans="1:33" x14ac:dyDescent="0.2">
      <c r="A216">
        <v>10</v>
      </c>
      <c r="B216">
        <v>138</v>
      </c>
      <c r="C216">
        <v>10</v>
      </c>
      <c r="D216">
        <v>3</v>
      </c>
      <c r="E216">
        <v>1</v>
      </c>
      <c r="F216">
        <v>15</v>
      </c>
      <c r="G216">
        <v>30</v>
      </c>
      <c r="H216">
        <v>45.06</v>
      </c>
      <c r="I216">
        <v>49.35</v>
      </c>
      <c r="J216">
        <v>0.4</v>
      </c>
      <c r="K216">
        <v>72618</v>
      </c>
      <c r="L216">
        <v>63025</v>
      </c>
      <c r="M216">
        <v>33678</v>
      </c>
      <c r="N216">
        <v>10637</v>
      </c>
      <c r="O216">
        <v>5813</v>
      </c>
      <c r="P216">
        <v>42185</v>
      </c>
      <c r="Q216">
        <v>7804</v>
      </c>
      <c r="R216">
        <v>35487</v>
      </c>
      <c r="S216">
        <v>21169985.457484301</v>
      </c>
      <c r="T216">
        <v>9506746.5629726797</v>
      </c>
      <c r="U216">
        <v>-11663238.894511599</v>
      </c>
      <c r="V216">
        <v>6628393.9519749703</v>
      </c>
      <c r="W216">
        <v>0</v>
      </c>
      <c r="X216">
        <v>2173</v>
      </c>
      <c r="Y216">
        <v>1733</v>
      </c>
      <c r="Z216">
        <v>0</v>
      </c>
      <c r="AA216">
        <v>3004017.6066658902</v>
      </c>
      <c r="AB216">
        <v>3417388.79999999</v>
      </c>
      <c r="AC216" s="2">
        <f t="shared" si="6"/>
        <v>-413371.19333409984</v>
      </c>
      <c r="AD216" s="2">
        <f t="shared" si="7"/>
        <v>-13779.039777803328</v>
      </c>
      <c r="AE216">
        <v>30</v>
      </c>
      <c r="AF216">
        <v>474</v>
      </c>
      <c r="AG216" t="b">
        <v>1</v>
      </c>
    </row>
    <row r="217" spans="1:33" x14ac:dyDescent="0.2">
      <c r="A217">
        <v>10</v>
      </c>
      <c r="B217">
        <v>138</v>
      </c>
      <c r="C217">
        <v>10</v>
      </c>
      <c r="D217">
        <v>3</v>
      </c>
      <c r="E217">
        <v>1</v>
      </c>
      <c r="F217">
        <v>15</v>
      </c>
      <c r="G217">
        <v>30</v>
      </c>
      <c r="H217">
        <v>90.12</v>
      </c>
      <c r="I217">
        <v>98.7</v>
      </c>
      <c r="J217">
        <v>0.4</v>
      </c>
      <c r="K217">
        <v>72618</v>
      </c>
      <c r="L217">
        <v>63025</v>
      </c>
      <c r="M217">
        <v>33678</v>
      </c>
      <c r="N217">
        <v>10637</v>
      </c>
      <c r="O217">
        <v>5813</v>
      </c>
      <c r="P217">
        <v>42185</v>
      </c>
      <c r="Q217">
        <v>7804</v>
      </c>
      <c r="R217">
        <v>35487</v>
      </c>
      <c r="S217">
        <v>21169985.457484301</v>
      </c>
      <c r="T217">
        <v>15596104.325945299</v>
      </c>
      <c r="U217">
        <v>-5573881.1315389704</v>
      </c>
      <c r="V217">
        <v>6628393.9519749703</v>
      </c>
      <c r="W217">
        <v>0</v>
      </c>
      <c r="X217">
        <v>2173</v>
      </c>
      <c r="Y217">
        <v>1733</v>
      </c>
      <c r="Z217">
        <v>0</v>
      </c>
      <c r="AA217">
        <v>6008035.2133317804</v>
      </c>
      <c r="AB217">
        <v>3417388.79999999</v>
      </c>
      <c r="AC217" s="2">
        <f t="shared" si="6"/>
        <v>2590646.4133317904</v>
      </c>
      <c r="AD217" s="2">
        <f t="shared" si="7"/>
        <v>86354.880444393013</v>
      </c>
      <c r="AE217">
        <v>30</v>
      </c>
      <c r="AF217">
        <v>474</v>
      </c>
      <c r="AG217" t="b">
        <v>1</v>
      </c>
    </row>
    <row r="218" spans="1:33" x14ac:dyDescent="0.2">
      <c r="A218">
        <v>10</v>
      </c>
      <c r="B218">
        <v>138</v>
      </c>
      <c r="C218">
        <v>10</v>
      </c>
      <c r="D218">
        <v>1</v>
      </c>
      <c r="E218">
        <v>3</v>
      </c>
      <c r="F218">
        <v>30</v>
      </c>
      <c r="G218">
        <v>30</v>
      </c>
      <c r="H218">
        <v>45.06</v>
      </c>
      <c r="I218">
        <v>49.35</v>
      </c>
      <c r="J218">
        <v>0.4</v>
      </c>
      <c r="K218">
        <v>73023</v>
      </c>
      <c r="L218">
        <v>63762</v>
      </c>
      <c r="M218">
        <v>34265</v>
      </c>
      <c r="N218">
        <v>10644</v>
      </c>
      <c r="O218">
        <v>5841</v>
      </c>
      <c r="P218">
        <v>43394</v>
      </c>
      <c r="Q218">
        <v>7773</v>
      </c>
      <c r="R218">
        <v>35505</v>
      </c>
      <c r="S218">
        <v>27190643.404102799</v>
      </c>
      <c r="T218">
        <v>10091614.988854799</v>
      </c>
      <c r="U218">
        <v>-17099028.415247999</v>
      </c>
      <c r="V218">
        <v>13066322.9943357</v>
      </c>
      <c r="W218">
        <v>0</v>
      </c>
      <c r="X218">
        <v>2162</v>
      </c>
      <c r="Y218">
        <v>3375</v>
      </c>
      <c r="Z218">
        <v>0</v>
      </c>
      <c r="AA218">
        <v>1890218.7957186401</v>
      </c>
      <c r="AB218">
        <v>3417388.79999999</v>
      </c>
      <c r="AC218" s="2">
        <f t="shared" si="6"/>
        <v>-1527170.0042813499</v>
      </c>
      <c r="AD218" s="2">
        <f t="shared" si="7"/>
        <v>-50905.66680937833</v>
      </c>
      <c r="AE218">
        <v>30</v>
      </c>
      <c r="AF218">
        <v>420</v>
      </c>
      <c r="AG218" t="b">
        <v>1</v>
      </c>
    </row>
    <row r="219" spans="1:33" x14ac:dyDescent="0.2">
      <c r="A219">
        <v>10</v>
      </c>
      <c r="B219">
        <v>138</v>
      </c>
      <c r="C219">
        <v>10</v>
      </c>
      <c r="D219">
        <v>1</v>
      </c>
      <c r="E219">
        <v>3</v>
      </c>
      <c r="F219">
        <v>30</v>
      </c>
      <c r="G219">
        <v>30</v>
      </c>
      <c r="H219">
        <v>90.12</v>
      </c>
      <c r="I219">
        <v>98.7</v>
      </c>
      <c r="J219">
        <v>0.4</v>
      </c>
      <c r="K219">
        <v>73023</v>
      </c>
      <c r="L219">
        <v>63762</v>
      </c>
      <c r="M219">
        <v>34265</v>
      </c>
      <c r="N219">
        <v>10644</v>
      </c>
      <c r="O219">
        <v>5841</v>
      </c>
      <c r="P219">
        <v>43394</v>
      </c>
      <c r="Q219">
        <v>7773</v>
      </c>
      <c r="R219">
        <v>35505</v>
      </c>
      <c r="S219">
        <v>27190643.404102799</v>
      </c>
      <c r="T219">
        <v>16765841.1777096</v>
      </c>
      <c r="U219">
        <v>-10424802.2263931</v>
      </c>
      <c r="V219">
        <v>13066322.9943357</v>
      </c>
      <c r="W219">
        <v>0</v>
      </c>
      <c r="X219">
        <v>2162</v>
      </c>
      <c r="Y219">
        <v>3375</v>
      </c>
      <c r="Z219">
        <v>0</v>
      </c>
      <c r="AA219">
        <v>3780437.5914372802</v>
      </c>
      <c r="AB219">
        <v>3417388.79999999</v>
      </c>
      <c r="AC219" s="2">
        <f t="shared" si="6"/>
        <v>363048.79143729014</v>
      </c>
      <c r="AD219" s="2">
        <f t="shared" si="7"/>
        <v>12101.626381243004</v>
      </c>
      <c r="AE219">
        <v>30</v>
      </c>
      <c r="AF219">
        <v>420</v>
      </c>
      <c r="AG219" t="b">
        <v>1</v>
      </c>
    </row>
    <row r="220" spans="1:33" x14ac:dyDescent="0.2">
      <c r="A220">
        <v>10</v>
      </c>
      <c r="B220">
        <v>139</v>
      </c>
      <c r="C220">
        <v>10</v>
      </c>
      <c r="D220">
        <v>1</v>
      </c>
      <c r="E220">
        <v>3</v>
      </c>
      <c r="F220">
        <v>15</v>
      </c>
      <c r="G220">
        <v>30</v>
      </c>
      <c r="H220">
        <v>45.06</v>
      </c>
      <c r="I220">
        <v>49.35</v>
      </c>
      <c r="J220">
        <v>0.4</v>
      </c>
      <c r="K220">
        <v>78488</v>
      </c>
      <c r="L220">
        <v>62320</v>
      </c>
      <c r="M220">
        <v>33282</v>
      </c>
      <c r="N220">
        <v>10634</v>
      </c>
      <c r="O220">
        <v>5755</v>
      </c>
      <c r="P220">
        <v>41832</v>
      </c>
      <c r="Q220">
        <v>7192</v>
      </c>
      <c r="R220">
        <v>36061</v>
      </c>
      <c r="S220">
        <v>20298515.225427698</v>
      </c>
      <c r="T220">
        <v>9140510.3215331398</v>
      </c>
      <c r="U220">
        <v>-11158004.903894501</v>
      </c>
      <c r="V220">
        <v>7131238.5590937696</v>
      </c>
      <c r="W220">
        <v>0</v>
      </c>
      <c r="X220">
        <v>2180</v>
      </c>
      <c r="Y220">
        <v>1704</v>
      </c>
      <c r="Z220">
        <v>0</v>
      </c>
      <c r="AA220">
        <v>2580951.081913</v>
      </c>
      <c r="AB220">
        <v>3417388.79999999</v>
      </c>
      <c r="AC220" s="2">
        <f t="shared" si="6"/>
        <v>-836437.71808699006</v>
      </c>
      <c r="AD220" s="2">
        <f t="shared" si="7"/>
        <v>-27881.257269566337</v>
      </c>
      <c r="AE220">
        <v>30</v>
      </c>
      <c r="AF220">
        <v>469</v>
      </c>
      <c r="AG220" t="b">
        <v>1</v>
      </c>
    </row>
    <row r="221" spans="1:33" x14ac:dyDescent="0.2">
      <c r="A221">
        <v>10</v>
      </c>
      <c r="B221">
        <v>139</v>
      </c>
      <c r="C221">
        <v>10</v>
      </c>
      <c r="D221">
        <v>1</v>
      </c>
      <c r="E221">
        <v>3</v>
      </c>
      <c r="F221">
        <v>15</v>
      </c>
      <c r="G221">
        <v>30</v>
      </c>
      <c r="H221">
        <v>90.12</v>
      </c>
      <c r="I221">
        <v>98.7</v>
      </c>
      <c r="J221">
        <v>0.4</v>
      </c>
      <c r="K221">
        <v>78488</v>
      </c>
      <c r="L221">
        <v>62320</v>
      </c>
      <c r="M221">
        <v>33282</v>
      </c>
      <c r="N221">
        <v>10634</v>
      </c>
      <c r="O221">
        <v>5755</v>
      </c>
      <c r="P221">
        <v>41832</v>
      </c>
      <c r="Q221">
        <v>7192</v>
      </c>
      <c r="R221">
        <v>36061</v>
      </c>
      <c r="S221">
        <v>20298515.225427698</v>
      </c>
      <c r="T221">
        <v>14863631.843066201</v>
      </c>
      <c r="U221">
        <v>-5434883.3823614102</v>
      </c>
      <c r="V221">
        <v>7131238.5590937696</v>
      </c>
      <c r="W221">
        <v>0</v>
      </c>
      <c r="X221">
        <v>2180</v>
      </c>
      <c r="Y221">
        <v>1704</v>
      </c>
      <c r="Z221">
        <v>0</v>
      </c>
      <c r="AA221">
        <v>5161902.1638259999</v>
      </c>
      <c r="AB221">
        <v>3417388.79999999</v>
      </c>
      <c r="AC221" s="2">
        <f t="shared" si="6"/>
        <v>1744513.3638260099</v>
      </c>
      <c r="AD221" s="2">
        <f t="shared" si="7"/>
        <v>58150.445460866998</v>
      </c>
      <c r="AE221">
        <v>30</v>
      </c>
      <c r="AF221">
        <v>469</v>
      </c>
      <c r="AG221" t="b">
        <v>1</v>
      </c>
    </row>
    <row r="222" spans="1:33" x14ac:dyDescent="0.2">
      <c r="A222">
        <v>10</v>
      </c>
      <c r="B222">
        <v>138</v>
      </c>
      <c r="C222">
        <v>10</v>
      </c>
      <c r="D222">
        <v>1</v>
      </c>
      <c r="E222">
        <v>1</v>
      </c>
      <c r="F222">
        <v>30</v>
      </c>
      <c r="G222">
        <v>30</v>
      </c>
      <c r="H222">
        <v>45.06</v>
      </c>
      <c r="I222">
        <v>49.35</v>
      </c>
      <c r="J222">
        <v>0.4</v>
      </c>
      <c r="K222">
        <v>72850</v>
      </c>
      <c r="L222">
        <v>63740</v>
      </c>
      <c r="M222">
        <v>34184</v>
      </c>
      <c r="N222">
        <v>10573</v>
      </c>
      <c r="O222">
        <v>5903</v>
      </c>
      <c r="P222">
        <v>43254</v>
      </c>
      <c r="Q222">
        <v>7783</v>
      </c>
      <c r="R222">
        <v>35499</v>
      </c>
      <c r="S222">
        <v>27960840.424438398</v>
      </c>
      <c r="T222">
        <v>10769979.190660801</v>
      </c>
      <c r="U222">
        <v>-17190861.233777501</v>
      </c>
      <c r="V222">
        <v>13146327.282641601</v>
      </c>
      <c r="W222">
        <v>0</v>
      </c>
      <c r="X222">
        <v>2164</v>
      </c>
      <c r="Y222">
        <v>3375</v>
      </c>
      <c r="Z222">
        <v>0</v>
      </c>
      <c r="AA222">
        <v>3536151.1920497799</v>
      </c>
      <c r="AB222">
        <v>3417388.79999999</v>
      </c>
      <c r="AC222" s="2">
        <f t="shared" si="6"/>
        <v>118762.39204978989</v>
      </c>
      <c r="AD222" s="2">
        <f t="shared" si="7"/>
        <v>3958.7464016596632</v>
      </c>
      <c r="AE222">
        <v>30</v>
      </c>
      <c r="AF222">
        <v>393</v>
      </c>
      <c r="AG222" t="b">
        <v>1</v>
      </c>
    </row>
    <row r="223" spans="1:33" x14ac:dyDescent="0.2">
      <c r="A223">
        <v>10</v>
      </c>
      <c r="B223">
        <v>138</v>
      </c>
      <c r="C223">
        <v>10</v>
      </c>
      <c r="D223">
        <v>1</v>
      </c>
      <c r="E223">
        <v>1</v>
      </c>
      <c r="F223">
        <v>30</v>
      </c>
      <c r="G223">
        <v>30</v>
      </c>
      <c r="H223">
        <v>90.12</v>
      </c>
      <c r="I223">
        <v>98.7</v>
      </c>
      <c r="J223">
        <v>0.4</v>
      </c>
      <c r="K223">
        <v>72850</v>
      </c>
      <c r="L223">
        <v>63740</v>
      </c>
      <c r="M223">
        <v>34184</v>
      </c>
      <c r="N223">
        <v>10573</v>
      </c>
      <c r="O223">
        <v>5903</v>
      </c>
      <c r="P223">
        <v>43254</v>
      </c>
      <c r="Q223">
        <v>7783</v>
      </c>
      <c r="R223">
        <v>35499</v>
      </c>
      <c r="S223">
        <v>27960840.424438398</v>
      </c>
      <c r="T223">
        <v>18122569.581321601</v>
      </c>
      <c r="U223">
        <v>-9838270.8431167491</v>
      </c>
      <c r="V223">
        <v>13146327.282641601</v>
      </c>
      <c r="W223">
        <v>0</v>
      </c>
      <c r="X223">
        <v>2164</v>
      </c>
      <c r="Y223">
        <v>3375</v>
      </c>
      <c r="Z223">
        <v>0</v>
      </c>
      <c r="AA223">
        <v>7072302.3840995701</v>
      </c>
      <c r="AB223">
        <v>3417388.79999999</v>
      </c>
      <c r="AC223" s="2">
        <f t="shared" si="6"/>
        <v>3654913.5840995801</v>
      </c>
      <c r="AD223" s="2">
        <f t="shared" si="7"/>
        <v>121830.45280331933</v>
      </c>
      <c r="AE223">
        <v>30</v>
      </c>
      <c r="AF223">
        <v>393</v>
      </c>
      <c r="AG223" t="b">
        <v>1</v>
      </c>
    </row>
    <row r="224" spans="1:33" x14ac:dyDescent="0.2">
      <c r="A224">
        <v>10</v>
      </c>
      <c r="B224">
        <v>140</v>
      </c>
      <c r="C224">
        <v>10</v>
      </c>
      <c r="D224">
        <v>1</v>
      </c>
      <c r="E224">
        <v>1</v>
      </c>
      <c r="F224">
        <v>15</v>
      </c>
      <c r="G224">
        <v>30</v>
      </c>
      <c r="H224">
        <v>45.06</v>
      </c>
      <c r="I224">
        <v>49.35</v>
      </c>
      <c r="J224">
        <v>0.4</v>
      </c>
      <c r="K224">
        <v>78079</v>
      </c>
      <c r="L224">
        <v>61582</v>
      </c>
      <c r="M224">
        <v>33284</v>
      </c>
      <c r="N224">
        <v>10662</v>
      </c>
      <c r="O224">
        <v>5521</v>
      </c>
      <c r="P224">
        <v>40390</v>
      </c>
      <c r="Q224">
        <v>6718</v>
      </c>
      <c r="R224">
        <v>36551</v>
      </c>
      <c r="S224">
        <v>20250505.231081899</v>
      </c>
      <c r="T224">
        <v>8268002.4391249698</v>
      </c>
      <c r="U224">
        <v>-11982502.791957</v>
      </c>
      <c r="V224">
        <v>7425597.9823034499</v>
      </c>
      <c r="W224">
        <v>0</v>
      </c>
      <c r="X224">
        <v>2202</v>
      </c>
      <c r="Y224">
        <v>1715</v>
      </c>
      <c r="Z224">
        <v>0</v>
      </c>
      <c r="AA224">
        <v>1609481.87287133</v>
      </c>
      <c r="AB224">
        <v>3417388.79999999</v>
      </c>
      <c r="AC224" s="2">
        <f t="shared" si="6"/>
        <v>-1807906.92712866</v>
      </c>
      <c r="AD224" s="2">
        <f t="shared" si="7"/>
        <v>-60263.564237621998</v>
      </c>
      <c r="AE224">
        <v>30</v>
      </c>
      <c r="AF224">
        <v>498</v>
      </c>
      <c r="AG224" t="b">
        <v>1</v>
      </c>
    </row>
    <row r="225" spans="1:33" x14ac:dyDescent="0.2">
      <c r="A225">
        <v>10</v>
      </c>
      <c r="B225">
        <v>140</v>
      </c>
      <c r="C225">
        <v>10</v>
      </c>
      <c r="D225">
        <v>1</v>
      </c>
      <c r="E225">
        <v>1</v>
      </c>
      <c r="F225">
        <v>15</v>
      </c>
      <c r="G225">
        <v>30</v>
      </c>
      <c r="H225">
        <v>90.12</v>
      </c>
      <c r="I225">
        <v>98.7</v>
      </c>
      <c r="J225">
        <v>0.4</v>
      </c>
      <c r="K225">
        <v>78079</v>
      </c>
      <c r="L225">
        <v>61582</v>
      </c>
      <c r="M225">
        <v>33284</v>
      </c>
      <c r="N225">
        <v>10662</v>
      </c>
      <c r="O225">
        <v>5521</v>
      </c>
      <c r="P225">
        <v>40390</v>
      </c>
      <c r="Q225">
        <v>6718</v>
      </c>
      <c r="R225">
        <v>36551</v>
      </c>
      <c r="S225">
        <v>20250505.231081899</v>
      </c>
      <c r="T225">
        <v>13118616.0782499</v>
      </c>
      <c r="U225">
        <v>-7131889.1528320303</v>
      </c>
      <c r="V225">
        <v>7425597.9823034499</v>
      </c>
      <c r="W225">
        <v>0</v>
      </c>
      <c r="X225">
        <v>2202</v>
      </c>
      <c r="Y225">
        <v>1715</v>
      </c>
      <c r="Z225">
        <v>0</v>
      </c>
      <c r="AA225">
        <v>3218963.7457426698</v>
      </c>
      <c r="AB225">
        <v>3417388.79999999</v>
      </c>
      <c r="AC225" s="2">
        <f t="shared" si="6"/>
        <v>-198425.05425732024</v>
      </c>
      <c r="AD225" s="2">
        <f t="shared" si="7"/>
        <v>-6614.1684752440078</v>
      </c>
      <c r="AE225">
        <v>30</v>
      </c>
      <c r="AF225">
        <v>498</v>
      </c>
      <c r="AG225" t="b">
        <v>1</v>
      </c>
    </row>
    <row r="226" spans="1:33" x14ac:dyDescent="0.2">
      <c r="A226">
        <v>10</v>
      </c>
      <c r="B226">
        <v>219</v>
      </c>
      <c r="C226">
        <v>15</v>
      </c>
      <c r="D226">
        <v>3</v>
      </c>
      <c r="E226">
        <v>3</v>
      </c>
      <c r="F226">
        <v>30</v>
      </c>
      <c r="G226">
        <v>50</v>
      </c>
      <c r="H226">
        <v>45.06</v>
      </c>
      <c r="I226">
        <v>49.35</v>
      </c>
      <c r="J226">
        <v>0.4</v>
      </c>
      <c r="K226">
        <v>67006</v>
      </c>
      <c r="L226">
        <v>111432</v>
      </c>
      <c r="M226">
        <v>25713</v>
      </c>
      <c r="N226">
        <v>13067</v>
      </c>
      <c r="O226">
        <v>29262</v>
      </c>
      <c r="P226">
        <v>44412</v>
      </c>
      <c r="Q226">
        <v>3830</v>
      </c>
      <c r="R226">
        <v>38205</v>
      </c>
      <c r="S226">
        <v>49160761.757037699</v>
      </c>
      <c r="T226">
        <v>28959582.356123399</v>
      </c>
      <c r="U226">
        <v>-20201179.4009142</v>
      </c>
      <c r="V226">
        <v>21244867.441321898</v>
      </c>
      <c r="W226">
        <v>0</v>
      </c>
      <c r="X226">
        <v>3493</v>
      </c>
      <c r="Y226">
        <v>5514</v>
      </c>
      <c r="Z226">
        <v>0</v>
      </c>
      <c r="AA226">
        <v>12874123.199588699</v>
      </c>
      <c r="AB226">
        <v>8362795.5</v>
      </c>
      <c r="AC226" s="2">
        <f t="shared" si="6"/>
        <v>4511327.6995886993</v>
      </c>
      <c r="AD226" s="2">
        <f t="shared" si="7"/>
        <v>90226.553991773981</v>
      </c>
      <c r="AE226">
        <v>50</v>
      </c>
      <c r="AF226">
        <v>561</v>
      </c>
      <c r="AG226" t="b">
        <v>1</v>
      </c>
    </row>
    <row r="227" spans="1:33" x14ac:dyDescent="0.2">
      <c r="A227">
        <v>10</v>
      </c>
      <c r="B227">
        <v>219</v>
      </c>
      <c r="C227">
        <v>15</v>
      </c>
      <c r="D227">
        <v>3</v>
      </c>
      <c r="E227">
        <v>3</v>
      </c>
      <c r="F227">
        <v>30</v>
      </c>
      <c r="G227">
        <v>50</v>
      </c>
      <c r="H227">
        <v>90.12</v>
      </c>
      <c r="I227">
        <v>98.7</v>
      </c>
      <c r="J227">
        <v>0.4</v>
      </c>
      <c r="K227">
        <v>67006</v>
      </c>
      <c r="L227">
        <v>111432</v>
      </c>
      <c r="M227">
        <v>25713</v>
      </c>
      <c r="N227">
        <v>13067</v>
      </c>
      <c r="O227">
        <v>29262</v>
      </c>
      <c r="P227">
        <v>44412</v>
      </c>
      <c r="Q227">
        <v>3830</v>
      </c>
      <c r="R227">
        <v>38205</v>
      </c>
      <c r="S227">
        <v>49160761.757037699</v>
      </c>
      <c r="T227">
        <v>49556369.212246798</v>
      </c>
      <c r="U227">
        <v>395607.45520912798</v>
      </c>
      <c r="V227">
        <v>21244867.441321898</v>
      </c>
      <c r="W227">
        <v>0</v>
      </c>
      <c r="X227">
        <v>3493</v>
      </c>
      <c r="Y227">
        <v>5514</v>
      </c>
      <c r="Z227">
        <v>0</v>
      </c>
      <c r="AA227">
        <v>25748246.399177499</v>
      </c>
      <c r="AB227">
        <v>8362795.5</v>
      </c>
      <c r="AC227" s="2">
        <f t="shared" si="6"/>
        <v>17385450.899177499</v>
      </c>
      <c r="AD227" s="2">
        <f t="shared" si="7"/>
        <v>347709.01798354997</v>
      </c>
      <c r="AE227">
        <v>50</v>
      </c>
      <c r="AF227">
        <v>561</v>
      </c>
      <c r="AG227" t="b">
        <v>1</v>
      </c>
    </row>
    <row r="228" spans="1:33" x14ac:dyDescent="0.2">
      <c r="A228">
        <v>10</v>
      </c>
      <c r="B228">
        <v>218</v>
      </c>
      <c r="C228">
        <v>15</v>
      </c>
      <c r="D228">
        <v>3</v>
      </c>
      <c r="E228">
        <v>3</v>
      </c>
      <c r="F228">
        <v>15</v>
      </c>
      <c r="G228">
        <v>50</v>
      </c>
      <c r="H228">
        <v>45.06</v>
      </c>
      <c r="I228">
        <v>49.35</v>
      </c>
      <c r="J228">
        <v>0.4</v>
      </c>
      <c r="K228">
        <v>67350</v>
      </c>
      <c r="L228">
        <v>109926</v>
      </c>
      <c r="M228">
        <v>25192</v>
      </c>
      <c r="N228">
        <v>13050</v>
      </c>
      <c r="O228">
        <v>35224</v>
      </c>
      <c r="P228">
        <v>40078</v>
      </c>
      <c r="Q228">
        <v>3484</v>
      </c>
      <c r="R228">
        <v>38454</v>
      </c>
      <c r="S228">
        <v>36459345.143924601</v>
      </c>
      <c r="T228">
        <v>23714433.7871079</v>
      </c>
      <c r="U228">
        <v>-12744911.3568167</v>
      </c>
      <c r="V228">
        <v>10997496.827051699</v>
      </c>
      <c r="W228">
        <v>0</v>
      </c>
      <c r="X228">
        <v>3471</v>
      </c>
      <c r="Y228">
        <v>2790</v>
      </c>
      <c r="Z228">
        <v>0</v>
      </c>
      <c r="AA228">
        <v>9463378.7070490606</v>
      </c>
      <c r="AB228">
        <v>8362795.5</v>
      </c>
      <c r="AC228" s="2">
        <f t="shared" si="6"/>
        <v>1100583.2070490606</v>
      </c>
      <c r="AD228" s="2">
        <f t="shared" si="7"/>
        <v>22011.664140981211</v>
      </c>
      <c r="AE228">
        <v>50</v>
      </c>
      <c r="AF228">
        <v>796</v>
      </c>
      <c r="AG228" t="b">
        <v>1</v>
      </c>
    </row>
    <row r="229" spans="1:33" x14ac:dyDescent="0.2">
      <c r="A229">
        <v>10</v>
      </c>
      <c r="B229">
        <v>218</v>
      </c>
      <c r="C229">
        <v>15</v>
      </c>
      <c r="D229">
        <v>3</v>
      </c>
      <c r="E229">
        <v>3</v>
      </c>
      <c r="F229">
        <v>15</v>
      </c>
      <c r="G229">
        <v>50</v>
      </c>
      <c r="H229">
        <v>90.12</v>
      </c>
      <c r="I229">
        <v>98.7</v>
      </c>
      <c r="J229">
        <v>0.4</v>
      </c>
      <c r="K229">
        <v>67350</v>
      </c>
      <c r="L229">
        <v>109926</v>
      </c>
      <c r="M229">
        <v>25192</v>
      </c>
      <c r="N229">
        <v>13050</v>
      </c>
      <c r="O229">
        <v>35224</v>
      </c>
      <c r="P229">
        <v>40078</v>
      </c>
      <c r="Q229">
        <v>3484</v>
      </c>
      <c r="R229">
        <v>38454</v>
      </c>
      <c r="S229">
        <v>36459345.143924601</v>
      </c>
      <c r="T229">
        <v>39066072.0742158</v>
      </c>
      <c r="U229">
        <v>2606726.93029114</v>
      </c>
      <c r="V229">
        <v>10997496.827051699</v>
      </c>
      <c r="W229">
        <v>0</v>
      </c>
      <c r="X229">
        <v>3471</v>
      </c>
      <c r="Y229">
        <v>2790</v>
      </c>
      <c r="Z229">
        <v>0</v>
      </c>
      <c r="AA229">
        <v>18926757.414098099</v>
      </c>
      <c r="AB229">
        <v>8362795.5</v>
      </c>
      <c r="AC229" s="2">
        <f t="shared" si="6"/>
        <v>10563961.914098099</v>
      </c>
      <c r="AD229" s="2">
        <f t="shared" si="7"/>
        <v>211279.23828196197</v>
      </c>
      <c r="AE229">
        <v>50</v>
      </c>
      <c r="AF229">
        <v>796</v>
      </c>
      <c r="AG229" t="b">
        <v>1</v>
      </c>
    </row>
    <row r="230" spans="1:33" x14ac:dyDescent="0.2">
      <c r="A230">
        <v>10</v>
      </c>
      <c r="B230">
        <v>222</v>
      </c>
      <c r="C230">
        <v>15</v>
      </c>
      <c r="D230">
        <v>3</v>
      </c>
      <c r="E230">
        <v>1</v>
      </c>
      <c r="F230">
        <v>30</v>
      </c>
      <c r="G230">
        <v>50</v>
      </c>
      <c r="H230">
        <v>45.06</v>
      </c>
      <c r="I230">
        <v>49.35</v>
      </c>
      <c r="J230">
        <v>0.4</v>
      </c>
      <c r="K230">
        <v>83402</v>
      </c>
      <c r="L230">
        <v>108018</v>
      </c>
      <c r="M230">
        <v>25499</v>
      </c>
      <c r="N230">
        <v>13197</v>
      </c>
      <c r="O230">
        <v>26892</v>
      </c>
      <c r="P230">
        <v>40883</v>
      </c>
      <c r="Q230">
        <v>3718</v>
      </c>
      <c r="R230">
        <v>38073</v>
      </c>
      <c r="S230">
        <v>46455971.406212904</v>
      </c>
      <c r="T230">
        <v>24308473.647459999</v>
      </c>
      <c r="U230">
        <v>-22147497.758752801</v>
      </c>
      <c r="V230">
        <v>21586230.566376101</v>
      </c>
      <c r="W230">
        <v>0</v>
      </c>
      <c r="X230">
        <v>3542</v>
      </c>
      <c r="Y230">
        <v>5611</v>
      </c>
      <c r="Z230">
        <v>0</v>
      </c>
      <c r="AA230">
        <v>8529394.1942931395</v>
      </c>
      <c r="AB230">
        <v>8362795.5</v>
      </c>
      <c r="AC230" s="2">
        <f t="shared" si="6"/>
        <v>166598.6942931395</v>
      </c>
      <c r="AD230" s="2">
        <f t="shared" si="7"/>
        <v>3331.9738858627902</v>
      </c>
      <c r="AE230">
        <v>50</v>
      </c>
      <c r="AF230">
        <v>743</v>
      </c>
      <c r="AG230" t="b">
        <v>1</v>
      </c>
    </row>
    <row r="231" spans="1:33" x14ac:dyDescent="0.2">
      <c r="A231">
        <v>10</v>
      </c>
      <c r="B231">
        <v>222</v>
      </c>
      <c r="C231">
        <v>15</v>
      </c>
      <c r="D231">
        <v>3</v>
      </c>
      <c r="E231">
        <v>1</v>
      </c>
      <c r="F231">
        <v>30</v>
      </c>
      <c r="G231">
        <v>50</v>
      </c>
      <c r="H231">
        <v>90.12</v>
      </c>
      <c r="I231">
        <v>98.7</v>
      </c>
      <c r="J231">
        <v>0.4</v>
      </c>
      <c r="K231">
        <v>83402</v>
      </c>
      <c r="L231">
        <v>108018</v>
      </c>
      <c r="M231">
        <v>25499</v>
      </c>
      <c r="N231">
        <v>13197</v>
      </c>
      <c r="O231">
        <v>26892</v>
      </c>
      <c r="P231">
        <v>40883</v>
      </c>
      <c r="Q231">
        <v>3718</v>
      </c>
      <c r="R231">
        <v>38073</v>
      </c>
      <c r="S231">
        <v>46455971.406212904</v>
      </c>
      <c r="T231">
        <v>40254151.794920102</v>
      </c>
      <c r="U231">
        <v>-6201819.6112927701</v>
      </c>
      <c r="V231">
        <v>21586230.566376101</v>
      </c>
      <c r="W231">
        <v>0</v>
      </c>
      <c r="X231">
        <v>3542</v>
      </c>
      <c r="Y231">
        <v>5611</v>
      </c>
      <c r="Z231">
        <v>0</v>
      </c>
      <c r="AA231">
        <v>17058788.388586201</v>
      </c>
      <c r="AB231">
        <v>8362795.5</v>
      </c>
      <c r="AC231" s="2">
        <f t="shared" si="6"/>
        <v>8695992.8885862008</v>
      </c>
      <c r="AD231" s="2">
        <f t="shared" si="7"/>
        <v>173919.85777172403</v>
      </c>
      <c r="AE231">
        <v>50</v>
      </c>
      <c r="AF231">
        <v>743</v>
      </c>
      <c r="AG231" t="b">
        <v>1</v>
      </c>
    </row>
    <row r="232" spans="1:33" x14ac:dyDescent="0.2">
      <c r="A232">
        <v>10</v>
      </c>
      <c r="B232">
        <v>218</v>
      </c>
      <c r="C232">
        <v>15</v>
      </c>
      <c r="D232">
        <v>3</v>
      </c>
      <c r="E232">
        <v>1</v>
      </c>
      <c r="F232">
        <v>15</v>
      </c>
      <c r="G232">
        <v>50</v>
      </c>
      <c r="H232">
        <v>45.06</v>
      </c>
      <c r="I232">
        <v>49.35</v>
      </c>
      <c r="J232">
        <v>0.4</v>
      </c>
      <c r="K232">
        <v>66978</v>
      </c>
      <c r="L232">
        <v>109790</v>
      </c>
      <c r="M232">
        <v>25377</v>
      </c>
      <c r="N232">
        <v>12950</v>
      </c>
      <c r="O232">
        <v>35176</v>
      </c>
      <c r="P232">
        <v>40421</v>
      </c>
      <c r="Q232">
        <v>3515</v>
      </c>
      <c r="R232">
        <v>38512</v>
      </c>
      <c r="S232">
        <v>35498021.111126304</v>
      </c>
      <c r="T232">
        <v>22769537.8653295</v>
      </c>
      <c r="U232">
        <v>-12728483.245796699</v>
      </c>
      <c r="V232">
        <v>10958867.321188901</v>
      </c>
      <c r="W232">
        <v>0</v>
      </c>
      <c r="X232">
        <v>3483</v>
      </c>
      <c r="Y232">
        <v>2785</v>
      </c>
      <c r="Z232">
        <v>0</v>
      </c>
      <c r="AA232">
        <v>8105933.5299495002</v>
      </c>
      <c r="AB232">
        <v>8362795.5</v>
      </c>
      <c r="AC232" s="2">
        <f t="shared" si="6"/>
        <v>-256861.97005049977</v>
      </c>
      <c r="AD232" s="2">
        <f t="shared" si="7"/>
        <v>-5137.2394010099952</v>
      </c>
      <c r="AE232">
        <v>50</v>
      </c>
      <c r="AF232">
        <v>843</v>
      </c>
      <c r="AG232" t="b">
        <v>1</v>
      </c>
    </row>
    <row r="233" spans="1:33" x14ac:dyDescent="0.2">
      <c r="A233">
        <v>10</v>
      </c>
      <c r="B233">
        <v>218</v>
      </c>
      <c r="C233">
        <v>15</v>
      </c>
      <c r="D233">
        <v>3</v>
      </c>
      <c r="E233">
        <v>1</v>
      </c>
      <c r="F233">
        <v>15</v>
      </c>
      <c r="G233">
        <v>50</v>
      </c>
      <c r="H233">
        <v>90.12</v>
      </c>
      <c r="I233">
        <v>98.7</v>
      </c>
      <c r="J233">
        <v>0.4</v>
      </c>
      <c r="K233">
        <v>66978</v>
      </c>
      <c r="L233">
        <v>109790</v>
      </c>
      <c r="M233">
        <v>25377</v>
      </c>
      <c r="N233">
        <v>12950</v>
      </c>
      <c r="O233">
        <v>35176</v>
      </c>
      <c r="P233">
        <v>40421</v>
      </c>
      <c r="Q233">
        <v>3515</v>
      </c>
      <c r="R233">
        <v>38512</v>
      </c>
      <c r="S233">
        <v>35498021.111126304</v>
      </c>
      <c r="T233">
        <v>37176280.230659097</v>
      </c>
      <c r="U233">
        <v>1678259.11953279</v>
      </c>
      <c r="V233">
        <v>10958867.321188901</v>
      </c>
      <c r="W233">
        <v>0</v>
      </c>
      <c r="X233">
        <v>3483</v>
      </c>
      <c r="Y233">
        <v>2785</v>
      </c>
      <c r="Z233">
        <v>0</v>
      </c>
      <c r="AA233">
        <v>16211867.059899</v>
      </c>
      <c r="AB233">
        <v>8362795.5</v>
      </c>
      <c r="AC233" s="2">
        <f t="shared" si="6"/>
        <v>7849071.5598990005</v>
      </c>
      <c r="AD233" s="2">
        <f t="shared" si="7"/>
        <v>156981.43119798001</v>
      </c>
      <c r="AE233">
        <v>50</v>
      </c>
      <c r="AF233">
        <v>843</v>
      </c>
      <c r="AG233" t="b">
        <v>1</v>
      </c>
    </row>
    <row r="234" spans="1:33" x14ac:dyDescent="0.2">
      <c r="A234">
        <v>10</v>
      </c>
      <c r="B234">
        <v>220</v>
      </c>
      <c r="C234">
        <v>15</v>
      </c>
      <c r="D234">
        <v>1</v>
      </c>
      <c r="E234">
        <v>3</v>
      </c>
      <c r="F234">
        <v>30</v>
      </c>
      <c r="G234">
        <v>50</v>
      </c>
      <c r="H234">
        <v>45.06</v>
      </c>
      <c r="I234">
        <v>49.35</v>
      </c>
      <c r="J234">
        <v>0.4</v>
      </c>
      <c r="K234">
        <v>66420</v>
      </c>
      <c r="L234">
        <v>109883</v>
      </c>
      <c r="M234">
        <v>25737</v>
      </c>
      <c r="N234">
        <v>13102</v>
      </c>
      <c r="O234">
        <v>28491</v>
      </c>
      <c r="P234">
        <v>43158</v>
      </c>
      <c r="Q234">
        <v>3830</v>
      </c>
      <c r="R234">
        <v>38243</v>
      </c>
      <c r="S234">
        <v>48861729.096551903</v>
      </c>
      <c r="T234">
        <v>28126727.241679002</v>
      </c>
      <c r="U234">
        <v>-20735001.854872901</v>
      </c>
      <c r="V234">
        <v>22933074.3460683</v>
      </c>
      <c r="W234">
        <v>0</v>
      </c>
      <c r="X234">
        <v>3498</v>
      </c>
      <c r="Y234">
        <v>5473</v>
      </c>
      <c r="Z234">
        <v>0</v>
      </c>
      <c r="AA234">
        <v>12941198.3878399</v>
      </c>
      <c r="AB234">
        <v>8362795.5</v>
      </c>
      <c r="AC234" s="2">
        <f t="shared" si="6"/>
        <v>4578402.8878399003</v>
      </c>
      <c r="AD234" s="2">
        <f t="shared" si="7"/>
        <v>91568.057756798007</v>
      </c>
      <c r="AE234">
        <v>50</v>
      </c>
      <c r="AF234">
        <v>589</v>
      </c>
      <c r="AG234" t="b">
        <v>1</v>
      </c>
    </row>
    <row r="235" spans="1:33" x14ac:dyDescent="0.2">
      <c r="A235">
        <v>10</v>
      </c>
      <c r="B235">
        <v>220</v>
      </c>
      <c r="C235">
        <v>15</v>
      </c>
      <c r="D235">
        <v>1</v>
      </c>
      <c r="E235">
        <v>3</v>
      </c>
      <c r="F235">
        <v>30</v>
      </c>
      <c r="G235">
        <v>50</v>
      </c>
      <c r="H235">
        <v>90.12</v>
      </c>
      <c r="I235">
        <v>98.7</v>
      </c>
      <c r="J235">
        <v>0.4</v>
      </c>
      <c r="K235">
        <v>66420</v>
      </c>
      <c r="L235">
        <v>109883</v>
      </c>
      <c r="M235">
        <v>25737</v>
      </c>
      <c r="N235">
        <v>13102</v>
      </c>
      <c r="O235">
        <v>28491</v>
      </c>
      <c r="P235">
        <v>43158</v>
      </c>
      <c r="Q235">
        <v>3830</v>
      </c>
      <c r="R235">
        <v>38243</v>
      </c>
      <c r="S235">
        <v>48861729.096551903</v>
      </c>
      <c r="T235">
        <v>47890658.9833581</v>
      </c>
      <c r="U235">
        <v>-971070.11319386901</v>
      </c>
      <c r="V235">
        <v>22933074.3460683</v>
      </c>
      <c r="W235">
        <v>0</v>
      </c>
      <c r="X235">
        <v>3498</v>
      </c>
      <c r="Y235">
        <v>5473</v>
      </c>
      <c r="Z235">
        <v>0</v>
      </c>
      <c r="AA235">
        <v>25882396.775679901</v>
      </c>
      <c r="AB235">
        <v>8362795.5</v>
      </c>
      <c r="AC235" s="2">
        <f t="shared" si="6"/>
        <v>17519601.275679901</v>
      </c>
      <c r="AD235" s="2">
        <f t="shared" si="7"/>
        <v>350392.025513598</v>
      </c>
      <c r="AE235">
        <v>50</v>
      </c>
      <c r="AF235">
        <v>589</v>
      </c>
      <c r="AG235" t="b">
        <v>1</v>
      </c>
    </row>
    <row r="236" spans="1:33" x14ac:dyDescent="0.2">
      <c r="A236">
        <v>10</v>
      </c>
      <c r="B236">
        <v>218</v>
      </c>
      <c r="C236">
        <v>15</v>
      </c>
      <c r="D236">
        <v>1</v>
      </c>
      <c r="E236">
        <v>3</v>
      </c>
      <c r="F236">
        <v>15</v>
      </c>
      <c r="G236">
        <v>50</v>
      </c>
      <c r="H236">
        <v>45.06</v>
      </c>
      <c r="I236">
        <v>49.35</v>
      </c>
      <c r="J236">
        <v>0.4</v>
      </c>
      <c r="K236">
        <v>67502</v>
      </c>
      <c r="L236">
        <v>110161</v>
      </c>
      <c r="M236">
        <v>25244</v>
      </c>
      <c r="N236">
        <v>13088</v>
      </c>
      <c r="O236">
        <v>35041</v>
      </c>
      <c r="P236">
        <v>39841</v>
      </c>
      <c r="Q236">
        <v>3629</v>
      </c>
      <c r="R236">
        <v>38328</v>
      </c>
      <c r="S236">
        <v>36247492.108230896</v>
      </c>
      <c r="T236">
        <v>23562860.311107598</v>
      </c>
      <c r="U236">
        <v>-12684631.7971233</v>
      </c>
      <c r="V236">
        <v>12057053.5984466</v>
      </c>
      <c r="W236">
        <v>0</v>
      </c>
      <c r="X236">
        <v>3462</v>
      </c>
      <c r="Y236">
        <v>2725</v>
      </c>
      <c r="Z236">
        <v>0</v>
      </c>
      <c r="AA236">
        <v>9010159.6901488807</v>
      </c>
      <c r="AB236">
        <v>8362795.5</v>
      </c>
      <c r="AC236" s="2">
        <f t="shared" si="6"/>
        <v>647364.19014888071</v>
      </c>
      <c r="AD236" s="2">
        <f t="shared" si="7"/>
        <v>12947.283802977614</v>
      </c>
      <c r="AE236">
        <v>50</v>
      </c>
      <c r="AF236">
        <v>762</v>
      </c>
      <c r="AG236" t="b">
        <v>1</v>
      </c>
    </row>
    <row r="237" spans="1:33" x14ac:dyDescent="0.2">
      <c r="A237">
        <v>10</v>
      </c>
      <c r="B237">
        <v>218</v>
      </c>
      <c r="C237">
        <v>15</v>
      </c>
      <c r="D237">
        <v>1</v>
      </c>
      <c r="E237">
        <v>3</v>
      </c>
      <c r="F237">
        <v>15</v>
      </c>
      <c r="G237">
        <v>50</v>
      </c>
      <c r="H237">
        <v>90.12</v>
      </c>
      <c r="I237">
        <v>98.7</v>
      </c>
      <c r="J237">
        <v>0.4</v>
      </c>
      <c r="K237">
        <v>67502</v>
      </c>
      <c r="L237">
        <v>110161</v>
      </c>
      <c r="M237">
        <v>25244</v>
      </c>
      <c r="N237">
        <v>13088</v>
      </c>
      <c r="O237">
        <v>35041</v>
      </c>
      <c r="P237">
        <v>39841</v>
      </c>
      <c r="Q237">
        <v>3629</v>
      </c>
      <c r="R237">
        <v>38328</v>
      </c>
      <c r="S237">
        <v>36247492.108230896</v>
      </c>
      <c r="T237">
        <v>38762925.122215196</v>
      </c>
      <c r="U237">
        <v>2515433.0139842401</v>
      </c>
      <c r="V237">
        <v>12057053.5984466</v>
      </c>
      <c r="W237">
        <v>0</v>
      </c>
      <c r="X237">
        <v>3462</v>
      </c>
      <c r="Y237">
        <v>2725</v>
      </c>
      <c r="Z237">
        <v>0</v>
      </c>
      <c r="AA237">
        <v>18020319.380297702</v>
      </c>
      <c r="AB237">
        <v>8362795.5</v>
      </c>
      <c r="AC237" s="2">
        <f t="shared" si="6"/>
        <v>9657523.8802977018</v>
      </c>
      <c r="AD237" s="2">
        <f t="shared" si="7"/>
        <v>193150.47760595405</v>
      </c>
      <c r="AE237">
        <v>50</v>
      </c>
      <c r="AF237">
        <v>762</v>
      </c>
      <c r="AG237" t="b">
        <v>1</v>
      </c>
    </row>
    <row r="238" spans="1:33" x14ac:dyDescent="0.2">
      <c r="A238">
        <v>10</v>
      </c>
      <c r="B238">
        <v>217</v>
      </c>
      <c r="C238">
        <v>15</v>
      </c>
      <c r="D238">
        <v>1</v>
      </c>
      <c r="E238">
        <v>1</v>
      </c>
      <c r="F238">
        <v>30</v>
      </c>
      <c r="G238">
        <v>50</v>
      </c>
      <c r="H238">
        <v>45.06</v>
      </c>
      <c r="I238">
        <v>49.35</v>
      </c>
      <c r="J238">
        <v>0.4</v>
      </c>
      <c r="K238">
        <v>68681</v>
      </c>
      <c r="L238">
        <v>113474</v>
      </c>
      <c r="M238">
        <v>25952</v>
      </c>
      <c r="N238">
        <v>13032</v>
      </c>
      <c r="O238">
        <v>35870</v>
      </c>
      <c r="P238">
        <v>41337</v>
      </c>
      <c r="Q238">
        <v>3889</v>
      </c>
      <c r="R238">
        <v>38236</v>
      </c>
      <c r="S238">
        <v>46859447.672300801</v>
      </c>
      <c r="T238">
        <v>27087529.7193496</v>
      </c>
      <c r="U238">
        <v>-19771917.9529512</v>
      </c>
      <c r="V238">
        <v>21544737.033042099</v>
      </c>
      <c r="W238">
        <v>0</v>
      </c>
      <c r="X238">
        <v>3426</v>
      </c>
      <c r="Y238">
        <v>5400</v>
      </c>
      <c r="Z238">
        <v>0</v>
      </c>
      <c r="AA238">
        <v>10202550.272717901</v>
      </c>
      <c r="AB238">
        <v>8362795.5</v>
      </c>
      <c r="AC238" s="2">
        <f t="shared" si="6"/>
        <v>1839754.7727179006</v>
      </c>
      <c r="AD238" s="2">
        <f t="shared" si="7"/>
        <v>36795.095454358008</v>
      </c>
      <c r="AE238">
        <v>50</v>
      </c>
      <c r="AF238">
        <v>613</v>
      </c>
      <c r="AG238" t="b">
        <v>1</v>
      </c>
    </row>
    <row r="239" spans="1:33" x14ac:dyDescent="0.2">
      <c r="A239">
        <v>10</v>
      </c>
      <c r="B239">
        <v>217</v>
      </c>
      <c r="C239">
        <v>15</v>
      </c>
      <c r="D239">
        <v>1</v>
      </c>
      <c r="E239">
        <v>1</v>
      </c>
      <c r="F239">
        <v>30</v>
      </c>
      <c r="G239">
        <v>50</v>
      </c>
      <c r="H239">
        <v>90.12</v>
      </c>
      <c r="I239">
        <v>98.7</v>
      </c>
      <c r="J239">
        <v>0.4</v>
      </c>
      <c r="K239">
        <v>68681</v>
      </c>
      <c r="L239">
        <v>113474</v>
      </c>
      <c r="M239">
        <v>25952</v>
      </c>
      <c r="N239">
        <v>13032</v>
      </c>
      <c r="O239">
        <v>35870</v>
      </c>
      <c r="P239">
        <v>41337</v>
      </c>
      <c r="Q239">
        <v>3889</v>
      </c>
      <c r="R239">
        <v>38236</v>
      </c>
      <c r="S239">
        <v>46859447.672300801</v>
      </c>
      <c r="T239">
        <v>45812263.938699201</v>
      </c>
      <c r="U239">
        <v>-1047183.73360159</v>
      </c>
      <c r="V239">
        <v>21544737.033042099</v>
      </c>
      <c r="W239">
        <v>0</v>
      </c>
      <c r="X239">
        <v>3426</v>
      </c>
      <c r="Y239">
        <v>5400</v>
      </c>
      <c r="Z239">
        <v>0</v>
      </c>
      <c r="AA239">
        <v>20405100.545435902</v>
      </c>
      <c r="AB239">
        <v>8362795.5</v>
      </c>
      <c r="AC239" s="2">
        <f t="shared" si="6"/>
        <v>12042305.045435902</v>
      </c>
      <c r="AD239" s="2">
        <f t="shared" si="7"/>
        <v>240846.10090871804</v>
      </c>
      <c r="AE239">
        <v>50</v>
      </c>
      <c r="AF239">
        <v>613</v>
      </c>
      <c r="AG239" t="b">
        <v>1</v>
      </c>
    </row>
    <row r="240" spans="1:33" x14ac:dyDescent="0.2">
      <c r="A240">
        <v>10</v>
      </c>
      <c r="B240">
        <v>218</v>
      </c>
      <c r="C240">
        <v>15</v>
      </c>
      <c r="D240">
        <v>1</v>
      </c>
      <c r="E240">
        <v>1</v>
      </c>
      <c r="F240">
        <v>15</v>
      </c>
      <c r="G240">
        <v>50</v>
      </c>
      <c r="H240">
        <v>45.06</v>
      </c>
      <c r="I240">
        <v>49.35</v>
      </c>
      <c r="J240">
        <v>0.4</v>
      </c>
      <c r="K240">
        <v>66989</v>
      </c>
      <c r="L240">
        <v>109299</v>
      </c>
      <c r="M240">
        <v>25380</v>
      </c>
      <c r="N240">
        <v>13010</v>
      </c>
      <c r="O240">
        <v>34978</v>
      </c>
      <c r="P240">
        <v>39244</v>
      </c>
      <c r="Q240">
        <v>3038</v>
      </c>
      <c r="R240">
        <v>38258</v>
      </c>
      <c r="S240">
        <v>35889751.399999999</v>
      </c>
      <c r="T240">
        <v>24448683.800000001</v>
      </c>
      <c r="U240">
        <v>-11441068</v>
      </c>
      <c r="V240">
        <v>10961923.5</v>
      </c>
      <c r="W240">
        <v>0</v>
      </c>
      <c r="X240">
        <v>3447</v>
      </c>
      <c r="Y240">
        <v>2306</v>
      </c>
      <c r="Z240">
        <v>0</v>
      </c>
      <c r="AA240">
        <v>8525770.0500000007</v>
      </c>
      <c r="AB240">
        <v>8362795.5</v>
      </c>
      <c r="AC240" s="2">
        <f t="shared" si="6"/>
        <v>162974.55000000075</v>
      </c>
      <c r="AD240" s="2">
        <f t="shared" si="7"/>
        <v>3259.491000000015</v>
      </c>
      <c r="AE240">
        <v>50</v>
      </c>
      <c r="AF240">
        <v>719</v>
      </c>
      <c r="AG240" t="b">
        <v>1</v>
      </c>
    </row>
    <row r="241" spans="1:33" x14ac:dyDescent="0.2">
      <c r="A241">
        <v>10</v>
      </c>
      <c r="B241">
        <v>218</v>
      </c>
      <c r="C241">
        <v>15</v>
      </c>
      <c r="D241">
        <v>1</v>
      </c>
      <c r="E241">
        <v>1</v>
      </c>
      <c r="F241">
        <v>15</v>
      </c>
      <c r="G241">
        <v>50</v>
      </c>
      <c r="H241">
        <v>90.12</v>
      </c>
      <c r="I241">
        <v>98.7</v>
      </c>
      <c r="J241">
        <v>0.4</v>
      </c>
      <c r="K241">
        <v>66989</v>
      </c>
      <c r="L241">
        <v>109299</v>
      </c>
      <c r="M241">
        <v>25380</v>
      </c>
      <c r="N241">
        <v>13010</v>
      </c>
      <c r="O241">
        <v>34978</v>
      </c>
      <c r="P241">
        <v>39244</v>
      </c>
      <c r="Q241">
        <v>3038</v>
      </c>
      <c r="R241">
        <v>38258</v>
      </c>
      <c r="S241">
        <v>35889751.399999999</v>
      </c>
      <c r="T241">
        <v>40534572</v>
      </c>
      <c r="U241">
        <v>4644820.62</v>
      </c>
      <c r="V241">
        <v>10961923.5</v>
      </c>
      <c r="W241">
        <v>0</v>
      </c>
      <c r="X241">
        <v>3447</v>
      </c>
      <c r="Y241">
        <v>2306</v>
      </c>
      <c r="Z241">
        <v>0</v>
      </c>
      <c r="AA241">
        <v>17051540.100000001</v>
      </c>
      <c r="AB241">
        <v>8362795.5</v>
      </c>
      <c r="AC241" s="2">
        <f t="shared" si="6"/>
        <v>8688744.6000000015</v>
      </c>
      <c r="AD241" s="2">
        <f t="shared" si="7"/>
        <v>173774.89200000002</v>
      </c>
      <c r="AE241">
        <v>50</v>
      </c>
      <c r="AF241">
        <v>719</v>
      </c>
      <c r="AG241" t="b">
        <v>1</v>
      </c>
    </row>
    <row r="242" spans="1:33" x14ac:dyDescent="0.2">
      <c r="A242">
        <v>10</v>
      </c>
      <c r="B242">
        <v>159</v>
      </c>
      <c r="C242">
        <v>10</v>
      </c>
      <c r="D242">
        <v>3</v>
      </c>
      <c r="E242">
        <v>3</v>
      </c>
      <c r="F242">
        <v>30</v>
      </c>
      <c r="G242">
        <v>50</v>
      </c>
      <c r="H242">
        <v>45.06</v>
      </c>
      <c r="I242">
        <v>49.35</v>
      </c>
      <c r="J242">
        <v>0.4</v>
      </c>
      <c r="K242">
        <v>59838</v>
      </c>
      <c r="L242">
        <v>80240</v>
      </c>
      <c r="M242">
        <v>32193</v>
      </c>
      <c r="N242">
        <v>11217</v>
      </c>
      <c r="O242">
        <v>6457</v>
      </c>
      <c r="P242">
        <v>48191</v>
      </c>
      <c r="Q242">
        <v>4682</v>
      </c>
      <c r="R242">
        <v>37149</v>
      </c>
      <c r="S242">
        <v>35793145.856115699</v>
      </c>
      <c r="T242">
        <v>22445896.718378201</v>
      </c>
      <c r="U242">
        <v>-13347249.137737401</v>
      </c>
      <c r="V242">
        <v>15108723.0479038</v>
      </c>
      <c r="W242">
        <v>0</v>
      </c>
      <c r="X242">
        <v>2454</v>
      </c>
      <c r="Y242">
        <v>3944</v>
      </c>
      <c r="Z242">
        <v>0</v>
      </c>
      <c r="AA242">
        <v>8600731.1006705705</v>
      </c>
      <c r="AB242">
        <v>5695647.9999999898</v>
      </c>
      <c r="AC242" s="2">
        <f t="shared" si="6"/>
        <v>2905083.1006705808</v>
      </c>
      <c r="AD242" s="2">
        <f t="shared" si="7"/>
        <v>58101.662013411616</v>
      </c>
      <c r="AE242">
        <v>50</v>
      </c>
      <c r="AF242">
        <v>462</v>
      </c>
      <c r="AG242" t="b">
        <v>1</v>
      </c>
    </row>
    <row r="243" spans="1:33" x14ac:dyDescent="0.2">
      <c r="A243">
        <v>10</v>
      </c>
      <c r="B243">
        <v>159</v>
      </c>
      <c r="C243">
        <v>10</v>
      </c>
      <c r="D243">
        <v>3</v>
      </c>
      <c r="E243">
        <v>3</v>
      </c>
      <c r="F243">
        <v>30</v>
      </c>
      <c r="G243">
        <v>50</v>
      </c>
      <c r="H243">
        <v>90.12</v>
      </c>
      <c r="I243">
        <v>98.7</v>
      </c>
      <c r="J243">
        <v>0.4</v>
      </c>
      <c r="K243">
        <v>59838</v>
      </c>
      <c r="L243">
        <v>80240</v>
      </c>
      <c r="M243">
        <v>32193</v>
      </c>
      <c r="N243">
        <v>11217</v>
      </c>
      <c r="O243">
        <v>6457</v>
      </c>
      <c r="P243">
        <v>48191</v>
      </c>
      <c r="Q243">
        <v>4682</v>
      </c>
      <c r="R243">
        <v>37149</v>
      </c>
      <c r="S243">
        <v>35793145.856115699</v>
      </c>
      <c r="T243">
        <v>39196145.436756499</v>
      </c>
      <c r="U243">
        <v>3402999.5806408599</v>
      </c>
      <c r="V243">
        <v>15108723.0479038</v>
      </c>
      <c r="W243">
        <v>0</v>
      </c>
      <c r="X243">
        <v>2454</v>
      </c>
      <c r="Y243">
        <v>3944</v>
      </c>
      <c r="Z243">
        <v>0</v>
      </c>
      <c r="AA243">
        <v>17201462.2013411</v>
      </c>
      <c r="AB243">
        <v>5695647.9999999898</v>
      </c>
      <c r="AC243" s="2">
        <f t="shared" si="6"/>
        <v>11505814.201341111</v>
      </c>
      <c r="AD243" s="2">
        <f t="shared" si="7"/>
        <v>230116.28402682222</v>
      </c>
      <c r="AE243">
        <v>50</v>
      </c>
      <c r="AF243">
        <v>462</v>
      </c>
      <c r="AG243" t="b">
        <v>1</v>
      </c>
    </row>
    <row r="244" spans="1:33" x14ac:dyDescent="0.2">
      <c r="A244">
        <v>10</v>
      </c>
      <c r="B244">
        <v>160</v>
      </c>
      <c r="C244">
        <v>10</v>
      </c>
      <c r="D244">
        <v>3</v>
      </c>
      <c r="E244">
        <v>3</v>
      </c>
      <c r="F244">
        <v>15</v>
      </c>
      <c r="G244">
        <v>50</v>
      </c>
      <c r="H244">
        <v>45.06</v>
      </c>
      <c r="I244">
        <v>49.35</v>
      </c>
      <c r="J244">
        <v>0.4</v>
      </c>
      <c r="K244">
        <v>59275</v>
      </c>
      <c r="L244">
        <v>78602</v>
      </c>
      <c r="M244">
        <v>31585</v>
      </c>
      <c r="N244">
        <v>11242</v>
      </c>
      <c r="O244">
        <v>6283</v>
      </c>
      <c r="P244">
        <v>46808</v>
      </c>
      <c r="Q244">
        <v>4672</v>
      </c>
      <c r="R244">
        <v>37193</v>
      </c>
      <c r="S244">
        <v>27611567.4891745</v>
      </c>
      <c r="T244">
        <v>20100998.922688801</v>
      </c>
      <c r="U244">
        <v>-7510568.5664857598</v>
      </c>
      <c r="V244">
        <v>7741040.6036523497</v>
      </c>
      <c r="W244">
        <v>0</v>
      </c>
      <c r="X244">
        <v>2478</v>
      </c>
      <c r="Y244">
        <v>2025</v>
      </c>
      <c r="Z244">
        <v>0</v>
      </c>
      <c r="AA244">
        <v>6730141.8497599997</v>
      </c>
      <c r="AB244">
        <v>5695647.9999999898</v>
      </c>
      <c r="AC244" s="2">
        <f t="shared" si="6"/>
        <v>1034493.8497600099</v>
      </c>
      <c r="AD244" s="2">
        <f t="shared" si="7"/>
        <v>20689.876995200197</v>
      </c>
      <c r="AE244">
        <v>50</v>
      </c>
      <c r="AF244">
        <v>555</v>
      </c>
      <c r="AG244" t="b">
        <v>1</v>
      </c>
    </row>
    <row r="245" spans="1:33" x14ac:dyDescent="0.2">
      <c r="A245">
        <v>10</v>
      </c>
      <c r="B245">
        <v>160</v>
      </c>
      <c r="C245">
        <v>10</v>
      </c>
      <c r="D245">
        <v>3</v>
      </c>
      <c r="E245">
        <v>3</v>
      </c>
      <c r="F245">
        <v>15</v>
      </c>
      <c r="G245">
        <v>50</v>
      </c>
      <c r="H245">
        <v>90.12</v>
      </c>
      <c r="I245">
        <v>98.7</v>
      </c>
      <c r="J245">
        <v>0.4</v>
      </c>
      <c r="K245">
        <v>59275</v>
      </c>
      <c r="L245">
        <v>78602</v>
      </c>
      <c r="M245">
        <v>31585</v>
      </c>
      <c r="N245">
        <v>11242</v>
      </c>
      <c r="O245">
        <v>6283</v>
      </c>
      <c r="P245">
        <v>46808</v>
      </c>
      <c r="Q245">
        <v>4672</v>
      </c>
      <c r="R245">
        <v>37193</v>
      </c>
      <c r="S245">
        <v>27611567.4891745</v>
      </c>
      <c r="T245">
        <v>34506349.845377602</v>
      </c>
      <c r="U245">
        <v>6894782.3562030504</v>
      </c>
      <c r="V245">
        <v>7741040.6036523497</v>
      </c>
      <c r="W245">
        <v>0</v>
      </c>
      <c r="X245">
        <v>2478</v>
      </c>
      <c r="Y245">
        <v>2025</v>
      </c>
      <c r="Z245">
        <v>0</v>
      </c>
      <c r="AA245">
        <v>13460283.699519999</v>
      </c>
      <c r="AB245">
        <v>5695647.9999999898</v>
      </c>
      <c r="AC245" s="2">
        <f t="shared" si="6"/>
        <v>7764635.6995200096</v>
      </c>
      <c r="AD245" s="2">
        <f t="shared" si="7"/>
        <v>155292.7139904002</v>
      </c>
      <c r="AE245">
        <v>50</v>
      </c>
      <c r="AF245">
        <v>555</v>
      </c>
      <c r="AG245" t="b">
        <v>1</v>
      </c>
    </row>
    <row r="246" spans="1:33" x14ac:dyDescent="0.2">
      <c r="A246">
        <v>10</v>
      </c>
      <c r="B246">
        <v>155</v>
      </c>
      <c r="C246">
        <v>10</v>
      </c>
      <c r="D246">
        <v>3</v>
      </c>
      <c r="E246">
        <v>1</v>
      </c>
      <c r="F246">
        <v>30</v>
      </c>
      <c r="G246">
        <v>50</v>
      </c>
      <c r="H246">
        <v>45.06</v>
      </c>
      <c r="I246">
        <v>49.35</v>
      </c>
      <c r="J246">
        <v>0.4</v>
      </c>
      <c r="K246">
        <v>69441</v>
      </c>
      <c r="L246">
        <v>76461</v>
      </c>
      <c r="M246">
        <v>32473</v>
      </c>
      <c r="N246">
        <v>11125</v>
      </c>
      <c r="O246">
        <v>21364</v>
      </c>
      <c r="P246">
        <v>32402</v>
      </c>
      <c r="Q246">
        <v>4739</v>
      </c>
      <c r="R246">
        <v>37531</v>
      </c>
      <c r="S246">
        <v>33745223.547147803</v>
      </c>
      <c r="T246">
        <v>19468848.102999199</v>
      </c>
      <c r="U246">
        <v>-14276375.4441486</v>
      </c>
      <c r="V246">
        <v>15217867.497408999</v>
      </c>
      <c r="W246">
        <v>0</v>
      </c>
      <c r="X246">
        <v>2425</v>
      </c>
      <c r="Y246">
        <v>3832</v>
      </c>
      <c r="Z246">
        <v>0</v>
      </c>
      <c r="AA246">
        <v>7451506.6757243499</v>
      </c>
      <c r="AB246">
        <v>5695647.9999999898</v>
      </c>
      <c r="AC246" s="2">
        <f t="shared" si="6"/>
        <v>1755858.6757243602</v>
      </c>
      <c r="AD246" s="2">
        <f t="shared" si="7"/>
        <v>35117.1735144872</v>
      </c>
      <c r="AE246">
        <v>50</v>
      </c>
      <c r="AF246">
        <v>592</v>
      </c>
      <c r="AG246" t="b">
        <v>1</v>
      </c>
    </row>
    <row r="247" spans="1:33" x14ac:dyDescent="0.2">
      <c r="A247">
        <v>10</v>
      </c>
      <c r="B247">
        <v>155</v>
      </c>
      <c r="C247">
        <v>10</v>
      </c>
      <c r="D247">
        <v>3</v>
      </c>
      <c r="E247">
        <v>1</v>
      </c>
      <c r="F247">
        <v>30</v>
      </c>
      <c r="G247">
        <v>50</v>
      </c>
      <c r="H247">
        <v>90.12</v>
      </c>
      <c r="I247">
        <v>98.7</v>
      </c>
      <c r="J247">
        <v>0.4</v>
      </c>
      <c r="K247">
        <v>69441</v>
      </c>
      <c r="L247">
        <v>76461</v>
      </c>
      <c r="M247">
        <v>32473</v>
      </c>
      <c r="N247">
        <v>11125</v>
      </c>
      <c r="O247">
        <v>21364</v>
      </c>
      <c r="P247">
        <v>32402</v>
      </c>
      <c r="Q247">
        <v>4739</v>
      </c>
      <c r="R247">
        <v>37531</v>
      </c>
      <c r="S247">
        <v>33745223.547147803</v>
      </c>
      <c r="T247">
        <v>33242048.205998398</v>
      </c>
      <c r="U247">
        <v>-503175.34114941902</v>
      </c>
      <c r="V247">
        <v>15217867.497408999</v>
      </c>
      <c r="W247">
        <v>0</v>
      </c>
      <c r="X247">
        <v>2425</v>
      </c>
      <c r="Y247">
        <v>3832</v>
      </c>
      <c r="Z247">
        <v>0</v>
      </c>
      <c r="AA247">
        <v>14903013.3514487</v>
      </c>
      <c r="AB247">
        <v>5695647.9999999898</v>
      </c>
      <c r="AC247" s="2">
        <f t="shared" si="6"/>
        <v>9207365.351448711</v>
      </c>
      <c r="AD247" s="2">
        <f t="shared" si="7"/>
        <v>184147.30702897423</v>
      </c>
      <c r="AE247">
        <v>50</v>
      </c>
      <c r="AF247">
        <v>592</v>
      </c>
      <c r="AG247" t="b">
        <v>1</v>
      </c>
    </row>
    <row r="248" spans="1:33" x14ac:dyDescent="0.2">
      <c r="A248">
        <v>10</v>
      </c>
      <c r="B248">
        <v>158</v>
      </c>
      <c r="C248">
        <v>10</v>
      </c>
      <c r="D248">
        <v>3</v>
      </c>
      <c r="E248">
        <v>1</v>
      </c>
      <c r="F248">
        <v>15</v>
      </c>
      <c r="G248">
        <v>50</v>
      </c>
      <c r="H248">
        <v>45.06</v>
      </c>
      <c r="I248">
        <v>49.35</v>
      </c>
      <c r="J248">
        <v>0.4</v>
      </c>
      <c r="K248">
        <v>60267</v>
      </c>
      <c r="L248">
        <v>79786</v>
      </c>
      <c r="M248">
        <v>31775</v>
      </c>
      <c r="N248">
        <v>11100</v>
      </c>
      <c r="O248">
        <v>26565</v>
      </c>
      <c r="P248">
        <v>29681</v>
      </c>
      <c r="Q248">
        <v>4621</v>
      </c>
      <c r="R248">
        <v>37591</v>
      </c>
      <c r="S248">
        <v>26779783.436997801</v>
      </c>
      <c r="T248">
        <v>18719303.995046899</v>
      </c>
      <c r="U248">
        <v>-8060479.4419509098</v>
      </c>
      <c r="V248">
        <v>8199017.0380506897</v>
      </c>
      <c r="W248">
        <v>0</v>
      </c>
      <c r="X248">
        <v>2463</v>
      </c>
      <c r="Y248">
        <v>1997</v>
      </c>
      <c r="Z248">
        <v>0</v>
      </c>
      <c r="AA248">
        <v>6223260.17846628</v>
      </c>
      <c r="AB248">
        <v>5695647.9999999898</v>
      </c>
      <c r="AC248" s="2">
        <f t="shared" si="6"/>
        <v>527612.17846629024</v>
      </c>
      <c r="AD248" s="2">
        <f t="shared" si="7"/>
        <v>10552.243569325805</v>
      </c>
      <c r="AE248">
        <v>50</v>
      </c>
      <c r="AF248">
        <v>624</v>
      </c>
      <c r="AG248" t="b">
        <v>1</v>
      </c>
    </row>
    <row r="249" spans="1:33" x14ac:dyDescent="0.2">
      <c r="A249">
        <v>10</v>
      </c>
      <c r="B249">
        <v>158</v>
      </c>
      <c r="C249">
        <v>10</v>
      </c>
      <c r="D249">
        <v>3</v>
      </c>
      <c r="E249">
        <v>1</v>
      </c>
      <c r="F249">
        <v>15</v>
      </c>
      <c r="G249">
        <v>50</v>
      </c>
      <c r="H249">
        <v>90.12</v>
      </c>
      <c r="I249">
        <v>98.7</v>
      </c>
      <c r="J249">
        <v>0.4</v>
      </c>
      <c r="K249">
        <v>60267</v>
      </c>
      <c r="L249">
        <v>79786</v>
      </c>
      <c r="M249">
        <v>31775</v>
      </c>
      <c r="N249">
        <v>11100</v>
      </c>
      <c r="O249">
        <v>26565</v>
      </c>
      <c r="P249">
        <v>29681</v>
      </c>
      <c r="Q249">
        <v>4621</v>
      </c>
      <c r="R249">
        <v>37591</v>
      </c>
      <c r="S249">
        <v>26779783.436997801</v>
      </c>
      <c r="T249">
        <v>31742959.990093902</v>
      </c>
      <c r="U249">
        <v>4963176.5530960597</v>
      </c>
      <c r="V249">
        <v>8199017.0380506897</v>
      </c>
      <c r="W249">
        <v>0</v>
      </c>
      <c r="X249">
        <v>2463</v>
      </c>
      <c r="Y249">
        <v>1997</v>
      </c>
      <c r="Z249">
        <v>0</v>
      </c>
      <c r="AA249">
        <v>12446520.3569325</v>
      </c>
      <c r="AB249">
        <v>5695647.9999999898</v>
      </c>
      <c r="AC249" s="2">
        <f t="shared" si="6"/>
        <v>6750872.3569325106</v>
      </c>
      <c r="AD249" s="2">
        <f t="shared" si="7"/>
        <v>135017.44713865023</v>
      </c>
      <c r="AE249">
        <v>50</v>
      </c>
      <c r="AF249">
        <v>624</v>
      </c>
      <c r="AG249" t="b">
        <v>1</v>
      </c>
    </row>
    <row r="250" spans="1:33" x14ac:dyDescent="0.2">
      <c r="A250">
        <v>10</v>
      </c>
      <c r="B250">
        <v>158</v>
      </c>
      <c r="C250">
        <v>10</v>
      </c>
      <c r="D250">
        <v>1</v>
      </c>
      <c r="E250">
        <v>3</v>
      </c>
      <c r="F250">
        <v>30</v>
      </c>
      <c r="G250">
        <v>50</v>
      </c>
      <c r="H250">
        <v>45.06</v>
      </c>
      <c r="I250">
        <v>49.35</v>
      </c>
      <c r="J250">
        <v>0.4</v>
      </c>
      <c r="K250">
        <v>60676</v>
      </c>
      <c r="L250">
        <v>81336</v>
      </c>
      <c r="M250">
        <v>32410</v>
      </c>
      <c r="N250">
        <v>11197</v>
      </c>
      <c r="O250">
        <v>26329</v>
      </c>
      <c r="P250">
        <v>30404</v>
      </c>
      <c r="Q250">
        <v>4667</v>
      </c>
      <c r="R250">
        <v>37535</v>
      </c>
      <c r="S250">
        <v>34237998.427577399</v>
      </c>
      <c r="T250">
        <v>20675772.581783898</v>
      </c>
      <c r="U250">
        <v>-13562225.8457934</v>
      </c>
      <c r="V250">
        <v>14980768.5053828</v>
      </c>
      <c r="W250">
        <v>0</v>
      </c>
      <c r="X250">
        <v>2418</v>
      </c>
      <c r="Y250">
        <v>3885</v>
      </c>
      <c r="Z250">
        <v>0</v>
      </c>
      <c r="AA250">
        <v>5878974.3969941996</v>
      </c>
      <c r="AB250">
        <v>5695647.9999999898</v>
      </c>
      <c r="AC250" s="2">
        <f t="shared" si="6"/>
        <v>183326.39699420985</v>
      </c>
      <c r="AD250" s="2">
        <f t="shared" si="7"/>
        <v>3666.5279398841972</v>
      </c>
      <c r="AE250">
        <v>50</v>
      </c>
      <c r="AF250">
        <v>493</v>
      </c>
      <c r="AG250" t="b">
        <v>1</v>
      </c>
    </row>
    <row r="251" spans="1:33" x14ac:dyDescent="0.2">
      <c r="A251">
        <v>10</v>
      </c>
      <c r="B251">
        <v>158</v>
      </c>
      <c r="C251">
        <v>10</v>
      </c>
      <c r="D251">
        <v>1</v>
      </c>
      <c r="E251">
        <v>3</v>
      </c>
      <c r="F251">
        <v>30</v>
      </c>
      <c r="G251">
        <v>50</v>
      </c>
      <c r="H251">
        <v>90.12</v>
      </c>
      <c r="I251">
        <v>98.7</v>
      </c>
      <c r="J251">
        <v>0.4</v>
      </c>
      <c r="K251">
        <v>60676</v>
      </c>
      <c r="L251">
        <v>81336</v>
      </c>
      <c r="M251">
        <v>32410</v>
      </c>
      <c r="N251">
        <v>11197</v>
      </c>
      <c r="O251">
        <v>26329</v>
      </c>
      <c r="P251">
        <v>30404</v>
      </c>
      <c r="Q251">
        <v>4667</v>
      </c>
      <c r="R251">
        <v>37535</v>
      </c>
      <c r="S251">
        <v>34237998.427577399</v>
      </c>
      <c r="T251">
        <v>35655897.163567901</v>
      </c>
      <c r="U251">
        <v>1417898.7359905499</v>
      </c>
      <c r="V251">
        <v>14980768.5053828</v>
      </c>
      <c r="W251">
        <v>0</v>
      </c>
      <c r="X251">
        <v>2418</v>
      </c>
      <c r="Y251">
        <v>3885</v>
      </c>
      <c r="Z251">
        <v>0</v>
      </c>
      <c r="AA251">
        <v>11757948.793988399</v>
      </c>
      <c r="AB251">
        <v>5695647.9999999898</v>
      </c>
      <c r="AC251" s="2">
        <f t="shared" si="6"/>
        <v>6062300.7939884095</v>
      </c>
      <c r="AD251" s="2">
        <f t="shared" si="7"/>
        <v>121246.01587976819</v>
      </c>
      <c r="AE251">
        <v>50</v>
      </c>
      <c r="AF251">
        <v>493</v>
      </c>
      <c r="AG251" t="b">
        <v>1</v>
      </c>
    </row>
    <row r="252" spans="1:33" x14ac:dyDescent="0.2">
      <c r="A252">
        <v>10</v>
      </c>
      <c r="B252">
        <v>156</v>
      </c>
      <c r="C252">
        <v>10</v>
      </c>
      <c r="D252">
        <v>1</v>
      </c>
      <c r="E252">
        <v>3</v>
      </c>
      <c r="F252">
        <v>15</v>
      </c>
      <c r="G252">
        <v>50</v>
      </c>
      <c r="H252">
        <v>45.06</v>
      </c>
      <c r="I252">
        <v>49.35</v>
      </c>
      <c r="J252">
        <v>0.4</v>
      </c>
      <c r="K252">
        <v>63860</v>
      </c>
      <c r="L252">
        <v>79671</v>
      </c>
      <c r="M252">
        <v>31997</v>
      </c>
      <c r="N252">
        <v>11192</v>
      </c>
      <c r="O252">
        <v>20707</v>
      </c>
      <c r="P252">
        <v>31265</v>
      </c>
      <c r="Q252">
        <v>4772</v>
      </c>
      <c r="R252">
        <v>37435</v>
      </c>
      <c r="S252">
        <v>26177610.1520162</v>
      </c>
      <c r="T252">
        <v>19203346.578968301</v>
      </c>
      <c r="U252">
        <v>-6974263.57304784</v>
      </c>
      <c r="V252">
        <v>8480716.5341788102</v>
      </c>
      <c r="W252">
        <v>0</v>
      </c>
      <c r="X252">
        <v>2423</v>
      </c>
      <c r="Y252">
        <v>1909</v>
      </c>
      <c r="Z252">
        <v>0</v>
      </c>
      <c r="AA252">
        <v>6450837.7148498502</v>
      </c>
      <c r="AB252">
        <v>5695647.9999999898</v>
      </c>
      <c r="AC252" s="2">
        <f t="shared" si="6"/>
        <v>755189.71484986041</v>
      </c>
      <c r="AD252" s="2">
        <f t="shared" si="7"/>
        <v>15103.794296997208</v>
      </c>
      <c r="AE252">
        <v>50</v>
      </c>
      <c r="AF252">
        <v>574</v>
      </c>
      <c r="AG252" t="b">
        <v>1</v>
      </c>
    </row>
    <row r="253" spans="1:33" x14ac:dyDescent="0.2">
      <c r="A253">
        <v>10</v>
      </c>
      <c r="B253">
        <v>156</v>
      </c>
      <c r="C253">
        <v>10</v>
      </c>
      <c r="D253">
        <v>1</v>
      </c>
      <c r="E253">
        <v>3</v>
      </c>
      <c r="F253">
        <v>15</v>
      </c>
      <c r="G253">
        <v>50</v>
      </c>
      <c r="H253">
        <v>90.12</v>
      </c>
      <c r="I253">
        <v>98.7</v>
      </c>
      <c r="J253">
        <v>0.4</v>
      </c>
      <c r="K253">
        <v>63860</v>
      </c>
      <c r="L253">
        <v>79671</v>
      </c>
      <c r="M253">
        <v>31997</v>
      </c>
      <c r="N253">
        <v>11192</v>
      </c>
      <c r="O253">
        <v>20707</v>
      </c>
      <c r="P253">
        <v>31265</v>
      </c>
      <c r="Q253">
        <v>4772</v>
      </c>
      <c r="R253">
        <v>37435</v>
      </c>
      <c r="S253">
        <v>26177610.1520162</v>
      </c>
      <c r="T253">
        <v>32711045.1579367</v>
      </c>
      <c r="U253">
        <v>6533435.0059205201</v>
      </c>
      <c r="V253">
        <v>8480716.5341788102</v>
      </c>
      <c r="W253">
        <v>0</v>
      </c>
      <c r="X253">
        <v>2423</v>
      </c>
      <c r="Y253">
        <v>1909</v>
      </c>
      <c r="Z253">
        <v>0</v>
      </c>
      <c r="AA253">
        <v>12901675.4296997</v>
      </c>
      <c r="AB253">
        <v>5695647.9999999898</v>
      </c>
      <c r="AC253" s="2">
        <f t="shared" si="6"/>
        <v>7206027.4296997106</v>
      </c>
      <c r="AD253" s="2">
        <f t="shared" si="7"/>
        <v>144120.5485939942</v>
      </c>
      <c r="AE253">
        <v>50</v>
      </c>
      <c r="AF253">
        <v>574</v>
      </c>
      <c r="AG253" t="b">
        <v>1</v>
      </c>
    </row>
    <row r="254" spans="1:33" x14ac:dyDescent="0.2">
      <c r="A254">
        <v>10</v>
      </c>
      <c r="B254">
        <v>161</v>
      </c>
      <c r="C254">
        <v>10</v>
      </c>
      <c r="D254">
        <v>1</v>
      </c>
      <c r="E254">
        <v>1</v>
      </c>
      <c r="F254">
        <v>30</v>
      </c>
      <c r="G254">
        <v>50</v>
      </c>
      <c r="H254">
        <v>45.06</v>
      </c>
      <c r="I254">
        <v>49.35</v>
      </c>
      <c r="J254">
        <v>0.4</v>
      </c>
      <c r="K254">
        <v>66390</v>
      </c>
      <c r="L254">
        <v>78821</v>
      </c>
      <c r="M254">
        <v>32180</v>
      </c>
      <c r="N254">
        <v>11268</v>
      </c>
      <c r="O254">
        <v>6135</v>
      </c>
      <c r="P254">
        <v>46226</v>
      </c>
      <c r="Q254">
        <v>4679</v>
      </c>
      <c r="R254">
        <v>37188</v>
      </c>
      <c r="S254">
        <v>35436687.7389668</v>
      </c>
      <c r="T254">
        <v>21459704.926268999</v>
      </c>
      <c r="U254">
        <v>-13976982.812697699</v>
      </c>
      <c r="V254">
        <v>15927272.992327999</v>
      </c>
      <c r="W254">
        <v>0</v>
      </c>
      <c r="X254">
        <v>2478</v>
      </c>
      <c r="Y254">
        <v>3932</v>
      </c>
      <c r="Z254">
        <v>0</v>
      </c>
      <c r="AA254">
        <v>6092246.6974248402</v>
      </c>
      <c r="AB254">
        <v>5695647.9999999898</v>
      </c>
      <c r="AC254" s="2">
        <f t="shared" si="6"/>
        <v>396598.69742485043</v>
      </c>
      <c r="AD254" s="2">
        <f t="shared" si="7"/>
        <v>7931.9739484970087</v>
      </c>
      <c r="AE254">
        <v>50</v>
      </c>
      <c r="AF254">
        <v>472</v>
      </c>
      <c r="AG254" t="b">
        <v>1</v>
      </c>
    </row>
    <row r="255" spans="1:33" x14ac:dyDescent="0.2">
      <c r="A255">
        <v>10</v>
      </c>
      <c r="B255">
        <v>161</v>
      </c>
      <c r="C255">
        <v>10</v>
      </c>
      <c r="D255">
        <v>1</v>
      </c>
      <c r="E255">
        <v>1</v>
      </c>
      <c r="F255">
        <v>30</v>
      </c>
      <c r="G255">
        <v>50</v>
      </c>
      <c r="H255">
        <v>90.12</v>
      </c>
      <c r="I255">
        <v>98.7</v>
      </c>
      <c r="J255">
        <v>0.4</v>
      </c>
      <c r="K255">
        <v>66390</v>
      </c>
      <c r="L255">
        <v>78821</v>
      </c>
      <c r="M255">
        <v>32180</v>
      </c>
      <c r="N255">
        <v>11268</v>
      </c>
      <c r="O255">
        <v>6135</v>
      </c>
      <c r="P255">
        <v>46226</v>
      </c>
      <c r="Q255">
        <v>4679</v>
      </c>
      <c r="R255">
        <v>37188</v>
      </c>
      <c r="S255">
        <v>35436687.7389668</v>
      </c>
      <c r="T255">
        <v>37223761.852538101</v>
      </c>
      <c r="U255">
        <v>1787074.11357131</v>
      </c>
      <c r="V255">
        <v>15927272.992327999</v>
      </c>
      <c r="W255">
        <v>0</v>
      </c>
      <c r="X255">
        <v>2478</v>
      </c>
      <c r="Y255">
        <v>3932</v>
      </c>
      <c r="Z255">
        <v>0</v>
      </c>
      <c r="AA255">
        <v>12184493.3948496</v>
      </c>
      <c r="AB255">
        <v>5695647.9999999898</v>
      </c>
      <c r="AC255" s="2">
        <f t="shared" si="6"/>
        <v>6488845.3948496105</v>
      </c>
      <c r="AD255" s="2">
        <f t="shared" si="7"/>
        <v>129776.90789699221</v>
      </c>
      <c r="AE255">
        <v>50</v>
      </c>
      <c r="AF255">
        <v>472</v>
      </c>
      <c r="AG255" t="b">
        <v>1</v>
      </c>
    </row>
    <row r="256" spans="1:33" x14ac:dyDescent="0.2">
      <c r="A256">
        <v>10</v>
      </c>
      <c r="B256">
        <v>159</v>
      </c>
      <c r="C256">
        <v>10</v>
      </c>
      <c r="D256">
        <v>1</v>
      </c>
      <c r="E256">
        <v>1</v>
      </c>
      <c r="F256">
        <v>15</v>
      </c>
      <c r="G256">
        <v>50</v>
      </c>
      <c r="H256">
        <v>45.06</v>
      </c>
      <c r="I256">
        <v>49.35</v>
      </c>
      <c r="J256">
        <v>0.4</v>
      </c>
      <c r="K256">
        <v>59578</v>
      </c>
      <c r="L256">
        <v>79467</v>
      </c>
      <c r="M256">
        <v>31679</v>
      </c>
      <c r="N256">
        <v>11163</v>
      </c>
      <c r="O256">
        <v>6498</v>
      </c>
      <c r="P256">
        <v>47985</v>
      </c>
      <c r="Q256">
        <v>4636</v>
      </c>
      <c r="R256">
        <v>37332</v>
      </c>
      <c r="S256">
        <v>26041104.5383863</v>
      </c>
      <c r="T256">
        <v>17016095.022015601</v>
      </c>
      <c r="U256">
        <v>-9025009.5163706299</v>
      </c>
      <c r="V256">
        <v>9149276.4150017407</v>
      </c>
      <c r="W256">
        <v>0</v>
      </c>
      <c r="X256">
        <v>2468</v>
      </c>
      <c r="Y256">
        <v>1971</v>
      </c>
      <c r="Z256">
        <v>0</v>
      </c>
      <c r="AA256">
        <v>6112996.0235027503</v>
      </c>
      <c r="AB256">
        <v>5695647.9999999898</v>
      </c>
      <c r="AC256" s="2">
        <f t="shared" si="6"/>
        <v>417348.02350276057</v>
      </c>
      <c r="AD256" s="2">
        <f t="shared" si="7"/>
        <v>8346.9604700552118</v>
      </c>
      <c r="AE256">
        <v>50</v>
      </c>
      <c r="AF256">
        <v>678</v>
      </c>
      <c r="AG256" t="b">
        <v>1</v>
      </c>
    </row>
    <row r="257" spans="1:33" x14ac:dyDescent="0.2">
      <c r="A257">
        <v>10</v>
      </c>
      <c r="B257">
        <v>159</v>
      </c>
      <c r="C257">
        <v>10</v>
      </c>
      <c r="D257">
        <v>1</v>
      </c>
      <c r="E257">
        <v>1</v>
      </c>
      <c r="F257">
        <v>15</v>
      </c>
      <c r="G257">
        <v>50</v>
      </c>
      <c r="H257">
        <v>90.12</v>
      </c>
      <c r="I257">
        <v>98.7</v>
      </c>
      <c r="J257">
        <v>0.4</v>
      </c>
      <c r="K257">
        <v>59578</v>
      </c>
      <c r="L257">
        <v>79467</v>
      </c>
      <c r="M257">
        <v>31679</v>
      </c>
      <c r="N257">
        <v>11163</v>
      </c>
      <c r="O257">
        <v>6498</v>
      </c>
      <c r="P257">
        <v>47985</v>
      </c>
      <c r="Q257">
        <v>4636</v>
      </c>
      <c r="R257">
        <v>37332</v>
      </c>
      <c r="S257">
        <v>26041104.5383863</v>
      </c>
      <c r="T257">
        <v>28336542.0440313</v>
      </c>
      <c r="U257">
        <v>2295437.5056450302</v>
      </c>
      <c r="V257">
        <v>9149276.4150017407</v>
      </c>
      <c r="W257">
        <v>0</v>
      </c>
      <c r="X257">
        <v>2468</v>
      </c>
      <c r="Y257">
        <v>1971</v>
      </c>
      <c r="Z257">
        <v>0</v>
      </c>
      <c r="AA257">
        <v>12225992.047005501</v>
      </c>
      <c r="AB257">
        <v>5695647.9999999898</v>
      </c>
      <c r="AC257" s="2">
        <f t="shared" si="6"/>
        <v>6530344.0470055109</v>
      </c>
      <c r="AD257" s="2">
        <f t="shared" si="7"/>
        <v>130606.88094011022</v>
      </c>
      <c r="AE257">
        <v>50</v>
      </c>
      <c r="AF257">
        <v>678</v>
      </c>
      <c r="AG25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41E6-2AFB-6B4C-8ABA-EFCA1E91B379}">
  <dimension ref="B2:AM263"/>
  <sheetViews>
    <sheetView tabSelected="1" topLeftCell="D45" zoomScale="75" workbookViewId="0">
      <selection activeCell="K156" sqref="K156"/>
    </sheetView>
  </sheetViews>
  <sheetFormatPr baseColWidth="10" defaultRowHeight="16" x14ac:dyDescent="0.2"/>
  <cols>
    <col min="1" max="1" width="4.83203125" customWidth="1"/>
    <col min="2" max="2" width="28" bestFit="1" customWidth="1"/>
    <col min="3" max="3" width="8.33203125" bestFit="1" customWidth="1"/>
    <col min="4" max="4" width="11" bestFit="1" customWidth="1"/>
    <col min="5" max="5" width="20.5" bestFit="1" customWidth="1"/>
    <col min="6" max="6" width="25" bestFit="1" customWidth="1"/>
    <col min="7" max="7" width="20.5" bestFit="1" customWidth="1"/>
    <col min="8" max="8" width="28.1640625" bestFit="1" customWidth="1"/>
  </cols>
  <sheetData>
    <row r="2" spans="2:10" x14ac:dyDescent="0.2">
      <c r="B2" s="12" t="s">
        <v>58</v>
      </c>
      <c r="D2" s="11"/>
    </row>
    <row r="3" spans="2:10" x14ac:dyDescent="0.2">
      <c r="B3" s="2" t="s">
        <v>8</v>
      </c>
      <c r="C3" t="s">
        <v>65</v>
      </c>
      <c r="D3" s="11"/>
      <c r="G3" s="2"/>
      <c r="H3" s="2"/>
    </row>
    <row r="4" spans="2:10" x14ac:dyDescent="0.2">
      <c r="B4" s="2" t="s">
        <v>5</v>
      </c>
      <c r="C4" t="s">
        <v>64</v>
      </c>
      <c r="D4" s="11"/>
    </row>
    <row r="5" spans="2:10" x14ac:dyDescent="0.2">
      <c r="B5" s="2" t="s">
        <v>1</v>
      </c>
      <c r="C5" t="s">
        <v>60</v>
      </c>
      <c r="D5" s="11"/>
    </row>
    <row r="6" spans="2:10" x14ac:dyDescent="0.2">
      <c r="B6" s="2" t="s">
        <v>2</v>
      </c>
      <c r="C6" t="s">
        <v>61</v>
      </c>
      <c r="D6" s="11"/>
    </row>
    <row r="7" spans="2:10" x14ac:dyDescent="0.2">
      <c r="B7" s="2" t="s">
        <v>3</v>
      </c>
      <c r="C7" t="s">
        <v>61</v>
      </c>
      <c r="D7" s="11"/>
    </row>
    <row r="8" spans="2:10" x14ac:dyDescent="0.2">
      <c r="B8" s="2" t="s">
        <v>4</v>
      </c>
      <c r="C8" t="s">
        <v>62</v>
      </c>
      <c r="D8" s="11"/>
    </row>
    <row r="9" spans="2:10" x14ac:dyDescent="0.2">
      <c r="B9" s="2" t="s">
        <v>59</v>
      </c>
      <c r="C9" t="s">
        <v>63</v>
      </c>
      <c r="D9" s="11"/>
    </row>
    <row r="10" spans="2:10" x14ac:dyDescent="0.2">
      <c r="D10" s="11"/>
    </row>
    <row r="11" spans="2:10" x14ac:dyDescent="0.2">
      <c r="B11" s="2" t="s">
        <v>66</v>
      </c>
      <c r="C11">
        <v>192</v>
      </c>
      <c r="D11" s="11"/>
    </row>
    <row r="12" spans="2:10" x14ac:dyDescent="0.2">
      <c r="C12" s="15" t="s">
        <v>53</v>
      </c>
      <c r="D12" s="15"/>
      <c r="E12" s="15"/>
      <c r="F12" s="15"/>
      <c r="G12" s="15"/>
      <c r="H12" s="15"/>
    </row>
    <row r="13" spans="2:10" x14ac:dyDescent="0.2">
      <c r="B13" s="4" t="s">
        <v>42</v>
      </c>
      <c r="C13" s="4" t="s">
        <v>33</v>
      </c>
      <c r="D13" s="4" t="s">
        <v>34</v>
      </c>
      <c r="E13" s="4" t="s">
        <v>19</v>
      </c>
      <c r="F13" s="4" t="s">
        <v>49</v>
      </c>
      <c r="G13" s="4" t="s">
        <v>30</v>
      </c>
      <c r="H13" s="4" t="s">
        <v>48</v>
      </c>
      <c r="I13" s="4" t="s">
        <v>70</v>
      </c>
      <c r="J13" s="4" t="s">
        <v>29</v>
      </c>
    </row>
    <row r="14" spans="2:10" x14ac:dyDescent="0.2">
      <c r="B14" s="4" t="s">
        <v>43</v>
      </c>
      <c r="C14">
        <v>0.56510000000000005</v>
      </c>
      <c r="D14">
        <v>0.75749999999999995</v>
      </c>
      <c r="E14">
        <v>0.86229999999999996</v>
      </c>
      <c r="F14">
        <v>0.88370000000000004</v>
      </c>
      <c r="G14">
        <v>0.53669999999999995</v>
      </c>
      <c r="H14" s="5">
        <v>3.1690000000000001E-4</v>
      </c>
      <c r="I14">
        <v>1</v>
      </c>
      <c r="J14">
        <v>0.56459999999999999</v>
      </c>
    </row>
    <row r="15" spans="2:10" x14ac:dyDescent="0.2">
      <c r="B15" s="4" t="s">
        <v>44</v>
      </c>
      <c r="C15">
        <v>0.79559999999999997</v>
      </c>
      <c r="D15">
        <v>0.89990000000000003</v>
      </c>
      <c r="E15">
        <v>0.61719999999999997</v>
      </c>
      <c r="F15">
        <v>0.71499999999999997</v>
      </c>
      <c r="G15">
        <v>0.99539999999999995</v>
      </c>
      <c r="H15">
        <v>0.89459999999999995</v>
      </c>
      <c r="I15">
        <v>0.40150000000000002</v>
      </c>
      <c r="J15">
        <v>0.99770000000000003</v>
      </c>
    </row>
    <row r="16" spans="2:10" x14ac:dyDescent="0.2">
      <c r="B16" s="4" t="s">
        <v>45</v>
      </c>
      <c r="C16">
        <v>0.40010000000000001</v>
      </c>
      <c r="D16">
        <v>7.3859999999999995E-2</v>
      </c>
      <c r="E16" s="6">
        <v>5.1069999999999997E-5</v>
      </c>
      <c r="F16" s="5">
        <v>6.4200000000000004E-3</v>
      </c>
      <c r="G16" s="6">
        <v>2.0829999999999998E-6</v>
      </c>
      <c r="H16" s="7">
        <v>5.4780000000000002E-3</v>
      </c>
      <c r="I16">
        <v>0.2077</v>
      </c>
      <c r="J16" s="6">
        <v>3.8159999999999997E-15</v>
      </c>
    </row>
    <row r="17" spans="2:10" x14ac:dyDescent="0.2">
      <c r="B17" s="4" t="s">
        <v>46</v>
      </c>
      <c r="C17" s="6">
        <v>1.4579999999999999E-9</v>
      </c>
      <c r="D17" s="8" t="s">
        <v>50</v>
      </c>
      <c r="E17">
        <v>8.5459999999999994E-2</v>
      </c>
      <c r="F17" s="6">
        <v>1.5339999999999999E-5</v>
      </c>
      <c r="G17" s="8" t="s">
        <v>50</v>
      </c>
      <c r="H17" s="6">
        <v>1.768E-5</v>
      </c>
      <c r="I17" s="6">
        <v>9.8879999999999999E-12</v>
      </c>
      <c r="J17" s="5" t="s">
        <v>50</v>
      </c>
    </row>
    <row r="18" spans="2:10" x14ac:dyDescent="0.2">
      <c r="B18" s="4" t="s">
        <v>47</v>
      </c>
      <c r="C18">
        <v>0.90590000000000004</v>
      </c>
      <c r="D18">
        <v>0.4577</v>
      </c>
      <c r="E18" s="6">
        <v>6.6269999999999998E-15</v>
      </c>
      <c r="F18" s="6">
        <v>6.6050000000000002E-12</v>
      </c>
      <c r="G18">
        <v>0.89180000000000004</v>
      </c>
      <c r="H18" s="9">
        <v>6.5559999999999993E-2</v>
      </c>
      <c r="I18" s="6">
        <v>1.3340000000000001E-8</v>
      </c>
      <c r="J18">
        <v>0.97789999999999999</v>
      </c>
    </row>
    <row r="19" spans="2:10" x14ac:dyDescent="0.2">
      <c r="B19" s="4" t="s">
        <v>51</v>
      </c>
      <c r="C19" s="5" t="s">
        <v>50</v>
      </c>
      <c r="D19" s="6">
        <v>8.1909999999999997E-8</v>
      </c>
      <c r="E19" s="5">
        <v>7.3990000000000004E-4</v>
      </c>
      <c r="F19" s="5">
        <v>9.4339999999999997E-3</v>
      </c>
      <c r="G19">
        <v>0.1268</v>
      </c>
      <c r="H19">
        <v>0.94579999999999997</v>
      </c>
      <c r="I19">
        <v>0.40150000000000002</v>
      </c>
      <c r="J19" s="6">
        <v>2.6010000000000002E-6</v>
      </c>
    </row>
    <row r="20" spans="2:10" x14ac:dyDescent="0.2">
      <c r="B20" s="4" t="s">
        <v>52</v>
      </c>
      <c r="C20">
        <v>0.90580000000000005</v>
      </c>
      <c r="D20">
        <v>0.82489999999999997</v>
      </c>
      <c r="E20">
        <v>0.27289999999999998</v>
      </c>
      <c r="F20" s="5">
        <v>6.3889999999999997E-4</v>
      </c>
      <c r="G20">
        <v>0.97399999999999998</v>
      </c>
      <c r="H20">
        <v>1.5949999999999999E-2</v>
      </c>
      <c r="I20">
        <v>0.67510000000000003</v>
      </c>
      <c r="J20">
        <v>0.38350000000000001</v>
      </c>
    </row>
    <row r="22" spans="2:10" x14ac:dyDescent="0.2">
      <c r="B22" t="s">
        <v>55</v>
      </c>
      <c r="C22">
        <v>0.05</v>
      </c>
      <c r="D22" t="s">
        <v>56</v>
      </c>
      <c r="E22" t="s">
        <v>57</v>
      </c>
    </row>
    <row r="23" spans="2:10" ht="59" customHeight="1" x14ac:dyDescent="0.2">
      <c r="B23" s="14" t="s">
        <v>54</v>
      </c>
      <c r="C23" s="14"/>
      <c r="D23" s="14"/>
      <c r="E23" s="14"/>
      <c r="F23" s="14"/>
      <c r="G23" s="14"/>
      <c r="H23" s="14"/>
    </row>
    <row r="26" spans="2:10" x14ac:dyDescent="0.2">
      <c r="H26" s="10"/>
    </row>
    <row r="27" spans="2:10" x14ac:dyDescent="0.2">
      <c r="H27" t="s">
        <v>67</v>
      </c>
    </row>
    <row r="28" spans="2:10" x14ac:dyDescent="0.2">
      <c r="H28" t="s">
        <v>71</v>
      </c>
      <c r="I28">
        <v>0.3</v>
      </c>
    </row>
    <row r="29" spans="2:10" x14ac:dyDescent="0.2">
      <c r="H29" s="13" t="s">
        <v>46</v>
      </c>
      <c r="I29">
        <v>50</v>
      </c>
    </row>
    <row r="30" spans="2:10" x14ac:dyDescent="0.2">
      <c r="H30" t="s">
        <v>72</v>
      </c>
      <c r="I30">
        <v>15</v>
      </c>
    </row>
    <row r="31" spans="2:10" x14ac:dyDescent="0.2">
      <c r="H31" t="s">
        <v>43</v>
      </c>
      <c r="I31">
        <v>1</v>
      </c>
    </row>
    <row r="32" spans="2:10" x14ac:dyDescent="0.2">
      <c r="H32" t="s">
        <v>44</v>
      </c>
      <c r="I32">
        <v>1</v>
      </c>
    </row>
    <row r="33" spans="2:39" x14ac:dyDescent="0.2">
      <c r="H33" t="s">
        <v>45</v>
      </c>
      <c r="I33">
        <v>15</v>
      </c>
    </row>
    <row r="34" spans="2:39" x14ac:dyDescent="0.2">
      <c r="H34" t="s">
        <v>73</v>
      </c>
      <c r="I34">
        <v>2</v>
      </c>
    </row>
    <row r="36" spans="2:39" x14ac:dyDescent="0.2">
      <c r="H36" t="s">
        <v>74</v>
      </c>
      <c r="I36">
        <v>10725375.157743201</v>
      </c>
    </row>
    <row r="37" spans="2:39" x14ac:dyDescent="0.2">
      <c r="H37" t="s">
        <v>75</v>
      </c>
      <c r="I37">
        <v>12297393.289602999</v>
      </c>
    </row>
    <row r="38" spans="2:39" x14ac:dyDescent="0.2">
      <c r="H38" t="s">
        <v>76</v>
      </c>
      <c r="I38">
        <v>245947.86579205998</v>
      </c>
    </row>
    <row r="43" spans="2:39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O43" s="2"/>
      <c r="P43" s="2"/>
      <c r="Q43" s="2"/>
      <c r="R43" s="2"/>
      <c r="S43" s="2"/>
      <c r="T43" s="2"/>
      <c r="U43" s="2"/>
      <c r="V43" s="2"/>
      <c r="W43" s="2"/>
      <c r="X43" s="2"/>
      <c r="Z43" s="2"/>
      <c r="AA43" s="2"/>
      <c r="AB43" s="2"/>
      <c r="AC43" s="2"/>
      <c r="AD43" s="2"/>
      <c r="AE43" s="2"/>
      <c r="AF43" s="2"/>
      <c r="AG43" s="2"/>
      <c r="AH43" s="2"/>
      <c r="AK43" s="2"/>
      <c r="AL43" s="2"/>
      <c r="AM43" s="2"/>
    </row>
    <row r="44" spans="2:39" x14ac:dyDescent="0.2">
      <c r="M44" s="2"/>
      <c r="O44" s="2"/>
      <c r="P44" s="2"/>
      <c r="Q44" s="2"/>
      <c r="R44" s="2"/>
      <c r="S44" s="2"/>
      <c r="T44" s="2"/>
      <c r="U44" s="2"/>
      <c r="V44" s="2"/>
      <c r="X44" s="2"/>
      <c r="Z44" s="2"/>
      <c r="AA44" s="2"/>
      <c r="AB44" s="2"/>
      <c r="AC44" s="2"/>
      <c r="AD44" s="2"/>
      <c r="AE44" s="2"/>
      <c r="AF44" s="2"/>
      <c r="AK44" s="2"/>
    </row>
    <row r="45" spans="2:39" x14ac:dyDescent="0.2">
      <c r="H45" t="s">
        <v>77</v>
      </c>
      <c r="M45" s="2"/>
    </row>
    <row r="46" spans="2:39" x14ac:dyDescent="0.2">
      <c r="H46" t="s">
        <v>78</v>
      </c>
      <c r="M46" s="2"/>
    </row>
    <row r="47" spans="2:39" x14ac:dyDescent="0.2">
      <c r="M47" s="2"/>
    </row>
    <row r="48" spans="2:39" x14ac:dyDescent="0.2">
      <c r="M48" s="2"/>
    </row>
    <row r="49" spans="13:13" x14ac:dyDescent="0.2">
      <c r="M49" s="2"/>
    </row>
    <row r="50" spans="13:13" x14ac:dyDescent="0.2">
      <c r="M50" s="2"/>
    </row>
    <row r="51" spans="13:13" x14ac:dyDescent="0.2">
      <c r="M51" s="2"/>
    </row>
    <row r="52" spans="13:13" x14ac:dyDescent="0.2">
      <c r="M52" s="2"/>
    </row>
    <row r="53" spans="13:13" x14ac:dyDescent="0.2">
      <c r="M53" s="2"/>
    </row>
    <row r="54" spans="13:13" x14ac:dyDescent="0.2">
      <c r="M54" s="2"/>
    </row>
    <row r="55" spans="13:13" x14ac:dyDescent="0.2">
      <c r="M55" s="2"/>
    </row>
    <row r="56" spans="13:13" x14ac:dyDescent="0.2">
      <c r="M56" s="2"/>
    </row>
    <row r="57" spans="13:13" x14ac:dyDescent="0.2">
      <c r="M57" s="2"/>
    </row>
    <row r="58" spans="13:13" x14ac:dyDescent="0.2">
      <c r="M58" s="2"/>
    </row>
    <row r="59" spans="13:13" x14ac:dyDescent="0.2">
      <c r="M59" s="2"/>
    </row>
    <row r="60" spans="13:13" x14ac:dyDescent="0.2">
      <c r="M60" s="2"/>
    </row>
    <row r="61" spans="13:13" x14ac:dyDescent="0.2">
      <c r="M61" s="2"/>
    </row>
    <row r="62" spans="13:13" x14ac:dyDescent="0.2">
      <c r="M62" s="2"/>
    </row>
    <row r="63" spans="13:13" x14ac:dyDescent="0.2">
      <c r="M63" s="2"/>
    </row>
    <row r="64" spans="13:13" x14ac:dyDescent="0.2">
      <c r="M64" s="2"/>
    </row>
    <row r="65" spans="2:13" x14ac:dyDescent="0.2">
      <c r="M65" s="2"/>
    </row>
    <row r="66" spans="2:13" x14ac:dyDescent="0.2">
      <c r="M66" s="2"/>
    </row>
    <row r="67" spans="2:13" x14ac:dyDescent="0.2">
      <c r="M67" s="2"/>
    </row>
    <row r="68" spans="2:13" x14ac:dyDescent="0.2">
      <c r="M68" s="2"/>
    </row>
    <row r="69" spans="2:13" x14ac:dyDescent="0.2">
      <c r="M69" s="2"/>
    </row>
    <row r="70" spans="2:13" x14ac:dyDescent="0.2">
      <c r="M70" s="2"/>
    </row>
    <row r="71" spans="2:13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M71" s="2"/>
    </row>
    <row r="72" spans="2:13" x14ac:dyDescent="0.2">
      <c r="M72" s="2"/>
    </row>
    <row r="73" spans="2:13" x14ac:dyDescent="0.2">
      <c r="M73" s="2"/>
    </row>
    <row r="74" spans="2:13" x14ac:dyDescent="0.2">
      <c r="H74" t="s">
        <v>77</v>
      </c>
      <c r="M74" s="2"/>
    </row>
    <row r="75" spans="2:13" x14ac:dyDescent="0.2">
      <c r="H75" t="s">
        <v>79</v>
      </c>
      <c r="M75" s="2"/>
    </row>
    <row r="76" spans="2:13" x14ac:dyDescent="0.2">
      <c r="H76" t="s">
        <v>80</v>
      </c>
      <c r="M76" s="2"/>
    </row>
    <row r="77" spans="2:13" x14ac:dyDescent="0.2">
      <c r="M77" s="2"/>
    </row>
    <row r="78" spans="2:13" x14ac:dyDescent="0.2">
      <c r="M78" s="2"/>
    </row>
    <row r="79" spans="2:13" x14ac:dyDescent="0.2">
      <c r="M79" s="2"/>
    </row>
    <row r="80" spans="2:13" x14ac:dyDescent="0.2">
      <c r="M80" s="2"/>
    </row>
    <row r="81" spans="13:13" x14ac:dyDescent="0.2">
      <c r="M81" s="2"/>
    </row>
    <row r="82" spans="13:13" x14ac:dyDescent="0.2">
      <c r="M82" s="2"/>
    </row>
    <row r="83" spans="13:13" x14ac:dyDescent="0.2">
      <c r="M83" s="2"/>
    </row>
    <row r="84" spans="13:13" x14ac:dyDescent="0.2">
      <c r="M84" s="2"/>
    </row>
    <row r="85" spans="13:13" x14ac:dyDescent="0.2">
      <c r="M85" s="2"/>
    </row>
    <row r="86" spans="13:13" x14ac:dyDescent="0.2">
      <c r="M86" s="2"/>
    </row>
    <row r="87" spans="13:13" x14ac:dyDescent="0.2">
      <c r="M87" s="2"/>
    </row>
    <row r="88" spans="13:13" x14ac:dyDescent="0.2">
      <c r="M88" s="2"/>
    </row>
    <row r="89" spans="13:13" x14ac:dyDescent="0.2">
      <c r="M89" s="2"/>
    </row>
    <row r="90" spans="13:13" x14ac:dyDescent="0.2">
      <c r="M90" s="2"/>
    </row>
    <row r="91" spans="13:13" x14ac:dyDescent="0.2">
      <c r="M91" s="2"/>
    </row>
    <row r="92" spans="13:13" x14ac:dyDescent="0.2">
      <c r="M92" s="2"/>
    </row>
    <row r="93" spans="13:13" x14ac:dyDescent="0.2">
      <c r="M93" s="2"/>
    </row>
    <row r="94" spans="13:13" x14ac:dyDescent="0.2">
      <c r="M94" s="2"/>
    </row>
    <row r="95" spans="13:13" x14ac:dyDescent="0.2">
      <c r="M95" s="2"/>
    </row>
    <row r="96" spans="13:13" x14ac:dyDescent="0.2">
      <c r="M96" s="2"/>
    </row>
    <row r="97" spans="13:13" x14ac:dyDescent="0.2">
      <c r="M97" s="2"/>
    </row>
    <row r="98" spans="13:13" x14ac:dyDescent="0.2">
      <c r="M98" s="2"/>
    </row>
    <row r="99" spans="13:13" x14ac:dyDescent="0.2">
      <c r="M99" s="2"/>
    </row>
    <row r="100" spans="13:13" x14ac:dyDescent="0.2">
      <c r="M100" s="2"/>
    </row>
    <row r="101" spans="13:13" x14ac:dyDescent="0.2">
      <c r="M101" s="2"/>
    </row>
    <row r="102" spans="13:13" x14ac:dyDescent="0.2">
      <c r="M102" s="2"/>
    </row>
    <row r="103" spans="13:13" x14ac:dyDescent="0.2">
      <c r="M103" s="2"/>
    </row>
    <row r="104" spans="13:13" x14ac:dyDescent="0.2">
      <c r="M104" s="2"/>
    </row>
    <row r="105" spans="13:13" x14ac:dyDescent="0.2">
      <c r="M105" s="2"/>
    </row>
    <row r="106" spans="13:13" x14ac:dyDescent="0.2">
      <c r="M106" s="2"/>
    </row>
    <row r="107" spans="13:13" x14ac:dyDescent="0.2">
      <c r="M107" s="2"/>
    </row>
    <row r="108" spans="13:13" x14ac:dyDescent="0.2">
      <c r="M108" s="2"/>
    </row>
    <row r="109" spans="13:13" x14ac:dyDescent="0.2">
      <c r="M109" s="2"/>
    </row>
    <row r="110" spans="13:13" x14ac:dyDescent="0.2">
      <c r="M110" s="2"/>
    </row>
    <row r="111" spans="13:13" x14ac:dyDescent="0.2">
      <c r="M111" s="2"/>
    </row>
    <row r="112" spans="13:13" x14ac:dyDescent="0.2">
      <c r="M112" s="2"/>
    </row>
    <row r="113" spans="13:13" x14ac:dyDescent="0.2">
      <c r="M113" s="2"/>
    </row>
    <row r="114" spans="13:13" x14ac:dyDescent="0.2">
      <c r="M114" s="2"/>
    </row>
    <row r="115" spans="13:13" x14ac:dyDescent="0.2">
      <c r="M115" s="2"/>
    </row>
    <row r="116" spans="13:13" x14ac:dyDescent="0.2">
      <c r="M116" s="2"/>
    </row>
    <row r="117" spans="13:13" x14ac:dyDescent="0.2">
      <c r="M117" s="2"/>
    </row>
    <row r="118" spans="13:13" x14ac:dyDescent="0.2">
      <c r="M118" s="2"/>
    </row>
    <row r="119" spans="13:13" x14ac:dyDescent="0.2">
      <c r="M119" s="2"/>
    </row>
    <row r="120" spans="13:13" x14ac:dyDescent="0.2">
      <c r="M120" s="2"/>
    </row>
    <row r="121" spans="13:13" x14ac:dyDescent="0.2">
      <c r="M121" s="2"/>
    </row>
    <row r="122" spans="13:13" x14ac:dyDescent="0.2">
      <c r="M122" s="2"/>
    </row>
    <row r="123" spans="13:13" x14ac:dyDescent="0.2">
      <c r="M123" s="2"/>
    </row>
    <row r="124" spans="13:13" x14ac:dyDescent="0.2">
      <c r="M124" s="2"/>
    </row>
    <row r="125" spans="13:13" x14ac:dyDescent="0.2">
      <c r="M125" s="2"/>
    </row>
    <row r="126" spans="13:13" x14ac:dyDescent="0.2">
      <c r="M126" s="2"/>
    </row>
    <row r="127" spans="13:13" x14ac:dyDescent="0.2">
      <c r="M127" s="2"/>
    </row>
    <row r="128" spans="13:13" x14ac:dyDescent="0.2">
      <c r="M128" s="2"/>
    </row>
    <row r="129" spans="12:13" x14ac:dyDescent="0.2">
      <c r="M129" s="2"/>
    </row>
    <row r="130" spans="12:13" x14ac:dyDescent="0.2">
      <c r="M130" s="2"/>
    </row>
    <row r="131" spans="12:13" x14ac:dyDescent="0.2">
      <c r="M131" s="2"/>
    </row>
    <row r="132" spans="12:13" x14ac:dyDescent="0.2">
      <c r="M132" s="2"/>
    </row>
    <row r="133" spans="12:13" x14ac:dyDescent="0.2">
      <c r="M133" s="2"/>
    </row>
    <row r="134" spans="12:13" x14ac:dyDescent="0.2">
      <c r="M134" s="2"/>
    </row>
    <row r="135" spans="12:13" x14ac:dyDescent="0.2">
      <c r="M135" s="2"/>
    </row>
    <row r="136" spans="12:13" x14ac:dyDescent="0.2">
      <c r="M136" s="2"/>
    </row>
    <row r="137" spans="12:13" x14ac:dyDescent="0.2">
      <c r="M137" s="2"/>
    </row>
    <row r="138" spans="12:13" x14ac:dyDescent="0.2">
      <c r="M138" s="2"/>
    </row>
    <row r="139" spans="12:13" x14ac:dyDescent="0.2">
      <c r="M139" s="2"/>
    </row>
    <row r="140" spans="12:13" x14ac:dyDescent="0.2">
      <c r="M140" s="2"/>
    </row>
    <row r="141" spans="12:13" x14ac:dyDescent="0.2">
      <c r="M141" s="2"/>
    </row>
    <row r="142" spans="12:13" x14ac:dyDescent="0.2">
      <c r="M142" s="2"/>
    </row>
    <row r="143" spans="12:13" x14ac:dyDescent="0.2">
      <c r="M143" s="2"/>
    </row>
    <row r="144" spans="12:13" x14ac:dyDescent="0.2">
      <c r="L144" s="2"/>
      <c r="M144" s="2"/>
    </row>
    <row r="145" spans="4:13" x14ac:dyDescent="0.2">
      <c r="M145" s="2"/>
    </row>
    <row r="146" spans="4:13" x14ac:dyDescent="0.2">
      <c r="M146" s="2"/>
    </row>
    <row r="147" spans="4:13" x14ac:dyDescent="0.2">
      <c r="M147" s="2"/>
    </row>
    <row r="148" spans="4:13" x14ac:dyDescent="0.2">
      <c r="M148" s="2"/>
    </row>
    <row r="149" spans="4:13" x14ac:dyDescent="0.2">
      <c r="M149" s="2"/>
    </row>
    <row r="150" spans="4:13" x14ac:dyDescent="0.2">
      <c r="M150" s="2"/>
    </row>
    <row r="151" spans="4:13" x14ac:dyDescent="0.2">
      <c r="D151" s="1"/>
      <c r="E151" s="1"/>
      <c r="F151" s="1"/>
      <c r="G151" s="1"/>
      <c r="H151" s="1"/>
      <c r="I151" s="1"/>
      <c r="J151" s="1"/>
      <c r="K151" s="1"/>
      <c r="M151" s="2"/>
    </row>
    <row r="152" spans="4:13" x14ac:dyDescent="0.2">
      <c r="M152" s="2"/>
    </row>
    <row r="153" spans="4:13" x14ac:dyDescent="0.2">
      <c r="M153" s="2"/>
    </row>
    <row r="154" spans="4:13" x14ac:dyDescent="0.2">
      <c r="M154" s="2"/>
    </row>
    <row r="155" spans="4:13" x14ac:dyDescent="0.2">
      <c r="M155" s="2"/>
    </row>
    <row r="156" spans="4:13" x14ac:dyDescent="0.2">
      <c r="M156" s="2"/>
    </row>
    <row r="157" spans="4:13" x14ac:dyDescent="0.2">
      <c r="M157" s="2"/>
    </row>
    <row r="158" spans="4:13" x14ac:dyDescent="0.2">
      <c r="M158" s="2"/>
    </row>
    <row r="159" spans="4:13" x14ac:dyDescent="0.2">
      <c r="M159" s="2"/>
    </row>
    <row r="160" spans="4:13" x14ac:dyDescent="0.2">
      <c r="M160" s="2"/>
    </row>
    <row r="161" spans="13:13" x14ac:dyDescent="0.2">
      <c r="M161" s="2"/>
    </row>
    <row r="162" spans="13:13" x14ac:dyDescent="0.2">
      <c r="M162" s="2"/>
    </row>
    <row r="163" spans="13:13" x14ac:dyDescent="0.2">
      <c r="M163" s="2"/>
    </row>
    <row r="164" spans="13:13" x14ac:dyDescent="0.2">
      <c r="M164" s="2"/>
    </row>
    <row r="165" spans="13:13" x14ac:dyDescent="0.2">
      <c r="M165" s="2"/>
    </row>
    <row r="166" spans="13:13" x14ac:dyDescent="0.2">
      <c r="M166" s="2"/>
    </row>
    <row r="167" spans="13:13" x14ac:dyDescent="0.2">
      <c r="M167" s="2"/>
    </row>
    <row r="168" spans="13:13" x14ac:dyDescent="0.2">
      <c r="M168" s="2"/>
    </row>
    <row r="169" spans="13:13" x14ac:dyDescent="0.2">
      <c r="M169" s="2"/>
    </row>
    <row r="170" spans="13:13" x14ac:dyDescent="0.2">
      <c r="M170" s="2"/>
    </row>
    <row r="171" spans="13:13" x14ac:dyDescent="0.2">
      <c r="M171" s="2"/>
    </row>
    <row r="172" spans="13:13" x14ac:dyDescent="0.2">
      <c r="M172" s="2"/>
    </row>
    <row r="173" spans="13:13" x14ac:dyDescent="0.2">
      <c r="M173" s="2"/>
    </row>
    <row r="174" spans="13:13" x14ac:dyDescent="0.2">
      <c r="M174" s="2"/>
    </row>
    <row r="175" spans="13:13" x14ac:dyDescent="0.2">
      <c r="M175" s="2"/>
    </row>
    <row r="176" spans="13:13" x14ac:dyDescent="0.2">
      <c r="M176" s="2"/>
    </row>
    <row r="177" spans="13:13" x14ac:dyDescent="0.2">
      <c r="M177" s="2"/>
    </row>
    <row r="178" spans="13:13" x14ac:dyDescent="0.2">
      <c r="M178" s="2"/>
    </row>
    <row r="179" spans="13:13" x14ac:dyDescent="0.2">
      <c r="M179" s="2"/>
    </row>
    <row r="180" spans="13:13" x14ac:dyDescent="0.2">
      <c r="M180" s="2"/>
    </row>
    <row r="181" spans="13:13" x14ac:dyDescent="0.2">
      <c r="M181" s="2"/>
    </row>
    <row r="182" spans="13:13" x14ac:dyDescent="0.2">
      <c r="M182" s="2"/>
    </row>
    <row r="183" spans="13:13" x14ac:dyDescent="0.2">
      <c r="M183" s="2"/>
    </row>
    <row r="184" spans="13:13" x14ac:dyDescent="0.2">
      <c r="M184" s="2"/>
    </row>
    <row r="185" spans="13:13" x14ac:dyDescent="0.2">
      <c r="M185" s="2"/>
    </row>
    <row r="186" spans="13:13" x14ac:dyDescent="0.2">
      <c r="M186" s="2"/>
    </row>
    <row r="187" spans="13:13" x14ac:dyDescent="0.2">
      <c r="M187" s="2"/>
    </row>
    <row r="188" spans="13:13" x14ac:dyDescent="0.2">
      <c r="M188" s="2"/>
    </row>
    <row r="189" spans="13:13" x14ac:dyDescent="0.2">
      <c r="M189" s="2"/>
    </row>
    <row r="190" spans="13:13" x14ac:dyDescent="0.2">
      <c r="M190" s="2"/>
    </row>
    <row r="191" spans="13:13" x14ac:dyDescent="0.2">
      <c r="M191" s="2"/>
    </row>
    <row r="192" spans="13:13" x14ac:dyDescent="0.2">
      <c r="M192" s="2"/>
    </row>
    <row r="193" spans="13:13" x14ac:dyDescent="0.2">
      <c r="M193" s="2"/>
    </row>
    <row r="194" spans="13:13" x14ac:dyDescent="0.2">
      <c r="M194" s="2"/>
    </row>
    <row r="195" spans="13:13" x14ac:dyDescent="0.2">
      <c r="M195" s="2"/>
    </row>
    <row r="196" spans="13:13" x14ac:dyDescent="0.2">
      <c r="M196" s="2"/>
    </row>
    <row r="197" spans="13:13" x14ac:dyDescent="0.2">
      <c r="M197" s="2"/>
    </row>
    <row r="198" spans="13:13" x14ac:dyDescent="0.2">
      <c r="M198" s="2"/>
    </row>
    <row r="199" spans="13:13" x14ac:dyDescent="0.2">
      <c r="M199" s="2"/>
    </row>
    <row r="200" spans="13:13" x14ac:dyDescent="0.2">
      <c r="M200" s="2"/>
    </row>
    <row r="201" spans="13:13" x14ac:dyDescent="0.2">
      <c r="M201" s="2"/>
    </row>
    <row r="202" spans="13:13" x14ac:dyDescent="0.2">
      <c r="M202" s="2"/>
    </row>
    <row r="203" spans="13:13" x14ac:dyDescent="0.2">
      <c r="M203" s="2"/>
    </row>
    <row r="204" spans="13:13" x14ac:dyDescent="0.2">
      <c r="M204" s="2"/>
    </row>
    <row r="205" spans="13:13" x14ac:dyDescent="0.2">
      <c r="M205" s="2"/>
    </row>
    <row r="206" spans="13:13" x14ac:dyDescent="0.2">
      <c r="M206" s="2"/>
    </row>
    <row r="207" spans="13:13" x14ac:dyDescent="0.2">
      <c r="M207" s="2"/>
    </row>
    <row r="208" spans="13:13" x14ac:dyDescent="0.2">
      <c r="M208" s="2"/>
    </row>
    <row r="209" spans="13:13" x14ac:dyDescent="0.2">
      <c r="M209" s="2"/>
    </row>
    <row r="210" spans="13:13" x14ac:dyDescent="0.2">
      <c r="M210" s="2"/>
    </row>
    <row r="211" spans="13:13" x14ac:dyDescent="0.2">
      <c r="M211" s="2"/>
    </row>
    <row r="212" spans="13:13" x14ac:dyDescent="0.2">
      <c r="M212" s="2"/>
    </row>
    <row r="213" spans="13:13" x14ac:dyDescent="0.2">
      <c r="M213" s="2"/>
    </row>
    <row r="214" spans="13:13" x14ac:dyDescent="0.2">
      <c r="M214" s="2"/>
    </row>
    <row r="215" spans="13:13" x14ac:dyDescent="0.2">
      <c r="M215" s="2"/>
    </row>
    <row r="216" spans="13:13" x14ac:dyDescent="0.2">
      <c r="M216" s="2"/>
    </row>
    <row r="217" spans="13:13" x14ac:dyDescent="0.2">
      <c r="M217" s="2"/>
    </row>
    <row r="218" spans="13:13" x14ac:dyDescent="0.2">
      <c r="M218" s="2"/>
    </row>
    <row r="219" spans="13:13" x14ac:dyDescent="0.2">
      <c r="M219" s="2"/>
    </row>
    <row r="220" spans="13:13" x14ac:dyDescent="0.2">
      <c r="M220" s="2"/>
    </row>
    <row r="221" spans="13:13" x14ac:dyDescent="0.2">
      <c r="M221" s="2"/>
    </row>
    <row r="222" spans="13:13" x14ac:dyDescent="0.2">
      <c r="M222" s="2"/>
    </row>
    <row r="223" spans="13:13" x14ac:dyDescent="0.2">
      <c r="M223" s="2"/>
    </row>
    <row r="224" spans="13:13" x14ac:dyDescent="0.2">
      <c r="M224" s="2"/>
    </row>
    <row r="225" spans="12:13" x14ac:dyDescent="0.2">
      <c r="M225" s="2"/>
    </row>
    <row r="226" spans="12:13" x14ac:dyDescent="0.2">
      <c r="M226" s="2"/>
    </row>
    <row r="227" spans="12:13" x14ac:dyDescent="0.2">
      <c r="M227" s="2"/>
    </row>
    <row r="228" spans="12:13" x14ac:dyDescent="0.2">
      <c r="M228" s="2"/>
    </row>
    <row r="229" spans="12:13" x14ac:dyDescent="0.2">
      <c r="M229" s="2"/>
    </row>
    <row r="230" spans="12:13" x14ac:dyDescent="0.2">
      <c r="M230" s="2"/>
    </row>
    <row r="231" spans="12:13" x14ac:dyDescent="0.2">
      <c r="L231" s="2"/>
      <c r="M231" s="2"/>
    </row>
    <row r="232" spans="12:13" x14ac:dyDescent="0.2">
      <c r="M232" s="2"/>
    </row>
    <row r="233" spans="12:13" x14ac:dyDescent="0.2">
      <c r="M233" s="2"/>
    </row>
    <row r="234" spans="12:13" x14ac:dyDescent="0.2">
      <c r="M234" s="2"/>
    </row>
    <row r="235" spans="12:13" x14ac:dyDescent="0.2">
      <c r="M235" s="2"/>
    </row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</sheetData>
  <sortState xmlns:xlrd2="http://schemas.microsoft.com/office/spreadsheetml/2017/richdata2" ref="B44:M235">
    <sortCondition descending="1" ref="J43:J235"/>
  </sortState>
  <mergeCells count="2">
    <mergeCell ref="B23:H23"/>
    <mergeCell ref="C12:H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Removed 15</vt:lpstr>
      <vt:lpstr>Original</vt:lpstr>
      <vt:lpstr>MANOVA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Zenith Arnejo</dc:creator>
  <cp:lastModifiedBy>Zenith Arnejo</cp:lastModifiedBy>
  <dcterms:created xsi:type="dcterms:W3CDTF">2024-06-16T18:26:53Z</dcterms:created>
  <dcterms:modified xsi:type="dcterms:W3CDTF">2024-06-26T10:29:48Z</dcterms:modified>
</cp:coreProperties>
</file>