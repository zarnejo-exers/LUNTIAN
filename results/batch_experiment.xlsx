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8.xml" ContentType="application/vnd.openxmlformats-officedocument.drawing+xml"/>
  <Override PartName="/xl/charts/chart1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min/Documents/GitHub/ITP_project/results/"/>
    </mc:Choice>
  </mc:AlternateContent>
  <xr:revisionPtr revIDLastSave="0" documentId="13_ncr:40009_{78709EC2-0B1A-E14F-A0B9-D11E1C539971}" xr6:coauthVersionLast="47" xr6:coauthVersionMax="47" xr10:uidLastSave="{00000000-0000-0000-0000-000000000000}"/>
  <bookViews>
    <workbookView xWindow="20" yWindow="20" windowWidth="28780" windowHeight="18000" activeTab="1"/>
  </bookViews>
  <sheets>
    <sheet name="batch_experiment" sheetId="1" r:id="rId1"/>
    <sheet name="Sheet13" sheetId="14" r:id="rId2"/>
    <sheet name="Sheet12" sheetId="13" r:id="rId3"/>
    <sheet name="Sheet10" sheetId="11" r:id="rId4"/>
    <sheet name="Sheet9" sheetId="10" r:id="rId5"/>
    <sheet name="zGnNL" sheetId="8" state="hidden" r:id="rId6"/>
    <sheet name="Sheet4" sheetId="5" r:id="rId7"/>
    <sheet name="Sheet2" sheetId="3" r:id="rId8"/>
    <sheet name="Sheet3" sheetId="4" r:id="rId9"/>
    <sheet name="Sheet1" sheetId="2" r:id="rId10"/>
    <sheet name="Sheet5" sheetId="6" r:id="rId11"/>
    <sheet name="Sheet11" sheetId="12" r:id="rId12"/>
    <sheet name="Sheet8" sheetId="9" r:id="rId13"/>
  </sheets>
  <definedNames>
    <definedName name="__xlchart.v1.0" hidden="1">Sheet10!$B$2:$B$33</definedName>
    <definedName name="__xlchart.v1.1" hidden="1">Sheet10!$C$1</definedName>
    <definedName name="__xlchart.v1.2" hidden="1">Sheet10!$C$2:$C$33</definedName>
    <definedName name="__xlchart.v1.3" hidden="1">Sheet10!$B$2:$B$33</definedName>
    <definedName name="__xlchart.v1.4" hidden="1">Sheet10!$C$1</definedName>
    <definedName name="__xlchart.v1.5" hidden="1">Sheet10!$C$2:$C$33</definedName>
    <definedName name="__xlchart.v1.6" hidden="1">Sheet10!$B$2:$B$33</definedName>
    <definedName name="__xlchart.v1.7" hidden="1">Sheet10!$C$1</definedName>
    <definedName name="__xlchart.v1.8" hidden="1">Sheet10!$C$2:$C$33</definedName>
    <definedName name="qyXAU" localSheetId="5">zGnNL!$A$1:$B$2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" i="14" l="1"/>
  <c r="H18" i="14"/>
  <c r="D18" i="14"/>
  <c r="C18" i="14"/>
  <c r="O22" i="13"/>
  <c r="N22" i="13"/>
  <c r="D22" i="13"/>
  <c r="C22" i="13"/>
  <c r="O21" i="13"/>
  <c r="G22" i="13" s="1"/>
  <c r="G21" i="13"/>
  <c r="F22" i="13" s="1"/>
  <c r="F21" i="13"/>
  <c r="E22" i="13" s="1"/>
  <c r="E21" i="13"/>
  <c r="N21" i="13"/>
  <c r="D21" i="13"/>
  <c r="C21" i="13"/>
  <c r="N18" i="13"/>
  <c r="O18" i="13"/>
  <c r="P18" i="13"/>
  <c r="Q18" i="13"/>
  <c r="R18" i="13"/>
  <c r="S18" i="13"/>
  <c r="M18" i="13"/>
  <c r="D18" i="13"/>
  <c r="E18" i="13"/>
  <c r="F18" i="13"/>
  <c r="G18" i="13"/>
  <c r="H18" i="13"/>
  <c r="I18" i="13"/>
  <c r="C18" i="13"/>
  <c r="D36" i="12"/>
  <c r="E36" i="12"/>
  <c r="F36" i="12"/>
  <c r="C36" i="12"/>
  <c r="D18" i="12"/>
  <c r="E18" i="12"/>
  <c r="F18" i="12"/>
  <c r="C18" i="12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2" i="1"/>
  <c r="T18" i="1"/>
  <c r="T3" i="1"/>
  <c r="T19" i="1"/>
  <c r="T4" i="1"/>
  <c r="T20" i="1"/>
  <c r="T5" i="1"/>
  <c r="T21" i="1"/>
  <c r="T6" i="1"/>
  <c r="T22" i="1"/>
  <c r="T7" i="1"/>
  <c r="T23" i="1"/>
  <c r="T8" i="1"/>
  <c r="T24" i="1"/>
  <c r="T9" i="1"/>
  <c r="T25" i="1"/>
  <c r="T10" i="1"/>
  <c r="T26" i="1"/>
  <c r="T11" i="1"/>
  <c r="T27" i="1"/>
  <c r="T12" i="1"/>
  <c r="T28" i="1"/>
  <c r="T13" i="1"/>
  <c r="T29" i="1"/>
  <c r="T14" i="1"/>
  <c r="T30" i="1"/>
  <c r="T15" i="1"/>
  <c r="U15" i="1" s="1"/>
  <c r="T31" i="1"/>
  <c r="T16" i="1"/>
  <c r="T32" i="1"/>
  <c r="T17" i="1"/>
  <c r="T33" i="1"/>
  <c r="T2" i="1"/>
  <c r="O18" i="1"/>
  <c r="U18" i="1" s="1"/>
  <c r="O3" i="1"/>
  <c r="O19" i="1"/>
  <c r="U19" i="1" s="1"/>
  <c r="O4" i="1"/>
  <c r="U4" i="1" s="1"/>
  <c r="O20" i="1"/>
  <c r="U20" i="1" s="1"/>
  <c r="O5" i="1"/>
  <c r="U5" i="1" s="1"/>
  <c r="O21" i="1"/>
  <c r="U21" i="1" s="1"/>
  <c r="O6" i="1"/>
  <c r="U6" i="1" s="1"/>
  <c r="O22" i="1"/>
  <c r="U22" i="1" s="1"/>
  <c r="O7" i="1"/>
  <c r="O23" i="1"/>
  <c r="O8" i="1"/>
  <c r="U8" i="1" s="1"/>
  <c r="O24" i="1"/>
  <c r="U24" i="1"/>
  <c r="O9" i="1"/>
  <c r="U9" i="1" s="1"/>
  <c r="O25" i="1"/>
  <c r="U25" i="1" s="1"/>
  <c r="O10" i="1"/>
  <c r="U10" i="1" s="1"/>
  <c r="O26" i="1"/>
  <c r="U26" i="1" s="1"/>
  <c r="O11" i="1"/>
  <c r="U11" i="1" s="1"/>
  <c r="O27" i="1"/>
  <c r="O12" i="1"/>
  <c r="U12" i="1" s="1"/>
  <c r="O28" i="1"/>
  <c r="U28" i="1"/>
  <c r="O13" i="1"/>
  <c r="U13" i="1" s="1"/>
  <c r="O29" i="1"/>
  <c r="U29" i="1" s="1"/>
  <c r="O14" i="1"/>
  <c r="O30" i="1"/>
  <c r="O15" i="1"/>
  <c r="O31" i="1"/>
  <c r="O16" i="1"/>
  <c r="U16" i="1" s="1"/>
  <c r="O32" i="1"/>
  <c r="U32" i="1"/>
  <c r="O17" i="1"/>
  <c r="U17" i="1" s="1"/>
  <c r="O33" i="1"/>
  <c r="O2" i="1"/>
  <c r="AD18" i="1"/>
  <c r="AE18" i="1"/>
  <c r="AD3" i="1"/>
  <c r="AE3" i="1"/>
  <c r="AD19" i="1"/>
  <c r="AE19" i="1" s="1"/>
  <c r="AD4" i="1"/>
  <c r="AE4" i="1" s="1"/>
  <c r="AD20" i="1"/>
  <c r="AE20" i="1"/>
  <c r="AD5" i="1"/>
  <c r="AE5" i="1"/>
  <c r="AD21" i="1"/>
  <c r="AE21" i="1" s="1"/>
  <c r="AD6" i="1"/>
  <c r="AE6" i="1"/>
  <c r="AD22" i="1"/>
  <c r="AE22" i="1" s="1"/>
  <c r="AD7" i="1"/>
  <c r="AE7" i="1"/>
  <c r="AD23" i="1"/>
  <c r="AE23" i="1" s="1"/>
  <c r="AD8" i="1"/>
  <c r="AE8" i="1"/>
  <c r="AD24" i="1"/>
  <c r="AE24" i="1" s="1"/>
  <c r="AD9" i="1"/>
  <c r="AE9" i="1"/>
  <c r="AD25" i="1"/>
  <c r="AE25" i="1" s="1"/>
  <c r="AD10" i="1"/>
  <c r="AE10" i="1"/>
  <c r="AD26" i="1"/>
  <c r="AE26" i="1"/>
  <c r="AD11" i="1"/>
  <c r="AE11" i="1" s="1"/>
  <c r="AD27" i="1"/>
  <c r="AE27" i="1" s="1"/>
  <c r="AD12" i="1"/>
  <c r="AE12" i="1"/>
  <c r="AD28" i="1"/>
  <c r="AE28" i="1"/>
  <c r="AD13" i="1"/>
  <c r="AE13" i="1" s="1"/>
  <c r="AD29" i="1"/>
  <c r="AE29" i="1" s="1"/>
  <c r="AD14" i="1"/>
  <c r="AE14" i="1"/>
  <c r="AD30" i="1"/>
  <c r="AE30" i="1"/>
  <c r="AD15" i="1"/>
  <c r="AE15" i="1"/>
  <c r="AD31" i="1"/>
  <c r="AE31" i="1" s="1"/>
  <c r="AD16" i="1"/>
  <c r="AE16" i="1"/>
  <c r="AD32" i="1"/>
  <c r="AE32" i="1"/>
  <c r="AD17" i="1"/>
  <c r="AE17" i="1"/>
  <c r="AD33" i="1"/>
  <c r="AE33" i="1" s="1"/>
  <c r="AD2" i="1"/>
  <c r="AE2" i="1" s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2" i="2"/>
  <c r="U3" i="2"/>
  <c r="V3" i="2"/>
  <c r="U4" i="2"/>
  <c r="V4" i="2"/>
  <c r="U5" i="2"/>
  <c r="V5" i="2"/>
  <c r="U6" i="2"/>
  <c r="V6" i="2"/>
  <c r="U7" i="2"/>
  <c r="V7" i="2"/>
  <c r="U8" i="2"/>
  <c r="V8" i="2"/>
  <c r="U9" i="2"/>
  <c r="V9" i="2"/>
  <c r="U10" i="2"/>
  <c r="V10" i="2"/>
  <c r="U11" i="2"/>
  <c r="V11" i="2"/>
  <c r="U12" i="2"/>
  <c r="V12" i="2"/>
  <c r="U13" i="2"/>
  <c r="V13" i="2"/>
  <c r="U14" i="2"/>
  <c r="V14" i="2"/>
  <c r="U15" i="2"/>
  <c r="V15" i="2"/>
  <c r="U16" i="2"/>
  <c r="V16" i="2"/>
  <c r="U17" i="2"/>
  <c r="V17" i="2"/>
  <c r="U18" i="2"/>
  <c r="V18" i="2"/>
  <c r="U19" i="2"/>
  <c r="V19" i="2"/>
  <c r="U20" i="2"/>
  <c r="V20" i="2"/>
  <c r="U21" i="2"/>
  <c r="V21" i="2"/>
  <c r="U22" i="2"/>
  <c r="V22" i="2"/>
  <c r="U23" i="2"/>
  <c r="V23" i="2"/>
  <c r="U24" i="2"/>
  <c r="V24" i="2"/>
  <c r="U25" i="2"/>
  <c r="V25" i="2"/>
  <c r="U26" i="2"/>
  <c r="V26" i="2"/>
  <c r="U27" i="2"/>
  <c r="V27" i="2"/>
  <c r="U28" i="2"/>
  <c r="V28" i="2"/>
  <c r="U29" i="2"/>
  <c r="V29" i="2"/>
  <c r="U30" i="2"/>
  <c r="V30" i="2"/>
  <c r="U31" i="2"/>
  <c r="V31" i="2"/>
  <c r="U32" i="2"/>
  <c r="V32" i="2"/>
  <c r="U33" i="2"/>
  <c r="V33" i="2"/>
  <c r="U2" i="2"/>
  <c r="V2" i="2"/>
  <c r="U7" i="1" l="1"/>
  <c r="U27" i="1"/>
  <c r="U31" i="1"/>
  <c r="U2" i="1"/>
  <c r="U30" i="1"/>
  <c r="U3" i="1"/>
  <c r="U33" i="1"/>
  <c r="U14" i="1"/>
  <c r="U23" i="1"/>
</calcChain>
</file>

<file path=xl/sharedStrings.xml><?xml version="1.0" encoding="utf-8"?>
<sst xmlns="http://schemas.openxmlformats.org/spreadsheetml/2006/main" count="868" uniqueCount="289">
  <si>
    <t>cycle</t>
  </si>
  <si>
    <t>investment_rotation_years</t>
  </si>
  <si>
    <t>nursery_count</t>
  </si>
  <si>
    <t>police_count</t>
  </si>
  <si>
    <t>member_count</t>
  </si>
  <si>
    <t>investor_count</t>
  </si>
  <si>
    <t>exotic_price_per_bdft</t>
  </si>
  <si>
    <t>native_price_per_bdft</t>
  </si>
  <si>
    <t>investor_percent_earning_share</t>
  </si>
  <si>
    <t>length(trees where ((each.type = NATIVE) and (each.state = SEEDLING)))</t>
  </si>
  <si>
    <t>length(trees where ((each.type = NATIVE) and (each.state = SAPLING)))</t>
  </si>
  <si>
    <t>length(trees where ((each.type = NATIVE) and (each.state = POLE)))</t>
  </si>
  <si>
    <t>length(trees where ((each.type = NATIVE) and (each.state = ADULT)))</t>
  </si>
  <si>
    <t>length(trees where ((each.type = EXOTIC) and (each.state = SEEDLING)))</t>
  </si>
  <si>
    <t>length(trees where ((each.type = EXOTIC) and (each.state = SAPLING)))</t>
  </si>
  <si>
    <t>length(trees where ((each.type = EXOTIC) and (each.state = POLE)))</t>
  </si>
  <si>
    <t>length(trees where ((each.type = EXOTIC) and (each.state = ADULT)))</t>
  </si>
  <si>
    <t>management_running_cost</t>
  </si>
  <si>
    <t>ITP_running_earning</t>
  </si>
  <si>
    <t>net_running_earning</t>
  </si>
  <si>
    <t>m_partners_earning</t>
  </si>
  <si>
    <t>m_independent_earning</t>
  </si>
  <si>
    <t>investor_total_profit</t>
  </si>
  <si>
    <t>total_investment_cost</t>
  </si>
  <si>
    <t>total_investments</t>
  </si>
  <si>
    <t>inv_harvested_trees</t>
  </si>
  <si>
    <t>net_earning</t>
  </si>
  <si>
    <t>Native</t>
  </si>
  <si>
    <t>Exotic</t>
  </si>
  <si>
    <t>Total</t>
  </si>
  <si>
    <t>Anova: Single Factor</t>
  </si>
  <si>
    <t>SUMMARY</t>
  </si>
  <si>
    <t>Groups</t>
  </si>
  <si>
    <t>Count</t>
  </si>
  <si>
    <t>Sum</t>
  </si>
  <si>
    <t>Average</t>
  </si>
  <si>
    <t>Variance</t>
  </si>
  <si>
    <t>ANOVA</t>
  </si>
  <si>
    <t>Source of Variation</t>
  </si>
  <si>
    <t>SS</t>
  </si>
  <si>
    <t>df</t>
  </si>
  <si>
    <t>MS</t>
  </si>
  <si>
    <t>F</t>
  </si>
  <si>
    <t>P-value</t>
  </si>
  <si>
    <t>F crit</t>
  </si>
  <si>
    <t>Between Groups</t>
  </si>
  <si>
    <t>Within Groups</t>
  </si>
  <si>
    <t>Police/Member</t>
  </si>
  <si>
    <t>Anova: Two-Factor With Replication</t>
  </si>
  <si>
    <t>Sample</t>
  </si>
  <si>
    <t>Columns</t>
  </si>
  <si>
    <t>Interaction</t>
  </si>
  <si>
    <t>Within</t>
  </si>
  <si>
    <t>Police Count</t>
  </si>
  <si>
    <t>Member Count</t>
  </si>
  <si>
    <t>nursery\investor</t>
  </si>
  <si>
    <t>Nursery</t>
  </si>
  <si>
    <t>Investor</t>
  </si>
  <si>
    <t xml:space="preserve">Effect of police count or member count on independent earning. </t>
  </si>
  <si>
    <t>average partners earning</t>
  </si>
  <si>
    <t>average net earning</t>
  </si>
  <si>
    <t>Effect of nursery/investor count on university net earning</t>
  </si>
  <si>
    <t>Does nursery count have effect on population of trees?</t>
  </si>
  <si>
    <t>exotic / native price on university net earning</t>
  </si>
  <si>
    <t>exotic\native</t>
  </si>
  <si>
    <t>45.06 - 49.35</t>
  </si>
  <si>
    <t>90.12 - 98.7</t>
  </si>
  <si>
    <t>Effect of member/investor count on average parntners earning</t>
  </si>
  <si>
    <t>member\investor</t>
  </si>
  <si>
    <t>Member</t>
  </si>
  <si>
    <t xml:space="preserve">Member </t>
  </si>
  <si>
    <t>investor\price</t>
  </si>
  <si>
    <t>investor over exotic effect on investor average net earning</t>
  </si>
  <si>
    <t>Investor count</t>
  </si>
  <si>
    <t>Price per bdft</t>
  </si>
  <si>
    <t>net investor earning</t>
  </si>
  <si>
    <t xml:space="preserve">Setup </t>
  </si>
  <si>
    <t>A</t>
  </si>
  <si>
    <t xml:space="preserve">B </t>
  </si>
  <si>
    <t>C</t>
  </si>
  <si>
    <t>D</t>
  </si>
  <si>
    <t>E</t>
  </si>
  <si>
    <t>G</t>
  </si>
  <si>
    <t>H</t>
  </si>
  <si>
    <t xml:space="preserve">I 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</si>
  <si>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</si>
  <si>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</si>
  <si>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</si>
  <si>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</si>
  <si>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</si>
  <si>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</si>
  <si>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</si>
  <si>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</si>
  <si>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</si>
  <si>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</si>
  <si>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</si>
  <si>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</si>
  <si>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</si>
  <si>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</si>
  <si>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</si>
  <si>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</si>
  <si>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 xml:space="preserve">Z </t>
  </si>
  <si>
    <t>AA</t>
  </si>
  <si>
    <t>AB</t>
  </si>
  <si>
    <t>AC</t>
  </si>
  <si>
    <t>AD</t>
  </si>
  <si>
    <t>AE</t>
  </si>
  <si>
    <t>AF</t>
  </si>
  <si>
    <t>AG</t>
  </si>
  <si>
    <t>AI</t>
  </si>
  <si>
    <t>AK</t>
  </si>
  <si>
    <t xml:space="preserve">AM </t>
  </si>
  <si>
    <t>AO</t>
  </si>
  <si>
    <t>AQ</t>
  </si>
  <si>
    <t>Price multiplier</t>
  </si>
  <si>
    <t>Investor net earning</t>
  </si>
  <si>
    <t>University net earning</t>
  </si>
  <si>
    <t>&lt;max&gt;</t>
  </si>
  <si>
    <t>-</t>
  </si>
  <si>
    <t>15- A</t>
  </si>
  <si>
    <t>15- E</t>
  </si>
  <si>
    <t xml:space="preserve">15- I </t>
  </si>
  <si>
    <t>15- M</t>
  </si>
  <si>
    <t>15- U</t>
  </si>
  <si>
    <t>15- Q</t>
  </si>
  <si>
    <t>15- Y</t>
  </si>
  <si>
    <t>15- AG</t>
  </si>
  <si>
    <t>15- AC</t>
  </si>
  <si>
    <t>15- AK</t>
  </si>
  <si>
    <t xml:space="preserve">15- B </t>
  </si>
  <si>
    <t>15- AO</t>
  </si>
  <si>
    <t>15- F</t>
  </si>
  <si>
    <t>15- J</t>
  </si>
  <si>
    <t>15- N</t>
  </si>
  <si>
    <t>15- R</t>
  </si>
  <si>
    <t>15- V</t>
  </si>
  <si>
    <t xml:space="preserve">15- Z </t>
  </si>
  <si>
    <t>15- AD</t>
  </si>
  <si>
    <t>30-C</t>
  </si>
  <si>
    <t>30- G</t>
  </si>
  <si>
    <t>30- K</t>
  </si>
  <si>
    <t>30- O</t>
  </si>
  <si>
    <t>30- S</t>
  </si>
  <si>
    <t>30- W</t>
  </si>
  <si>
    <t>30- AA</t>
  </si>
  <si>
    <t>30- AE</t>
  </si>
  <si>
    <t>30- AI</t>
  </si>
  <si>
    <t xml:space="preserve">30- AM </t>
  </si>
  <si>
    <t>30- AQ</t>
  </si>
  <si>
    <t>30- D</t>
  </si>
  <si>
    <t>30- H</t>
  </si>
  <si>
    <t>30- L</t>
  </si>
  <si>
    <t>30- P</t>
  </si>
  <si>
    <t>30- T</t>
  </si>
  <si>
    <t>30- X</t>
  </si>
  <si>
    <t>30- AB</t>
  </si>
  <si>
    <t>30- AF</t>
  </si>
  <si>
    <t>member\investor in independent earning</t>
  </si>
  <si>
    <t>Member count</t>
  </si>
  <si>
    <t>30-10 C</t>
  </si>
  <si>
    <t>30-10 G</t>
  </si>
  <si>
    <t>30-10 K</t>
  </si>
  <si>
    <t>30-10 O</t>
  </si>
  <si>
    <t>30-10 D</t>
  </si>
  <si>
    <t>30-10 H</t>
  </si>
  <si>
    <t>30-10 L</t>
  </si>
  <si>
    <t>30-10 P</t>
  </si>
  <si>
    <t>30-30 S</t>
  </si>
  <si>
    <t>30-30 W</t>
  </si>
  <si>
    <t>30-30 AA</t>
  </si>
  <si>
    <t>30-30 AE</t>
  </si>
  <si>
    <t>30-30 T</t>
  </si>
  <si>
    <t>30-30 X</t>
  </si>
  <si>
    <t>30-30 AF</t>
  </si>
  <si>
    <t>15-10 A</t>
  </si>
  <si>
    <t>15-10 E</t>
  </si>
  <si>
    <t xml:space="preserve">15-10 I </t>
  </si>
  <si>
    <t>15-10 M</t>
  </si>
  <si>
    <t xml:space="preserve">15-10 B </t>
  </si>
  <si>
    <t>15-10 F</t>
  </si>
  <si>
    <t>15-10 J</t>
  </si>
  <si>
    <t>15-10 N</t>
  </si>
  <si>
    <t>15-30 Q</t>
  </si>
  <si>
    <t>15-30 U</t>
  </si>
  <si>
    <t>15-30 Y</t>
  </si>
  <si>
    <t>15-30 AC</t>
  </si>
  <si>
    <t>15-30 R</t>
  </si>
  <si>
    <t>15-30 V</t>
  </si>
  <si>
    <t xml:space="preserve">15-30 Z </t>
  </si>
  <si>
    <t>15-30 AD</t>
  </si>
  <si>
    <t>30-30 AB</t>
  </si>
  <si>
    <t>10-A</t>
  </si>
  <si>
    <t>10-C</t>
  </si>
  <si>
    <t>10-E</t>
  </si>
  <si>
    <t>10-G</t>
  </si>
  <si>
    <t>10-I</t>
  </si>
  <si>
    <t>10-K</t>
  </si>
  <si>
    <t>10-M</t>
  </si>
  <si>
    <t>10-O</t>
  </si>
  <si>
    <t xml:space="preserve">10-B </t>
  </si>
  <si>
    <t>10-D</t>
  </si>
  <si>
    <t>10-F</t>
  </si>
  <si>
    <t>10-H</t>
  </si>
  <si>
    <t>10-J</t>
  </si>
  <si>
    <t>10-L</t>
  </si>
  <si>
    <t>10-N</t>
  </si>
  <si>
    <t>10-P</t>
  </si>
  <si>
    <t>30-Q</t>
  </si>
  <si>
    <t>30-S</t>
  </si>
  <si>
    <t>30-U</t>
  </si>
  <si>
    <t>30-W</t>
  </si>
  <si>
    <t>30-Y</t>
  </si>
  <si>
    <t>30-AA</t>
  </si>
  <si>
    <t>30-AC</t>
  </si>
  <si>
    <t>30-AE</t>
  </si>
  <si>
    <t>30-R</t>
  </si>
  <si>
    <t>30-T</t>
  </si>
  <si>
    <t>30-V</t>
  </si>
  <si>
    <t>30-X</t>
  </si>
  <si>
    <t xml:space="preserve">30-Z </t>
  </si>
  <si>
    <t>30-AB</t>
  </si>
  <si>
    <t>30-AD</t>
  </si>
  <si>
    <t>30-AF</t>
  </si>
  <si>
    <t>investor\price multiplier</t>
  </si>
  <si>
    <t>10-1 A</t>
  </si>
  <si>
    <t>10-1 C</t>
  </si>
  <si>
    <t>10-1 E</t>
  </si>
  <si>
    <t>10-1 G</t>
  </si>
  <si>
    <t xml:space="preserve">10-1 I </t>
  </si>
  <si>
    <t>10-1 K</t>
  </si>
  <si>
    <t>10-1 M</t>
  </si>
  <si>
    <t>10-1 O</t>
  </si>
  <si>
    <t>30-1 Q</t>
  </si>
  <si>
    <t>30-1 S</t>
  </si>
  <si>
    <t>30-1 U</t>
  </si>
  <si>
    <t>30-1 W</t>
  </si>
  <si>
    <t>30-1 Y</t>
  </si>
  <si>
    <t>30-1 AA</t>
  </si>
  <si>
    <t>30-1 AC</t>
  </si>
  <si>
    <t>30-1 AE</t>
  </si>
  <si>
    <t xml:space="preserve">10-2 B </t>
  </si>
  <si>
    <t>10-2 D</t>
  </si>
  <si>
    <t>10-2 F</t>
  </si>
  <si>
    <t>10-2 H</t>
  </si>
  <si>
    <t>10-2 J</t>
  </si>
  <si>
    <t>10-2 L</t>
  </si>
  <si>
    <t>10-2 N</t>
  </si>
  <si>
    <t>10-2 P</t>
  </si>
  <si>
    <t>30-2 R</t>
  </si>
  <si>
    <t>30-2 T</t>
  </si>
  <si>
    <t>30-2 V</t>
  </si>
  <si>
    <t>30-2 X</t>
  </si>
  <si>
    <t xml:space="preserve">30-2 Z </t>
  </si>
  <si>
    <t>30-2 AB</t>
  </si>
  <si>
    <t>30-2 AD</t>
  </si>
  <si>
    <t>30-2 AF</t>
  </si>
  <si>
    <t>Effect of member/investor count on total parntners earning</t>
  </si>
  <si>
    <t>investor\price-45.06 - 49.35</t>
  </si>
  <si>
    <t>investor\price-90.12 - 98.7</t>
  </si>
  <si>
    <t>Total Trees</t>
  </si>
  <si>
    <t>university net</t>
  </si>
  <si>
    <t>investor average net</t>
  </si>
  <si>
    <t>independent earning</t>
  </si>
  <si>
    <t>harvested trees</t>
  </si>
  <si>
    <t>Response 1</t>
  </si>
  <si>
    <t>Response 2</t>
  </si>
  <si>
    <t>Response 3</t>
  </si>
  <si>
    <t>Response 4</t>
  </si>
  <si>
    <t>Response 5</t>
  </si>
  <si>
    <t>Response 6</t>
  </si>
  <si>
    <t>Response 7</t>
  </si>
  <si>
    <t>nursery count</t>
  </si>
  <si>
    <t>police count</t>
  </si>
  <si>
    <t>member count</t>
  </si>
  <si>
    <t>investor count</t>
  </si>
  <si>
    <t>price per bdft</t>
  </si>
  <si>
    <t>Independent\Dependent</t>
  </si>
  <si>
    <t>average partners' earning</t>
  </si>
  <si>
    <t>Independent earning</t>
  </si>
  <si>
    <t>Partners' net earning</t>
  </si>
  <si>
    <t>15 members</t>
  </si>
  <si>
    <t>30 members</t>
  </si>
  <si>
    <t>investor average net earning</t>
  </si>
  <si>
    <t>Investors' net earning</t>
  </si>
  <si>
    <t>30 investors</t>
  </si>
  <si>
    <t>10 investors</t>
  </si>
  <si>
    <t>price multiplier</t>
  </si>
  <si>
    <t>multiplier-1</t>
  </si>
  <si>
    <t>multiplier-2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</si>
</sst>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1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7" applyNumberFormat="0" applyAlignment="0" applyProtection="0"/>
    <xf numFmtId="0" fontId="13" fillId="7" borderId="10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4" applyNumberFormat="0" applyFill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7" applyNumberFormat="0" applyAlignment="0" applyProtection="0"/>
    <xf numFmtId="0" fontId="12" fillId="0" borderId="9" applyNumberFormat="0" applyFill="0" applyAlignment="0" applyProtection="0"/>
    <xf numFmtId="0" fontId="8" fillId="4" borderId="0" applyNumberFormat="0" applyBorder="0" applyAlignment="0" applyProtection="0"/>
    <xf numFmtId="0" fontId="1" fillId="8" borderId="11" applyNumberFormat="0" applyFont="0" applyAlignment="0" applyProtection="0"/>
    <xf numFmtId="0" fontId="10" fillId="6" borderId="8" applyNumberFormat="0" applyAlignment="0" applyProtection="0"/>
    <xf numFmtId="0" fontId="2" fillId="0" borderId="0" applyNumberFormat="0" applyFill="0" applyBorder="0" applyAlignment="0" applyProtection="0"/>
    <xf numFmtId="0" fontId="16" fillId="0" borderId="12" applyNumberFormat="0" applyFill="0" applyAlignment="0" applyProtection="0"/>
    <xf numFmtId="0" fontId="14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Fill="1" applyBorder="1" applyAlignment="1"/>
    <xf numFmtId="0" fontId="0" fillId="0" borderId="1" xfId="0" applyFill="1" applyBorder="1" applyAlignment="1"/>
    <xf numFmtId="0" fontId="18" fillId="0" borderId="2" xfId="0" applyFont="1" applyFill="1" applyBorder="1" applyAlignment="1">
      <alignment horizontal="center"/>
    </xf>
    <xf numFmtId="0" fontId="19" fillId="0" borderId="3" xfId="0" applyFont="1" applyFill="1" applyBorder="1" applyAlignment="1">
      <alignment horizontal="right"/>
    </xf>
    <xf numFmtId="0" fontId="0" fillId="33" borderId="0" xfId="0" applyFill="1"/>
    <xf numFmtId="0" fontId="0" fillId="0" borderId="0" xfId="0" applyFill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16" fillId="33" borderId="0" xfId="0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11" fontId="16" fillId="33" borderId="0" xfId="0" applyNumberFormat="1" applyFont="1" applyFill="1" applyAlignment="1">
      <alignment horizontal="center" vertical="center"/>
    </xf>
    <xf numFmtId="0" fontId="0" fillId="0" borderId="0" xfId="0" applyFont="1" applyFill="1" applyAlignment="1">
      <alignment horizontal="center" vertic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Investors'</a:t>
            </a:r>
            <a:r>
              <a:rPr lang="en-GB" baseline="0"/>
              <a:t> net earning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Sheet13!$L$1</c:f>
              <c:strCache>
                <c:ptCount val="1"/>
                <c:pt idx="0">
                  <c:v>multiplier-1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Sheet13!$L$2:$L$17</c:f>
              <c:numCache>
                <c:formatCode>General</c:formatCode>
                <c:ptCount val="16"/>
                <c:pt idx="0">
                  <c:v>-44917.53925808701</c:v>
                </c:pt>
                <c:pt idx="1">
                  <c:v>197267.63140186699</c:v>
                </c:pt>
                <c:pt idx="2">
                  <c:v>23823.296777059975</c:v>
                </c:pt>
                <c:pt idx="3">
                  <c:v>225194.33005721797</c:v>
                </c:pt>
                <c:pt idx="4">
                  <c:v>43560.153597672979</c:v>
                </c:pt>
                <c:pt idx="5">
                  <c:v>233350.60665412195</c:v>
                </c:pt>
                <c:pt idx="6">
                  <c:v>13498.223852550984</c:v>
                </c:pt>
                <c:pt idx="7">
                  <c:v>214558.08226570502</c:v>
                </c:pt>
                <c:pt idx="8">
                  <c:v>-131216.66957200269</c:v>
                </c:pt>
                <c:pt idx="9">
                  <c:v>-93058.082330487669</c:v>
                </c:pt>
                <c:pt idx="10">
                  <c:v>-140439.81744984034</c:v>
                </c:pt>
                <c:pt idx="11">
                  <c:v>-101113.89040273335</c:v>
                </c:pt>
                <c:pt idx="12">
                  <c:v>-145349.38692581063</c:v>
                </c:pt>
                <c:pt idx="13">
                  <c:v>-22521.027944005655</c:v>
                </c:pt>
                <c:pt idx="14">
                  <c:v>-134792.96939857129</c:v>
                </c:pt>
                <c:pt idx="15">
                  <c:v>-133714.59136770933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72-3548-A673-195C99533C41}"/>
            </c:ext>
          </c:extLst>
        </c:ser>
        <c:ser>
          <c:idx val="1"/>
          <c:order val="1"/>
          <c:tx>
            <c:strRef>
              <c:f>Sheet13!$M$1</c:f>
              <c:strCache>
                <c:ptCount val="1"/>
                <c:pt idx="0">
                  <c:v>multiplier-2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Sheet13!$M$2:$M$17</c:f>
              <c:numCache>
                <c:formatCode>General</c:formatCode>
                <c:ptCount val="16"/>
                <c:pt idx="0">
                  <c:v>229121.20948382499</c:v>
                </c:pt>
                <c:pt idx="1">
                  <c:v>713491.55080373096</c:v>
                </c:pt>
                <c:pt idx="2">
                  <c:v>366602.88155411999</c:v>
                </c:pt>
                <c:pt idx="3">
                  <c:v>769344.94811443111</c:v>
                </c:pt>
                <c:pt idx="4">
                  <c:v>406076.59519534599</c:v>
                </c:pt>
                <c:pt idx="5">
                  <c:v>762874.9093082411</c:v>
                </c:pt>
                <c:pt idx="6">
                  <c:v>323170.14370510203</c:v>
                </c:pt>
                <c:pt idx="7">
                  <c:v>770855.04453140101</c:v>
                </c:pt>
                <c:pt idx="8">
                  <c:v>64844.372534223337</c:v>
                </c:pt>
                <c:pt idx="9">
                  <c:v>108071.31856762333</c:v>
                </c:pt>
                <c:pt idx="10">
                  <c:v>36440.199961776656</c:v>
                </c:pt>
                <c:pt idx="11">
                  <c:v>80236.996887393354</c:v>
                </c:pt>
                <c:pt idx="12">
                  <c:v>-56318.264368901342</c:v>
                </c:pt>
                <c:pt idx="13">
                  <c:v>-3800.0394051047042</c:v>
                </c:pt>
                <c:pt idx="14">
                  <c:v>51108.602524846669</c:v>
                </c:pt>
                <c:pt idx="15">
                  <c:v>205744.31965886001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72-3548-A673-195C99533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23701536"/>
        <c:axId val="1323579488"/>
      </c:barChart>
      <c:catAx>
        <c:axId val="1323701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323579488"/>
        <c:crosses val="autoZero"/>
        <c:auto val="1"/>
        <c:lblAlgn val="ctr"/>
        <c:lblOffset val="100"/>
        <c:noMultiLvlLbl val="0"/>
      </c:catAx>
      <c:valAx>
        <c:axId val="132357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323701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University net earning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Sheet13!$I$22</c:f>
              <c:strCache>
                <c:ptCount val="1"/>
                <c:pt idx="0">
                  <c:v>multiplier-1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Sheet13!$I$23:$I$38</c:f>
              <c:numCache>
                <c:formatCode>General</c:formatCode>
                <c:ptCount val="16"/>
                <c:pt idx="0">
                  <c:v>-18344203.504127599</c:v>
                </c:pt>
                <c:pt idx="1">
                  <c:v>-17400718.0542183</c:v>
                </c:pt>
                <c:pt idx="2">
                  <c:v>-17980638.827082999</c:v>
                </c:pt>
                <c:pt idx="3">
                  <c:v>-17933897.217544898</c:v>
                </c:pt>
                <c:pt idx="4">
                  <c:v>-18475187.509085301</c:v>
                </c:pt>
                <c:pt idx="5">
                  <c:v>-19846921.689263899</c:v>
                </c:pt>
                <c:pt idx="6">
                  <c:v>-18224713.245310701</c:v>
                </c:pt>
                <c:pt idx="7">
                  <c:v>-15464605.880899699</c:v>
                </c:pt>
                <c:pt idx="8">
                  <c:v>-9995948.2531276699</c:v>
                </c:pt>
                <c:pt idx="9">
                  <c:v>-21271591.610757701</c:v>
                </c:pt>
                <c:pt idx="10">
                  <c:v>-8739379.7214922309</c:v>
                </c:pt>
                <c:pt idx="11">
                  <c:v>-20088610.378621601</c:v>
                </c:pt>
                <c:pt idx="12">
                  <c:v>-10957125.6567099</c:v>
                </c:pt>
                <c:pt idx="13">
                  <c:v>-19298058.711867299</c:v>
                </c:pt>
                <c:pt idx="14">
                  <c:v>-13623563.6931441</c:v>
                </c:pt>
                <c:pt idx="15">
                  <c:v>-20695413.004154898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C9-7D4A-AD9F-8A2FFB265239}"/>
            </c:ext>
          </c:extLst>
        </c:ser>
        <c:ser>
          <c:idx val="1"/>
          <c:order val="1"/>
          <c:tx>
            <c:strRef>
              <c:f>Sheet13!$J$22</c:f>
              <c:strCache>
                <c:ptCount val="1"/>
                <c:pt idx="0">
                  <c:v>multiplier-2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Sheet13!$J$23:$J$38</c:f>
              <c:numCache>
                <c:formatCode>General</c:formatCode>
                <c:ptCount val="16"/>
                <c:pt idx="0">
                  <c:v>-7824259.4077669401</c:v>
                </c:pt>
                <c:pt idx="1">
                  <c:v>-1415881.9497326899</c:v>
                </c:pt>
                <c:pt idx="2">
                  <c:v>-6696047.13591504</c:v>
                </c:pt>
                <c:pt idx="3">
                  <c:v>-3430173.6580720502</c:v>
                </c:pt>
                <c:pt idx="4">
                  <c:v>-6325848.0947655402</c:v>
                </c:pt>
                <c:pt idx="5">
                  <c:v>-4281703.1739495499</c:v>
                </c:pt>
                <c:pt idx="6">
                  <c:v>-5713233.9113545902</c:v>
                </c:pt>
                <c:pt idx="7">
                  <c:v>998441.51873332204</c:v>
                </c:pt>
                <c:pt idx="8">
                  <c:v>16087205.5488762</c:v>
                </c:pt>
                <c:pt idx="9">
                  <c:v>7829271.27338407</c:v>
                </c:pt>
                <c:pt idx="10">
                  <c:v>19090546.030836798</c:v>
                </c:pt>
                <c:pt idx="11">
                  <c:v>8001819.4625559598</c:v>
                </c:pt>
                <c:pt idx="12">
                  <c:v>8876119.7743770704</c:v>
                </c:pt>
                <c:pt idx="13">
                  <c:v>7478490.4531686101</c:v>
                </c:pt>
                <c:pt idx="14">
                  <c:v>11203115.6601393</c:v>
                </c:pt>
                <c:pt idx="15">
                  <c:v>11695457.623707499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C9-7D4A-AD9F-8A2FFB2652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0407183"/>
        <c:axId val="359768495"/>
      </c:barChart>
      <c:catAx>
        <c:axId val="3604071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359768495"/>
        <c:crosses val="autoZero"/>
        <c:auto val="1"/>
        <c:lblAlgn val="ctr"/>
        <c:lblOffset val="100"/>
        <c:noMultiLvlLbl val="0"/>
      </c:catAx>
      <c:valAx>
        <c:axId val="359768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3604071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Sheet12!$B$21</c:f>
              <c:strCache>
                <c:ptCount val="1"/>
                <c:pt idx="0">
                  <c:v>10 investors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Sheet12!$C$20:$G$20</c:f>
              <c:strCache>
                <c:ptCount val="5"/>
                <c:pt idx="0">
                  <c:v>Native</c:v>
                </c:pt>
                <c:pt idx="1">
                  <c:v>Exotic</c:v>
                </c:pt>
                <c:pt idx="2">
                  <c:v>average partners earning</c:v>
                </c:pt>
                <c:pt idx="3">
                  <c:v>m_independent_earning</c:v>
                </c:pt>
                <c:pt idx="4">
                  <c:v>investor average net earning</c:v>
                </c:pt>
              </c:strCache>
            </c:strRef>
          </c:cat>
          <c:val>
            <c:numRef>
              <c:f>Sheet12!$C$21:$G$21</c:f>
              <c:numCache>
                <c:formatCode>General</c:formatCode>
                <c:ptCount val="5"/>
                <c:pt idx="0">
                  <c:v>232212.29910714287</c:v>
                </c:pt>
                <c:pt idx="1">
                  <c:v>113769.25446428571</c:v>
                </c:pt>
                <c:pt idx="2">
                  <c:v>120481.40294264074</c:v>
                </c:pt>
                <c:pt idx="3">
                  <c:v>14901.933536874991</c:v>
                </c:pt>
                <c:pt idx="4">
                  <c:v>385692.19166973111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C7-A242-994E-91A9F807E3B6}"/>
            </c:ext>
          </c:extLst>
        </c:ser>
        <c:ser>
          <c:idx val="1"/>
          <c:order val="1"/>
          <c:tx>
            <c:strRef>
              <c:f>Sheet12!$B$22</c:f>
              <c:strCache>
                <c:ptCount val="1"/>
                <c:pt idx="0">
                  <c:v>30 investors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Sheet12!$C$20:$G$20</c:f>
              <c:strCache>
                <c:ptCount val="5"/>
                <c:pt idx="0">
                  <c:v>Native</c:v>
                </c:pt>
                <c:pt idx="1">
                  <c:v>Exotic</c:v>
                </c:pt>
                <c:pt idx="2">
                  <c:v>average partners earning</c:v>
                </c:pt>
                <c:pt idx="3">
                  <c:v>m_independent_earning</c:v>
                </c:pt>
                <c:pt idx="4">
                  <c:v>investor average net earning</c:v>
                </c:pt>
              </c:strCache>
            </c:strRef>
          </c:cat>
          <c:val>
            <c:numRef>
              <c:f>Sheet12!$C$22:$G$22</c:f>
              <c:numCache>
                <c:formatCode>General</c:formatCode>
                <c:ptCount val="5"/>
                <c:pt idx="0">
                  <c:v>232334.03475765305</c:v>
                </c:pt>
                <c:pt idx="1">
                  <c:v>114112.34406887754</c:v>
                </c:pt>
                <c:pt idx="2">
                  <c:v>114999.66629847977</c:v>
                </c:pt>
                <c:pt idx="3">
                  <c:v>38257.866863998643</c:v>
                </c:pt>
                <c:pt idx="4">
                  <c:v>398038.18102453981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C7-A242-994E-91A9F807E3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05797520"/>
        <c:axId val="360194255"/>
      </c:barChart>
      <c:catAx>
        <c:axId val="1305797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360194255"/>
        <c:crosses val="autoZero"/>
        <c:auto val="1"/>
        <c:lblAlgn val="ctr"/>
        <c:lblOffset val="100"/>
        <c:noMultiLvlLbl val="0"/>
      </c:catAx>
      <c:valAx>
        <c:axId val="360194255"/>
        <c:scaling>
          <c:orientation val="minMax"/>
          <c:max val="4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305797520"/>
        <c:crosses val="autoZero"/>
        <c:crossBetween val="between"/>
        <c:majorUnit val="500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Sheet10!$C$1</c:f>
              <c:strCache>
                <c:ptCount val="1"/>
                <c:pt idx="0">
                  <c:v>m_independent_earning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Sheet10!$B$2:$B$33</c:f>
              <c:numCache>
                <c:formatCode>General</c:formatCode>
                <c:ptCount val="3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</c:numCache>
            </c:numRef>
          </c:xVal>
          <c:yVal>
            <c:numRef>
              <c:f>Sheet10!$C$2:$C$33</c:f>
              <c:numCache>
                <c:formatCode>General</c:formatCode>
                <c:ptCount val="32"/>
                <c:pt idx="0">
                  <c:v>0</c:v>
                </c:pt>
                <c:pt idx="1">
                  <c:v>58709.1250899999</c:v>
                </c:pt>
                <c:pt idx="2">
                  <c:v>0</c:v>
                </c:pt>
                <c:pt idx="3">
                  <c:v>58709.125090000001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58709.1250899999</c:v>
                </c:pt>
                <c:pt idx="10">
                  <c:v>0</c:v>
                </c:pt>
                <c:pt idx="11">
                  <c:v>58709.125090000001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8387.0178699999997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8387.0178699999997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61-DE43-9C0A-1506D1D9C8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5359712"/>
        <c:axId val="1324127472"/>
      </c:scatterChart>
      <c:valAx>
        <c:axId val="201535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# of nurseries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324127472"/>
        <c:crosses val="autoZero"/>
        <c:crossBetween val="midCat"/>
      </c:valAx>
      <c:valAx>
        <c:axId val="1324127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Total</a:t>
                </a:r>
                <a:r>
                  <a:rPr lang="en-GB" baseline="0"/>
                  <a:t> independent earning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2015359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Final tree population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Sheet4!$B$1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Sheet4!$B$2:$B$33</c:f>
              <c:numCache>
                <c:formatCode>General</c:formatCode>
                <c:ptCount val="32"/>
                <c:pt idx="0">
                  <c:v>233027</c:v>
                </c:pt>
                <c:pt idx="1">
                  <c:v>230505</c:v>
                </c:pt>
                <c:pt idx="2">
                  <c:v>232202</c:v>
                </c:pt>
                <c:pt idx="3">
                  <c:v>230508</c:v>
                </c:pt>
                <c:pt idx="4">
                  <c:v>232684</c:v>
                </c:pt>
                <c:pt idx="5">
                  <c:v>235124</c:v>
                </c:pt>
                <c:pt idx="6">
                  <c:v>234120</c:v>
                </c:pt>
                <c:pt idx="7">
                  <c:v>228801</c:v>
                </c:pt>
                <c:pt idx="8">
                  <c:v>235900</c:v>
                </c:pt>
                <c:pt idx="9">
                  <c:v>237872</c:v>
                </c:pt>
                <c:pt idx="10">
                  <c:v>235802</c:v>
                </c:pt>
                <c:pt idx="11">
                  <c:v>237158</c:v>
                </c:pt>
                <c:pt idx="12">
                  <c:v>236342</c:v>
                </c:pt>
                <c:pt idx="13">
                  <c:v>237304</c:v>
                </c:pt>
                <c:pt idx="14">
                  <c:v>235732</c:v>
                </c:pt>
                <c:pt idx="15">
                  <c:v>237501</c:v>
                </c:pt>
                <c:pt idx="16">
                  <c:v>233093</c:v>
                </c:pt>
                <c:pt idx="17">
                  <c:v>230671</c:v>
                </c:pt>
                <c:pt idx="18">
                  <c:v>232147</c:v>
                </c:pt>
                <c:pt idx="19">
                  <c:v>230425</c:v>
                </c:pt>
                <c:pt idx="20">
                  <c:v>232916</c:v>
                </c:pt>
                <c:pt idx="21">
                  <c:v>235202</c:v>
                </c:pt>
                <c:pt idx="22">
                  <c:v>234251</c:v>
                </c:pt>
                <c:pt idx="23">
                  <c:v>228871</c:v>
                </c:pt>
                <c:pt idx="24">
                  <c:v>236996</c:v>
                </c:pt>
                <c:pt idx="25">
                  <c:v>238054</c:v>
                </c:pt>
                <c:pt idx="26">
                  <c:v>237187</c:v>
                </c:pt>
                <c:pt idx="27">
                  <c:v>238752</c:v>
                </c:pt>
                <c:pt idx="28">
                  <c:v>236800</c:v>
                </c:pt>
                <c:pt idx="29">
                  <c:v>237992</c:v>
                </c:pt>
                <c:pt idx="30">
                  <c:v>236638</c:v>
                </c:pt>
                <c:pt idx="31">
                  <c:v>236705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ED-5A4E-9D51-A133B9E73D02}"/>
            </c:ext>
          </c:extLst>
        </c:ser>
        <c:ser>
          <c:idx val="1"/>
          <c:order val="1"/>
          <c:tx>
            <c:strRef>
              <c:f>Sheet4!$C$1</c:f>
              <c:strCache>
                <c:ptCount val="1"/>
                <c:pt idx="0">
                  <c:v>Exotic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Sheet4!$A$2:$A$33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Sheet4!$C$2:$C$33</c:f>
              <c:numCache>
                <c:formatCode>General</c:formatCode>
                <c:ptCount val="32"/>
                <c:pt idx="0">
                  <c:v>116922</c:v>
                </c:pt>
                <c:pt idx="1">
                  <c:v>111447</c:v>
                </c:pt>
                <c:pt idx="2">
                  <c:v>117211</c:v>
                </c:pt>
                <c:pt idx="3">
                  <c:v>108966</c:v>
                </c:pt>
                <c:pt idx="4">
                  <c:v>116330</c:v>
                </c:pt>
                <c:pt idx="5">
                  <c:v>116581</c:v>
                </c:pt>
                <c:pt idx="6">
                  <c:v>116241</c:v>
                </c:pt>
                <c:pt idx="7">
                  <c:v>108583</c:v>
                </c:pt>
                <c:pt idx="8">
                  <c:v>116393</c:v>
                </c:pt>
                <c:pt idx="9">
                  <c:v>116866</c:v>
                </c:pt>
                <c:pt idx="10">
                  <c:v>116378</c:v>
                </c:pt>
                <c:pt idx="11">
                  <c:v>116600</c:v>
                </c:pt>
                <c:pt idx="12">
                  <c:v>116480</c:v>
                </c:pt>
                <c:pt idx="13">
                  <c:v>116167</c:v>
                </c:pt>
                <c:pt idx="14">
                  <c:v>116966</c:v>
                </c:pt>
                <c:pt idx="15">
                  <c:v>116380</c:v>
                </c:pt>
                <c:pt idx="16">
                  <c:v>116761</c:v>
                </c:pt>
                <c:pt idx="17">
                  <c:v>111431</c:v>
                </c:pt>
                <c:pt idx="18">
                  <c:v>117210</c:v>
                </c:pt>
                <c:pt idx="19">
                  <c:v>108962</c:v>
                </c:pt>
                <c:pt idx="20">
                  <c:v>116280</c:v>
                </c:pt>
                <c:pt idx="21">
                  <c:v>116550</c:v>
                </c:pt>
                <c:pt idx="22">
                  <c:v>116296</c:v>
                </c:pt>
                <c:pt idx="23">
                  <c:v>108558</c:v>
                </c:pt>
                <c:pt idx="24">
                  <c:v>116400</c:v>
                </c:pt>
                <c:pt idx="25">
                  <c:v>116794</c:v>
                </c:pt>
                <c:pt idx="26">
                  <c:v>116558</c:v>
                </c:pt>
                <c:pt idx="27">
                  <c:v>116347</c:v>
                </c:pt>
                <c:pt idx="28">
                  <c:v>116898</c:v>
                </c:pt>
                <c:pt idx="29">
                  <c:v>116533</c:v>
                </c:pt>
                <c:pt idx="30">
                  <c:v>116218</c:v>
                </c:pt>
                <c:pt idx="31">
                  <c:v>116326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ED-5A4E-9D51-A133B9E73D02}"/>
            </c:ext>
          </c:extLst>
        </c:ser>
        <c:ser>
          <c:idx val="2"/>
          <c:order val="2"/>
          <c:tx>
            <c:strRef>
              <c:f>Sheet4!$D$1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Sheet4!$A$2:$A$33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Sheet4!$D$2:$D$33</c:f>
              <c:numCache>
                <c:formatCode>General</c:formatCode>
                <c:ptCount val="32"/>
                <c:pt idx="0">
                  <c:v>349949</c:v>
                </c:pt>
                <c:pt idx="1">
                  <c:v>341952</c:v>
                </c:pt>
                <c:pt idx="2">
                  <c:v>349413</c:v>
                </c:pt>
                <c:pt idx="3">
                  <c:v>339474</c:v>
                </c:pt>
                <c:pt idx="4">
                  <c:v>349014</c:v>
                </c:pt>
                <c:pt idx="5">
                  <c:v>351705</c:v>
                </c:pt>
                <c:pt idx="6">
                  <c:v>350361</c:v>
                </c:pt>
                <c:pt idx="7">
                  <c:v>337384</c:v>
                </c:pt>
                <c:pt idx="8">
                  <c:v>352293</c:v>
                </c:pt>
                <c:pt idx="9">
                  <c:v>354738</c:v>
                </c:pt>
                <c:pt idx="10">
                  <c:v>352180</c:v>
                </c:pt>
                <c:pt idx="11">
                  <c:v>353758</c:v>
                </c:pt>
                <c:pt idx="12">
                  <c:v>352822</c:v>
                </c:pt>
                <c:pt idx="13">
                  <c:v>353471</c:v>
                </c:pt>
                <c:pt idx="14">
                  <c:v>352698</c:v>
                </c:pt>
                <c:pt idx="15">
                  <c:v>353881</c:v>
                </c:pt>
                <c:pt idx="16">
                  <c:v>349854</c:v>
                </c:pt>
                <c:pt idx="17">
                  <c:v>342102</c:v>
                </c:pt>
                <c:pt idx="18">
                  <c:v>349357</c:v>
                </c:pt>
                <c:pt idx="19">
                  <c:v>339387</c:v>
                </c:pt>
                <c:pt idx="20">
                  <c:v>349196</c:v>
                </c:pt>
                <c:pt idx="21">
                  <c:v>351752</c:v>
                </c:pt>
                <c:pt idx="22">
                  <c:v>350547</c:v>
                </c:pt>
                <c:pt idx="23">
                  <c:v>337429</c:v>
                </c:pt>
                <c:pt idx="24">
                  <c:v>353396</c:v>
                </c:pt>
                <c:pt idx="25">
                  <c:v>354848</c:v>
                </c:pt>
                <c:pt idx="26">
                  <c:v>353745</c:v>
                </c:pt>
                <c:pt idx="27">
                  <c:v>355099</c:v>
                </c:pt>
                <c:pt idx="28">
                  <c:v>353698</c:v>
                </c:pt>
                <c:pt idx="29">
                  <c:v>354525</c:v>
                </c:pt>
                <c:pt idx="30">
                  <c:v>352856</c:v>
                </c:pt>
                <c:pt idx="31">
                  <c:v>353031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DED-5A4E-9D51-A133B9E73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6908320"/>
        <c:axId val="1"/>
      </c:barChart>
      <c:catAx>
        <c:axId val="1306908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306908320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Harvested trees from invested plots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Sheet4!$E$1</c:f>
              <c:strCache>
                <c:ptCount val="1"/>
                <c:pt idx="0">
                  <c:v>inv_harvested_trees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Sheet4!$E$2:$E$33</c:f>
              <c:numCache>
                <c:formatCode>General</c:formatCode>
                <c:ptCount val="32"/>
                <c:pt idx="0">
                  <c:v>242</c:v>
                </c:pt>
                <c:pt idx="1">
                  <c:v>57</c:v>
                </c:pt>
                <c:pt idx="2">
                  <c:v>224</c:v>
                </c:pt>
                <c:pt idx="3">
                  <c:v>89</c:v>
                </c:pt>
                <c:pt idx="4">
                  <c:v>250</c:v>
                </c:pt>
                <c:pt idx="5">
                  <c:v>64</c:v>
                </c:pt>
                <c:pt idx="6">
                  <c:v>195</c:v>
                </c:pt>
                <c:pt idx="7">
                  <c:v>70</c:v>
                </c:pt>
                <c:pt idx="8">
                  <c:v>882</c:v>
                </c:pt>
                <c:pt idx="9">
                  <c:v>805</c:v>
                </c:pt>
                <c:pt idx="10">
                  <c:v>831</c:v>
                </c:pt>
                <c:pt idx="11">
                  <c:v>754</c:v>
                </c:pt>
                <c:pt idx="12">
                  <c:v>914</c:v>
                </c:pt>
                <c:pt idx="13">
                  <c:v>623</c:v>
                </c:pt>
                <c:pt idx="14">
                  <c:v>1032</c:v>
                </c:pt>
                <c:pt idx="15">
                  <c:v>795</c:v>
                </c:pt>
                <c:pt idx="16">
                  <c:v>242</c:v>
                </c:pt>
                <c:pt idx="17">
                  <c:v>57</c:v>
                </c:pt>
                <c:pt idx="18">
                  <c:v>224</c:v>
                </c:pt>
                <c:pt idx="19">
                  <c:v>91</c:v>
                </c:pt>
                <c:pt idx="20">
                  <c:v>250</c:v>
                </c:pt>
                <c:pt idx="21">
                  <c:v>64</c:v>
                </c:pt>
                <c:pt idx="22">
                  <c:v>202</c:v>
                </c:pt>
                <c:pt idx="23">
                  <c:v>77</c:v>
                </c:pt>
                <c:pt idx="24">
                  <c:v>887</c:v>
                </c:pt>
                <c:pt idx="25">
                  <c:v>808</c:v>
                </c:pt>
                <c:pt idx="26">
                  <c:v>847</c:v>
                </c:pt>
                <c:pt idx="27">
                  <c:v>761</c:v>
                </c:pt>
                <c:pt idx="28">
                  <c:v>1006</c:v>
                </c:pt>
                <c:pt idx="29">
                  <c:v>804</c:v>
                </c:pt>
                <c:pt idx="30">
                  <c:v>930</c:v>
                </c:pt>
                <c:pt idx="31">
                  <c:v>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59-204F-B547-82D6BA49A7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9679680"/>
        <c:axId val="1"/>
      </c:barChart>
      <c:catAx>
        <c:axId val="439679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439679680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management_running_cost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Sheet2!$B$2:$B$33</c:f>
              <c:numCache>
                <c:formatCode>General</c:formatCode>
                <c:ptCount val="32"/>
                <c:pt idx="0">
                  <c:v>32013291.439649198</c:v>
                </c:pt>
                <c:pt idx="1">
                  <c:v>36017986.831419297</c:v>
                </c:pt>
                <c:pt idx="2">
                  <c:v>32261388.9861346</c:v>
                </c:pt>
                <c:pt idx="3">
                  <c:v>35208089.766689397</c:v>
                </c:pt>
                <c:pt idx="4">
                  <c:v>33502289.924249001</c:v>
                </c:pt>
                <c:pt idx="5">
                  <c:v>38035410.462154403</c:v>
                </c:pt>
                <c:pt idx="6">
                  <c:v>33621428.798318103</c:v>
                </c:pt>
                <c:pt idx="7">
                  <c:v>35753828.272347897</c:v>
                </c:pt>
                <c:pt idx="8">
                  <c:v>44440757.1488363</c:v>
                </c:pt>
                <c:pt idx="9">
                  <c:v>58553148.090120301</c:v>
                </c:pt>
                <c:pt idx="10">
                  <c:v>44997606.2187014</c:v>
                </c:pt>
                <c:pt idx="11">
                  <c:v>58051610.443007402</c:v>
                </c:pt>
                <c:pt idx="12">
                  <c:v>44198633.007532097</c:v>
                </c:pt>
                <c:pt idx="13">
                  <c:v>59845621.974735603</c:v>
                </c:pt>
                <c:pt idx="14">
                  <c:v>43443059.379594199</c:v>
                </c:pt>
                <c:pt idx="15">
                  <c:v>58497245.573351704</c:v>
                </c:pt>
                <c:pt idx="16">
                  <c:v>32158330.651666999</c:v>
                </c:pt>
                <c:pt idx="17">
                  <c:v>35968086.221370302</c:v>
                </c:pt>
                <c:pt idx="18">
                  <c:v>32270993.364936799</c:v>
                </c:pt>
                <c:pt idx="19">
                  <c:v>35181414.376074404</c:v>
                </c:pt>
                <c:pt idx="20">
                  <c:v>33580032.230374299</c:v>
                </c:pt>
                <c:pt idx="21">
                  <c:v>38101942.795548201</c:v>
                </c:pt>
                <c:pt idx="22">
                  <c:v>33635657.664458998</c:v>
                </c:pt>
                <c:pt idx="23">
                  <c:v>35679512.108589202</c:v>
                </c:pt>
                <c:pt idx="24">
                  <c:v>44319108.751037501</c:v>
                </c:pt>
                <c:pt idx="25">
                  <c:v>58611864.474740699</c:v>
                </c:pt>
                <c:pt idx="26">
                  <c:v>44827668.225665703</c:v>
                </c:pt>
                <c:pt idx="27">
                  <c:v>58774761.059560299</c:v>
                </c:pt>
                <c:pt idx="28">
                  <c:v>43133139.885631099</c:v>
                </c:pt>
                <c:pt idx="29">
                  <c:v>57800714.602525301</c:v>
                </c:pt>
                <c:pt idx="30">
                  <c:v>44093599.091592498</c:v>
                </c:pt>
                <c:pt idx="31">
                  <c:v>59739184.075714603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1A-2A4B-AEDB-4EE69CE7B117}"/>
            </c:ext>
          </c:extLst>
        </c:ser>
        <c:ser>
          <c:idx val="1"/>
          <c:order val="1"/>
          <c:tx>
            <c:strRef>
              <c:f>Sheet2!$C$1</c:f>
              <c:strCache>
                <c:ptCount val="1"/>
                <c:pt idx="0">
                  <c:v>ITP_running_earning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Sheet2!$C$2:$C$33</c:f>
              <c:numCache>
                <c:formatCode>General</c:formatCode>
                <c:ptCount val="32"/>
                <c:pt idx="0">
                  <c:v>13669087.935521601</c:v>
                </c:pt>
                <c:pt idx="1">
                  <c:v>18617268.7772009</c:v>
                </c:pt>
                <c:pt idx="2">
                  <c:v>14280750.159051601</c:v>
                </c:pt>
                <c:pt idx="3">
                  <c:v>17274192.549144398</c:v>
                </c:pt>
                <c:pt idx="4">
                  <c:v>15027102.4151637</c:v>
                </c:pt>
                <c:pt idx="5">
                  <c:v>18188488.7728904</c:v>
                </c:pt>
                <c:pt idx="6">
                  <c:v>15396715.5530074</c:v>
                </c:pt>
                <c:pt idx="7">
                  <c:v>20289222.3914482</c:v>
                </c:pt>
                <c:pt idx="8">
                  <c:v>34444808.895708598</c:v>
                </c:pt>
                <c:pt idx="9">
                  <c:v>37281556.479362503</c:v>
                </c:pt>
                <c:pt idx="10">
                  <c:v>36258226.497209102</c:v>
                </c:pt>
                <c:pt idx="11">
                  <c:v>37963000.064385802</c:v>
                </c:pt>
                <c:pt idx="12">
                  <c:v>33241507.350822099</c:v>
                </c:pt>
                <c:pt idx="13">
                  <c:v>40547563.2628683</c:v>
                </c:pt>
                <c:pt idx="14">
                  <c:v>29819495.686450001</c:v>
                </c:pt>
                <c:pt idx="15">
                  <c:v>37801832.569196701</c:v>
                </c:pt>
                <c:pt idx="16">
                  <c:v>24334071.243900001</c:v>
                </c:pt>
                <c:pt idx="17">
                  <c:v>34552204.271637604</c:v>
                </c:pt>
                <c:pt idx="18">
                  <c:v>25574946.229021698</c:v>
                </c:pt>
                <c:pt idx="19">
                  <c:v>31751240.718002301</c:v>
                </c:pt>
                <c:pt idx="20">
                  <c:v>27254184.135608699</c:v>
                </c:pt>
                <c:pt idx="21">
                  <c:v>33820239.621598698</c:v>
                </c:pt>
                <c:pt idx="22">
                  <c:v>27922423.7531044</c:v>
                </c:pt>
                <c:pt idx="23">
                  <c:v>36677953.627322502</c:v>
                </c:pt>
                <c:pt idx="24">
                  <c:v>60406314.299913697</c:v>
                </c:pt>
                <c:pt idx="25">
                  <c:v>66441135.748124801</c:v>
                </c:pt>
                <c:pt idx="26">
                  <c:v>63918214.256502599</c:v>
                </c:pt>
                <c:pt idx="27">
                  <c:v>66776580.522116199</c:v>
                </c:pt>
                <c:pt idx="28">
                  <c:v>52009259.660008103</c:v>
                </c:pt>
                <c:pt idx="29">
                  <c:v>65279205.055693902</c:v>
                </c:pt>
                <c:pt idx="30">
                  <c:v>55296714.751731902</c:v>
                </c:pt>
                <c:pt idx="31">
                  <c:v>71434641.699422106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1A-2A4B-AEDB-4EE69CE7B117}"/>
            </c:ext>
          </c:extLst>
        </c:ser>
        <c:ser>
          <c:idx val="2"/>
          <c:order val="2"/>
          <c:tx>
            <c:strRef>
              <c:f>Sheet2!$D$1</c:f>
              <c:strCache>
                <c:ptCount val="1"/>
                <c:pt idx="0">
                  <c:v>University net earning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Sheet2!$D$2:$D$33</c:f>
              <c:numCache>
                <c:formatCode>General</c:formatCode>
                <c:ptCount val="32"/>
                <c:pt idx="0">
                  <c:v>-18344203.504127599</c:v>
                </c:pt>
                <c:pt idx="1">
                  <c:v>-17400718.0542183</c:v>
                </c:pt>
                <c:pt idx="2">
                  <c:v>-17980638.827082999</c:v>
                </c:pt>
                <c:pt idx="3">
                  <c:v>-17933897.217544898</c:v>
                </c:pt>
                <c:pt idx="4">
                  <c:v>-18475187.509085301</c:v>
                </c:pt>
                <c:pt idx="5">
                  <c:v>-19846921.689263899</c:v>
                </c:pt>
                <c:pt idx="6">
                  <c:v>-18224713.245310701</c:v>
                </c:pt>
                <c:pt idx="7">
                  <c:v>-15464605.880899699</c:v>
                </c:pt>
                <c:pt idx="8">
                  <c:v>-9995948.2531276699</c:v>
                </c:pt>
                <c:pt idx="9">
                  <c:v>-21271591.610757701</c:v>
                </c:pt>
                <c:pt idx="10">
                  <c:v>-8739379.7214922309</c:v>
                </c:pt>
                <c:pt idx="11">
                  <c:v>-20088610.378621601</c:v>
                </c:pt>
                <c:pt idx="12">
                  <c:v>-10957125.6567099</c:v>
                </c:pt>
                <c:pt idx="13">
                  <c:v>-19298058.711867299</c:v>
                </c:pt>
                <c:pt idx="14">
                  <c:v>-13623563.6931441</c:v>
                </c:pt>
                <c:pt idx="15">
                  <c:v>-20695413.004154898</c:v>
                </c:pt>
                <c:pt idx="16">
                  <c:v>-7824259.4077669401</c:v>
                </c:pt>
                <c:pt idx="17">
                  <c:v>-1415881.9497326899</c:v>
                </c:pt>
                <c:pt idx="18">
                  <c:v>-6696047.13591504</c:v>
                </c:pt>
                <c:pt idx="19">
                  <c:v>-3430173.6580720502</c:v>
                </c:pt>
                <c:pt idx="20">
                  <c:v>-6325848.0947655402</c:v>
                </c:pt>
                <c:pt idx="21">
                  <c:v>-4281703.1739495499</c:v>
                </c:pt>
                <c:pt idx="22">
                  <c:v>-5713233.9113545902</c:v>
                </c:pt>
                <c:pt idx="23">
                  <c:v>998441.51873332204</c:v>
                </c:pt>
                <c:pt idx="24">
                  <c:v>16087205.5488762</c:v>
                </c:pt>
                <c:pt idx="25">
                  <c:v>7829271.27338407</c:v>
                </c:pt>
                <c:pt idx="26">
                  <c:v>19090546.030836798</c:v>
                </c:pt>
                <c:pt idx="27">
                  <c:v>8001819.4625559598</c:v>
                </c:pt>
                <c:pt idx="28">
                  <c:v>8876119.7743770704</c:v>
                </c:pt>
                <c:pt idx="29">
                  <c:v>7478490.4531686101</c:v>
                </c:pt>
                <c:pt idx="30">
                  <c:v>11203115.6601393</c:v>
                </c:pt>
                <c:pt idx="31">
                  <c:v>11695457.623707499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41A-2A4B-AEDB-4EE69CE7B1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3598368"/>
        <c:axId val="1"/>
      </c:barChart>
      <c:catAx>
        <c:axId val="1353598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35359836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Sheet2!$E$1</c:f>
              <c:strCache>
                <c:ptCount val="1"/>
                <c:pt idx="0">
                  <c:v>investor_total_profit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Sheet2!$E$2:$E$33</c:f>
              <c:numCache>
                <c:formatCode>General</c:formatCode>
                <c:ptCount val="32"/>
                <c:pt idx="0">
                  <c:v>2854300.44741912</c:v>
                </c:pt>
                <c:pt idx="1">
                  <c:v>5276152.1540186601</c:v>
                </c:pt>
                <c:pt idx="2">
                  <c:v>3541708.8077705898</c:v>
                </c:pt>
                <c:pt idx="3">
                  <c:v>5555419.1405721698</c:v>
                </c:pt>
                <c:pt idx="4">
                  <c:v>3739077.3759767199</c:v>
                </c:pt>
                <c:pt idx="5">
                  <c:v>5523068.9465412097</c:v>
                </c:pt>
                <c:pt idx="6">
                  <c:v>3324545.1185254999</c:v>
                </c:pt>
                <c:pt idx="7">
                  <c:v>5562969.6226570401</c:v>
                </c:pt>
                <c:pt idx="8">
                  <c:v>5860014.4728399199</c:v>
                </c:pt>
                <c:pt idx="9">
                  <c:v>6890859.1300853696</c:v>
                </c:pt>
                <c:pt idx="10">
                  <c:v>5583320.0365047902</c:v>
                </c:pt>
                <c:pt idx="11">
                  <c:v>6763097.8479180001</c:v>
                </c:pt>
                <c:pt idx="12">
                  <c:v>5208207.0322256703</c:v>
                </c:pt>
                <c:pt idx="13">
                  <c:v>9006970.76167983</c:v>
                </c:pt>
                <c:pt idx="14">
                  <c:v>5524899.5580428503</c:v>
                </c:pt>
                <c:pt idx="15">
                  <c:v>5671163.8589687198</c:v>
                </c:pt>
                <c:pt idx="16">
                  <c:v>5708600.89483824</c:v>
                </c:pt>
                <c:pt idx="17">
                  <c:v>10552304.3080373</c:v>
                </c:pt>
                <c:pt idx="18">
                  <c:v>7083417.6155411899</c:v>
                </c:pt>
                <c:pt idx="19">
                  <c:v>11110838.2811443</c:v>
                </c:pt>
                <c:pt idx="20">
                  <c:v>7478154.75195345</c:v>
                </c:pt>
                <c:pt idx="21">
                  <c:v>11046137.893082401</c:v>
                </c:pt>
                <c:pt idx="22">
                  <c:v>6649090.2370510101</c:v>
                </c:pt>
                <c:pt idx="23">
                  <c:v>11125939.245314</c:v>
                </c:pt>
                <c:pt idx="24">
                  <c:v>12197497.5760267</c:v>
                </c:pt>
                <c:pt idx="25">
                  <c:v>13380392.997028699</c:v>
                </c:pt>
                <c:pt idx="26">
                  <c:v>11345372.3988533</c:v>
                </c:pt>
                <c:pt idx="27">
                  <c:v>12545363.3466218</c:v>
                </c:pt>
                <c:pt idx="28">
                  <c:v>8448705.5089329593</c:v>
                </c:pt>
                <c:pt idx="29">
                  <c:v>9910339.2978468593</c:v>
                </c:pt>
                <c:pt idx="30">
                  <c:v>11557598.5557454</c:v>
                </c:pt>
                <c:pt idx="31">
                  <c:v>16310583.0297658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77-5340-BB9F-9F05C7809A32}"/>
            </c:ext>
          </c:extLst>
        </c:ser>
        <c:ser>
          <c:idx val="1"/>
          <c:order val="1"/>
          <c:tx>
            <c:strRef>
              <c:f>Sheet2!$F$1</c:f>
              <c:strCache>
                <c:ptCount val="1"/>
                <c:pt idx="0">
                  <c:v>total_investment_cost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Sheet2!$F$2:$F$33</c:f>
              <c:numCache>
                <c:formatCode>General</c:formatCode>
                <c:ptCount val="32"/>
                <c:pt idx="0">
                  <c:v>3303475.8399999901</c:v>
                </c:pt>
                <c:pt idx="1">
                  <c:v>3303475.8399999901</c:v>
                </c:pt>
                <c:pt idx="2">
                  <c:v>3303475.8399999901</c:v>
                </c:pt>
                <c:pt idx="3">
                  <c:v>3303475.8399999901</c:v>
                </c:pt>
                <c:pt idx="4">
                  <c:v>3303475.8399999901</c:v>
                </c:pt>
                <c:pt idx="5">
                  <c:v>3189562.8799999901</c:v>
                </c:pt>
                <c:pt idx="6">
                  <c:v>3189562.8799999901</c:v>
                </c:pt>
                <c:pt idx="7">
                  <c:v>3417388.79999999</c:v>
                </c:pt>
                <c:pt idx="8">
                  <c:v>9796514.5600000005</c:v>
                </c:pt>
                <c:pt idx="9">
                  <c:v>9682601.5999999996</c:v>
                </c:pt>
                <c:pt idx="10">
                  <c:v>9796514.5600000005</c:v>
                </c:pt>
                <c:pt idx="11">
                  <c:v>9796514.5600000005</c:v>
                </c:pt>
                <c:pt idx="12">
                  <c:v>9568688.6399999894</c:v>
                </c:pt>
                <c:pt idx="13">
                  <c:v>9682601.5999999996</c:v>
                </c:pt>
                <c:pt idx="14">
                  <c:v>9568688.6399999894</c:v>
                </c:pt>
                <c:pt idx="15">
                  <c:v>9682601.5999999996</c:v>
                </c:pt>
                <c:pt idx="16">
                  <c:v>3417388.79999999</c:v>
                </c:pt>
                <c:pt idx="17">
                  <c:v>3417388.79999999</c:v>
                </c:pt>
                <c:pt idx="18">
                  <c:v>3417388.79999999</c:v>
                </c:pt>
                <c:pt idx="19">
                  <c:v>3417388.79999999</c:v>
                </c:pt>
                <c:pt idx="20">
                  <c:v>3417388.79999999</c:v>
                </c:pt>
                <c:pt idx="21">
                  <c:v>3417388.79999999</c:v>
                </c:pt>
                <c:pt idx="22">
                  <c:v>3417388.79999999</c:v>
                </c:pt>
                <c:pt idx="23">
                  <c:v>3417388.79999999</c:v>
                </c:pt>
                <c:pt idx="24">
                  <c:v>10252166.4</c:v>
                </c:pt>
                <c:pt idx="25">
                  <c:v>10138253.439999999</c:v>
                </c:pt>
                <c:pt idx="26">
                  <c:v>10252166.4</c:v>
                </c:pt>
                <c:pt idx="27">
                  <c:v>10138253.439999999</c:v>
                </c:pt>
                <c:pt idx="28">
                  <c:v>10138253.439999999</c:v>
                </c:pt>
                <c:pt idx="29">
                  <c:v>10024340.48</c:v>
                </c:pt>
                <c:pt idx="30">
                  <c:v>10024340.48</c:v>
                </c:pt>
                <c:pt idx="31">
                  <c:v>10138253.439999999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77-5340-BB9F-9F05C7809A32}"/>
            </c:ext>
          </c:extLst>
        </c:ser>
        <c:ser>
          <c:idx val="2"/>
          <c:order val="2"/>
          <c:tx>
            <c:strRef>
              <c:f>Sheet2!$G$1</c:f>
              <c:strCache>
                <c:ptCount val="1"/>
                <c:pt idx="0">
                  <c:v>Investor net earning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Sheet2!$G$2:$G$33</c:f>
              <c:numCache>
                <c:formatCode>General</c:formatCode>
                <c:ptCount val="32"/>
                <c:pt idx="0">
                  <c:v>-449175.39258087007</c:v>
                </c:pt>
                <c:pt idx="1">
                  <c:v>1972676.31401867</c:v>
                </c:pt>
                <c:pt idx="2">
                  <c:v>238232.96777059976</c:v>
                </c:pt>
                <c:pt idx="3">
                  <c:v>2251943.3005721797</c:v>
                </c:pt>
                <c:pt idx="4">
                  <c:v>435601.53597672982</c:v>
                </c:pt>
                <c:pt idx="5">
                  <c:v>2333506.0665412196</c:v>
                </c:pt>
                <c:pt idx="6">
                  <c:v>134982.23852550983</c:v>
                </c:pt>
                <c:pt idx="7">
                  <c:v>2145580.8226570501</c:v>
                </c:pt>
                <c:pt idx="8">
                  <c:v>-3936500.0871600807</c:v>
                </c:pt>
                <c:pt idx="9">
                  <c:v>-2791742.4699146301</c:v>
                </c:pt>
                <c:pt idx="10">
                  <c:v>-4213194.5234952103</c:v>
                </c:pt>
                <c:pt idx="11">
                  <c:v>-3033416.7120820004</c:v>
                </c:pt>
                <c:pt idx="12">
                  <c:v>-4360481.6077743191</c:v>
                </c:pt>
                <c:pt idx="13">
                  <c:v>-675630.8383201696</c:v>
                </c:pt>
                <c:pt idx="14">
                  <c:v>-4043789.0819571391</c:v>
                </c:pt>
                <c:pt idx="15">
                  <c:v>-4011437.7410312798</c:v>
                </c:pt>
                <c:pt idx="16">
                  <c:v>2291212.09483825</c:v>
                </c:pt>
                <c:pt idx="17">
                  <c:v>7134915.5080373101</c:v>
                </c:pt>
                <c:pt idx="18">
                  <c:v>3666028.8155411999</c:v>
                </c:pt>
                <c:pt idx="19">
                  <c:v>7693449.4811443109</c:v>
                </c:pt>
                <c:pt idx="20">
                  <c:v>4060765.95195346</c:v>
                </c:pt>
                <c:pt idx="21">
                  <c:v>7628749.0930824112</c:v>
                </c:pt>
                <c:pt idx="22">
                  <c:v>3231701.4370510201</c:v>
                </c:pt>
                <c:pt idx="23">
                  <c:v>7708550.4453140106</c:v>
                </c:pt>
                <c:pt idx="24">
                  <c:v>1945331.1760267001</c:v>
                </c:pt>
                <c:pt idx="25">
                  <c:v>3242139.5570286997</c:v>
                </c:pt>
                <c:pt idx="26">
                  <c:v>1093205.9988532998</c:v>
                </c:pt>
                <c:pt idx="27">
                  <c:v>2407109.9066218007</c:v>
                </c:pt>
                <c:pt idx="28">
                  <c:v>-1689547.9310670402</c:v>
                </c:pt>
                <c:pt idx="29">
                  <c:v>-114001.18215314113</c:v>
                </c:pt>
                <c:pt idx="30">
                  <c:v>1533258.0757454</c:v>
                </c:pt>
                <c:pt idx="31">
                  <c:v>6172329.5897658002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77-5340-BB9F-9F05C7809A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3127504"/>
        <c:axId val="1"/>
      </c:barChart>
      <c:catAx>
        <c:axId val="135312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353127504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Sheet2!$H$1</c:f>
              <c:strCache>
                <c:ptCount val="1"/>
                <c:pt idx="0">
                  <c:v>average net earning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Sheet2!$H$2:$H$33</c:f>
              <c:numCache>
                <c:formatCode>General</c:formatCode>
                <c:ptCount val="32"/>
                <c:pt idx="0">
                  <c:v>-44917.53925808701</c:v>
                </c:pt>
                <c:pt idx="1">
                  <c:v>197267.63140186699</c:v>
                </c:pt>
                <c:pt idx="2">
                  <c:v>23823.296777059975</c:v>
                </c:pt>
                <c:pt idx="3">
                  <c:v>225194.33005721797</c:v>
                </c:pt>
                <c:pt idx="4">
                  <c:v>43560.153597672979</c:v>
                </c:pt>
                <c:pt idx="5">
                  <c:v>233350.60665412195</c:v>
                </c:pt>
                <c:pt idx="6">
                  <c:v>13498.223852550984</c:v>
                </c:pt>
                <c:pt idx="7">
                  <c:v>214558.08226570502</c:v>
                </c:pt>
                <c:pt idx="8">
                  <c:v>-131216.66957200269</c:v>
                </c:pt>
                <c:pt idx="9">
                  <c:v>-93058.082330487669</c:v>
                </c:pt>
                <c:pt idx="10">
                  <c:v>-140439.81744984034</c:v>
                </c:pt>
                <c:pt idx="11">
                  <c:v>-101113.89040273335</c:v>
                </c:pt>
                <c:pt idx="12">
                  <c:v>-145349.38692581063</c:v>
                </c:pt>
                <c:pt idx="13">
                  <c:v>-22521.027944005655</c:v>
                </c:pt>
                <c:pt idx="14">
                  <c:v>-134792.96939857129</c:v>
                </c:pt>
                <c:pt idx="15">
                  <c:v>-133714.59136770933</c:v>
                </c:pt>
                <c:pt idx="16">
                  <c:v>229121.20948382499</c:v>
                </c:pt>
                <c:pt idx="17">
                  <c:v>713491.55080373096</c:v>
                </c:pt>
                <c:pt idx="18">
                  <c:v>366602.88155411999</c:v>
                </c:pt>
                <c:pt idx="19">
                  <c:v>769344.94811443111</c:v>
                </c:pt>
                <c:pt idx="20">
                  <c:v>406076.59519534599</c:v>
                </c:pt>
                <c:pt idx="21">
                  <c:v>762874.9093082411</c:v>
                </c:pt>
                <c:pt idx="22">
                  <c:v>323170.14370510203</c:v>
                </c:pt>
                <c:pt idx="23">
                  <c:v>770855.04453140101</c:v>
                </c:pt>
                <c:pt idx="24">
                  <c:v>64844.372534223337</c:v>
                </c:pt>
                <c:pt idx="25">
                  <c:v>108071.31856762333</c:v>
                </c:pt>
                <c:pt idx="26">
                  <c:v>36440.199961776656</c:v>
                </c:pt>
                <c:pt idx="27">
                  <c:v>80236.996887393354</c:v>
                </c:pt>
                <c:pt idx="28">
                  <c:v>-56318.264368901342</c:v>
                </c:pt>
                <c:pt idx="29">
                  <c:v>-3800.0394051047042</c:v>
                </c:pt>
                <c:pt idx="30">
                  <c:v>51108.602524846669</c:v>
                </c:pt>
                <c:pt idx="31">
                  <c:v>205744.31965886001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B4-7E4F-A25F-72F26C54B3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53618288"/>
        <c:axId val="1"/>
      </c:barChart>
      <c:catAx>
        <c:axId val="13536182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353618288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Sheet2!$D$1</c:f>
              <c:strCache>
                <c:ptCount val="1"/>
                <c:pt idx="0">
                  <c:v>University net earning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Sheet2!$D$2:$D$33</c:f>
              <c:numCache>
                <c:formatCode>General</c:formatCode>
                <c:ptCount val="32"/>
                <c:pt idx="0">
                  <c:v>-18344203.504127599</c:v>
                </c:pt>
                <c:pt idx="1">
                  <c:v>-17400718.0542183</c:v>
                </c:pt>
                <c:pt idx="2">
                  <c:v>-17980638.827082999</c:v>
                </c:pt>
                <c:pt idx="3">
                  <c:v>-17933897.217544898</c:v>
                </c:pt>
                <c:pt idx="4">
                  <c:v>-18475187.509085301</c:v>
                </c:pt>
                <c:pt idx="5">
                  <c:v>-19846921.689263899</c:v>
                </c:pt>
                <c:pt idx="6">
                  <c:v>-18224713.245310701</c:v>
                </c:pt>
                <c:pt idx="7">
                  <c:v>-15464605.880899699</c:v>
                </c:pt>
                <c:pt idx="8">
                  <c:v>-9995948.2531276699</c:v>
                </c:pt>
                <c:pt idx="9">
                  <c:v>-21271591.610757701</c:v>
                </c:pt>
                <c:pt idx="10">
                  <c:v>-8739379.7214922309</c:v>
                </c:pt>
                <c:pt idx="11">
                  <c:v>-20088610.378621601</c:v>
                </c:pt>
                <c:pt idx="12">
                  <c:v>-10957125.6567099</c:v>
                </c:pt>
                <c:pt idx="13">
                  <c:v>-19298058.711867299</c:v>
                </c:pt>
                <c:pt idx="14">
                  <c:v>-13623563.6931441</c:v>
                </c:pt>
                <c:pt idx="15">
                  <c:v>-20695413.004154898</c:v>
                </c:pt>
                <c:pt idx="16">
                  <c:v>-7824259.4077669401</c:v>
                </c:pt>
                <c:pt idx="17">
                  <c:v>-1415881.9497326899</c:v>
                </c:pt>
                <c:pt idx="18">
                  <c:v>-6696047.13591504</c:v>
                </c:pt>
                <c:pt idx="19">
                  <c:v>-3430173.6580720502</c:v>
                </c:pt>
                <c:pt idx="20">
                  <c:v>-6325848.0947655402</c:v>
                </c:pt>
                <c:pt idx="21">
                  <c:v>-4281703.1739495499</c:v>
                </c:pt>
                <c:pt idx="22">
                  <c:v>-5713233.9113545902</c:v>
                </c:pt>
                <c:pt idx="23">
                  <c:v>998441.51873332204</c:v>
                </c:pt>
                <c:pt idx="24">
                  <c:v>16087205.5488762</c:v>
                </c:pt>
                <c:pt idx="25">
                  <c:v>7829271.27338407</c:v>
                </c:pt>
                <c:pt idx="26">
                  <c:v>19090546.030836798</c:v>
                </c:pt>
                <c:pt idx="27">
                  <c:v>8001819.4625559598</c:v>
                </c:pt>
                <c:pt idx="28">
                  <c:v>8876119.7743770704</c:v>
                </c:pt>
                <c:pt idx="29">
                  <c:v>7478490.4531686101</c:v>
                </c:pt>
                <c:pt idx="30">
                  <c:v>11203115.6601393</c:v>
                </c:pt>
                <c:pt idx="31">
                  <c:v>11695457.623707499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7-2645-B92C-7CFA78D74C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52893744"/>
        <c:axId val="1"/>
      </c:barChart>
      <c:catAx>
        <c:axId val="13528937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352893744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Comparison of university and investor final net earnings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Sheet2!$D$1</c:f>
              <c:strCache>
                <c:ptCount val="1"/>
                <c:pt idx="0">
                  <c:v>University net earning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Sheet2!$D$2:$D$33</c:f>
              <c:numCache>
                <c:formatCode>General</c:formatCode>
                <c:ptCount val="32"/>
                <c:pt idx="0">
                  <c:v>-18344203.504127599</c:v>
                </c:pt>
                <c:pt idx="1">
                  <c:v>-17400718.0542183</c:v>
                </c:pt>
                <c:pt idx="2">
                  <c:v>-17980638.827082999</c:v>
                </c:pt>
                <c:pt idx="3">
                  <c:v>-17933897.217544898</c:v>
                </c:pt>
                <c:pt idx="4">
                  <c:v>-18475187.509085301</c:v>
                </c:pt>
                <c:pt idx="5">
                  <c:v>-19846921.689263899</c:v>
                </c:pt>
                <c:pt idx="6">
                  <c:v>-18224713.245310701</c:v>
                </c:pt>
                <c:pt idx="7">
                  <c:v>-15464605.880899699</c:v>
                </c:pt>
                <c:pt idx="8">
                  <c:v>-9995948.2531276699</c:v>
                </c:pt>
                <c:pt idx="9">
                  <c:v>-21271591.610757701</c:v>
                </c:pt>
                <c:pt idx="10">
                  <c:v>-8739379.7214922309</c:v>
                </c:pt>
                <c:pt idx="11">
                  <c:v>-20088610.378621601</c:v>
                </c:pt>
                <c:pt idx="12">
                  <c:v>-10957125.6567099</c:v>
                </c:pt>
                <c:pt idx="13">
                  <c:v>-19298058.711867299</c:v>
                </c:pt>
                <c:pt idx="14">
                  <c:v>-13623563.6931441</c:v>
                </c:pt>
                <c:pt idx="15">
                  <c:v>-20695413.004154898</c:v>
                </c:pt>
                <c:pt idx="16">
                  <c:v>-7824259.4077669401</c:v>
                </c:pt>
                <c:pt idx="17">
                  <c:v>-1415881.9497326899</c:v>
                </c:pt>
                <c:pt idx="18">
                  <c:v>-6696047.13591504</c:v>
                </c:pt>
                <c:pt idx="19">
                  <c:v>-3430173.6580720502</c:v>
                </c:pt>
                <c:pt idx="20">
                  <c:v>-6325848.0947655402</c:v>
                </c:pt>
                <c:pt idx="21">
                  <c:v>-4281703.1739495499</c:v>
                </c:pt>
                <c:pt idx="22">
                  <c:v>-5713233.9113545902</c:v>
                </c:pt>
                <c:pt idx="23">
                  <c:v>998441.51873332204</c:v>
                </c:pt>
                <c:pt idx="24">
                  <c:v>16087205.5488762</c:v>
                </c:pt>
                <c:pt idx="25">
                  <c:v>7829271.27338407</c:v>
                </c:pt>
                <c:pt idx="26">
                  <c:v>19090546.030836798</c:v>
                </c:pt>
                <c:pt idx="27">
                  <c:v>8001819.4625559598</c:v>
                </c:pt>
                <c:pt idx="28">
                  <c:v>8876119.7743770704</c:v>
                </c:pt>
                <c:pt idx="29">
                  <c:v>7478490.4531686101</c:v>
                </c:pt>
                <c:pt idx="30">
                  <c:v>11203115.6601393</c:v>
                </c:pt>
                <c:pt idx="31">
                  <c:v>11695457.623707499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7F-5B4E-8451-EFA8184E08AE}"/>
            </c:ext>
          </c:extLst>
        </c:ser>
        <c:ser>
          <c:idx val="1"/>
          <c:order val="1"/>
          <c:tx>
            <c:strRef>
              <c:f>Sheet2!$G$1</c:f>
              <c:strCache>
                <c:ptCount val="1"/>
                <c:pt idx="0">
                  <c:v>Investor net earning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Sheet2!$A$2:$A$33</c:f>
              <c:strCache>
                <c:ptCount val="32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B </c:v>
                </c:pt>
                <c:pt idx="17">
                  <c:v>D</c:v>
                </c:pt>
                <c:pt idx="18">
                  <c:v>F</c:v>
                </c:pt>
                <c:pt idx="19">
                  <c:v>H</c:v>
                </c:pt>
                <c:pt idx="20">
                  <c:v>J</c:v>
                </c:pt>
                <c:pt idx="21">
                  <c:v>L</c:v>
                </c:pt>
                <c:pt idx="22">
                  <c:v>N</c:v>
                </c:pt>
                <c:pt idx="23">
                  <c:v>P</c:v>
                </c:pt>
                <c:pt idx="24">
                  <c:v>R</c:v>
                </c:pt>
                <c:pt idx="25">
                  <c:v>T</c:v>
                </c:pt>
                <c:pt idx="26">
                  <c:v>V</c:v>
                </c:pt>
                <c:pt idx="27">
                  <c:v>X</c:v>
                </c:pt>
                <c:pt idx="28">
                  <c:v>Z </c:v>
                </c:pt>
                <c:pt idx="29">
                  <c:v>AB</c:v>
                </c:pt>
                <c:pt idx="30">
                  <c:v>AD</c:v>
                </c:pt>
                <c:pt idx="31">
                  <c:v>AF</c:v>
                </c:pt>
              </c:strCache>
            </c:strRef>
          </c:cat>
          <c:val>
            <c:numRef>
              <c:f>Sheet2!$G$2:$G$33</c:f>
              <c:numCache>
                <c:formatCode>General</c:formatCode>
                <c:ptCount val="32"/>
                <c:pt idx="0">
                  <c:v>-449175.39258087007</c:v>
                </c:pt>
                <c:pt idx="1">
                  <c:v>1972676.31401867</c:v>
                </c:pt>
                <c:pt idx="2">
                  <c:v>238232.96777059976</c:v>
                </c:pt>
                <c:pt idx="3">
                  <c:v>2251943.3005721797</c:v>
                </c:pt>
                <c:pt idx="4">
                  <c:v>435601.53597672982</c:v>
                </c:pt>
                <c:pt idx="5">
                  <c:v>2333506.0665412196</c:v>
                </c:pt>
                <c:pt idx="6">
                  <c:v>134982.23852550983</c:v>
                </c:pt>
                <c:pt idx="7">
                  <c:v>2145580.8226570501</c:v>
                </c:pt>
                <c:pt idx="8">
                  <c:v>-3936500.0871600807</c:v>
                </c:pt>
                <c:pt idx="9">
                  <c:v>-2791742.4699146301</c:v>
                </c:pt>
                <c:pt idx="10">
                  <c:v>-4213194.5234952103</c:v>
                </c:pt>
                <c:pt idx="11">
                  <c:v>-3033416.7120820004</c:v>
                </c:pt>
                <c:pt idx="12">
                  <c:v>-4360481.6077743191</c:v>
                </c:pt>
                <c:pt idx="13">
                  <c:v>-675630.8383201696</c:v>
                </c:pt>
                <c:pt idx="14">
                  <c:v>-4043789.0819571391</c:v>
                </c:pt>
                <c:pt idx="15">
                  <c:v>-4011437.7410312798</c:v>
                </c:pt>
                <c:pt idx="16">
                  <c:v>2291212.09483825</c:v>
                </c:pt>
                <c:pt idx="17">
                  <c:v>7134915.5080373101</c:v>
                </c:pt>
                <c:pt idx="18">
                  <c:v>3666028.8155411999</c:v>
                </c:pt>
                <c:pt idx="19">
                  <c:v>7693449.4811443109</c:v>
                </c:pt>
                <c:pt idx="20">
                  <c:v>4060765.95195346</c:v>
                </c:pt>
                <c:pt idx="21">
                  <c:v>7628749.0930824112</c:v>
                </c:pt>
                <c:pt idx="22">
                  <c:v>3231701.4370510201</c:v>
                </c:pt>
                <c:pt idx="23">
                  <c:v>7708550.4453140106</c:v>
                </c:pt>
                <c:pt idx="24">
                  <c:v>1945331.1760267001</c:v>
                </c:pt>
                <c:pt idx="25">
                  <c:v>3242139.5570286997</c:v>
                </c:pt>
                <c:pt idx="26">
                  <c:v>1093205.9988532998</c:v>
                </c:pt>
                <c:pt idx="27">
                  <c:v>2407109.9066218007</c:v>
                </c:pt>
                <c:pt idx="28">
                  <c:v>-1689547.9310670402</c:v>
                </c:pt>
                <c:pt idx="29">
                  <c:v>-114001.18215314113</c:v>
                </c:pt>
                <c:pt idx="30">
                  <c:v>1533258.0757454</c:v>
                </c:pt>
                <c:pt idx="31">
                  <c:v>6172329.5897658002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7F-5B4E-8451-EFA8184E08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53569648"/>
        <c:axId val="1"/>
      </c:barChart>
      <c:catAx>
        <c:axId val="13535696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20000000"/>
          <c:min val="-220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35356964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Parameter</a:t>
            </a:r>
            <a:r>
              <a:rPr lang="en-GB" baseline="0"/>
              <a:t> setups</a:t>
            </a:r>
            <a:endParaRPr lang="en-GB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Sheet3!$C$1</c:f>
              <c:strCache>
                <c:ptCount val="1"/>
                <c:pt idx="0">
                  <c:v>nursery_count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Sheet3!$A$2:$A$39</c:f>
              <c:strCache>
                <c:ptCount val="38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AG</c:v>
                </c:pt>
                <c:pt idx="17">
                  <c:v>AI</c:v>
                </c:pt>
                <c:pt idx="18">
                  <c:v>AK</c:v>
                </c:pt>
                <c:pt idx="19">
                  <c:v>AM </c:v>
                </c:pt>
                <c:pt idx="20">
                  <c:v>AO</c:v>
                </c:pt>
                <c:pt idx="21">
                  <c:v>AQ</c:v>
                </c:pt>
                <c:pt idx="22">
                  <c:v>B </c:v>
                </c:pt>
                <c:pt idx="23">
                  <c:v>D</c:v>
                </c:pt>
                <c:pt idx="24">
                  <c:v>F</c:v>
                </c:pt>
                <c:pt idx="25">
                  <c:v>H</c:v>
                </c:pt>
                <c:pt idx="26">
                  <c:v>J</c:v>
                </c:pt>
                <c:pt idx="27">
                  <c:v>L</c:v>
                </c:pt>
                <c:pt idx="28">
                  <c:v>N</c:v>
                </c:pt>
                <c:pt idx="29">
                  <c:v>P</c:v>
                </c:pt>
                <c:pt idx="30">
                  <c:v>R</c:v>
                </c:pt>
                <c:pt idx="31">
                  <c:v>T</c:v>
                </c:pt>
                <c:pt idx="32">
                  <c:v>V</c:v>
                </c:pt>
                <c:pt idx="33">
                  <c:v>X</c:v>
                </c:pt>
                <c:pt idx="34">
                  <c:v>Z </c:v>
                </c:pt>
                <c:pt idx="35">
                  <c:v>AB</c:v>
                </c:pt>
                <c:pt idx="36">
                  <c:v>AD</c:v>
                </c:pt>
                <c:pt idx="37">
                  <c:v>AF</c:v>
                </c:pt>
              </c:strCache>
            </c:strRef>
          </c:cat>
          <c:val>
            <c:numRef>
              <c:f>Sheet3!$C$2:$C$39</c:f>
              <c:numCache>
                <c:formatCode>General</c:formatCode>
                <c:ptCount val="3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4</c:v>
                </c:pt>
                <c:pt idx="21">
                  <c:v>4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52-2C43-B0A3-DA8456364619}"/>
            </c:ext>
          </c:extLst>
        </c:ser>
        <c:ser>
          <c:idx val="1"/>
          <c:order val="1"/>
          <c:tx>
            <c:strRef>
              <c:f>Sheet3!$D$1</c:f>
              <c:strCache>
                <c:ptCount val="1"/>
                <c:pt idx="0">
                  <c:v>police_count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Sheet3!$A$2:$A$39</c:f>
              <c:strCache>
                <c:ptCount val="38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AG</c:v>
                </c:pt>
                <c:pt idx="17">
                  <c:v>AI</c:v>
                </c:pt>
                <c:pt idx="18">
                  <c:v>AK</c:v>
                </c:pt>
                <c:pt idx="19">
                  <c:v>AM </c:v>
                </c:pt>
                <c:pt idx="20">
                  <c:v>AO</c:v>
                </c:pt>
                <c:pt idx="21">
                  <c:v>AQ</c:v>
                </c:pt>
                <c:pt idx="22">
                  <c:v>B </c:v>
                </c:pt>
                <c:pt idx="23">
                  <c:v>D</c:v>
                </c:pt>
                <c:pt idx="24">
                  <c:v>F</c:v>
                </c:pt>
                <c:pt idx="25">
                  <c:v>H</c:v>
                </c:pt>
                <c:pt idx="26">
                  <c:v>J</c:v>
                </c:pt>
                <c:pt idx="27">
                  <c:v>L</c:v>
                </c:pt>
                <c:pt idx="28">
                  <c:v>N</c:v>
                </c:pt>
                <c:pt idx="29">
                  <c:v>P</c:v>
                </c:pt>
                <c:pt idx="30">
                  <c:v>R</c:v>
                </c:pt>
                <c:pt idx="31">
                  <c:v>T</c:v>
                </c:pt>
                <c:pt idx="32">
                  <c:v>V</c:v>
                </c:pt>
                <c:pt idx="33">
                  <c:v>X</c:v>
                </c:pt>
                <c:pt idx="34">
                  <c:v>Z </c:v>
                </c:pt>
                <c:pt idx="35">
                  <c:v>AB</c:v>
                </c:pt>
                <c:pt idx="36">
                  <c:v>AD</c:v>
                </c:pt>
                <c:pt idx="37">
                  <c:v>AF</c:v>
                </c:pt>
              </c:strCache>
            </c:strRef>
          </c:cat>
          <c:val>
            <c:numRef>
              <c:f>Sheet3!$D$2:$D$39</c:f>
              <c:numCache>
                <c:formatCode>General</c:formatCode>
                <c:ptCount val="38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3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3</c:v>
                </c:pt>
                <c:pt idx="8">
                  <c:v>1</c:v>
                </c:pt>
                <c:pt idx="9">
                  <c:v>1</c:v>
                </c:pt>
                <c:pt idx="10">
                  <c:v>3</c:v>
                </c:pt>
                <c:pt idx="11">
                  <c:v>3</c:v>
                </c:pt>
                <c:pt idx="12">
                  <c:v>1</c:v>
                </c:pt>
                <c:pt idx="13">
                  <c:v>1</c:v>
                </c:pt>
                <c:pt idx="14">
                  <c:v>3</c:v>
                </c:pt>
                <c:pt idx="15">
                  <c:v>3</c:v>
                </c:pt>
                <c:pt idx="16">
                  <c:v>1</c:v>
                </c:pt>
                <c:pt idx="17">
                  <c:v>1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3</c:v>
                </c:pt>
                <c:pt idx="25">
                  <c:v>3</c:v>
                </c:pt>
                <c:pt idx="26">
                  <c:v>1</c:v>
                </c:pt>
                <c:pt idx="27">
                  <c:v>1</c:v>
                </c:pt>
                <c:pt idx="28">
                  <c:v>3</c:v>
                </c:pt>
                <c:pt idx="29">
                  <c:v>3</c:v>
                </c:pt>
                <c:pt idx="30">
                  <c:v>1</c:v>
                </c:pt>
                <c:pt idx="31">
                  <c:v>1</c:v>
                </c:pt>
                <c:pt idx="32">
                  <c:v>3</c:v>
                </c:pt>
                <c:pt idx="33">
                  <c:v>3</c:v>
                </c:pt>
                <c:pt idx="34">
                  <c:v>1</c:v>
                </c:pt>
                <c:pt idx="35">
                  <c:v>1</c:v>
                </c:pt>
                <c:pt idx="36">
                  <c:v>3</c:v>
                </c:pt>
                <c:pt idx="37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52-2C43-B0A3-DA8456364619}"/>
            </c:ext>
          </c:extLst>
        </c:ser>
        <c:ser>
          <c:idx val="2"/>
          <c:order val="2"/>
          <c:tx>
            <c:strRef>
              <c:f>Sheet3!$E$1</c:f>
              <c:strCache>
                <c:ptCount val="1"/>
                <c:pt idx="0">
                  <c:v>member_count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Sheet3!$A$2:$A$39</c:f>
              <c:strCache>
                <c:ptCount val="38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AG</c:v>
                </c:pt>
                <c:pt idx="17">
                  <c:v>AI</c:v>
                </c:pt>
                <c:pt idx="18">
                  <c:v>AK</c:v>
                </c:pt>
                <c:pt idx="19">
                  <c:v>AM </c:v>
                </c:pt>
                <c:pt idx="20">
                  <c:v>AO</c:v>
                </c:pt>
                <c:pt idx="21">
                  <c:v>AQ</c:v>
                </c:pt>
                <c:pt idx="22">
                  <c:v>B </c:v>
                </c:pt>
                <c:pt idx="23">
                  <c:v>D</c:v>
                </c:pt>
                <c:pt idx="24">
                  <c:v>F</c:v>
                </c:pt>
                <c:pt idx="25">
                  <c:v>H</c:v>
                </c:pt>
                <c:pt idx="26">
                  <c:v>J</c:v>
                </c:pt>
                <c:pt idx="27">
                  <c:v>L</c:v>
                </c:pt>
                <c:pt idx="28">
                  <c:v>N</c:v>
                </c:pt>
                <c:pt idx="29">
                  <c:v>P</c:v>
                </c:pt>
                <c:pt idx="30">
                  <c:v>R</c:v>
                </c:pt>
                <c:pt idx="31">
                  <c:v>T</c:v>
                </c:pt>
                <c:pt idx="32">
                  <c:v>V</c:v>
                </c:pt>
                <c:pt idx="33">
                  <c:v>X</c:v>
                </c:pt>
                <c:pt idx="34">
                  <c:v>Z </c:v>
                </c:pt>
                <c:pt idx="35">
                  <c:v>AB</c:v>
                </c:pt>
                <c:pt idx="36">
                  <c:v>AD</c:v>
                </c:pt>
                <c:pt idx="37">
                  <c:v>AF</c:v>
                </c:pt>
              </c:strCache>
            </c:strRef>
          </c:cat>
          <c:val>
            <c:numRef>
              <c:f>Sheet3!$E$2:$E$39</c:f>
              <c:numCache>
                <c:formatCode>General</c:formatCode>
                <c:ptCount val="38"/>
                <c:pt idx="0">
                  <c:v>15</c:v>
                </c:pt>
                <c:pt idx="1">
                  <c:v>30</c:v>
                </c:pt>
                <c:pt idx="2">
                  <c:v>15</c:v>
                </c:pt>
                <c:pt idx="3">
                  <c:v>30</c:v>
                </c:pt>
                <c:pt idx="4">
                  <c:v>15</c:v>
                </c:pt>
                <c:pt idx="5">
                  <c:v>30</c:v>
                </c:pt>
                <c:pt idx="6">
                  <c:v>15</c:v>
                </c:pt>
                <c:pt idx="7">
                  <c:v>30</c:v>
                </c:pt>
                <c:pt idx="8">
                  <c:v>15</c:v>
                </c:pt>
                <c:pt idx="9">
                  <c:v>30</c:v>
                </c:pt>
                <c:pt idx="10">
                  <c:v>15</c:v>
                </c:pt>
                <c:pt idx="11">
                  <c:v>30</c:v>
                </c:pt>
                <c:pt idx="12">
                  <c:v>15</c:v>
                </c:pt>
                <c:pt idx="13">
                  <c:v>30</c:v>
                </c:pt>
                <c:pt idx="14">
                  <c:v>15</c:v>
                </c:pt>
                <c:pt idx="15">
                  <c:v>30</c:v>
                </c:pt>
                <c:pt idx="16">
                  <c:v>15</c:v>
                </c:pt>
                <c:pt idx="17">
                  <c:v>30</c:v>
                </c:pt>
                <c:pt idx="18">
                  <c:v>15</c:v>
                </c:pt>
                <c:pt idx="19">
                  <c:v>30</c:v>
                </c:pt>
                <c:pt idx="20">
                  <c:v>15</c:v>
                </c:pt>
                <c:pt idx="21">
                  <c:v>30</c:v>
                </c:pt>
                <c:pt idx="22">
                  <c:v>15</c:v>
                </c:pt>
                <c:pt idx="23">
                  <c:v>30</c:v>
                </c:pt>
                <c:pt idx="24">
                  <c:v>15</c:v>
                </c:pt>
                <c:pt idx="25">
                  <c:v>30</c:v>
                </c:pt>
                <c:pt idx="26">
                  <c:v>15</c:v>
                </c:pt>
                <c:pt idx="27">
                  <c:v>30</c:v>
                </c:pt>
                <c:pt idx="28">
                  <c:v>15</c:v>
                </c:pt>
                <c:pt idx="29">
                  <c:v>30</c:v>
                </c:pt>
                <c:pt idx="30">
                  <c:v>15</c:v>
                </c:pt>
                <c:pt idx="31">
                  <c:v>30</c:v>
                </c:pt>
                <c:pt idx="32">
                  <c:v>15</c:v>
                </c:pt>
                <c:pt idx="33">
                  <c:v>30</c:v>
                </c:pt>
                <c:pt idx="34">
                  <c:v>15</c:v>
                </c:pt>
                <c:pt idx="35">
                  <c:v>30</c:v>
                </c:pt>
                <c:pt idx="36">
                  <c:v>15</c:v>
                </c:pt>
                <c:pt idx="37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52-2C43-B0A3-DA8456364619}"/>
            </c:ext>
          </c:extLst>
        </c:ser>
        <c:ser>
          <c:idx val="3"/>
          <c:order val="3"/>
          <c:tx>
            <c:strRef>
              <c:f>Sheet3!$F$1</c:f>
              <c:strCache>
                <c:ptCount val="1"/>
                <c:pt idx="0">
                  <c:v>investor_count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Sheet3!$A$2:$A$39</c:f>
              <c:strCache>
                <c:ptCount val="38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AG</c:v>
                </c:pt>
                <c:pt idx="17">
                  <c:v>AI</c:v>
                </c:pt>
                <c:pt idx="18">
                  <c:v>AK</c:v>
                </c:pt>
                <c:pt idx="19">
                  <c:v>AM </c:v>
                </c:pt>
                <c:pt idx="20">
                  <c:v>AO</c:v>
                </c:pt>
                <c:pt idx="21">
                  <c:v>AQ</c:v>
                </c:pt>
                <c:pt idx="22">
                  <c:v>B </c:v>
                </c:pt>
                <c:pt idx="23">
                  <c:v>D</c:v>
                </c:pt>
                <c:pt idx="24">
                  <c:v>F</c:v>
                </c:pt>
                <c:pt idx="25">
                  <c:v>H</c:v>
                </c:pt>
                <c:pt idx="26">
                  <c:v>J</c:v>
                </c:pt>
                <c:pt idx="27">
                  <c:v>L</c:v>
                </c:pt>
                <c:pt idx="28">
                  <c:v>N</c:v>
                </c:pt>
                <c:pt idx="29">
                  <c:v>P</c:v>
                </c:pt>
                <c:pt idx="30">
                  <c:v>R</c:v>
                </c:pt>
                <c:pt idx="31">
                  <c:v>T</c:v>
                </c:pt>
                <c:pt idx="32">
                  <c:v>V</c:v>
                </c:pt>
                <c:pt idx="33">
                  <c:v>X</c:v>
                </c:pt>
                <c:pt idx="34">
                  <c:v>Z </c:v>
                </c:pt>
                <c:pt idx="35">
                  <c:v>AB</c:v>
                </c:pt>
                <c:pt idx="36">
                  <c:v>AD</c:v>
                </c:pt>
                <c:pt idx="37">
                  <c:v>AF</c:v>
                </c:pt>
              </c:strCache>
            </c:strRef>
          </c:cat>
          <c:val>
            <c:numRef>
              <c:f>Sheet3!$F$2:$F$39</c:f>
              <c:numCache>
                <c:formatCode>General</c:formatCode>
                <c:ptCount val="38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</c:v>
                </c:pt>
                <c:pt idx="12">
                  <c:v>30</c:v>
                </c:pt>
                <c:pt idx="13">
                  <c:v>30</c:v>
                </c:pt>
                <c:pt idx="14">
                  <c:v>30</c:v>
                </c:pt>
                <c:pt idx="15">
                  <c:v>30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10</c:v>
                </c:pt>
                <c:pt idx="29">
                  <c:v>10</c:v>
                </c:pt>
                <c:pt idx="30">
                  <c:v>30</c:v>
                </c:pt>
                <c:pt idx="31">
                  <c:v>30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C52-2C43-B0A3-DA8456364619}"/>
            </c:ext>
          </c:extLst>
        </c:ser>
        <c:ser>
          <c:idx val="4"/>
          <c:order val="4"/>
          <c:tx>
            <c:strRef>
              <c:f>Sheet3!$G$1</c:f>
              <c:strCache>
                <c:ptCount val="1"/>
                <c:pt idx="0">
                  <c:v>Price multiplier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Sheet3!$A$2:$A$39</c:f>
              <c:strCache>
                <c:ptCount val="38"/>
                <c:pt idx="0">
                  <c:v>A</c:v>
                </c:pt>
                <c:pt idx="1">
                  <c:v>C</c:v>
                </c:pt>
                <c:pt idx="2">
                  <c:v>E</c:v>
                </c:pt>
                <c:pt idx="3">
                  <c:v>G</c:v>
                </c:pt>
                <c:pt idx="4">
                  <c:v>I </c:v>
                </c:pt>
                <c:pt idx="5">
                  <c:v>K</c:v>
                </c:pt>
                <c:pt idx="6">
                  <c:v>M</c:v>
                </c:pt>
                <c:pt idx="7">
                  <c:v>O</c:v>
                </c:pt>
                <c:pt idx="8">
                  <c:v>Q</c:v>
                </c:pt>
                <c:pt idx="9">
                  <c:v>S</c:v>
                </c:pt>
                <c:pt idx="10">
                  <c:v>U</c:v>
                </c:pt>
                <c:pt idx="11">
                  <c:v>W</c:v>
                </c:pt>
                <c:pt idx="12">
                  <c:v>Y</c:v>
                </c:pt>
                <c:pt idx="13">
                  <c:v>AA</c:v>
                </c:pt>
                <c:pt idx="14">
                  <c:v>AC</c:v>
                </c:pt>
                <c:pt idx="15">
                  <c:v>AE</c:v>
                </c:pt>
                <c:pt idx="16">
                  <c:v>AG</c:v>
                </c:pt>
                <c:pt idx="17">
                  <c:v>AI</c:v>
                </c:pt>
                <c:pt idx="18">
                  <c:v>AK</c:v>
                </c:pt>
                <c:pt idx="19">
                  <c:v>AM </c:v>
                </c:pt>
                <c:pt idx="20">
                  <c:v>AO</c:v>
                </c:pt>
                <c:pt idx="21">
                  <c:v>AQ</c:v>
                </c:pt>
                <c:pt idx="22">
                  <c:v>B </c:v>
                </c:pt>
                <c:pt idx="23">
                  <c:v>D</c:v>
                </c:pt>
                <c:pt idx="24">
                  <c:v>F</c:v>
                </c:pt>
                <c:pt idx="25">
                  <c:v>H</c:v>
                </c:pt>
                <c:pt idx="26">
                  <c:v>J</c:v>
                </c:pt>
                <c:pt idx="27">
                  <c:v>L</c:v>
                </c:pt>
                <c:pt idx="28">
                  <c:v>N</c:v>
                </c:pt>
                <c:pt idx="29">
                  <c:v>P</c:v>
                </c:pt>
                <c:pt idx="30">
                  <c:v>R</c:v>
                </c:pt>
                <c:pt idx="31">
                  <c:v>T</c:v>
                </c:pt>
                <c:pt idx="32">
                  <c:v>V</c:v>
                </c:pt>
                <c:pt idx="33">
                  <c:v>X</c:v>
                </c:pt>
                <c:pt idx="34">
                  <c:v>Z </c:v>
                </c:pt>
                <c:pt idx="35">
                  <c:v>AB</c:v>
                </c:pt>
                <c:pt idx="36">
                  <c:v>AD</c:v>
                </c:pt>
                <c:pt idx="37">
                  <c:v>AF</c:v>
                </c:pt>
              </c:strCache>
            </c:strRef>
          </c:cat>
          <c:val>
            <c:numRef>
              <c:f>Sheet3!$G$2:$G$39</c:f>
              <c:numCache>
                <c:formatCode>General</c:formatCode>
                <c:ptCount val="3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C52-2C43-B0A3-DA84563646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3912624"/>
        <c:axId val="1"/>
      </c:lineChart>
      <c:catAx>
        <c:axId val="1673912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673912624"/>
        <c:crosses val="autoZero"/>
        <c:crossBetween val="between"/>
        <c:majorUnit val="1"/>
      </c:valAx>
      <c:spPr>
        <a:noFill/>
        <a:ln w="25400">
          <a:noFill/>
        </a:ln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Independent earning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Sheet5!$H$1</c:f>
              <c:strCache>
                <c:ptCount val="1"/>
                <c:pt idx="0">
                  <c:v>m_independent_earning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Sheet5!$E$2:$E$33</c:f>
              <c:strCache>
                <c:ptCount val="32"/>
                <c:pt idx="0">
                  <c:v>30-30 S</c:v>
                </c:pt>
                <c:pt idx="1">
                  <c:v>30-30 W</c:v>
                </c:pt>
                <c:pt idx="2">
                  <c:v>30-30 AA</c:v>
                </c:pt>
                <c:pt idx="3">
                  <c:v>30-30 AE</c:v>
                </c:pt>
                <c:pt idx="4">
                  <c:v>30-30 T</c:v>
                </c:pt>
                <c:pt idx="5">
                  <c:v>30-30 X</c:v>
                </c:pt>
                <c:pt idx="6">
                  <c:v>30-30 AB</c:v>
                </c:pt>
                <c:pt idx="7">
                  <c:v>30-30 AF</c:v>
                </c:pt>
                <c:pt idx="8">
                  <c:v>30-10 C</c:v>
                </c:pt>
                <c:pt idx="9">
                  <c:v>30-10 G</c:v>
                </c:pt>
                <c:pt idx="10">
                  <c:v>30-10 K</c:v>
                </c:pt>
                <c:pt idx="11">
                  <c:v>30-10 O</c:v>
                </c:pt>
                <c:pt idx="12">
                  <c:v>30-10 D</c:v>
                </c:pt>
                <c:pt idx="13">
                  <c:v>30-10 H</c:v>
                </c:pt>
                <c:pt idx="14">
                  <c:v>30-10 L</c:v>
                </c:pt>
                <c:pt idx="15">
                  <c:v>30-10 P</c:v>
                </c:pt>
                <c:pt idx="16">
                  <c:v>15-30 Q</c:v>
                </c:pt>
                <c:pt idx="17">
                  <c:v>15-30 U</c:v>
                </c:pt>
                <c:pt idx="18">
                  <c:v>15-30 Y</c:v>
                </c:pt>
                <c:pt idx="19">
                  <c:v>15-30 AC</c:v>
                </c:pt>
                <c:pt idx="20">
                  <c:v>15-30 R</c:v>
                </c:pt>
                <c:pt idx="21">
                  <c:v>15-30 V</c:v>
                </c:pt>
                <c:pt idx="22">
                  <c:v>15-30 Z </c:v>
                </c:pt>
                <c:pt idx="23">
                  <c:v>15-30 AD</c:v>
                </c:pt>
                <c:pt idx="24">
                  <c:v>15-10 A</c:v>
                </c:pt>
                <c:pt idx="25">
                  <c:v>15-10 E</c:v>
                </c:pt>
                <c:pt idx="26">
                  <c:v>15-10 I </c:v>
                </c:pt>
                <c:pt idx="27">
                  <c:v>15-10 M</c:v>
                </c:pt>
                <c:pt idx="28">
                  <c:v>15-10 B </c:v>
                </c:pt>
                <c:pt idx="29">
                  <c:v>15-10 F</c:v>
                </c:pt>
                <c:pt idx="30">
                  <c:v>15-10 J</c:v>
                </c:pt>
                <c:pt idx="31">
                  <c:v>15-10 N</c:v>
                </c:pt>
              </c:strCache>
            </c:strRef>
          </c:cat>
          <c:val>
            <c:numRef>
              <c:f>Sheet5!$H$2:$H$33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58709.1250899999</c:v>
                </c:pt>
                <c:pt idx="9">
                  <c:v>58709.125090000001</c:v>
                </c:pt>
                <c:pt idx="10">
                  <c:v>0</c:v>
                </c:pt>
                <c:pt idx="11">
                  <c:v>8387.0178699999997</c:v>
                </c:pt>
                <c:pt idx="12">
                  <c:v>58709.1250899999</c:v>
                </c:pt>
                <c:pt idx="13">
                  <c:v>58709.125090000001</c:v>
                </c:pt>
                <c:pt idx="14">
                  <c:v>0</c:v>
                </c:pt>
                <c:pt idx="15">
                  <c:v>8387.0178699999997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41-9749-8BA6-B1D9EE3027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40375360"/>
        <c:axId val="1"/>
      </c:barChart>
      <c:catAx>
        <c:axId val="4403753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440375360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Sheet5!$Q$1</c:f>
              <c:strCache>
                <c:ptCount val="1"/>
                <c:pt idx="0">
                  <c:v>net_running_earning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Sheet5!$O$2:$O$33</c:f>
              <c:strCache>
                <c:ptCount val="32"/>
                <c:pt idx="0">
                  <c:v>10-A</c:v>
                </c:pt>
                <c:pt idx="1">
                  <c:v>10-C</c:v>
                </c:pt>
                <c:pt idx="2">
                  <c:v>10-E</c:v>
                </c:pt>
                <c:pt idx="3">
                  <c:v>10-G</c:v>
                </c:pt>
                <c:pt idx="4">
                  <c:v>10-I</c:v>
                </c:pt>
                <c:pt idx="5">
                  <c:v>10-K</c:v>
                </c:pt>
                <c:pt idx="6">
                  <c:v>10-M</c:v>
                </c:pt>
                <c:pt idx="7">
                  <c:v>10-O</c:v>
                </c:pt>
                <c:pt idx="8">
                  <c:v>10-B </c:v>
                </c:pt>
                <c:pt idx="9">
                  <c:v>10-D</c:v>
                </c:pt>
                <c:pt idx="10">
                  <c:v>10-F</c:v>
                </c:pt>
                <c:pt idx="11">
                  <c:v>10-H</c:v>
                </c:pt>
                <c:pt idx="12">
                  <c:v>10-J</c:v>
                </c:pt>
                <c:pt idx="13">
                  <c:v>10-L</c:v>
                </c:pt>
                <c:pt idx="14">
                  <c:v>10-N</c:v>
                </c:pt>
                <c:pt idx="15">
                  <c:v>10-P</c:v>
                </c:pt>
                <c:pt idx="16">
                  <c:v>30-Q</c:v>
                </c:pt>
                <c:pt idx="17">
                  <c:v>30-S</c:v>
                </c:pt>
                <c:pt idx="18">
                  <c:v>30-U</c:v>
                </c:pt>
                <c:pt idx="19">
                  <c:v>30-W</c:v>
                </c:pt>
                <c:pt idx="20">
                  <c:v>30-Y</c:v>
                </c:pt>
                <c:pt idx="21">
                  <c:v>30-AA</c:v>
                </c:pt>
                <c:pt idx="22">
                  <c:v>30-AC</c:v>
                </c:pt>
                <c:pt idx="23">
                  <c:v>30-AE</c:v>
                </c:pt>
                <c:pt idx="24">
                  <c:v>30-R</c:v>
                </c:pt>
                <c:pt idx="25">
                  <c:v>30-T</c:v>
                </c:pt>
                <c:pt idx="26">
                  <c:v>30-V</c:v>
                </c:pt>
                <c:pt idx="27">
                  <c:v>30-X</c:v>
                </c:pt>
                <c:pt idx="28">
                  <c:v>30-Z </c:v>
                </c:pt>
                <c:pt idx="29">
                  <c:v>30-AB</c:v>
                </c:pt>
                <c:pt idx="30">
                  <c:v>30-AD</c:v>
                </c:pt>
                <c:pt idx="31">
                  <c:v>30-AF</c:v>
                </c:pt>
              </c:strCache>
            </c:strRef>
          </c:cat>
          <c:val>
            <c:numRef>
              <c:f>Sheet5!$Q$2:$Q$33</c:f>
              <c:numCache>
                <c:formatCode>General</c:formatCode>
                <c:ptCount val="32"/>
                <c:pt idx="0">
                  <c:v>-18344203.504127599</c:v>
                </c:pt>
                <c:pt idx="1">
                  <c:v>-17400718.0542183</c:v>
                </c:pt>
                <c:pt idx="2">
                  <c:v>-17980638.827082999</c:v>
                </c:pt>
                <c:pt idx="3">
                  <c:v>-17933897.217544898</c:v>
                </c:pt>
                <c:pt idx="4">
                  <c:v>-18475187.509085301</c:v>
                </c:pt>
                <c:pt idx="5">
                  <c:v>-19846921.689263899</c:v>
                </c:pt>
                <c:pt idx="6">
                  <c:v>-18224713.245310701</c:v>
                </c:pt>
                <c:pt idx="7">
                  <c:v>-15464605.880899699</c:v>
                </c:pt>
                <c:pt idx="8">
                  <c:v>-7824259.4077669401</c:v>
                </c:pt>
                <c:pt idx="9">
                  <c:v>-1415881.9497326899</c:v>
                </c:pt>
                <c:pt idx="10">
                  <c:v>-6696047.13591504</c:v>
                </c:pt>
                <c:pt idx="11">
                  <c:v>-3430173.6580720502</c:v>
                </c:pt>
                <c:pt idx="12">
                  <c:v>-6325848.0947655402</c:v>
                </c:pt>
                <c:pt idx="13">
                  <c:v>-4281703.1739495499</c:v>
                </c:pt>
                <c:pt idx="14">
                  <c:v>-5713233.9113545902</c:v>
                </c:pt>
                <c:pt idx="15">
                  <c:v>998441.51873332204</c:v>
                </c:pt>
                <c:pt idx="16">
                  <c:v>-9995948.2531276699</c:v>
                </c:pt>
                <c:pt idx="17">
                  <c:v>-21271591.610757701</c:v>
                </c:pt>
                <c:pt idx="18">
                  <c:v>-8739379.7214922309</c:v>
                </c:pt>
                <c:pt idx="19">
                  <c:v>-20088610.378621601</c:v>
                </c:pt>
                <c:pt idx="20">
                  <c:v>-10957125.6567099</c:v>
                </c:pt>
                <c:pt idx="21">
                  <c:v>-19298058.711867299</c:v>
                </c:pt>
                <c:pt idx="22">
                  <c:v>-13623563.6931441</c:v>
                </c:pt>
                <c:pt idx="23">
                  <c:v>-20695413.004154898</c:v>
                </c:pt>
                <c:pt idx="24">
                  <c:v>16087205.5488762</c:v>
                </c:pt>
                <c:pt idx="25">
                  <c:v>7829271.27338407</c:v>
                </c:pt>
                <c:pt idx="26">
                  <c:v>19090546.030836798</c:v>
                </c:pt>
                <c:pt idx="27">
                  <c:v>8001819.4625559598</c:v>
                </c:pt>
                <c:pt idx="28">
                  <c:v>8876119.7743770704</c:v>
                </c:pt>
                <c:pt idx="29">
                  <c:v>7478490.4531686101</c:v>
                </c:pt>
                <c:pt idx="30">
                  <c:v>11203115.6601393</c:v>
                </c:pt>
                <c:pt idx="31">
                  <c:v>11695457.623707499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79-8541-B9A9-DDA4A4925F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88057168"/>
        <c:axId val="1"/>
      </c:barChart>
      <c:catAx>
        <c:axId val="5880571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88057168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University net earning given investor count and tree price per bdft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Sheet5!$AD$1</c:f>
              <c:strCache>
                <c:ptCount val="1"/>
                <c:pt idx="0">
                  <c:v>net_running_earning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Sheet5!$Z$2:$Z$33</c:f>
              <c:strCache>
                <c:ptCount val="32"/>
                <c:pt idx="0">
                  <c:v>30-2 R</c:v>
                </c:pt>
                <c:pt idx="1">
                  <c:v>30-2 T</c:v>
                </c:pt>
                <c:pt idx="2">
                  <c:v>30-2 V</c:v>
                </c:pt>
                <c:pt idx="3">
                  <c:v>30-2 X</c:v>
                </c:pt>
                <c:pt idx="4">
                  <c:v>30-2 Z </c:v>
                </c:pt>
                <c:pt idx="5">
                  <c:v>30-2 AB</c:v>
                </c:pt>
                <c:pt idx="6">
                  <c:v>30-2 AD</c:v>
                </c:pt>
                <c:pt idx="7">
                  <c:v>30-2 AF</c:v>
                </c:pt>
                <c:pt idx="8">
                  <c:v>30-1 Q</c:v>
                </c:pt>
                <c:pt idx="9">
                  <c:v>30-1 S</c:v>
                </c:pt>
                <c:pt idx="10">
                  <c:v>30-1 U</c:v>
                </c:pt>
                <c:pt idx="11">
                  <c:v>30-1 W</c:v>
                </c:pt>
                <c:pt idx="12">
                  <c:v>30-1 Y</c:v>
                </c:pt>
                <c:pt idx="13">
                  <c:v>30-1 AA</c:v>
                </c:pt>
                <c:pt idx="14">
                  <c:v>30-1 AC</c:v>
                </c:pt>
                <c:pt idx="15">
                  <c:v>30-1 AE</c:v>
                </c:pt>
                <c:pt idx="16">
                  <c:v>10-2 B </c:v>
                </c:pt>
                <c:pt idx="17">
                  <c:v>10-2 D</c:v>
                </c:pt>
                <c:pt idx="18">
                  <c:v>10-2 F</c:v>
                </c:pt>
                <c:pt idx="19">
                  <c:v>10-2 H</c:v>
                </c:pt>
                <c:pt idx="20">
                  <c:v>10-2 J</c:v>
                </c:pt>
                <c:pt idx="21">
                  <c:v>10-2 L</c:v>
                </c:pt>
                <c:pt idx="22">
                  <c:v>10-2 N</c:v>
                </c:pt>
                <c:pt idx="23">
                  <c:v>10-2 P</c:v>
                </c:pt>
                <c:pt idx="24">
                  <c:v>10-1 A</c:v>
                </c:pt>
                <c:pt idx="25">
                  <c:v>10-1 C</c:v>
                </c:pt>
                <c:pt idx="26">
                  <c:v>10-1 E</c:v>
                </c:pt>
                <c:pt idx="27">
                  <c:v>10-1 G</c:v>
                </c:pt>
                <c:pt idx="28">
                  <c:v>10-1 I </c:v>
                </c:pt>
                <c:pt idx="29">
                  <c:v>10-1 K</c:v>
                </c:pt>
                <c:pt idx="30">
                  <c:v>10-1 M</c:v>
                </c:pt>
                <c:pt idx="31">
                  <c:v>10-1 O</c:v>
                </c:pt>
              </c:strCache>
            </c:strRef>
          </c:cat>
          <c:val>
            <c:numRef>
              <c:f>Sheet5!$AD$2:$AD$33</c:f>
              <c:numCache>
                <c:formatCode>General</c:formatCode>
                <c:ptCount val="32"/>
                <c:pt idx="0">
                  <c:v>16087205.5488762</c:v>
                </c:pt>
                <c:pt idx="1">
                  <c:v>7829271.27338407</c:v>
                </c:pt>
                <c:pt idx="2">
                  <c:v>19090546.030836798</c:v>
                </c:pt>
                <c:pt idx="3">
                  <c:v>8001819.4625559598</c:v>
                </c:pt>
                <c:pt idx="4">
                  <c:v>8876119.7743770704</c:v>
                </c:pt>
                <c:pt idx="5">
                  <c:v>7478490.4531686101</c:v>
                </c:pt>
                <c:pt idx="6">
                  <c:v>11203115.6601393</c:v>
                </c:pt>
                <c:pt idx="7">
                  <c:v>11695457.623707499</c:v>
                </c:pt>
                <c:pt idx="8">
                  <c:v>-9995948.2531276699</c:v>
                </c:pt>
                <c:pt idx="9">
                  <c:v>-21271591.610757701</c:v>
                </c:pt>
                <c:pt idx="10">
                  <c:v>-8739379.7214922309</c:v>
                </c:pt>
                <c:pt idx="11">
                  <c:v>-20088610.378621601</c:v>
                </c:pt>
                <c:pt idx="12">
                  <c:v>-10957125.6567099</c:v>
                </c:pt>
                <c:pt idx="13">
                  <c:v>-19298058.711867299</c:v>
                </c:pt>
                <c:pt idx="14">
                  <c:v>-13623563.6931441</c:v>
                </c:pt>
                <c:pt idx="15">
                  <c:v>-20695413.004154898</c:v>
                </c:pt>
                <c:pt idx="16">
                  <c:v>-7824259.4077669401</c:v>
                </c:pt>
                <c:pt idx="17">
                  <c:v>-1415881.9497326899</c:v>
                </c:pt>
                <c:pt idx="18">
                  <c:v>-6696047.13591504</c:v>
                </c:pt>
                <c:pt idx="19">
                  <c:v>-3430173.6580720502</c:v>
                </c:pt>
                <c:pt idx="20">
                  <c:v>-6325848.0947655402</c:v>
                </c:pt>
                <c:pt idx="21">
                  <c:v>-4281703.1739495499</c:v>
                </c:pt>
                <c:pt idx="22">
                  <c:v>-5713233.9113545902</c:v>
                </c:pt>
                <c:pt idx="23">
                  <c:v>998441.51873332204</c:v>
                </c:pt>
                <c:pt idx="24">
                  <c:v>-18344203.504127599</c:v>
                </c:pt>
                <c:pt idx="25">
                  <c:v>-17400718.0542183</c:v>
                </c:pt>
                <c:pt idx="26">
                  <c:v>-17980638.827082999</c:v>
                </c:pt>
                <c:pt idx="27">
                  <c:v>-17933897.217544898</c:v>
                </c:pt>
                <c:pt idx="28">
                  <c:v>-18475187.509085301</c:v>
                </c:pt>
                <c:pt idx="29">
                  <c:v>-19846921.689263899</c:v>
                </c:pt>
                <c:pt idx="30">
                  <c:v>-18224713.245310701</c:v>
                </c:pt>
                <c:pt idx="31">
                  <c:v>-15464605.880899699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39-7A47-BD52-43DC9374F6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35316608"/>
        <c:axId val="1"/>
      </c:barChart>
      <c:catAx>
        <c:axId val="13353166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20000000"/>
          <c:min val="-200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335316608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Sheet11!$H$3</c:f>
              <c:strCache>
                <c:ptCount val="1"/>
                <c:pt idx="0">
                  <c:v>15 members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Sheet11!$I$2:$L$2</c:f>
              <c:strCache>
                <c:ptCount val="4"/>
                <c:pt idx="0">
                  <c:v>Exotic</c:v>
                </c:pt>
                <c:pt idx="1">
                  <c:v>Partners' net earning</c:v>
                </c:pt>
                <c:pt idx="2">
                  <c:v>Independent earning</c:v>
                </c:pt>
                <c:pt idx="3">
                  <c:v>Investors' net earning</c:v>
                </c:pt>
              </c:strCache>
            </c:strRef>
          </c:cat>
          <c:val>
            <c:numRef>
              <c:f>Sheet11!$I$3:$L$3</c:f>
              <c:numCache>
                <c:formatCode>General</c:formatCode>
                <c:ptCount val="4"/>
                <c:pt idx="0">
                  <c:v>116596.375</c:v>
                </c:pt>
                <c:pt idx="1">
                  <c:v>148113.16137165483</c:v>
                </c:pt>
                <c:pt idx="2">
                  <c:v>0</c:v>
                </c:pt>
                <c:pt idx="3">
                  <c:v>56575.68951333189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F6-5A4A-9388-9F219DC63A54}"/>
            </c:ext>
          </c:extLst>
        </c:ser>
        <c:ser>
          <c:idx val="1"/>
          <c:order val="1"/>
          <c:tx>
            <c:strRef>
              <c:f>Sheet11!$H$4</c:f>
              <c:strCache>
                <c:ptCount val="1"/>
                <c:pt idx="0">
                  <c:v>30 members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Sheet11!$I$2:$L$2</c:f>
              <c:strCache>
                <c:ptCount val="4"/>
                <c:pt idx="0">
                  <c:v>Exotic</c:v>
                </c:pt>
                <c:pt idx="1">
                  <c:v>Partners' net earning</c:v>
                </c:pt>
                <c:pt idx="2">
                  <c:v>Independent earning</c:v>
                </c:pt>
                <c:pt idx="3">
                  <c:v>Investors' net earning</c:v>
                </c:pt>
              </c:strCache>
            </c:strRef>
          </c:cat>
          <c:val>
            <c:numRef>
              <c:f>Sheet11!$I$4:$L$4</c:f>
              <c:numCache>
                <c:formatCode>General</c:formatCode>
                <c:ptCount val="4"/>
                <c:pt idx="0">
                  <c:v>113943.1875</c:v>
                </c:pt>
                <c:pt idx="1">
                  <c:v>101235.8089216278</c:v>
                </c:pt>
                <c:pt idx="2">
                  <c:v>15725.658506249989</c:v>
                </c:pt>
                <c:pt idx="3">
                  <c:v>245423.8816750345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F6-5A4A-9388-9F219DC63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74681616"/>
        <c:axId val="1023782080"/>
      </c:barChart>
      <c:catAx>
        <c:axId val="1874681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023782080"/>
        <c:crosses val="autoZero"/>
        <c:auto val="1"/>
        <c:lblAlgn val="ctr"/>
        <c:lblOffset val="100"/>
        <c:noMultiLvlLbl val="0"/>
      </c:catAx>
      <c:valAx>
        <c:axId val="1023782080"/>
        <c:scaling>
          <c:orientation val="minMax"/>
          <c:max val="2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1874681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654050</xdr:colOff>
      <xdr:row>22</xdr:row>
      <xdr:rowOff>127000</xdr:rowOff>
    </xdr:from>
    <xdr:to>
      <xdr:col>17</xdr:col>
      <xdr:colOff>273050</xdr:colOff>
      <xdr:row>36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E23FD37-62B9-FEE2-1A16-4BF09B7CE3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692150</xdr:colOff>
      <xdr:row>36</xdr:row>
      <xdr:rowOff>12700</xdr:rowOff>
    </xdr:from>
    <xdr:to>
      <xdr:col>17</xdr:col>
      <xdr:colOff>311150</xdr:colOff>
      <xdr:row>49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9E8D6EC-4E93-5530-854E-6768ECEDB8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</xdr:colOff>
      <xdr:row>23</xdr:row>
      <xdr:rowOff>38100</xdr:rowOff>
    </xdr:from>
    <xdr:to>
      <xdr:col>12</xdr:col>
      <xdr:colOff>228600</xdr:colOff>
      <xdr:row>38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06BC84-1F62-A3CD-5C85-5D78847983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266700</xdr:colOff>
      <xdr:row>1</xdr:row>
      <xdr:rowOff>76200</xdr:rowOff>
    </xdr:from>
    <xdr:to>
      <xdr:col>11</xdr:col>
      <xdr:colOff>38100</xdr:colOff>
      <xdr:row>17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18C8ED9-CECD-1AB3-EC03-24D5096BB2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88900</xdr:colOff>
      <xdr:row>0</xdr:row>
      <xdr:rowOff>38100</xdr:rowOff>
    </xdr:from>
    <xdr:to>
      <xdr:col>18</xdr:col>
      <xdr:colOff>88900</xdr:colOff>
      <xdr:row>22</xdr:row>
      <xdr:rowOff>190500</xdr:rowOff>
    </xdr:to>
    <xdr:graphicFrame macro="">
      <xdr:nvGraphicFramePr>
        <xdr:cNvPr id="172280" name="Chart 1">
          <a:extLst>
            <a:ext uri="{FF2B5EF4-FFF2-40B4-BE49-F238E27FC236}">
              <a16:creationId xmlns:a16="http://schemas.microsoft.com/office/drawing/2014/main" id="{09C331CB-16BF-09A8-7635-4864BEAF8B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88900</xdr:colOff>
      <xdr:row>23</xdr:row>
      <xdr:rowOff>127000</xdr:rowOff>
    </xdr:from>
    <xdr:to>
      <xdr:col>18</xdr:col>
      <xdr:colOff>63500</xdr:colOff>
      <xdr:row>41</xdr:row>
      <xdr:rowOff>38100</xdr:rowOff>
    </xdr:to>
    <xdr:graphicFrame macro="">
      <xdr:nvGraphicFramePr>
        <xdr:cNvPr id="172281" name="Chart 2">
          <a:extLst>
            <a:ext uri="{FF2B5EF4-FFF2-40B4-BE49-F238E27FC236}">
              <a16:creationId xmlns:a16="http://schemas.microsoft.com/office/drawing/2014/main" id="{35506C37-8C80-B14D-E9B0-592AA044ED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177800</xdr:colOff>
      <xdr:row>0</xdr:row>
      <xdr:rowOff>0</xdr:rowOff>
    </xdr:from>
    <xdr:to>
      <xdr:col>18</xdr:col>
      <xdr:colOff>330200</xdr:colOff>
      <xdr:row>25</xdr:row>
      <xdr:rowOff>50800</xdr:rowOff>
    </xdr:to>
    <xdr:graphicFrame macro="">
      <xdr:nvGraphicFramePr>
        <xdr:cNvPr id="3854" name="Chart 1">
          <a:extLst>
            <a:ext uri="{FF2B5EF4-FFF2-40B4-BE49-F238E27FC236}">
              <a16:creationId xmlns:a16="http://schemas.microsoft.com/office/drawing/2014/main" id="{36D52641-3487-9EE8-B015-904CEC428A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177800</xdr:colOff>
      <xdr:row>25</xdr:row>
      <xdr:rowOff>152400</xdr:rowOff>
    </xdr:from>
    <xdr:to>
      <xdr:col>18</xdr:col>
      <xdr:colOff>330200</xdr:colOff>
      <xdr:row>44</xdr:row>
      <xdr:rowOff>127000</xdr:rowOff>
    </xdr:to>
    <xdr:graphicFrame macro="">
      <xdr:nvGraphicFramePr>
        <xdr:cNvPr id="3855" name="Chart 2">
          <a:extLst>
            <a:ext uri="{FF2B5EF4-FFF2-40B4-BE49-F238E27FC236}">
              <a16:creationId xmlns:a16="http://schemas.microsoft.com/office/drawing/2014/main" id="{A6C18E9B-239D-1722-DE89-64EDE3429B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469900</xdr:colOff>
      <xdr:row>25</xdr:row>
      <xdr:rowOff>139700</xdr:rowOff>
    </xdr:from>
    <xdr:to>
      <xdr:col>25</xdr:col>
      <xdr:colOff>292100</xdr:colOff>
      <xdr:row>44</xdr:row>
      <xdr:rowOff>127000</xdr:rowOff>
    </xdr:to>
    <xdr:graphicFrame macro="">
      <xdr:nvGraphicFramePr>
        <xdr:cNvPr id="3856" name="Chart 3">
          <a:extLst>
            <a:ext uri="{FF2B5EF4-FFF2-40B4-BE49-F238E27FC236}">
              <a16:creationId xmlns:a16="http://schemas.microsoft.com/office/drawing/2014/main" id="{26C1F425-D5C2-B0D6-BFED-EF35FA90B1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558800</xdr:colOff>
      <xdr:row>0</xdr:row>
      <xdr:rowOff>12700</xdr:rowOff>
    </xdr:from>
    <xdr:to>
      <xdr:col>25</xdr:col>
      <xdr:colOff>254000</xdr:colOff>
      <xdr:row>24</xdr:row>
      <xdr:rowOff>152400</xdr:rowOff>
    </xdr:to>
    <xdr:graphicFrame macro="">
      <xdr:nvGraphicFramePr>
        <xdr:cNvPr id="3857" name="Chart 4">
          <a:extLst>
            <a:ext uri="{FF2B5EF4-FFF2-40B4-BE49-F238E27FC236}">
              <a16:creationId xmlns:a16="http://schemas.microsoft.com/office/drawing/2014/main" id="{ED789C49-5311-CAB0-38C2-F7CEE90BB6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698500</xdr:colOff>
      <xdr:row>0</xdr:row>
      <xdr:rowOff>177800</xdr:rowOff>
    </xdr:from>
    <xdr:to>
      <xdr:col>32</xdr:col>
      <xdr:colOff>444500</xdr:colOff>
      <xdr:row>33</xdr:row>
      <xdr:rowOff>152400</xdr:rowOff>
    </xdr:to>
    <xdr:graphicFrame macro="">
      <xdr:nvGraphicFramePr>
        <xdr:cNvPr id="3858" name="Chart 8">
          <a:extLst>
            <a:ext uri="{FF2B5EF4-FFF2-40B4-BE49-F238E27FC236}">
              <a16:creationId xmlns:a16="http://schemas.microsoft.com/office/drawing/2014/main" id="{15B9523B-A5BB-1333-8D8B-AA501B790A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647700</xdr:colOff>
      <xdr:row>0</xdr:row>
      <xdr:rowOff>0</xdr:rowOff>
    </xdr:from>
    <xdr:to>
      <xdr:col>20</xdr:col>
      <xdr:colOff>228600</xdr:colOff>
      <xdr:row>24</xdr:row>
      <xdr:rowOff>114300</xdr:rowOff>
    </xdr:to>
    <xdr:graphicFrame macro="">
      <xdr:nvGraphicFramePr>
        <xdr:cNvPr id="8342" name="Chart 4">
          <a:extLst>
            <a:ext uri="{FF2B5EF4-FFF2-40B4-BE49-F238E27FC236}">
              <a16:creationId xmlns:a16="http://schemas.microsoft.com/office/drawing/2014/main" id="{5B27B7DC-C528-2A3A-E9A6-20D3DF21B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647700</xdr:colOff>
      <xdr:row>3</xdr:row>
      <xdr:rowOff>38100</xdr:rowOff>
    </xdr:from>
    <xdr:to>
      <xdr:col>12</xdr:col>
      <xdr:colOff>749300</xdr:colOff>
      <xdr:row>37</xdr:row>
      <xdr:rowOff>12700</xdr:rowOff>
    </xdr:to>
    <xdr:graphicFrame macro="">
      <xdr:nvGraphicFramePr>
        <xdr:cNvPr id="523391" name="Chart 2">
          <a:extLst>
            <a:ext uri="{FF2B5EF4-FFF2-40B4-BE49-F238E27FC236}">
              <a16:creationId xmlns:a16="http://schemas.microsoft.com/office/drawing/2014/main" id="{67AFBD54-2B7B-282E-385D-F157EA2088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127000</xdr:colOff>
      <xdr:row>0</xdr:row>
      <xdr:rowOff>0</xdr:rowOff>
    </xdr:from>
    <xdr:to>
      <xdr:col>22</xdr:col>
      <xdr:colOff>622300</xdr:colOff>
      <xdr:row>30</xdr:row>
      <xdr:rowOff>165100</xdr:rowOff>
    </xdr:to>
    <xdr:graphicFrame macro="">
      <xdr:nvGraphicFramePr>
        <xdr:cNvPr id="523392" name="Chart 4">
          <a:extLst>
            <a:ext uri="{FF2B5EF4-FFF2-40B4-BE49-F238E27FC236}">
              <a16:creationId xmlns:a16="http://schemas.microsoft.com/office/drawing/2014/main" id="{D1E558D8-0A46-ECFE-8D03-03E56E2AE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228600</xdr:colOff>
      <xdr:row>0</xdr:row>
      <xdr:rowOff>0</xdr:rowOff>
    </xdr:from>
    <xdr:to>
      <xdr:col>36</xdr:col>
      <xdr:colOff>520700</xdr:colOff>
      <xdr:row>33</xdr:row>
      <xdr:rowOff>0</xdr:rowOff>
    </xdr:to>
    <xdr:graphicFrame macro="">
      <xdr:nvGraphicFramePr>
        <xdr:cNvPr id="523393" name="Chart 5">
          <a:extLst>
            <a:ext uri="{FF2B5EF4-FFF2-40B4-BE49-F238E27FC236}">
              <a16:creationId xmlns:a16="http://schemas.microsoft.com/office/drawing/2014/main" id="{AA0A256C-28A3-1161-4921-DDDC43481B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736600</xdr:colOff>
      <xdr:row>8</xdr:row>
      <xdr:rowOff>38100</xdr:rowOff>
    </xdr:from>
    <xdr:to>
      <xdr:col>13</xdr:col>
      <xdr:colOff>355600</xdr:colOff>
      <xdr:row>20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7D644E6-9C26-516B-95DB-8F50B22174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9F72C64-A01E-F74D-9E00-3D54B162B11E}">
  <we:reference id="wa200002503" version="1.0.0.0" store="en-GB" storeType="OMEX"/>
  <we:alternateReferences>
    <we:reference id="WA200002503" version="1.0.0.0" store="WA200002503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33"/>
  <sheetViews>
    <sheetView topLeftCell="Q1" workbookViewId="0">
      <selection activeCell="AE1" activeCellId="3" sqref="A1:A33 H1:H33 X1:X33 AE1:AE33"/>
    </sheetView>
  </sheetViews>
  <sheetFormatPr baseColWidth="10" defaultRowHeight="16" x14ac:dyDescent="0.2"/>
  <sheetData>
    <row r="1" spans="1:33" x14ac:dyDescent="0.2">
      <c r="A1" t="s">
        <v>76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27</v>
      </c>
      <c r="P1" t="s">
        <v>13</v>
      </c>
      <c r="Q1" t="s">
        <v>14</v>
      </c>
      <c r="R1" t="s">
        <v>15</v>
      </c>
      <c r="S1" t="s">
        <v>16</v>
      </c>
      <c r="T1" t="s">
        <v>28</v>
      </c>
      <c r="U1" t="s">
        <v>259</v>
      </c>
      <c r="V1" t="s">
        <v>17</v>
      </c>
      <c r="W1" t="s">
        <v>18</v>
      </c>
      <c r="X1" t="s">
        <v>19</v>
      </c>
      <c r="Y1" t="s">
        <v>20</v>
      </c>
      <c r="Z1" t="s">
        <v>59</v>
      </c>
      <c r="AA1" t="s">
        <v>21</v>
      </c>
      <c r="AB1" t="s">
        <v>22</v>
      </c>
      <c r="AC1" t="s">
        <v>23</v>
      </c>
      <c r="AD1" t="s">
        <v>75</v>
      </c>
      <c r="AE1" t="s">
        <v>60</v>
      </c>
      <c r="AF1" t="s">
        <v>24</v>
      </c>
      <c r="AG1" t="s">
        <v>25</v>
      </c>
    </row>
    <row r="2" spans="1:33" x14ac:dyDescent="0.2">
      <c r="A2" t="s">
        <v>77</v>
      </c>
      <c r="B2">
        <v>265</v>
      </c>
      <c r="C2">
        <v>10</v>
      </c>
      <c r="D2">
        <v>1</v>
      </c>
      <c r="E2">
        <v>1</v>
      </c>
      <c r="F2">
        <v>15</v>
      </c>
      <c r="G2">
        <v>10</v>
      </c>
      <c r="H2">
        <v>45.06</v>
      </c>
      <c r="I2">
        <v>49.35</v>
      </c>
      <c r="J2">
        <v>0.3</v>
      </c>
      <c r="K2">
        <v>70509</v>
      </c>
      <c r="L2">
        <v>125713</v>
      </c>
      <c r="M2">
        <v>23266</v>
      </c>
      <c r="N2">
        <v>13539</v>
      </c>
      <c r="O2">
        <f t="shared" ref="O2:O33" si="0">SUM(K2:N2)</f>
        <v>233027</v>
      </c>
      <c r="P2">
        <v>35357</v>
      </c>
      <c r="Q2">
        <v>40384</v>
      </c>
      <c r="R2">
        <v>3789</v>
      </c>
      <c r="S2">
        <v>37392</v>
      </c>
      <c r="T2">
        <f t="shared" ref="T2:T33" si="1">SUM(P2:S2)</f>
        <v>116922</v>
      </c>
      <c r="U2">
        <f t="shared" ref="U2:U33" si="2">O2+T2</f>
        <v>349949</v>
      </c>
      <c r="V2">
        <v>32013291.439649198</v>
      </c>
      <c r="W2">
        <v>13669087.935521601</v>
      </c>
      <c r="X2">
        <v>-18344203.504127599</v>
      </c>
      <c r="Y2">
        <v>1929535.4806673899</v>
      </c>
      <c r="Z2">
        <f>Y2/F2</f>
        <v>128635.69871115933</v>
      </c>
      <c r="AA2">
        <v>0</v>
      </c>
      <c r="AB2">
        <v>2854300.44741912</v>
      </c>
      <c r="AC2">
        <v>3303475.8399999901</v>
      </c>
      <c r="AD2">
        <f t="shared" ref="AD2:AD33" si="3">AB2-AC2</f>
        <v>-449175.39258087007</v>
      </c>
      <c r="AE2">
        <f>AD2/G2</f>
        <v>-44917.53925808701</v>
      </c>
      <c r="AF2">
        <v>29</v>
      </c>
      <c r="AG2">
        <v>242</v>
      </c>
    </row>
    <row r="3" spans="1:33" x14ac:dyDescent="0.2">
      <c r="A3" t="s">
        <v>79</v>
      </c>
      <c r="B3">
        <v>265</v>
      </c>
      <c r="C3">
        <v>10</v>
      </c>
      <c r="D3">
        <v>1</v>
      </c>
      <c r="E3">
        <v>1</v>
      </c>
      <c r="F3">
        <v>30</v>
      </c>
      <c r="G3">
        <v>10</v>
      </c>
      <c r="H3">
        <v>45.06</v>
      </c>
      <c r="I3">
        <v>49.35</v>
      </c>
      <c r="J3">
        <v>0.3</v>
      </c>
      <c r="K3">
        <v>69388</v>
      </c>
      <c r="L3">
        <v>124036</v>
      </c>
      <c r="M3">
        <v>23944</v>
      </c>
      <c r="N3">
        <v>13137</v>
      </c>
      <c r="O3">
        <f t="shared" si="0"/>
        <v>230505</v>
      </c>
      <c r="P3">
        <v>33653</v>
      </c>
      <c r="Q3">
        <v>38129</v>
      </c>
      <c r="R3">
        <v>3965</v>
      </c>
      <c r="S3">
        <v>35700</v>
      </c>
      <c r="T3">
        <f t="shared" si="1"/>
        <v>111447</v>
      </c>
      <c r="U3">
        <f t="shared" si="2"/>
        <v>341952</v>
      </c>
      <c r="V3">
        <v>36017986.831419297</v>
      </c>
      <c r="W3">
        <v>18617268.7772009</v>
      </c>
      <c r="X3">
        <v>-17400718.0542183</v>
      </c>
      <c r="Y3">
        <v>1891800.60099817</v>
      </c>
      <c r="Z3">
        <f t="shared" ref="Z3:Z33" si="4">Y3/F3</f>
        <v>63060.020033272333</v>
      </c>
      <c r="AA3">
        <v>58709.1250899999</v>
      </c>
      <c r="AB3">
        <v>5276152.1540186601</v>
      </c>
      <c r="AC3">
        <v>3303475.8399999901</v>
      </c>
      <c r="AD3">
        <f t="shared" si="3"/>
        <v>1972676.31401867</v>
      </c>
      <c r="AE3">
        <f>AD3/G3</f>
        <v>197267.63140186699</v>
      </c>
      <c r="AF3">
        <v>29</v>
      </c>
      <c r="AG3">
        <v>57</v>
      </c>
    </row>
    <row r="4" spans="1:33" x14ac:dyDescent="0.2">
      <c r="A4" t="s">
        <v>81</v>
      </c>
      <c r="B4">
        <v>265</v>
      </c>
      <c r="C4">
        <v>10</v>
      </c>
      <c r="D4">
        <v>1</v>
      </c>
      <c r="E4">
        <v>3</v>
      </c>
      <c r="F4">
        <v>15</v>
      </c>
      <c r="G4">
        <v>10</v>
      </c>
      <c r="H4">
        <v>45.06</v>
      </c>
      <c r="I4">
        <v>49.35</v>
      </c>
      <c r="J4">
        <v>0.3</v>
      </c>
      <c r="K4">
        <v>70440</v>
      </c>
      <c r="L4">
        <v>125469</v>
      </c>
      <c r="M4">
        <v>22820</v>
      </c>
      <c r="N4">
        <v>13473</v>
      </c>
      <c r="O4">
        <f t="shared" si="0"/>
        <v>232202</v>
      </c>
      <c r="P4">
        <v>35569</v>
      </c>
      <c r="Q4">
        <v>40431</v>
      </c>
      <c r="R4">
        <v>3632</v>
      </c>
      <c r="S4">
        <v>37579</v>
      </c>
      <c r="T4">
        <f t="shared" si="1"/>
        <v>117211</v>
      </c>
      <c r="U4">
        <f t="shared" si="2"/>
        <v>349413</v>
      </c>
      <c r="V4">
        <v>32261388.9861346</v>
      </c>
      <c r="W4">
        <v>14280750.159051601</v>
      </c>
      <c r="X4">
        <v>-17980638.827082999</v>
      </c>
      <c r="Y4">
        <v>2183313.2873257101</v>
      </c>
      <c r="Z4">
        <f t="shared" si="4"/>
        <v>145554.21915504735</v>
      </c>
      <c r="AA4">
        <v>0</v>
      </c>
      <c r="AB4">
        <v>3541708.8077705898</v>
      </c>
      <c r="AC4">
        <v>3303475.8399999901</v>
      </c>
      <c r="AD4">
        <f t="shared" si="3"/>
        <v>238232.96777059976</v>
      </c>
      <c r="AE4">
        <f>AD4/G4</f>
        <v>23823.296777059975</v>
      </c>
      <c r="AF4">
        <v>29</v>
      </c>
      <c r="AG4">
        <v>224</v>
      </c>
    </row>
    <row r="5" spans="1:33" x14ac:dyDescent="0.2">
      <c r="A5" t="s">
        <v>82</v>
      </c>
      <c r="B5">
        <v>265</v>
      </c>
      <c r="C5">
        <v>10</v>
      </c>
      <c r="D5">
        <v>1</v>
      </c>
      <c r="E5">
        <v>3</v>
      </c>
      <c r="F5">
        <v>30</v>
      </c>
      <c r="G5">
        <v>10</v>
      </c>
      <c r="H5">
        <v>45.06</v>
      </c>
      <c r="I5">
        <v>49.35</v>
      </c>
      <c r="J5">
        <v>0.3</v>
      </c>
      <c r="K5">
        <v>69539</v>
      </c>
      <c r="L5">
        <v>123736</v>
      </c>
      <c r="M5">
        <v>24126</v>
      </c>
      <c r="N5">
        <v>13107</v>
      </c>
      <c r="O5">
        <f t="shared" si="0"/>
        <v>230508</v>
      </c>
      <c r="P5">
        <v>32877</v>
      </c>
      <c r="Q5">
        <v>37405</v>
      </c>
      <c r="R5">
        <v>3858</v>
      </c>
      <c r="S5">
        <v>34826</v>
      </c>
      <c r="T5">
        <f t="shared" si="1"/>
        <v>108966</v>
      </c>
      <c r="U5">
        <f t="shared" si="2"/>
        <v>339474</v>
      </c>
      <c r="V5">
        <v>35208089.766689397</v>
      </c>
      <c r="W5">
        <v>17274192.549144398</v>
      </c>
      <c r="X5">
        <v>-17933897.217544898</v>
      </c>
      <c r="Y5">
        <v>2749387.3966538599</v>
      </c>
      <c r="Z5">
        <f t="shared" si="4"/>
        <v>91646.246555128659</v>
      </c>
      <c r="AA5">
        <v>58709.125090000001</v>
      </c>
      <c r="AB5">
        <v>5555419.1405721698</v>
      </c>
      <c r="AC5">
        <v>3303475.8399999901</v>
      </c>
      <c r="AD5">
        <f t="shared" si="3"/>
        <v>2251943.3005721797</v>
      </c>
      <c r="AE5">
        <f>AD5/G5</f>
        <v>225194.33005721797</v>
      </c>
      <c r="AF5">
        <v>29</v>
      </c>
      <c r="AG5">
        <v>89</v>
      </c>
    </row>
    <row r="6" spans="1:33" x14ac:dyDescent="0.2">
      <c r="A6" t="s">
        <v>84</v>
      </c>
      <c r="B6">
        <v>265</v>
      </c>
      <c r="C6">
        <v>10</v>
      </c>
      <c r="D6">
        <v>4</v>
      </c>
      <c r="E6">
        <v>1</v>
      </c>
      <c r="F6">
        <v>15</v>
      </c>
      <c r="G6">
        <v>10</v>
      </c>
      <c r="H6">
        <v>45.06</v>
      </c>
      <c r="I6">
        <v>49.35</v>
      </c>
      <c r="J6">
        <v>0.3</v>
      </c>
      <c r="K6">
        <v>70584</v>
      </c>
      <c r="L6">
        <v>125483</v>
      </c>
      <c r="M6">
        <v>23081</v>
      </c>
      <c r="N6">
        <v>13536</v>
      </c>
      <c r="O6">
        <f t="shared" si="0"/>
        <v>232684</v>
      </c>
      <c r="P6">
        <v>35291</v>
      </c>
      <c r="Q6">
        <v>40018</v>
      </c>
      <c r="R6">
        <v>3700</v>
      </c>
      <c r="S6">
        <v>37321</v>
      </c>
      <c r="T6">
        <f t="shared" si="1"/>
        <v>116330</v>
      </c>
      <c r="U6">
        <f t="shared" si="2"/>
        <v>349014</v>
      </c>
      <c r="V6">
        <v>33502289.924249001</v>
      </c>
      <c r="W6">
        <v>15027102.4151637</v>
      </c>
      <c r="X6">
        <v>-18475187.509085301</v>
      </c>
      <c r="Y6">
        <v>2393621.50108886</v>
      </c>
      <c r="Z6">
        <f t="shared" si="4"/>
        <v>159574.76673925732</v>
      </c>
      <c r="AA6">
        <v>0</v>
      </c>
      <c r="AB6">
        <v>3739077.3759767199</v>
      </c>
      <c r="AC6">
        <v>3303475.8399999901</v>
      </c>
      <c r="AD6">
        <f t="shared" si="3"/>
        <v>435601.53597672982</v>
      </c>
      <c r="AE6">
        <f>AD6/G6</f>
        <v>43560.153597672979</v>
      </c>
      <c r="AF6">
        <v>29</v>
      </c>
      <c r="AG6">
        <v>250</v>
      </c>
    </row>
    <row r="7" spans="1:33" x14ac:dyDescent="0.2">
      <c r="A7" t="s">
        <v>86</v>
      </c>
      <c r="B7">
        <v>265</v>
      </c>
      <c r="C7">
        <v>10</v>
      </c>
      <c r="D7">
        <v>4</v>
      </c>
      <c r="E7">
        <v>1</v>
      </c>
      <c r="F7">
        <v>30</v>
      </c>
      <c r="G7">
        <v>10</v>
      </c>
      <c r="H7">
        <v>45.06</v>
      </c>
      <c r="I7">
        <v>49.35</v>
      </c>
      <c r="J7">
        <v>0.3</v>
      </c>
      <c r="K7">
        <v>71038</v>
      </c>
      <c r="L7">
        <v>126909</v>
      </c>
      <c r="M7">
        <v>23640</v>
      </c>
      <c r="N7">
        <v>13537</v>
      </c>
      <c r="O7">
        <f t="shared" si="0"/>
        <v>235124</v>
      </c>
      <c r="P7">
        <v>35268</v>
      </c>
      <c r="Q7">
        <v>39999</v>
      </c>
      <c r="R7">
        <v>3867</v>
      </c>
      <c r="S7">
        <v>37447</v>
      </c>
      <c r="T7">
        <f t="shared" si="1"/>
        <v>116581</v>
      </c>
      <c r="U7">
        <f t="shared" si="2"/>
        <v>351705</v>
      </c>
      <c r="V7">
        <v>38035410.462154403</v>
      </c>
      <c r="W7">
        <v>18188488.7728904</v>
      </c>
      <c r="X7">
        <v>-19846921.689263899</v>
      </c>
      <c r="Y7">
        <v>2580610.77446971</v>
      </c>
      <c r="Z7">
        <f t="shared" si="4"/>
        <v>86020.359148990334</v>
      </c>
      <c r="AA7">
        <v>0</v>
      </c>
      <c r="AB7">
        <v>5523068.9465412097</v>
      </c>
      <c r="AC7">
        <v>3189562.8799999901</v>
      </c>
      <c r="AD7">
        <f t="shared" si="3"/>
        <v>2333506.0665412196</v>
      </c>
      <c r="AE7">
        <f>AD7/G7</f>
        <v>233350.60665412195</v>
      </c>
      <c r="AF7">
        <v>28</v>
      </c>
      <c r="AG7">
        <v>64</v>
      </c>
    </row>
    <row r="8" spans="1:33" x14ac:dyDescent="0.2">
      <c r="A8" t="s">
        <v>88</v>
      </c>
      <c r="B8">
        <v>265</v>
      </c>
      <c r="C8">
        <v>10</v>
      </c>
      <c r="D8">
        <v>4</v>
      </c>
      <c r="E8">
        <v>3</v>
      </c>
      <c r="F8">
        <v>15</v>
      </c>
      <c r="G8">
        <v>10</v>
      </c>
      <c r="H8">
        <v>45.06</v>
      </c>
      <c r="I8">
        <v>49.35</v>
      </c>
      <c r="J8">
        <v>0.3</v>
      </c>
      <c r="K8">
        <v>70718</v>
      </c>
      <c r="L8">
        <v>126516</v>
      </c>
      <c r="M8">
        <v>23365</v>
      </c>
      <c r="N8">
        <v>13521</v>
      </c>
      <c r="O8">
        <f t="shared" si="0"/>
        <v>234120</v>
      </c>
      <c r="P8">
        <v>35314</v>
      </c>
      <c r="Q8">
        <v>39891</v>
      </c>
      <c r="R8">
        <v>3745</v>
      </c>
      <c r="S8">
        <v>37291</v>
      </c>
      <c r="T8">
        <f t="shared" si="1"/>
        <v>116241</v>
      </c>
      <c r="U8">
        <f t="shared" si="2"/>
        <v>350361</v>
      </c>
      <c r="V8">
        <v>33621428.798318103</v>
      </c>
      <c r="W8">
        <v>15396715.5530074</v>
      </c>
      <c r="X8">
        <v>-18224713.245310701</v>
      </c>
      <c r="Y8">
        <v>2531026.7322946098</v>
      </c>
      <c r="Z8">
        <f t="shared" si="4"/>
        <v>168735.11548630733</v>
      </c>
      <c r="AA8">
        <v>0</v>
      </c>
      <c r="AB8">
        <v>3324545.1185254999</v>
      </c>
      <c r="AC8">
        <v>3189562.8799999901</v>
      </c>
      <c r="AD8">
        <f t="shared" si="3"/>
        <v>134982.23852550983</v>
      </c>
      <c r="AE8">
        <f>AD8/G8</f>
        <v>13498.223852550984</v>
      </c>
      <c r="AF8">
        <v>28</v>
      </c>
      <c r="AG8">
        <v>195</v>
      </c>
    </row>
    <row r="9" spans="1:33" x14ac:dyDescent="0.2">
      <c r="A9" t="s">
        <v>90</v>
      </c>
      <c r="B9">
        <v>265</v>
      </c>
      <c r="C9">
        <v>10</v>
      </c>
      <c r="D9">
        <v>4</v>
      </c>
      <c r="E9">
        <v>3</v>
      </c>
      <c r="F9">
        <v>30</v>
      </c>
      <c r="G9">
        <v>10</v>
      </c>
      <c r="H9">
        <v>45.06</v>
      </c>
      <c r="I9">
        <v>49.35</v>
      </c>
      <c r="J9">
        <v>0.3</v>
      </c>
      <c r="K9">
        <v>69308</v>
      </c>
      <c r="L9">
        <v>123330</v>
      </c>
      <c r="M9">
        <v>23055</v>
      </c>
      <c r="N9">
        <v>13108</v>
      </c>
      <c r="O9">
        <f t="shared" si="0"/>
        <v>228801</v>
      </c>
      <c r="P9">
        <v>32786</v>
      </c>
      <c r="Q9">
        <v>37244</v>
      </c>
      <c r="R9">
        <v>3816</v>
      </c>
      <c r="S9">
        <v>34737</v>
      </c>
      <c r="T9">
        <f t="shared" si="1"/>
        <v>108583</v>
      </c>
      <c r="U9">
        <f t="shared" si="2"/>
        <v>337384</v>
      </c>
      <c r="V9">
        <v>35753828.272347897</v>
      </c>
      <c r="W9">
        <v>20289222.3914482</v>
      </c>
      <c r="X9">
        <v>-15464605.880899699</v>
      </c>
      <c r="Y9">
        <v>2576291.23343314</v>
      </c>
      <c r="Z9">
        <f t="shared" si="4"/>
        <v>85876.374447771334</v>
      </c>
      <c r="AA9">
        <v>8387.0178699999997</v>
      </c>
      <c r="AB9">
        <v>5562969.6226570401</v>
      </c>
      <c r="AC9">
        <v>3417388.79999999</v>
      </c>
      <c r="AD9">
        <f t="shared" si="3"/>
        <v>2145580.8226570501</v>
      </c>
      <c r="AE9">
        <f>AD9/G9</f>
        <v>214558.08226570502</v>
      </c>
      <c r="AF9">
        <v>30</v>
      </c>
      <c r="AG9">
        <v>70</v>
      </c>
    </row>
    <row r="10" spans="1:33" x14ac:dyDescent="0.2">
      <c r="A10" t="s">
        <v>92</v>
      </c>
      <c r="B10">
        <v>265</v>
      </c>
      <c r="C10">
        <v>10</v>
      </c>
      <c r="D10">
        <v>1</v>
      </c>
      <c r="E10">
        <v>1</v>
      </c>
      <c r="F10">
        <v>15</v>
      </c>
      <c r="G10">
        <v>30</v>
      </c>
      <c r="H10">
        <v>45.06</v>
      </c>
      <c r="I10">
        <v>49.35</v>
      </c>
      <c r="J10">
        <v>0.3</v>
      </c>
      <c r="K10">
        <v>70604</v>
      </c>
      <c r="L10">
        <v>125020</v>
      </c>
      <c r="M10">
        <v>25871</v>
      </c>
      <c r="N10">
        <v>14405</v>
      </c>
      <c r="O10">
        <f t="shared" si="0"/>
        <v>235900</v>
      </c>
      <c r="P10">
        <v>35274</v>
      </c>
      <c r="Q10">
        <v>39131</v>
      </c>
      <c r="R10">
        <v>4505</v>
      </c>
      <c r="S10">
        <v>37483</v>
      </c>
      <c r="T10">
        <f t="shared" si="1"/>
        <v>116393</v>
      </c>
      <c r="U10">
        <f t="shared" si="2"/>
        <v>352293</v>
      </c>
      <c r="V10">
        <v>44440757.1488363</v>
      </c>
      <c r="W10">
        <v>34444808.895708598</v>
      </c>
      <c r="X10">
        <v>-9995948.2531276699</v>
      </c>
      <c r="Y10">
        <v>2462721.96832792</v>
      </c>
      <c r="Z10">
        <f t="shared" si="4"/>
        <v>164181.46455519466</v>
      </c>
      <c r="AA10">
        <v>0</v>
      </c>
      <c r="AB10">
        <v>5860014.4728399199</v>
      </c>
      <c r="AC10">
        <v>9796514.5600000005</v>
      </c>
      <c r="AD10">
        <f t="shared" si="3"/>
        <v>-3936500.0871600807</v>
      </c>
      <c r="AE10">
        <f>AD10/G10</f>
        <v>-131216.66957200269</v>
      </c>
      <c r="AF10">
        <v>86</v>
      </c>
      <c r="AG10">
        <v>882</v>
      </c>
    </row>
    <row r="11" spans="1:33" x14ac:dyDescent="0.2">
      <c r="A11" t="s">
        <v>94</v>
      </c>
      <c r="B11">
        <v>265</v>
      </c>
      <c r="C11">
        <v>10</v>
      </c>
      <c r="D11">
        <v>1</v>
      </c>
      <c r="E11">
        <v>1</v>
      </c>
      <c r="F11">
        <v>30</v>
      </c>
      <c r="G11">
        <v>30</v>
      </c>
      <c r="H11">
        <v>45.06</v>
      </c>
      <c r="I11">
        <v>49.35</v>
      </c>
      <c r="J11">
        <v>0.3</v>
      </c>
      <c r="K11">
        <v>71020</v>
      </c>
      <c r="L11">
        <v>126306</v>
      </c>
      <c r="M11">
        <v>26097</v>
      </c>
      <c r="N11">
        <v>14449</v>
      </c>
      <c r="O11">
        <f t="shared" si="0"/>
        <v>237872</v>
      </c>
      <c r="P11">
        <v>35184</v>
      </c>
      <c r="Q11">
        <v>39568</v>
      </c>
      <c r="R11">
        <v>4602</v>
      </c>
      <c r="S11">
        <v>37512</v>
      </c>
      <c r="T11">
        <f t="shared" si="1"/>
        <v>116866</v>
      </c>
      <c r="U11">
        <f t="shared" si="2"/>
        <v>354738</v>
      </c>
      <c r="V11">
        <v>58553148.090120301</v>
      </c>
      <c r="W11">
        <v>37281556.479362503</v>
      </c>
      <c r="X11">
        <v>-21271591.610757701</v>
      </c>
      <c r="Y11">
        <v>2746097.4743952202</v>
      </c>
      <c r="Z11">
        <f t="shared" si="4"/>
        <v>91536.582479840668</v>
      </c>
      <c r="AA11">
        <v>0</v>
      </c>
      <c r="AB11">
        <v>6890859.1300853696</v>
      </c>
      <c r="AC11">
        <v>9682601.5999999996</v>
      </c>
      <c r="AD11">
        <f t="shared" si="3"/>
        <v>-2791742.4699146301</v>
      </c>
      <c r="AE11">
        <f>AD11/G11</f>
        <v>-93058.082330487669</v>
      </c>
      <c r="AF11">
        <v>86</v>
      </c>
      <c r="AG11">
        <v>805</v>
      </c>
    </row>
    <row r="12" spans="1:33" x14ac:dyDescent="0.2">
      <c r="A12" t="s">
        <v>96</v>
      </c>
      <c r="B12">
        <v>265</v>
      </c>
      <c r="C12">
        <v>10</v>
      </c>
      <c r="D12">
        <v>1</v>
      </c>
      <c r="E12">
        <v>3</v>
      </c>
      <c r="F12">
        <v>15</v>
      </c>
      <c r="G12">
        <v>30</v>
      </c>
      <c r="H12">
        <v>45.06</v>
      </c>
      <c r="I12">
        <v>49.35</v>
      </c>
      <c r="J12">
        <v>0.3</v>
      </c>
      <c r="K12">
        <v>70314</v>
      </c>
      <c r="L12">
        <v>125064</v>
      </c>
      <c r="M12">
        <v>26081</v>
      </c>
      <c r="N12">
        <v>14343</v>
      </c>
      <c r="O12">
        <f t="shared" si="0"/>
        <v>235802</v>
      </c>
      <c r="P12">
        <v>35144</v>
      </c>
      <c r="Q12">
        <v>39257</v>
      </c>
      <c r="R12">
        <v>4559</v>
      </c>
      <c r="S12">
        <v>37418</v>
      </c>
      <c r="T12">
        <f t="shared" si="1"/>
        <v>116378</v>
      </c>
      <c r="U12">
        <f t="shared" si="2"/>
        <v>352180</v>
      </c>
      <c r="V12">
        <v>44997606.2187014</v>
      </c>
      <c r="W12">
        <v>36258226.497209102</v>
      </c>
      <c r="X12">
        <v>-8739379.7214922309</v>
      </c>
      <c r="Y12">
        <v>2444089.6358730001</v>
      </c>
      <c r="Z12">
        <f t="shared" si="4"/>
        <v>162939.30905820001</v>
      </c>
      <c r="AA12">
        <v>0</v>
      </c>
      <c r="AB12">
        <v>5583320.0365047902</v>
      </c>
      <c r="AC12">
        <v>9796514.5600000005</v>
      </c>
      <c r="AD12">
        <f t="shared" si="3"/>
        <v>-4213194.5234952103</v>
      </c>
      <c r="AE12">
        <f>AD12/G12</f>
        <v>-140439.81744984034</v>
      </c>
      <c r="AF12">
        <v>87</v>
      </c>
      <c r="AG12">
        <v>831</v>
      </c>
    </row>
    <row r="13" spans="1:33" x14ac:dyDescent="0.2">
      <c r="A13" t="s">
        <v>98</v>
      </c>
      <c r="B13">
        <v>265</v>
      </c>
      <c r="C13">
        <v>10</v>
      </c>
      <c r="D13">
        <v>1</v>
      </c>
      <c r="E13">
        <v>3</v>
      </c>
      <c r="F13">
        <v>30</v>
      </c>
      <c r="G13">
        <v>30</v>
      </c>
      <c r="H13">
        <v>45.06</v>
      </c>
      <c r="I13">
        <v>49.35</v>
      </c>
      <c r="J13">
        <v>0.3</v>
      </c>
      <c r="K13">
        <v>70627</v>
      </c>
      <c r="L13">
        <v>125979</v>
      </c>
      <c r="M13">
        <v>26216</v>
      </c>
      <c r="N13">
        <v>14336</v>
      </c>
      <c r="O13">
        <f t="shared" si="0"/>
        <v>237158</v>
      </c>
      <c r="P13">
        <v>35324</v>
      </c>
      <c r="Q13">
        <v>39096</v>
      </c>
      <c r="R13">
        <v>4521</v>
      </c>
      <c r="S13">
        <v>37659</v>
      </c>
      <c r="T13">
        <f t="shared" si="1"/>
        <v>116600</v>
      </c>
      <c r="U13">
        <f t="shared" si="2"/>
        <v>353758</v>
      </c>
      <c r="V13">
        <v>58051610.443007402</v>
      </c>
      <c r="W13">
        <v>37963000.064385802</v>
      </c>
      <c r="X13">
        <v>-20088610.378621601</v>
      </c>
      <c r="Y13">
        <v>4193682.7510948102</v>
      </c>
      <c r="Z13">
        <f t="shared" si="4"/>
        <v>139789.42503649366</v>
      </c>
      <c r="AA13">
        <v>0</v>
      </c>
      <c r="AB13">
        <v>6763097.8479180001</v>
      </c>
      <c r="AC13">
        <v>9796514.5600000005</v>
      </c>
      <c r="AD13">
        <f t="shared" si="3"/>
        <v>-3033416.7120820004</v>
      </c>
      <c r="AE13">
        <f>AD13/G13</f>
        <v>-101113.89040273335</v>
      </c>
      <c r="AF13">
        <v>87</v>
      </c>
      <c r="AG13">
        <v>754</v>
      </c>
    </row>
    <row r="14" spans="1:33" x14ac:dyDescent="0.2">
      <c r="A14" t="s">
        <v>100</v>
      </c>
      <c r="B14">
        <v>265</v>
      </c>
      <c r="C14">
        <v>10</v>
      </c>
      <c r="D14">
        <v>4</v>
      </c>
      <c r="E14">
        <v>1</v>
      </c>
      <c r="F14">
        <v>15</v>
      </c>
      <c r="G14">
        <v>30</v>
      </c>
      <c r="H14">
        <v>45.06</v>
      </c>
      <c r="I14">
        <v>49.35</v>
      </c>
      <c r="J14">
        <v>0.3</v>
      </c>
      <c r="K14">
        <v>70889</v>
      </c>
      <c r="L14">
        <v>125254</v>
      </c>
      <c r="M14">
        <v>25777</v>
      </c>
      <c r="N14">
        <v>14422</v>
      </c>
      <c r="O14">
        <f t="shared" si="0"/>
        <v>236342</v>
      </c>
      <c r="P14">
        <v>35326</v>
      </c>
      <c r="Q14">
        <v>39066</v>
      </c>
      <c r="R14">
        <v>4515</v>
      </c>
      <c r="S14">
        <v>37573</v>
      </c>
      <c r="T14">
        <f t="shared" si="1"/>
        <v>116480</v>
      </c>
      <c r="U14">
        <f t="shared" si="2"/>
        <v>352822</v>
      </c>
      <c r="V14">
        <v>44198633.007532097</v>
      </c>
      <c r="W14">
        <v>33241507.350822099</v>
      </c>
      <c r="X14">
        <v>-10957125.6567099</v>
      </c>
      <c r="Y14">
        <v>1606068.2466788201</v>
      </c>
      <c r="Z14">
        <f t="shared" si="4"/>
        <v>107071.21644525467</v>
      </c>
      <c r="AA14">
        <v>0</v>
      </c>
      <c r="AB14">
        <v>5208207.0322256703</v>
      </c>
      <c r="AC14">
        <v>9568688.6399999894</v>
      </c>
      <c r="AD14">
        <f t="shared" si="3"/>
        <v>-4360481.6077743191</v>
      </c>
      <c r="AE14">
        <f>AD14/G14</f>
        <v>-145349.38692581063</v>
      </c>
      <c r="AF14">
        <v>85</v>
      </c>
      <c r="AG14">
        <v>914</v>
      </c>
    </row>
    <row r="15" spans="1:33" x14ac:dyDescent="0.2">
      <c r="A15" t="s">
        <v>102</v>
      </c>
      <c r="B15">
        <v>265</v>
      </c>
      <c r="C15">
        <v>10</v>
      </c>
      <c r="D15">
        <v>4</v>
      </c>
      <c r="E15">
        <v>1</v>
      </c>
      <c r="F15">
        <v>30</v>
      </c>
      <c r="G15">
        <v>30</v>
      </c>
      <c r="H15">
        <v>45.06</v>
      </c>
      <c r="I15">
        <v>49.35</v>
      </c>
      <c r="J15">
        <v>0.3</v>
      </c>
      <c r="K15">
        <v>71101</v>
      </c>
      <c r="L15">
        <v>126146</v>
      </c>
      <c r="M15">
        <v>25695</v>
      </c>
      <c r="N15">
        <v>14362</v>
      </c>
      <c r="O15">
        <f t="shared" si="0"/>
        <v>237304</v>
      </c>
      <c r="P15">
        <v>35141</v>
      </c>
      <c r="Q15">
        <v>39202</v>
      </c>
      <c r="R15">
        <v>4376</v>
      </c>
      <c r="S15">
        <v>37448</v>
      </c>
      <c r="T15">
        <f t="shared" si="1"/>
        <v>116167</v>
      </c>
      <c r="U15">
        <f t="shared" si="2"/>
        <v>353471</v>
      </c>
      <c r="V15">
        <v>59845621.974735603</v>
      </c>
      <c r="W15">
        <v>40547563.2628683</v>
      </c>
      <c r="X15">
        <v>-19298058.711867299</v>
      </c>
      <c r="Y15">
        <v>4894857.9470986295</v>
      </c>
      <c r="Z15">
        <f t="shared" si="4"/>
        <v>163161.93156995432</v>
      </c>
      <c r="AA15">
        <v>0</v>
      </c>
      <c r="AB15">
        <v>9006970.76167983</v>
      </c>
      <c r="AC15">
        <v>9682601.5999999996</v>
      </c>
      <c r="AD15">
        <f t="shared" si="3"/>
        <v>-675630.8383201696</v>
      </c>
      <c r="AE15">
        <f>AD15/G15</f>
        <v>-22521.027944005655</v>
      </c>
      <c r="AF15">
        <v>86</v>
      </c>
      <c r="AG15">
        <v>623</v>
      </c>
    </row>
    <row r="16" spans="1:33" x14ac:dyDescent="0.2">
      <c r="A16" t="s">
        <v>104</v>
      </c>
      <c r="B16">
        <v>265</v>
      </c>
      <c r="C16">
        <v>10</v>
      </c>
      <c r="D16">
        <v>4</v>
      </c>
      <c r="E16">
        <v>3</v>
      </c>
      <c r="F16">
        <v>15</v>
      </c>
      <c r="G16">
        <v>30</v>
      </c>
      <c r="H16">
        <v>45.06</v>
      </c>
      <c r="I16">
        <v>49.35</v>
      </c>
      <c r="J16">
        <v>0.3</v>
      </c>
      <c r="K16">
        <v>70762</v>
      </c>
      <c r="L16">
        <v>125521</v>
      </c>
      <c r="M16">
        <v>25052</v>
      </c>
      <c r="N16">
        <v>14397</v>
      </c>
      <c r="O16">
        <f t="shared" si="0"/>
        <v>235732</v>
      </c>
      <c r="P16">
        <v>35427</v>
      </c>
      <c r="Q16">
        <v>39605</v>
      </c>
      <c r="R16">
        <v>4372</v>
      </c>
      <c r="S16">
        <v>37562</v>
      </c>
      <c r="T16">
        <f t="shared" si="1"/>
        <v>116966</v>
      </c>
      <c r="U16">
        <f t="shared" si="2"/>
        <v>352698</v>
      </c>
      <c r="V16">
        <v>43443059.379594199</v>
      </c>
      <c r="W16">
        <v>29819495.686450001</v>
      </c>
      <c r="X16">
        <v>-13623563.6931441</v>
      </c>
      <c r="Y16">
        <v>2432693.9040871202</v>
      </c>
      <c r="Z16">
        <f t="shared" si="4"/>
        <v>162179.59360580801</v>
      </c>
      <c r="AA16">
        <v>0</v>
      </c>
      <c r="AB16">
        <v>5524899.5580428503</v>
      </c>
      <c r="AC16">
        <v>9568688.6399999894</v>
      </c>
      <c r="AD16">
        <f t="shared" si="3"/>
        <v>-4043789.0819571391</v>
      </c>
      <c r="AE16">
        <f>AD16/G16</f>
        <v>-134792.96939857129</v>
      </c>
      <c r="AF16">
        <v>85</v>
      </c>
      <c r="AG16">
        <v>1032</v>
      </c>
    </row>
    <row r="17" spans="1:33" x14ac:dyDescent="0.2">
      <c r="A17" t="s">
        <v>106</v>
      </c>
      <c r="B17">
        <v>265</v>
      </c>
      <c r="C17">
        <v>10</v>
      </c>
      <c r="D17">
        <v>4</v>
      </c>
      <c r="E17">
        <v>3</v>
      </c>
      <c r="F17">
        <v>30</v>
      </c>
      <c r="G17">
        <v>30</v>
      </c>
      <c r="H17">
        <v>45.06</v>
      </c>
      <c r="I17">
        <v>49.35</v>
      </c>
      <c r="J17">
        <v>0.3</v>
      </c>
      <c r="K17">
        <v>71327</v>
      </c>
      <c r="L17">
        <v>125923</v>
      </c>
      <c r="M17">
        <v>25777</v>
      </c>
      <c r="N17">
        <v>14474</v>
      </c>
      <c r="O17">
        <f t="shared" si="0"/>
        <v>237501</v>
      </c>
      <c r="P17">
        <v>35199</v>
      </c>
      <c r="Q17">
        <v>39260</v>
      </c>
      <c r="R17">
        <v>4511</v>
      </c>
      <c r="S17">
        <v>37410</v>
      </c>
      <c r="T17">
        <f t="shared" si="1"/>
        <v>116380</v>
      </c>
      <c r="U17">
        <f t="shared" si="2"/>
        <v>353881</v>
      </c>
      <c r="V17">
        <v>58497245.573351704</v>
      </c>
      <c r="W17">
        <v>37801832.569196701</v>
      </c>
      <c r="X17">
        <v>-20695413.004154898</v>
      </c>
      <c r="Y17">
        <v>3432621.2075050799</v>
      </c>
      <c r="Z17">
        <f t="shared" si="4"/>
        <v>114420.706916836</v>
      </c>
      <c r="AA17">
        <v>0</v>
      </c>
      <c r="AB17">
        <v>5671163.8589687198</v>
      </c>
      <c r="AC17">
        <v>9682601.5999999996</v>
      </c>
      <c r="AD17">
        <f t="shared" si="3"/>
        <v>-4011437.7410312798</v>
      </c>
      <c r="AE17">
        <f>AD17/G17</f>
        <v>-133714.59136770933</v>
      </c>
      <c r="AF17">
        <v>87</v>
      </c>
      <c r="AG17">
        <v>795</v>
      </c>
    </row>
    <row r="18" spans="1:33" x14ac:dyDescent="0.2">
      <c r="A18" t="s">
        <v>78</v>
      </c>
      <c r="B18">
        <v>265</v>
      </c>
      <c r="C18">
        <v>10</v>
      </c>
      <c r="D18">
        <v>1</v>
      </c>
      <c r="E18">
        <v>1</v>
      </c>
      <c r="F18">
        <v>15</v>
      </c>
      <c r="G18">
        <v>10</v>
      </c>
      <c r="H18">
        <v>90.12</v>
      </c>
      <c r="I18">
        <v>98.7</v>
      </c>
      <c r="J18">
        <v>0.3</v>
      </c>
      <c r="K18">
        <v>70625</v>
      </c>
      <c r="L18">
        <v>125665</v>
      </c>
      <c r="M18">
        <v>23257</v>
      </c>
      <c r="N18">
        <v>13546</v>
      </c>
      <c r="O18">
        <f t="shared" si="0"/>
        <v>233093</v>
      </c>
      <c r="P18">
        <v>35338</v>
      </c>
      <c r="Q18">
        <v>40236</v>
      </c>
      <c r="R18">
        <v>3768</v>
      </c>
      <c r="S18">
        <v>37419</v>
      </c>
      <c r="T18">
        <f t="shared" si="1"/>
        <v>116761</v>
      </c>
      <c r="U18">
        <f t="shared" si="2"/>
        <v>349854</v>
      </c>
      <c r="V18">
        <v>32158330.651666999</v>
      </c>
      <c r="W18">
        <v>24334071.243900001</v>
      </c>
      <c r="X18">
        <v>-7824259.4077669401</v>
      </c>
      <c r="Y18">
        <v>2059643.6396972199</v>
      </c>
      <c r="Z18">
        <f t="shared" si="4"/>
        <v>137309.57597981466</v>
      </c>
      <c r="AA18">
        <v>0</v>
      </c>
      <c r="AB18">
        <v>5708600.89483824</v>
      </c>
      <c r="AC18">
        <v>3417388.79999999</v>
      </c>
      <c r="AD18">
        <f t="shared" si="3"/>
        <v>2291212.09483825</v>
      </c>
      <c r="AE18">
        <f>AD18/G18</f>
        <v>229121.20948382499</v>
      </c>
      <c r="AF18">
        <v>30</v>
      </c>
      <c r="AG18">
        <v>242</v>
      </c>
    </row>
    <row r="19" spans="1:33" x14ac:dyDescent="0.2">
      <c r="A19" t="s">
        <v>80</v>
      </c>
      <c r="B19">
        <v>265</v>
      </c>
      <c r="C19">
        <v>10</v>
      </c>
      <c r="D19">
        <v>1</v>
      </c>
      <c r="E19">
        <v>1</v>
      </c>
      <c r="F19">
        <v>30</v>
      </c>
      <c r="G19">
        <v>10</v>
      </c>
      <c r="H19">
        <v>90.12</v>
      </c>
      <c r="I19">
        <v>98.7</v>
      </c>
      <c r="J19">
        <v>0.3</v>
      </c>
      <c r="K19">
        <v>69478</v>
      </c>
      <c r="L19">
        <v>123998</v>
      </c>
      <c r="M19">
        <v>24032</v>
      </c>
      <c r="N19">
        <v>13163</v>
      </c>
      <c r="O19">
        <f t="shared" si="0"/>
        <v>230671</v>
      </c>
      <c r="P19">
        <v>33718</v>
      </c>
      <c r="Q19">
        <v>38099</v>
      </c>
      <c r="R19">
        <v>3956</v>
      </c>
      <c r="S19">
        <v>35658</v>
      </c>
      <c r="T19">
        <f t="shared" si="1"/>
        <v>111431</v>
      </c>
      <c r="U19">
        <f t="shared" si="2"/>
        <v>342102</v>
      </c>
      <c r="V19">
        <v>35968086.221370302</v>
      </c>
      <c r="W19">
        <v>34552204.271637604</v>
      </c>
      <c r="X19">
        <v>-1415881.9497326899</v>
      </c>
      <c r="Y19">
        <v>2204576.2840889199</v>
      </c>
      <c r="Z19">
        <f t="shared" si="4"/>
        <v>73485.876136297331</v>
      </c>
      <c r="AA19">
        <v>58709.1250899999</v>
      </c>
      <c r="AB19">
        <v>10552304.3080373</v>
      </c>
      <c r="AC19">
        <v>3417388.79999999</v>
      </c>
      <c r="AD19">
        <f t="shared" si="3"/>
        <v>7134915.5080373101</v>
      </c>
      <c r="AE19">
        <f>AD19/G19</f>
        <v>713491.55080373096</v>
      </c>
      <c r="AF19">
        <v>30</v>
      </c>
      <c r="AG19">
        <v>57</v>
      </c>
    </row>
    <row r="20" spans="1:33" x14ac:dyDescent="0.2">
      <c r="A20" t="s">
        <v>42</v>
      </c>
      <c r="B20">
        <v>265</v>
      </c>
      <c r="C20">
        <v>10</v>
      </c>
      <c r="D20">
        <v>1</v>
      </c>
      <c r="E20">
        <v>3</v>
      </c>
      <c r="F20">
        <v>15</v>
      </c>
      <c r="G20">
        <v>10</v>
      </c>
      <c r="H20">
        <v>90.12</v>
      </c>
      <c r="I20">
        <v>98.7</v>
      </c>
      <c r="J20">
        <v>0.3</v>
      </c>
      <c r="K20">
        <v>70502</v>
      </c>
      <c r="L20">
        <v>125383</v>
      </c>
      <c r="M20">
        <v>22802</v>
      </c>
      <c r="N20">
        <v>13460</v>
      </c>
      <c r="O20">
        <f t="shared" si="0"/>
        <v>232147</v>
      </c>
      <c r="P20">
        <v>35538</v>
      </c>
      <c r="Q20">
        <v>40469</v>
      </c>
      <c r="R20">
        <v>3624</v>
      </c>
      <c r="S20">
        <v>37579</v>
      </c>
      <c r="T20">
        <f t="shared" si="1"/>
        <v>117210</v>
      </c>
      <c r="U20">
        <f t="shared" si="2"/>
        <v>349357</v>
      </c>
      <c r="V20">
        <v>32270993.364936799</v>
      </c>
      <c r="W20">
        <v>25574946.229021698</v>
      </c>
      <c r="X20">
        <v>-6696047.13591504</v>
      </c>
      <c r="Y20">
        <v>2179119.7783907098</v>
      </c>
      <c r="Z20">
        <f t="shared" si="4"/>
        <v>145274.651892714</v>
      </c>
      <c r="AA20">
        <v>0</v>
      </c>
      <c r="AB20">
        <v>7083417.6155411899</v>
      </c>
      <c r="AC20">
        <v>3417388.79999999</v>
      </c>
      <c r="AD20">
        <f t="shared" si="3"/>
        <v>3666028.8155411999</v>
      </c>
      <c r="AE20">
        <f>AD20/G20</f>
        <v>366602.88155411999</v>
      </c>
      <c r="AF20">
        <v>30</v>
      </c>
      <c r="AG20">
        <v>224</v>
      </c>
    </row>
    <row r="21" spans="1:33" x14ac:dyDescent="0.2">
      <c r="A21" t="s">
        <v>83</v>
      </c>
      <c r="B21">
        <v>265</v>
      </c>
      <c r="C21">
        <v>10</v>
      </c>
      <c r="D21">
        <v>1</v>
      </c>
      <c r="E21">
        <v>3</v>
      </c>
      <c r="F21">
        <v>30</v>
      </c>
      <c r="G21">
        <v>10</v>
      </c>
      <c r="H21">
        <v>90.12</v>
      </c>
      <c r="I21">
        <v>98.7</v>
      </c>
      <c r="J21">
        <v>0.3</v>
      </c>
      <c r="K21">
        <v>69510</v>
      </c>
      <c r="L21">
        <v>123647</v>
      </c>
      <c r="M21">
        <v>24165</v>
      </c>
      <c r="N21">
        <v>13103</v>
      </c>
      <c r="O21">
        <f t="shared" si="0"/>
        <v>230425</v>
      </c>
      <c r="P21">
        <v>32836</v>
      </c>
      <c r="Q21">
        <v>37465</v>
      </c>
      <c r="R21">
        <v>3871</v>
      </c>
      <c r="S21">
        <v>34790</v>
      </c>
      <c r="T21">
        <f t="shared" si="1"/>
        <v>108962</v>
      </c>
      <c r="U21">
        <f t="shared" si="2"/>
        <v>339387</v>
      </c>
      <c r="V21">
        <v>35181414.376074404</v>
      </c>
      <c r="W21">
        <v>31751240.718002301</v>
      </c>
      <c r="X21">
        <v>-3430173.6580720502</v>
      </c>
      <c r="Y21">
        <v>3008687.7412327202</v>
      </c>
      <c r="Z21">
        <f t="shared" si="4"/>
        <v>100289.59137442401</v>
      </c>
      <c r="AA21">
        <v>58709.125090000001</v>
      </c>
      <c r="AB21">
        <v>11110838.2811443</v>
      </c>
      <c r="AC21">
        <v>3417388.79999999</v>
      </c>
      <c r="AD21">
        <f t="shared" si="3"/>
        <v>7693449.4811443109</v>
      </c>
      <c r="AE21">
        <f>AD21/G21</f>
        <v>769344.94811443111</v>
      </c>
      <c r="AF21">
        <v>30</v>
      </c>
      <c r="AG21">
        <v>91</v>
      </c>
    </row>
    <row r="22" spans="1:33" x14ac:dyDescent="0.2">
      <c r="A22" t="s">
        <v>85</v>
      </c>
      <c r="B22">
        <v>265</v>
      </c>
      <c r="C22">
        <v>10</v>
      </c>
      <c r="D22">
        <v>4</v>
      </c>
      <c r="E22">
        <v>1</v>
      </c>
      <c r="F22">
        <v>15</v>
      </c>
      <c r="G22">
        <v>10</v>
      </c>
      <c r="H22">
        <v>90.12</v>
      </c>
      <c r="I22">
        <v>98.7</v>
      </c>
      <c r="J22">
        <v>0.3</v>
      </c>
      <c r="K22">
        <v>70726</v>
      </c>
      <c r="L22">
        <v>125578</v>
      </c>
      <c r="M22">
        <v>23070</v>
      </c>
      <c r="N22">
        <v>13542</v>
      </c>
      <c r="O22">
        <f t="shared" si="0"/>
        <v>232916</v>
      </c>
      <c r="P22">
        <v>35362</v>
      </c>
      <c r="Q22">
        <v>39850</v>
      </c>
      <c r="R22">
        <v>3759</v>
      </c>
      <c r="S22">
        <v>37309</v>
      </c>
      <c r="T22">
        <f t="shared" si="1"/>
        <v>116280</v>
      </c>
      <c r="U22">
        <f t="shared" si="2"/>
        <v>349196</v>
      </c>
      <c r="V22">
        <v>33580032.230374299</v>
      </c>
      <c r="W22">
        <v>27254184.135608699</v>
      </c>
      <c r="X22">
        <v>-6325848.0947655402</v>
      </c>
      <c r="Y22">
        <v>2393621.50108886</v>
      </c>
      <c r="Z22">
        <f t="shared" si="4"/>
        <v>159574.76673925732</v>
      </c>
      <c r="AA22">
        <v>0</v>
      </c>
      <c r="AB22">
        <v>7478154.75195345</v>
      </c>
      <c r="AC22">
        <v>3417388.79999999</v>
      </c>
      <c r="AD22">
        <f t="shared" si="3"/>
        <v>4060765.95195346</v>
      </c>
      <c r="AE22">
        <f>AD22/G22</f>
        <v>406076.59519534599</v>
      </c>
      <c r="AF22">
        <v>30</v>
      </c>
      <c r="AG22">
        <v>250</v>
      </c>
    </row>
    <row r="23" spans="1:33" x14ac:dyDescent="0.2">
      <c r="A23" t="s">
        <v>87</v>
      </c>
      <c r="B23">
        <v>265</v>
      </c>
      <c r="C23">
        <v>10</v>
      </c>
      <c r="D23">
        <v>4</v>
      </c>
      <c r="E23">
        <v>1</v>
      </c>
      <c r="F23">
        <v>30</v>
      </c>
      <c r="G23">
        <v>10</v>
      </c>
      <c r="H23">
        <v>90.12</v>
      </c>
      <c r="I23">
        <v>98.7</v>
      </c>
      <c r="J23">
        <v>0.3</v>
      </c>
      <c r="K23">
        <v>71218</v>
      </c>
      <c r="L23">
        <v>126741</v>
      </c>
      <c r="M23">
        <v>23720</v>
      </c>
      <c r="N23">
        <v>13523</v>
      </c>
      <c r="O23">
        <f t="shared" si="0"/>
        <v>235202</v>
      </c>
      <c r="P23">
        <v>35334</v>
      </c>
      <c r="Q23">
        <v>39907</v>
      </c>
      <c r="R23">
        <v>3870</v>
      </c>
      <c r="S23">
        <v>37439</v>
      </c>
      <c r="T23">
        <f t="shared" si="1"/>
        <v>116550</v>
      </c>
      <c r="U23">
        <f t="shared" si="2"/>
        <v>351752</v>
      </c>
      <c r="V23">
        <v>38101942.795548201</v>
      </c>
      <c r="W23">
        <v>33820239.621598698</v>
      </c>
      <c r="X23">
        <v>-4281703.1739495499</v>
      </c>
      <c r="Y23">
        <v>2738977.7101974199</v>
      </c>
      <c r="Z23">
        <f t="shared" si="4"/>
        <v>91299.257006580665</v>
      </c>
      <c r="AA23">
        <v>0</v>
      </c>
      <c r="AB23">
        <v>11046137.893082401</v>
      </c>
      <c r="AC23">
        <v>3417388.79999999</v>
      </c>
      <c r="AD23">
        <f t="shared" si="3"/>
        <v>7628749.0930824112</v>
      </c>
      <c r="AE23">
        <f>AD23/G23</f>
        <v>762874.9093082411</v>
      </c>
      <c r="AF23">
        <v>30</v>
      </c>
      <c r="AG23">
        <v>64</v>
      </c>
    </row>
    <row r="24" spans="1:33" x14ac:dyDescent="0.2">
      <c r="A24" t="s">
        <v>89</v>
      </c>
      <c r="B24">
        <v>265</v>
      </c>
      <c r="C24">
        <v>10</v>
      </c>
      <c r="D24">
        <v>4</v>
      </c>
      <c r="E24">
        <v>3</v>
      </c>
      <c r="F24">
        <v>15</v>
      </c>
      <c r="G24">
        <v>10</v>
      </c>
      <c r="H24">
        <v>90.12</v>
      </c>
      <c r="I24">
        <v>98.7</v>
      </c>
      <c r="J24">
        <v>0.3</v>
      </c>
      <c r="K24">
        <v>70853</v>
      </c>
      <c r="L24">
        <v>126441</v>
      </c>
      <c r="M24">
        <v>23422</v>
      </c>
      <c r="N24">
        <v>13535</v>
      </c>
      <c r="O24">
        <f t="shared" si="0"/>
        <v>234251</v>
      </c>
      <c r="P24">
        <v>35306</v>
      </c>
      <c r="Q24">
        <v>39955</v>
      </c>
      <c r="R24">
        <v>3756</v>
      </c>
      <c r="S24">
        <v>37279</v>
      </c>
      <c r="T24">
        <f t="shared" si="1"/>
        <v>116296</v>
      </c>
      <c r="U24">
        <f t="shared" si="2"/>
        <v>350547</v>
      </c>
      <c r="V24">
        <v>33635657.664458998</v>
      </c>
      <c r="W24">
        <v>27922423.7531044</v>
      </c>
      <c r="X24">
        <v>-5713233.9113545902</v>
      </c>
      <c r="Y24">
        <v>2594450.7081585899</v>
      </c>
      <c r="Z24">
        <f t="shared" si="4"/>
        <v>172963.38054390598</v>
      </c>
      <c r="AA24">
        <v>0</v>
      </c>
      <c r="AB24">
        <v>6649090.2370510101</v>
      </c>
      <c r="AC24">
        <v>3417388.79999999</v>
      </c>
      <c r="AD24">
        <f t="shared" si="3"/>
        <v>3231701.4370510201</v>
      </c>
      <c r="AE24">
        <f>AD24/G24</f>
        <v>323170.14370510203</v>
      </c>
      <c r="AF24">
        <v>30</v>
      </c>
      <c r="AG24">
        <v>202</v>
      </c>
    </row>
    <row r="25" spans="1:33" x14ac:dyDescent="0.2">
      <c r="A25" t="s">
        <v>91</v>
      </c>
      <c r="B25">
        <v>265</v>
      </c>
      <c r="C25">
        <v>10</v>
      </c>
      <c r="D25">
        <v>4</v>
      </c>
      <c r="E25">
        <v>3</v>
      </c>
      <c r="F25">
        <v>30</v>
      </c>
      <c r="G25">
        <v>10</v>
      </c>
      <c r="H25">
        <v>90.12</v>
      </c>
      <c r="I25">
        <v>98.7</v>
      </c>
      <c r="J25">
        <v>0.3</v>
      </c>
      <c r="K25">
        <v>69360</v>
      </c>
      <c r="L25">
        <v>123301</v>
      </c>
      <c r="M25">
        <v>23083</v>
      </c>
      <c r="N25">
        <v>13127</v>
      </c>
      <c r="O25">
        <f t="shared" si="0"/>
        <v>228871</v>
      </c>
      <c r="P25">
        <v>32814</v>
      </c>
      <c r="Q25">
        <v>37252</v>
      </c>
      <c r="R25">
        <v>3785</v>
      </c>
      <c r="S25">
        <v>34707</v>
      </c>
      <c r="T25">
        <f t="shared" si="1"/>
        <v>108558</v>
      </c>
      <c r="U25">
        <f t="shared" si="2"/>
        <v>337429</v>
      </c>
      <c r="V25">
        <v>35679512.108589202</v>
      </c>
      <c r="W25">
        <v>36677953.627322502</v>
      </c>
      <c r="X25">
        <v>998441.51873332204</v>
      </c>
      <c r="Y25">
        <v>2868944.0583430799</v>
      </c>
      <c r="Z25">
        <f t="shared" si="4"/>
        <v>95631.468611435994</v>
      </c>
      <c r="AA25">
        <v>8387.0178699999997</v>
      </c>
      <c r="AB25">
        <v>11125939.245314</v>
      </c>
      <c r="AC25">
        <v>3417388.79999999</v>
      </c>
      <c r="AD25">
        <f t="shared" si="3"/>
        <v>7708550.4453140106</v>
      </c>
      <c r="AE25">
        <f>AD25/G25</f>
        <v>770855.04453140101</v>
      </c>
      <c r="AF25">
        <v>30</v>
      </c>
      <c r="AG25">
        <v>77</v>
      </c>
    </row>
    <row r="26" spans="1:33" x14ac:dyDescent="0.2">
      <c r="A26" t="s">
        <v>93</v>
      </c>
      <c r="B26">
        <v>265</v>
      </c>
      <c r="C26">
        <v>10</v>
      </c>
      <c r="D26">
        <v>1</v>
      </c>
      <c r="E26">
        <v>1</v>
      </c>
      <c r="F26">
        <v>15</v>
      </c>
      <c r="G26">
        <v>30</v>
      </c>
      <c r="H26">
        <v>90.12</v>
      </c>
      <c r="I26">
        <v>98.7</v>
      </c>
      <c r="J26">
        <v>0.3</v>
      </c>
      <c r="K26">
        <v>70919</v>
      </c>
      <c r="L26">
        <v>125706</v>
      </c>
      <c r="M26">
        <v>25912</v>
      </c>
      <c r="N26">
        <v>14459</v>
      </c>
      <c r="O26">
        <f t="shared" si="0"/>
        <v>236996</v>
      </c>
      <c r="P26">
        <v>35367</v>
      </c>
      <c r="Q26">
        <v>39031</v>
      </c>
      <c r="R26">
        <v>4463</v>
      </c>
      <c r="S26">
        <v>37539</v>
      </c>
      <c r="T26">
        <f t="shared" si="1"/>
        <v>116400</v>
      </c>
      <c r="U26">
        <f t="shared" si="2"/>
        <v>353396</v>
      </c>
      <c r="V26">
        <v>44319108.751037501</v>
      </c>
      <c r="W26">
        <v>60406314.299913697</v>
      </c>
      <c r="X26">
        <v>16087205.5488762</v>
      </c>
      <c r="Y26">
        <v>2430123.07462984</v>
      </c>
      <c r="Z26">
        <f t="shared" si="4"/>
        <v>162008.20497532267</v>
      </c>
      <c r="AA26">
        <v>0</v>
      </c>
      <c r="AB26">
        <v>12197497.5760267</v>
      </c>
      <c r="AC26">
        <v>10252166.4</v>
      </c>
      <c r="AD26">
        <f t="shared" si="3"/>
        <v>1945331.1760267001</v>
      </c>
      <c r="AE26">
        <f>AD26/G26</f>
        <v>64844.372534223337</v>
      </c>
      <c r="AF26">
        <v>90</v>
      </c>
      <c r="AG26">
        <v>887</v>
      </c>
    </row>
    <row r="27" spans="1:33" s="5" customFormat="1" x14ac:dyDescent="0.2">
      <c r="A27" t="s">
        <v>95</v>
      </c>
      <c r="B27">
        <v>265</v>
      </c>
      <c r="C27">
        <v>10</v>
      </c>
      <c r="D27">
        <v>1</v>
      </c>
      <c r="E27">
        <v>1</v>
      </c>
      <c r="F27">
        <v>30</v>
      </c>
      <c r="G27">
        <v>30</v>
      </c>
      <c r="H27">
        <v>90.12</v>
      </c>
      <c r="I27">
        <v>98.7</v>
      </c>
      <c r="J27">
        <v>0.3</v>
      </c>
      <c r="K27">
        <v>71184</v>
      </c>
      <c r="L27">
        <v>126467</v>
      </c>
      <c r="M27">
        <v>25945</v>
      </c>
      <c r="N27">
        <v>14458</v>
      </c>
      <c r="O27">
        <f t="shared" si="0"/>
        <v>238054</v>
      </c>
      <c r="P27">
        <v>35285</v>
      </c>
      <c r="Q27">
        <v>39426</v>
      </c>
      <c r="R27">
        <v>4560</v>
      </c>
      <c r="S27">
        <v>37523</v>
      </c>
      <c r="T27">
        <f t="shared" si="1"/>
        <v>116794</v>
      </c>
      <c r="U27">
        <f t="shared" si="2"/>
        <v>354848</v>
      </c>
      <c r="V27">
        <v>58611864.474740699</v>
      </c>
      <c r="W27">
        <v>66441135.748124801</v>
      </c>
      <c r="X27">
        <v>7829271.27338407</v>
      </c>
      <c r="Y27">
        <v>2551720.9161584899</v>
      </c>
      <c r="Z27">
        <f t="shared" si="4"/>
        <v>85057.363871949667</v>
      </c>
      <c r="AA27">
        <v>0</v>
      </c>
      <c r="AB27">
        <v>13380392.997028699</v>
      </c>
      <c r="AC27">
        <v>10138253.439999999</v>
      </c>
      <c r="AD27">
        <f t="shared" si="3"/>
        <v>3242139.5570286997</v>
      </c>
      <c r="AE27">
        <f>AD27/G27</f>
        <v>108071.31856762333</v>
      </c>
      <c r="AF27">
        <v>90</v>
      </c>
      <c r="AG27">
        <v>808</v>
      </c>
    </row>
    <row r="28" spans="1:33" x14ac:dyDescent="0.2">
      <c r="A28" t="s">
        <v>97</v>
      </c>
      <c r="B28">
        <v>265</v>
      </c>
      <c r="C28">
        <v>10</v>
      </c>
      <c r="D28">
        <v>1</v>
      </c>
      <c r="E28">
        <v>3</v>
      </c>
      <c r="F28">
        <v>15</v>
      </c>
      <c r="G28">
        <v>30</v>
      </c>
      <c r="H28">
        <v>90.12</v>
      </c>
      <c r="I28">
        <v>98.7</v>
      </c>
      <c r="J28">
        <v>0.3</v>
      </c>
      <c r="K28">
        <v>71033</v>
      </c>
      <c r="L28">
        <v>125820</v>
      </c>
      <c r="M28">
        <v>25875</v>
      </c>
      <c r="N28">
        <v>14459</v>
      </c>
      <c r="O28">
        <f t="shared" si="0"/>
        <v>237187</v>
      </c>
      <c r="P28">
        <v>35385</v>
      </c>
      <c r="Q28">
        <v>39052</v>
      </c>
      <c r="R28">
        <v>4684</v>
      </c>
      <c r="S28">
        <v>37437</v>
      </c>
      <c r="T28">
        <f t="shared" si="1"/>
        <v>116558</v>
      </c>
      <c r="U28">
        <f t="shared" si="2"/>
        <v>353745</v>
      </c>
      <c r="V28">
        <v>44827668.225665703</v>
      </c>
      <c r="W28">
        <v>63918214.256502599</v>
      </c>
      <c r="X28">
        <v>19090546.030836798</v>
      </c>
      <c r="Y28">
        <v>2219072.23063904</v>
      </c>
      <c r="Z28">
        <f t="shared" si="4"/>
        <v>147938.14870926933</v>
      </c>
      <c r="AA28">
        <v>0</v>
      </c>
      <c r="AB28">
        <v>11345372.3988533</v>
      </c>
      <c r="AC28">
        <v>10252166.4</v>
      </c>
      <c r="AD28">
        <f t="shared" si="3"/>
        <v>1093205.9988532998</v>
      </c>
      <c r="AE28">
        <f>AD28/G28</f>
        <v>36440.199961776656</v>
      </c>
      <c r="AF28">
        <v>90</v>
      </c>
      <c r="AG28">
        <v>847</v>
      </c>
    </row>
    <row r="29" spans="1:33" x14ac:dyDescent="0.2">
      <c r="A29" t="s">
        <v>99</v>
      </c>
      <c r="B29">
        <v>265</v>
      </c>
      <c r="C29">
        <v>10</v>
      </c>
      <c r="D29">
        <v>1</v>
      </c>
      <c r="E29">
        <v>3</v>
      </c>
      <c r="F29">
        <v>30</v>
      </c>
      <c r="G29">
        <v>30</v>
      </c>
      <c r="H29">
        <v>90.12</v>
      </c>
      <c r="I29">
        <v>98.7</v>
      </c>
      <c r="J29">
        <v>0.3</v>
      </c>
      <c r="K29">
        <v>71172</v>
      </c>
      <c r="L29">
        <v>126353</v>
      </c>
      <c r="M29">
        <v>26780</v>
      </c>
      <c r="N29">
        <v>14447</v>
      </c>
      <c r="O29">
        <f t="shared" si="0"/>
        <v>238752</v>
      </c>
      <c r="P29">
        <v>35087</v>
      </c>
      <c r="Q29">
        <v>39192</v>
      </c>
      <c r="R29">
        <v>4700</v>
      </c>
      <c r="S29">
        <v>37368</v>
      </c>
      <c r="T29">
        <f t="shared" si="1"/>
        <v>116347</v>
      </c>
      <c r="U29">
        <f t="shared" si="2"/>
        <v>355099</v>
      </c>
      <c r="V29">
        <v>58774761.059560299</v>
      </c>
      <c r="W29">
        <v>66776580.522116199</v>
      </c>
      <c r="X29">
        <v>8001819.4625559598</v>
      </c>
      <c r="Y29">
        <v>3513480.2235858501</v>
      </c>
      <c r="Z29">
        <f t="shared" si="4"/>
        <v>117116.00745286167</v>
      </c>
      <c r="AA29">
        <v>0</v>
      </c>
      <c r="AB29">
        <v>12545363.3466218</v>
      </c>
      <c r="AC29">
        <v>10138253.439999999</v>
      </c>
      <c r="AD29">
        <f t="shared" si="3"/>
        <v>2407109.9066218007</v>
      </c>
      <c r="AE29">
        <f>AD29/G29</f>
        <v>80236.996887393354</v>
      </c>
      <c r="AF29">
        <v>90</v>
      </c>
      <c r="AG29">
        <v>761</v>
      </c>
    </row>
    <row r="30" spans="1:33" x14ac:dyDescent="0.2">
      <c r="A30" t="s">
        <v>101</v>
      </c>
      <c r="B30">
        <v>265</v>
      </c>
      <c r="C30">
        <v>10</v>
      </c>
      <c r="D30">
        <v>4</v>
      </c>
      <c r="E30">
        <v>1</v>
      </c>
      <c r="F30">
        <v>15</v>
      </c>
      <c r="G30">
        <v>30</v>
      </c>
      <c r="H30">
        <v>90.12</v>
      </c>
      <c r="I30">
        <v>98.7</v>
      </c>
      <c r="J30">
        <v>0.3</v>
      </c>
      <c r="K30">
        <v>71137</v>
      </c>
      <c r="L30">
        <v>125366</v>
      </c>
      <c r="M30">
        <v>25922</v>
      </c>
      <c r="N30">
        <v>14375</v>
      </c>
      <c r="O30">
        <f t="shared" si="0"/>
        <v>236800</v>
      </c>
      <c r="P30">
        <v>35356</v>
      </c>
      <c r="Q30">
        <v>39383</v>
      </c>
      <c r="R30">
        <v>4558</v>
      </c>
      <c r="S30">
        <v>37601</v>
      </c>
      <c r="T30">
        <f t="shared" si="1"/>
        <v>116898</v>
      </c>
      <c r="U30">
        <f t="shared" si="2"/>
        <v>353698</v>
      </c>
      <c r="V30">
        <v>43133139.885631099</v>
      </c>
      <c r="W30">
        <v>52009259.660008103</v>
      </c>
      <c r="X30">
        <v>8876119.7743770704</v>
      </c>
      <c r="Y30">
        <v>1625535.7612687401</v>
      </c>
      <c r="Z30">
        <f t="shared" si="4"/>
        <v>108369.05075124934</v>
      </c>
      <c r="AA30">
        <v>0</v>
      </c>
      <c r="AB30">
        <v>8448705.5089329593</v>
      </c>
      <c r="AC30">
        <v>10138253.439999999</v>
      </c>
      <c r="AD30">
        <f t="shared" si="3"/>
        <v>-1689547.9310670402</v>
      </c>
      <c r="AE30">
        <f>AD30/G30</f>
        <v>-56318.264368901342</v>
      </c>
      <c r="AF30">
        <v>89</v>
      </c>
      <c r="AG30">
        <v>1006</v>
      </c>
    </row>
    <row r="31" spans="1:33" x14ac:dyDescent="0.2">
      <c r="A31" t="s">
        <v>103</v>
      </c>
      <c r="B31">
        <v>265</v>
      </c>
      <c r="C31">
        <v>10</v>
      </c>
      <c r="D31">
        <v>4</v>
      </c>
      <c r="E31">
        <v>1</v>
      </c>
      <c r="F31">
        <v>30</v>
      </c>
      <c r="G31">
        <v>30</v>
      </c>
      <c r="H31">
        <v>90.12</v>
      </c>
      <c r="I31">
        <v>98.7</v>
      </c>
      <c r="J31">
        <v>0.3</v>
      </c>
      <c r="K31">
        <v>71344</v>
      </c>
      <c r="L31">
        <v>126541</v>
      </c>
      <c r="M31">
        <v>25731</v>
      </c>
      <c r="N31">
        <v>14376</v>
      </c>
      <c r="O31">
        <f t="shared" si="0"/>
        <v>237992</v>
      </c>
      <c r="P31">
        <v>35251</v>
      </c>
      <c r="Q31">
        <v>39231</v>
      </c>
      <c r="R31">
        <v>4539</v>
      </c>
      <c r="S31">
        <v>37512</v>
      </c>
      <c r="T31">
        <f t="shared" si="1"/>
        <v>116533</v>
      </c>
      <c r="U31">
        <f t="shared" si="2"/>
        <v>354525</v>
      </c>
      <c r="V31">
        <v>57800714.602525301</v>
      </c>
      <c r="W31">
        <v>65279205.055693902</v>
      </c>
      <c r="X31">
        <v>7478490.4531686101</v>
      </c>
      <c r="Y31">
        <v>1891787.8635667299</v>
      </c>
      <c r="Z31">
        <f t="shared" si="4"/>
        <v>63059.595452224334</v>
      </c>
      <c r="AA31">
        <v>0</v>
      </c>
      <c r="AB31">
        <v>9910339.2978468593</v>
      </c>
      <c r="AC31">
        <v>10024340.48</v>
      </c>
      <c r="AD31">
        <f t="shared" si="3"/>
        <v>-114001.18215314113</v>
      </c>
      <c r="AE31">
        <f>AD31/G31</f>
        <v>-3800.0394051047042</v>
      </c>
      <c r="AF31">
        <v>90</v>
      </c>
      <c r="AG31">
        <v>804</v>
      </c>
    </row>
    <row r="32" spans="1:33" x14ac:dyDescent="0.2">
      <c r="A32" t="s">
        <v>105</v>
      </c>
      <c r="B32">
        <v>265</v>
      </c>
      <c r="C32">
        <v>10</v>
      </c>
      <c r="D32">
        <v>4</v>
      </c>
      <c r="E32">
        <v>3</v>
      </c>
      <c r="F32">
        <v>15</v>
      </c>
      <c r="G32">
        <v>30</v>
      </c>
      <c r="H32">
        <v>90.12</v>
      </c>
      <c r="I32">
        <v>98.7</v>
      </c>
      <c r="J32">
        <v>0.3</v>
      </c>
      <c r="K32">
        <v>71047</v>
      </c>
      <c r="L32">
        <v>125578</v>
      </c>
      <c r="M32">
        <v>25713</v>
      </c>
      <c r="N32">
        <v>14300</v>
      </c>
      <c r="O32">
        <f t="shared" si="0"/>
        <v>236638</v>
      </c>
      <c r="P32">
        <v>35238</v>
      </c>
      <c r="Q32">
        <v>39070</v>
      </c>
      <c r="R32">
        <v>4422</v>
      </c>
      <c r="S32">
        <v>37488</v>
      </c>
      <c r="T32">
        <f t="shared" si="1"/>
        <v>116218</v>
      </c>
      <c r="U32">
        <f t="shared" si="2"/>
        <v>352856</v>
      </c>
      <c r="V32">
        <v>44093599.091592498</v>
      </c>
      <c r="W32">
        <v>55296714.751731902</v>
      </c>
      <c r="X32">
        <v>11203115.6601393</v>
      </c>
      <c r="Y32">
        <v>2062521.2789807301</v>
      </c>
      <c r="Z32">
        <f t="shared" si="4"/>
        <v>137501.41859871533</v>
      </c>
      <c r="AA32">
        <v>0</v>
      </c>
      <c r="AB32">
        <v>11557598.5557454</v>
      </c>
      <c r="AC32">
        <v>10024340.48</v>
      </c>
      <c r="AD32">
        <f t="shared" si="3"/>
        <v>1533258.0757454</v>
      </c>
      <c r="AE32">
        <f>AD32/G32</f>
        <v>51108.602524846669</v>
      </c>
      <c r="AF32">
        <v>88</v>
      </c>
      <c r="AG32">
        <v>930</v>
      </c>
    </row>
    <row r="33" spans="1:33" x14ac:dyDescent="0.2">
      <c r="A33" s="5" t="s">
        <v>107</v>
      </c>
      <c r="B33" s="5">
        <v>265</v>
      </c>
      <c r="C33" s="5">
        <v>10</v>
      </c>
      <c r="D33" s="5">
        <v>4</v>
      </c>
      <c r="E33" s="5">
        <v>3</v>
      </c>
      <c r="F33" s="5">
        <v>30</v>
      </c>
      <c r="G33" s="5">
        <v>30</v>
      </c>
      <c r="H33" s="5">
        <v>90.12</v>
      </c>
      <c r="I33" s="5">
        <v>98.7</v>
      </c>
      <c r="J33" s="5">
        <v>0.3</v>
      </c>
      <c r="K33" s="5">
        <v>71030</v>
      </c>
      <c r="L33" s="5">
        <v>125601</v>
      </c>
      <c r="M33" s="5">
        <v>25684</v>
      </c>
      <c r="N33" s="5">
        <v>14390</v>
      </c>
      <c r="O33">
        <f t="shared" si="0"/>
        <v>236705</v>
      </c>
      <c r="P33" s="5">
        <v>35053</v>
      </c>
      <c r="Q33" s="5">
        <v>39303</v>
      </c>
      <c r="R33" s="5">
        <v>4630</v>
      </c>
      <c r="S33" s="5">
        <v>37340</v>
      </c>
      <c r="T33">
        <f t="shared" si="1"/>
        <v>116326</v>
      </c>
      <c r="U33">
        <f t="shared" si="2"/>
        <v>353031</v>
      </c>
      <c r="V33" s="5">
        <v>59739184.075714603</v>
      </c>
      <c r="W33" s="5">
        <v>71434641.699422106</v>
      </c>
      <c r="X33" s="5">
        <v>11695457.623707499</v>
      </c>
      <c r="Y33" s="5">
        <v>4749664.0995595204</v>
      </c>
      <c r="Z33">
        <f t="shared" si="4"/>
        <v>158322.13665198401</v>
      </c>
      <c r="AA33" s="5">
        <v>0</v>
      </c>
      <c r="AB33" s="5">
        <v>16310583.0297658</v>
      </c>
      <c r="AC33" s="5">
        <v>10138253.439999999</v>
      </c>
      <c r="AD33" s="5">
        <f t="shared" si="3"/>
        <v>6172329.5897658002</v>
      </c>
      <c r="AE33" s="5">
        <f>AD33/G33</f>
        <v>205744.31965886001</v>
      </c>
      <c r="AF33" s="5">
        <v>89</v>
      </c>
      <c r="AG33" s="5">
        <v>725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8"/>
  <sheetViews>
    <sheetView tabSelected="1" topLeftCell="B18" workbookViewId="0">
      <selection activeCell="H2" sqref="H2"/>
    </sheetView>
  </sheetViews>
  <sheetFormatPr baseColWidth="10" defaultRowHeight="16" x14ac:dyDescent="0.2"/>
  <sheetData>
    <row r="1" spans="1:13" x14ac:dyDescent="0.2">
      <c r="A1" t="s">
        <v>76</v>
      </c>
      <c r="B1" t="s">
        <v>6</v>
      </c>
      <c r="C1" t="s">
        <v>19</v>
      </c>
      <c r="D1" t="s">
        <v>60</v>
      </c>
      <c r="F1" t="s">
        <v>76</v>
      </c>
      <c r="G1" t="s">
        <v>6</v>
      </c>
      <c r="H1" t="s">
        <v>19</v>
      </c>
      <c r="I1" t="s">
        <v>60</v>
      </c>
      <c r="L1" t="s">
        <v>287</v>
      </c>
      <c r="M1" t="s">
        <v>288</v>
      </c>
    </row>
    <row r="2" spans="1:13" x14ac:dyDescent="0.2">
      <c r="A2" t="s">
        <v>77</v>
      </c>
      <c r="B2">
        <v>45.06</v>
      </c>
      <c r="C2">
        <v>-18344203.504127599</v>
      </c>
      <c r="D2">
        <v>-44917.53925808701</v>
      </c>
      <c r="F2" t="s">
        <v>78</v>
      </c>
      <c r="G2">
        <v>90.12</v>
      </c>
      <c r="H2">
        <v>-7824259.4077669401</v>
      </c>
      <c r="I2">
        <v>229121.20948382499</v>
      </c>
      <c r="L2">
        <v>-44917.53925808701</v>
      </c>
      <c r="M2">
        <v>229121.20948382499</v>
      </c>
    </row>
    <row r="3" spans="1:13" x14ac:dyDescent="0.2">
      <c r="A3" t="s">
        <v>79</v>
      </c>
      <c r="B3">
        <v>45.06</v>
      </c>
      <c r="C3">
        <v>-17400718.0542183</v>
      </c>
      <c r="D3">
        <v>197267.63140186699</v>
      </c>
      <c r="F3" t="s">
        <v>80</v>
      </c>
      <c r="G3">
        <v>90.12</v>
      </c>
      <c r="H3">
        <v>-1415881.9497326899</v>
      </c>
      <c r="I3">
        <v>713491.55080373096</v>
      </c>
      <c r="L3">
        <v>197267.63140186699</v>
      </c>
      <c r="M3">
        <v>713491.55080373096</v>
      </c>
    </row>
    <row r="4" spans="1:13" x14ac:dyDescent="0.2">
      <c r="A4" t="s">
        <v>81</v>
      </c>
      <c r="B4">
        <v>45.06</v>
      </c>
      <c r="C4">
        <v>-17980638.827082999</v>
      </c>
      <c r="D4">
        <v>23823.296777059975</v>
      </c>
      <c r="F4" t="s">
        <v>42</v>
      </c>
      <c r="G4">
        <v>90.12</v>
      </c>
      <c r="H4">
        <v>-6696047.13591504</v>
      </c>
      <c r="I4">
        <v>366602.88155411999</v>
      </c>
      <c r="L4">
        <v>23823.296777059975</v>
      </c>
      <c r="M4">
        <v>366602.88155411999</v>
      </c>
    </row>
    <row r="5" spans="1:13" x14ac:dyDescent="0.2">
      <c r="A5" t="s">
        <v>82</v>
      </c>
      <c r="B5">
        <v>45.06</v>
      </c>
      <c r="C5">
        <v>-17933897.217544898</v>
      </c>
      <c r="D5">
        <v>225194.33005721797</v>
      </c>
      <c r="F5" t="s">
        <v>83</v>
      </c>
      <c r="G5">
        <v>90.12</v>
      </c>
      <c r="H5">
        <v>-3430173.6580720502</v>
      </c>
      <c r="I5">
        <v>769344.94811443111</v>
      </c>
      <c r="L5">
        <v>225194.33005721797</v>
      </c>
      <c r="M5">
        <v>769344.94811443111</v>
      </c>
    </row>
    <row r="6" spans="1:13" x14ac:dyDescent="0.2">
      <c r="A6" t="s">
        <v>84</v>
      </c>
      <c r="B6">
        <v>45.06</v>
      </c>
      <c r="C6">
        <v>-18475187.509085301</v>
      </c>
      <c r="D6">
        <v>43560.153597672979</v>
      </c>
      <c r="F6" t="s">
        <v>85</v>
      </c>
      <c r="G6">
        <v>90.12</v>
      </c>
      <c r="H6">
        <v>-6325848.0947655402</v>
      </c>
      <c r="I6">
        <v>406076.59519534599</v>
      </c>
      <c r="L6">
        <v>43560.153597672979</v>
      </c>
      <c r="M6">
        <v>406076.59519534599</v>
      </c>
    </row>
    <row r="7" spans="1:13" x14ac:dyDescent="0.2">
      <c r="A7" t="s">
        <v>86</v>
      </c>
      <c r="B7">
        <v>45.06</v>
      </c>
      <c r="C7">
        <v>-19846921.689263899</v>
      </c>
      <c r="D7">
        <v>233350.60665412195</v>
      </c>
      <c r="F7" t="s">
        <v>87</v>
      </c>
      <c r="G7">
        <v>90.12</v>
      </c>
      <c r="H7">
        <v>-4281703.1739495499</v>
      </c>
      <c r="I7">
        <v>762874.9093082411</v>
      </c>
      <c r="L7">
        <v>233350.60665412195</v>
      </c>
      <c r="M7">
        <v>762874.9093082411</v>
      </c>
    </row>
    <row r="8" spans="1:13" x14ac:dyDescent="0.2">
      <c r="A8" t="s">
        <v>88</v>
      </c>
      <c r="B8">
        <v>45.06</v>
      </c>
      <c r="C8">
        <v>-18224713.245310701</v>
      </c>
      <c r="D8">
        <v>13498.223852550984</v>
      </c>
      <c r="F8" t="s">
        <v>89</v>
      </c>
      <c r="G8">
        <v>90.12</v>
      </c>
      <c r="H8">
        <v>-5713233.9113545902</v>
      </c>
      <c r="I8">
        <v>323170.14370510203</v>
      </c>
      <c r="L8">
        <v>13498.223852550984</v>
      </c>
      <c r="M8">
        <v>323170.14370510203</v>
      </c>
    </row>
    <row r="9" spans="1:13" x14ac:dyDescent="0.2">
      <c r="A9" t="s">
        <v>90</v>
      </c>
      <c r="B9">
        <v>45.06</v>
      </c>
      <c r="C9">
        <v>-15464605.880899699</v>
      </c>
      <c r="D9">
        <v>214558.08226570502</v>
      </c>
      <c r="F9" t="s">
        <v>91</v>
      </c>
      <c r="G9">
        <v>90.12</v>
      </c>
      <c r="H9">
        <v>998441.51873332204</v>
      </c>
      <c r="I9">
        <v>770855.04453140101</v>
      </c>
      <c r="L9">
        <v>214558.08226570502</v>
      </c>
      <c r="M9">
        <v>770855.04453140101</v>
      </c>
    </row>
    <row r="10" spans="1:13" x14ac:dyDescent="0.2">
      <c r="A10" t="s">
        <v>92</v>
      </c>
      <c r="B10">
        <v>45.06</v>
      </c>
      <c r="C10">
        <v>-9995948.2531276699</v>
      </c>
      <c r="D10">
        <v>-131216.66957200269</v>
      </c>
      <c r="F10" t="s">
        <v>93</v>
      </c>
      <c r="G10">
        <v>90.12</v>
      </c>
      <c r="H10">
        <v>16087205.5488762</v>
      </c>
      <c r="I10">
        <v>64844.372534223337</v>
      </c>
      <c r="L10">
        <v>-131216.66957200269</v>
      </c>
      <c r="M10">
        <v>64844.372534223337</v>
      </c>
    </row>
    <row r="11" spans="1:13" x14ac:dyDescent="0.2">
      <c r="A11" t="s">
        <v>94</v>
      </c>
      <c r="B11">
        <v>45.06</v>
      </c>
      <c r="C11">
        <v>-21271591.610757701</v>
      </c>
      <c r="D11">
        <v>-93058.082330487669</v>
      </c>
      <c r="F11" t="s">
        <v>95</v>
      </c>
      <c r="G11">
        <v>90.12</v>
      </c>
      <c r="H11">
        <v>7829271.27338407</v>
      </c>
      <c r="I11">
        <v>108071.31856762333</v>
      </c>
      <c r="L11">
        <v>-93058.082330487669</v>
      </c>
      <c r="M11">
        <v>108071.31856762333</v>
      </c>
    </row>
    <row r="12" spans="1:13" x14ac:dyDescent="0.2">
      <c r="A12" t="s">
        <v>96</v>
      </c>
      <c r="B12">
        <v>45.06</v>
      </c>
      <c r="C12">
        <v>-8739379.7214922309</v>
      </c>
      <c r="D12">
        <v>-140439.81744984034</v>
      </c>
      <c r="F12" t="s">
        <v>97</v>
      </c>
      <c r="G12">
        <v>90.12</v>
      </c>
      <c r="H12">
        <v>19090546.030836798</v>
      </c>
      <c r="I12">
        <v>36440.199961776656</v>
      </c>
      <c r="L12">
        <v>-140439.81744984034</v>
      </c>
      <c r="M12">
        <v>36440.199961776656</v>
      </c>
    </row>
    <row r="13" spans="1:13" x14ac:dyDescent="0.2">
      <c r="A13" t="s">
        <v>98</v>
      </c>
      <c r="B13">
        <v>45.06</v>
      </c>
      <c r="C13">
        <v>-20088610.378621601</v>
      </c>
      <c r="D13">
        <v>-101113.89040273335</v>
      </c>
      <c r="F13" t="s">
        <v>99</v>
      </c>
      <c r="G13">
        <v>90.12</v>
      </c>
      <c r="H13">
        <v>8001819.4625559598</v>
      </c>
      <c r="I13">
        <v>80236.996887393354</v>
      </c>
      <c r="L13">
        <v>-101113.89040273335</v>
      </c>
      <c r="M13">
        <v>80236.996887393354</v>
      </c>
    </row>
    <row r="14" spans="1:13" x14ac:dyDescent="0.2">
      <c r="A14" t="s">
        <v>100</v>
      </c>
      <c r="B14">
        <v>45.06</v>
      </c>
      <c r="C14">
        <v>-10957125.6567099</v>
      </c>
      <c r="D14">
        <v>-145349.38692581063</v>
      </c>
      <c r="F14" t="s">
        <v>101</v>
      </c>
      <c r="G14">
        <v>90.12</v>
      </c>
      <c r="H14">
        <v>8876119.7743770704</v>
      </c>
      <c r="I14">
        <v>-56318.264368901342</v>
      </c>
      <c r="L14">
        <v>-145349.38692581063</v>
      </c>
      <c r="M14">
        <v>-56318.264368901342</v>
      </c>
    </row>
    <row r="15" spans="1:13" x14ac:dyDescent="0.2">
      <c r="A15" t="s">
        <v>102</v>
      </c>
      <c r="B15">
        <v>45.06</v>
      </c>
      <c r="C15">
        <v>-19298058.711867299</v>
      </c>
      <c r="D15">
        <v>-22521.027944005655</v>
      </c>
      <c r="F15" t="s">
        <v>103</v>
      </c>
      <c r="G15">
        <v>90.12</v>
      </c>
      <c r="H15">
        <v>7478490.4531686101</v>
      </c>
      <c r="I15">
        <v>-3800.0394051047042</v>
      </c>
      <c r="L15">
        <v>-22521.027944005655</v>
      </c>
      <c r="M15">
        <v>-3800.0394051047042</v>
      </c>
    </row>
    <row r="16" spans="1:13" x14ac:dyDescent="0.2">
      <c r="A16" t="s">
        <v>104</v>
      </c>
      <c r="B16">
        <v>45.06</v>
      </c>
      <c r="C16">
        <v>-13623563.6931441</v>
      </c>
      <c r="D16">
        <v>-134792.96939857129</v>
      </c>
      <c r="F16" t="s">
        <v>105</v>
      </c>
      <c r="G16">
        <v>90.12</v>
      </c>
      <c r="H16">
        <v>11203115.6601393</v>
      </c>
      <c r="I16">
        <v>51108.602524846669</v>
      </c>
      <c r="L16">
        <v>-134792.96939857129</v>
      </c>
      <c r="M16">
        <v>51108.602524846669</v>
      </c>
    </row>
    <row r="17" spans="1:13" x14ac:dyDescent="0.2">
      <c r="A17" t="s">
        <v>106</v>
      </c>
      <c r="B17">
        <v>45.06</v>
      </c>
      <c r="C17">
        <v>-20695413.004154898</v>
      </c>
      <c r="D17">
        <v>-133714.59136770933</v>
      </c>
      <c r="F17" s="5" t="s">
        <v>107</v>
      </c>
      <c r="G17" s="5">
        <v>90.12</v>
      </c>
      <c r="H17" s="5">
        <v>11695457.623707499</v>
      </c>
      <c r="I17" s="5">
        <v>205744.31965886001</v>
      </c>
      <c r="L17">
        <v>-133714.59136770933</v>
      </c>
      <c r="M17" s="5">
        <v>205744.31965886001</v>
      </c>
    </row>
    <row r="18" spans="1:13" x14ac:dyDescent="0.2">
      <c r="C18">
        <f>AVERAGE(C2:C17)</f>
        <v>-16771286.059838051</v>
      </c>
      <c r="D18">
        <f>AVERAGE(D2:D17)</f>
        <v>258.021872309233</v>
      </c>
      <c r="H18">
        <f>AVERAGE(H2:H17)</f>
        <v>3473332.5008889018</v>
      </c>
      <c r="I18">
        <f>AVERAGE(I2:I17)</f>
        <v>301741.54931605718</v>
      </c>
    </row>
    <row r="22" spans="1:13" x14ac:dyDescent="0.2">
      <c r="C22" t="s">
        <v>286</v>
      </c>
      <c r="D22" t="s">
        <v>116</v>
      </c>
      <c r="E22" t="s">
        <v>283</v>
      </c>
      <c r="H22" t="s">
        <v>6</v>
      </c>
      <c r="I22" t="s">
        <v>287</v>
      </c>
      <c r="J22" t="s">
        <v>288</v>
      </c>
    </row>
    <row r="23" spans="1:13" x14ac:dyDescent="0.2">
      <c r="C23">
        <v>1</v>
      </c>
      <c r="D23">
        <v>-16771286.059838051</v>
      </c>
      <c r="E23">
        <v>258.021872309233</v>
      </c>
      <c r="H23">
        <v>45.06</v>
      </c>
      <c r="I23">
        <v>-18344203.504127599</v>
      </c>
      <c r="J23">
        <v>-7824259.4077669401</v>
      </c>
    </row>
    <row r="24" spans="1:13" x14ac:dyDescent="0.2">
      <c r="C24">
        <v>2</v>
      </c>
      <c r="D24">
        <v>3473332.5008889018</v>
      </c>
      <c r="E24">
        <v>301741.54931605718</v>
      </c>
      <c r="H24">
        <v>45.06</v>
      </c>
      <c r="I24">
        <v>-17400718.0542183</v>
      </c>
      <c r="J24">
        <v>-1415881.9497326899</v>
      </c>
    </row>
    <row r="25" spans="1:13" x14ac:dyDescent="0.2">
      <c r="H25">
        <v>45.06</v>
      </c>
      <c r="I25">
        <v>-17980638.827082999</v>
      </c>
      <c r="J25">
        <v>-6696047.13591504</v>
      </c>
    </row>
    <row r="26" spans="1:13" x14ac:dyDescent="0.2">
      <c r="H26">
        <v>45.06</v>
      </c>
      <c r="I26">
        <v>-17933897.217544898</v>
      </c>
      <c r="J26">
        <v>-3430173.6580720502</v>
      </c>
    </row>
    <row r="27" spans="1:13" x14ac:dyDescent="0.2">
      <c r="H27">
        <v>45.06</v>
      </c>
      <c r="I27">
        <v>-18475187.509085301</v>
      </c>
      <c r="J27">
        <v>-6325848.0947655402</v>
      </c>
    </row>
    <row r="28" spans="1:13" x14ac:dyDescent="0.2">
      <c r="H28">
        <v>45.06</v>
      </c>
      <c r="I28">
        <v>-19846921.689263899</v>
      </c>
      <c r="J28">
        <v>-4281703.1739495499</v>
      </c>
    </row>
    <row r="29" spans="1:13" x14ac:dyDescent="0.2">
      <c r="H29">
        <v>45.06</v>
      </c>
      <c r="I29">
        <v>-18224713.245310701</v>
      </c>
      <c r="J29">
        <v>-5713233.9113545902</v>
      </c>
    </row>
    <row r="30" spans="1:13" x14ac:dyDescent="0.2">
      <c r="H30">
        <v>45.06</v>
      </c>
      <c r="I30">
        <v>-15464605.880899699</v>
      </c>
      <c r="J30">
        <v>998441.51873332204</v>
      </c>
    </row>
    <row r="31" spans="1:13" x14ac:dyDescent="0.2">
      <c r="H31">
        <v>45.06</v>
      </c>
      <c r="I31">
        <v>-9995948.2531276699</v>
      </c>
      <c r="J31">
        <v>16087205.5488762</v>
      </c>
    </row>
    <row r="32" spans="1:13" x14ac:dyDescent="0.2">
      <c r="H32">
        <v>45.06</v>
      </c>
      <c r="I32">
        <v>-21271591.610757701</v>
      </c>
      <c r="J32">
        <v>7829271.27338407</v>
      </c>
    </row>
    <row r="33" spans="8:10" x14ac:dyDescent="0.2">
      <c r="H33">
        <v>45.06</v>
      </c>
      <c r="I33">
        <v>-8739379.7214922309</v>
      </c>
      <c r="J33">
        <v>19090546.030836798</v>
      </c>
    </row>
    <row r="34" spans="8:10" x14ac:dyDescent="0.2">
      <c r="H34">
        <v>45.06</v>
      </c>
      <c r="I34">
        <v>-20088610.378621601</v>
      </c>
      <c r="J34">
        <v>8001819.4625559598</v>
      </c>
    </row>
    <row r="35" spans="8:10" x14ac:dyDescent="0.2">
      <c r="H35">
        <v>45.06</v>
      </c>
      <c r="I35">
        <v>-10957125.6567099</v>
      </c>
      <c r="J35">
        <v>8876119.7743770704</v>
      </c>
    </row>
    <row r="36" spans="8:10" x14ac:dyDescent="0.2">
      <c r="H36">
        <v>45.06</v>
      </c>
      <c r="I36">
        <v>-19298058.711867299</v>
      </c>
      <c r="J36">
        <v>7478490.4531686101</v>
      </c>
    </row>
    <row r="37" spans="8:10" x14ac:dyDescent="0.2">
      <c r="H37">
        <v>45.06</v>
      </c>
      <c r="I37">
        <v>-13623563.6931441</v>
      </c>
      <c r="J37">
        <v>11203115.6601393</v>
      </c>
    </row>
    <row r="38" spans="8:10" x14ac:dyDescent="0.2">
      <c r="H38">
        <v>45.06</v>
      </c>
      <c r="I38">
        <v>-20695413.004154898</v>
      </c>
      <c r="J38" s="5">
        <v>11695457.623707499</v>
      </c>
    </row>
  </sheetData>
  <sortState xmlns:xlrd2="http://schemas.microsoft.com/office/spreadsheetml/2017/richdata2" ref="A2:D33">
    <sortCondition ref="B1:B33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2"/>
  <sheetViews>
    <sheetView topLeftCell="A4" workbookViewId="0">
      <selection activeCell="E1" sqref="E1:E17"/>
    </sheetView>
  </sheetViews>
  <sheetFormatPr baseColWidth="10" defaultRowHeight="16" x14ac:dyDescent="0.2"/>
  <sheetData>
    <row r="1" spans="1:19" x14ac:dyDescent="0.2">
      <c r="A1" t="s">
        <v>76</v>
      </c>
      <c r="B1" t="s">
        <v>5</v>
      </c>
      <c r="C1" t="s">
        <v>27</v>
      </c>
      <c r="D1" t="s">
        <v>28</v>
      </c>
      <c r="E1" t="s">
        <v>19</v>
      </c>
      <c r="F1" t="s">
        <v>59</v>
      </c>
      <c r="G1" t="s">
        <v>21</v>
      </c>
      <c r="H1" t="s">
        <v>282</v>
      </c>
      <c r="I1" t="s">
        <v>25</v>
      </c>
      <c r="K1" t="s">
        <v>76</v>
      </c>
      <c r="L1" t="s">
        <v>5</v>
      </c>
      <c r="M1" t="s">
        <v>27</v>
      </c>
      <c r="N1" t="s">
        <v>28</v>
      </c>
      <c r="O1" t="s">
        <v>19</v>
      </c>
      <c r="P1" t="s">
        <v>59</v>
      </c>
      <c r="Q1" t="s">
        <v>21</v>
      </c>
      <c r="R1" t="s">
        <v>282</v>
      </c>
      <c r="S1" t="s">
        <v>25</v>
      </c>
    </row>
    <row r="2" spans="1:19" x14ac:dyDescent="0.2">
      <c r="A2" t="s">
        <v>77</v>
      </c>
      <c r="B2">
        <v>10</v>
      </c>
      <c r="C2">
        <v>233027</v>
      </c>
      <c r="D2">
        <v>116922</v>
      </c>
      <c r="E2">
        <v>-18344203.504127599</v>
      </c>
      <c r="F2">
        <v>128635.69871115933</v>
      </c>
      <c r="G2">
        <v>0</v>
      </c>
      <c r="H2">
        <v>-44917.53925808701</v>
      </c>
      <c r="I2">
        <v>242</v>
      </c>
      <c r="K2" t="s">
        <v>92</v>
      </c>
      <c r="L2">
        <v>30</v>
      </c>
      <c r="M2">
        <v>235900</v>
      </c>
      <c r="N2">
        <v>116393</v>
      </c>
      <c r="O2">
        <v>-9995948.2531276699</v>
      </c>
      <c r="P2">
        <v>164181.46455519466</v>
      </c>
      <c r="Q2">
        <v>0</v>
      </c>
      <c r="R2">
        <v>-131216.66957200269</v>
      </c>
      <c r="S2">
        <v>882</v>
      </c>
    </row>
    <row r="3" spans="1:19" x14ac:dyDescent="0.2">
      <c r="A3" t="s">
        <v>79</v>
      </c>
      <c r="B3">
        <v>10</v>
      </c>
      <c r="C3">
        <v>230505</v>
      </c>
      <c r="D3">
        <v>111447</v>
      </c>
      <c r="E3">
        <v>-17400718.0542183</v>
      </c>
      <c r="F3">
        <v>63060.020033272333</v>
      </c>
      <c r="G3">
        <v>58709.1250899999</v>
      </c>
      <c r="H3">
        <v>197267.63140186699</v>
      </c>
      <c r="I3">
        <v>57</v>
      </c>
      <c r="K3" t="s">
        <v>94</v>
      </c>
      <c r="L3">
        <v>30</v>
      </c>
      <c r="M3">
        <v>237872</v>
      </c>
      <c r="N3">
        <v>116866</v>
      </c>
      <c r="O3">
        <v>-21271591.610757701</v>
      </c>
      <c r="P3">
        <v>91536.582479840668</v>
      </c>
      <c r="Q3">
        <v>0</v>
      </c>
      <c r="R3">
        <v>-93058.082330487669</v>
      </c>
      <c r="S3">
        <v>805</v>
      </c>
    </row>
    <row r="4" spans="1:19" x14ac:dyDescent="0.2">
      <c r="A4" t="s">
        <v>81</v>
      </c>
      <c r="B4">
        <v>10</v>
      </c>
      <c r="C4">
        <v>232202</v>
      </c>
      <c r="D4">
        <v>117211</v>
      </c>
      <c r="E4">
        <v>-17980638.827082999</v>
      </c>
      <c r="F4">
        <v>145554.21915504735</v>
      </c>
      <c r="G4">
        <v>0</v>
      </c>
      <c r="H4">
        <v>23823.296777059975</v>
      </c>
      <c r="I4">
        <v>224</v>
      </c>
      <c r="K4" t="s">
        <v>96</v>
      </c>
      <c r="L4">
        <v>30</v>
      </c>
      <c r="M4">
        <v>235802</v>
      </c>
      <c r="N4">
        <v>116378</v>
      </c>
      <c r="O4">
        <v>-8739379.7214922309</v>
      </c>
      <c r="P4">
        <v>162939.30905820001</v>
      </c>
      <c r="Q4">
        <v>0</v>
      </c>
      <c r="R4">
        <v>-140439.81744984034</v>
      </c>
      <c r="S4">
        <v>831</v>
      </c>
    </row>
    <row r="5" spans="1:19" x14ac:dyDescent="0.2">
      <c r="A5" t="s">
        <v>82</v>
      </c>
      <c r="B5">
        <v>10</v>
      </c>
      <c r="C5">
        <v>230508</v>
      </c>
      <c r="D5">
        <v>108966</v>
      </c>
      <c r="E5">
        <v>-17933897.217544898</v>
      </c>
      <c r="F5">
        <v>91646.246555128659</v>
      </c>
      <c r="G5">
        <v>58709.125090000001</v>
      </c>
      <c r="H5">
        <v>225194.33005721797</v>
      </c>
      <c r="I5">
        <v>89</v>
      </c>
      <c r="K5" t="s">
        <v>98</v>
      </c>
      <c r="L5">
        <v>30</v>
      </c>
      <c r="M5">
        <v>237158</v>
      </c>
      <c r="N5">
        <v>116600</v>
      </c>
      <c r="O5">
        <v>-20088610.378621601</v>
      </c>
      <c r="P5">
        <v>139789.42503649366</v>
      </c>
      <c r="Q5">
        <v>0</v>
      </c>
      <c r="R5">
        <v>-101113.89040273335</v>
      </c>
      <c r="S5">
        <v>754</v>
      </c>
    </row>
    <row r="6" spans="1:19" x14ac:dyDescent="0.2">
      <c r="A6" t="s">
        <v>84</v>
      </c>
      <c r="B6">
        <v>10</v>
      </c>
      <c r="C6">
        <v>232684</v>
      </c>
      <c r="D6">
        <v>116330</v>
      </c>
      <c r="E6">
        <v>-18475187.509085301</v>
      </c>
      <c r="F6">
        <v>159574.76673925732</v>
      </c>
      <c r="G6">
        <v>0</v>
      </c>
      <c r="H6">
        <v>43560.153597672979</v>
      </c>
      <c r="I6">
        <v>250</v>
      </c>
      <c r="K6" t="s">
        <v>100</v>
      </c>
      <c r="L6">
        <v>30</v>
      </c>
      <c r="M6">
        <v>236342</v>
      </c>
      <c r="N6">
        <v>116480</v>
      </c>
      <c r="O6">
        <v>-10957125.6567099</v>
      </c>
      <c r="P6">
        <v>107071.21644525467</v>
      </c>
      <c r="Q6">
        <v>0</v>
      </c>
      <c r="R6">
        <v>-145349.38692581063</v>
      </c>
      <c r="S6">
        <v>914</v>
      </c>
    </row>
    <row r="7" spans="1:19" x14ac:dyDescent="0.2">
      <c r="A7" t="s">
        <v>86</v>
      </c>
      <c r="B7">
        <v>10</v>
      </c>
      <c r="C7">
        <v>235124</v>
      </c>
      <c r="D7">
        <v>116581</v>
      </c>
      <c r="E7">
        <v>-19846921.689263899</v>
      </c>
      <c r="F7">
        <v>86020.359148990334</v>
      </c>
      <c r="G7">
        <v>0</v>
      </c>
      <c r="H7">
        <v>233350.60665412195</v>
      </c>
      <c r="I7">
        <v>64</v>
      </c>
      <c r="K7" t="s">
        <v>102</v>
      </c>
      <c r="L7">
        <v>30</v>
      </c>
      <c r="M7">
        <v>237304</v>
      </c>
      <c r="N7">
        <v>116167</v>
      </c>
      <c r="O7">
        <v>-19298058.711867299</v>
      </c>
      <c r="P7">
        <v>163161.93156995432</v>
      </c>
      <c r="Q7">
        <v>0</v>
      </c>
      <c r="R7">
        <v>-22521.027944005655</v>
      </c>
      <c r="S7">
        <v>623</v>
      </c>
    </row>
    <row r="8" spans="1:19" x14ac:dyDescent="0.2">
      <c r="A8" t="s">
        <v>88</v>
      </c>
      <c r="B8">
        <v>10</v>
      </c>
      <c r="C8">
        <v>234120</v>
      </c>
      <c r="D8">
        <v>116241</v>
      </c>
      <c r="E8">
        <v>-18224713.245310701</v>
      </c>
      <c r="F8">
        <v>168735.11548630733</v>
      </c>
      <c r="G8">
        <v>0</v>
      </c>
      <c r="H8">
        <v>13498.223852550984</v>
      </c>
      <c r="I8">
        <v>195</v>
      </c>
      <c r="K8" t="s">
        <v>104</v>
      </c>
      <c r="L8">
        <v>30</v>
      </c>
      <c r="M8">
        <v>235732</v>
      </c>
      <c r="N8">
        <v>116966</v>
      </c>
      <c r="O8">
        <v>-13623563.6931441</v>
      </c>
      <c r="P8">
        <v>162179.59360580801</v>
      </c>
      <c r="Q8">
        <v>0</v>
      </c>
      <c r="R8">
        <v>-134792.96939857129</v>
      </c>
      <c r="S8">
        <v>1032</v>
      </c>
    </row>
    <row r="9" spans="1:19" x14ac:dyDescent="0.2">
      <c r="A9" t="s">
        <v>90</v>
      </c>
      <c r="B9">
        <v>10</v>
      </c>
      <c r="C9">
        <v>228801</v>
      </c>
      <c r="D9">
        <v>108583</v>
      </c>
      <c r="E9">
        <v>-15464605.880899699</v>
      </c>
      <c r="F9">
        <v>85876.374447771334</v>
      </c>
      <c r="G9">
        <v>8387.0178699999997</v>
      </c>
      <c r="H9">
        <v>214558.08226570502</v>
      </c>
      <c r="I9">
        <v>70</v>
      </c>
      <c r="K9" t="s">
        <v>106</v>
      </c>
      <c r="L9">
        <v>30</v>
      </c>
      <c r="M9">
        <v>237501</v>
      </c>
      <c r="N9">
        <v>116380</v>
      </c>
      <c r="O9">
        <v>-20695413.004154898</v>
      </c>
      <c r="P9">
        <v>114420.706916836</v>
      </c>
      <c r="Q9">
        <v>0</v>
      </c>
      <c r="R9">
        <v>-133714.59136770933</v>
      </c>
      <c r="S9">
        <v>795</v>
      </c>
    </row>
    <row r="10" spans="1:19" x14ac:dyDescent="0.2">
      <c r="A10" t="s">
        <v>78</v>
      </c>
      <c r="B10">
        <v>10</v>
      </c>
      <c r="C10">
        <v>233093</v>
      </c>
      <c r="D10">
        <v>116761</v>
      </c>
      <c r="E10">
        <v>-7824259.4077669401</v>
      </c>
      <c r="F10">
        <v>137309.57597981466</v>
      </c>
      <c r="G10">
        <v>0</v>
      </c>
      <c r="H10">
        <v>229121.20948382499</v>
      </c>
      <c r="I10">
        <v>242</v>
      </c>
      <c r="K10" t="s">
        <v>93</v>
      </c>
      <c r="L10">
        <v>30</v>
      </c>
      <c r="M10">
        <v>236996</v>
      </c>
      <c r="N10">
        <v>116400</v>
      </c>
      <c r="O10">
        <v>16087205.5488762</v>
      </c>
      <c r="P10">
        <v>162008.20497532267</v>
      </c>
      <c r="Q10">
        <v>0</v>
      </c>
      <c r="R10">
        <v>64844.372534223337</v>
      </c>
      <c r="S10">
        <v>887</v>
      </c>
    </row>
    <row r="11" spans="1:19" x14ac:dyDescent="0.2">
      <c r="A11" t="s">
        <v>80</v>
      </c>
      <c r="B11">
        <v>10</v>
      </c>
      <c r="C11">
        <v>230671</v>
      </c>
      <c r="D11">
        <v>111431</v>
      </c>
      <c r="E11">
        <v>-1415881.9497326899</v>
      </c>
      <c r="F11">
        <v>73485.876136297331</v>
      </c>
      <c r="G11">
        <v>58709.1250899999</v>
      </c>
      <c r="H11">
        <v>713491.55080373096</v>
      </c>
      <c r="I11">
        <v>57</v>
      </c>
      <c r="K11" t="s">
        <v>95</v>
      </c>
      <c r="L11">
        <v>30</v>
      </c>
      <c r="M11">
        <v>238054</v>
      </c>
      <c r="N11">
        <v>116794</v>
      </c>
      <c r="O11">
        <v>7829271.27338407</v>
      </c>
      <c r="P11">
        <v>85057.363871949667</v>
      </c>
      <c r="Q11">
        <v>0</v>
      </c>
      <c r="R11">
        <v>108071.31856762333</v>
      </c>
      <c r="S11">
        <v>808</v>
      </c>
    </row>
    <row r="12" spans="1:19" x14ac:dyDescent="0.2">
      <c r="A12" t="s">
        <v>42</v>
      </c>
      <c r="B12">
        <v>10</v>
      </c>
      <c r="C12">
        <v>232147</v>
      </c>
      <c r="D12">
        <v>117210</v>
      </c>
      <c r="E12">
        <v>-6696047.13591504</v>
      </c>
      <c r="F12">
        <v>145274.651892714</v>
      </c>
      <c r="G12">
        <v>0</v>
      </c>
      <c r="H12">
        <v>366602.88155411999</v>
      </c>
      <c r="I12">
        <v>224</v>
      </c>
      <c r="K12" t="s">
        <v>97</v>
      </c>
      <c r="L12">
        <v>30</v>
      </c>
      <c r="M12">
        <v>237187</v>
      </c>
      <c r="N12">
        <v>116558</v>
      </c>
      <c r="O12">
        <v>19090546.030836798</v>
      </c>
      <c r="P12">
        <v>147938.14870926933</v>
      </c>
      <c r="Q12">
        <v>0</v>
      </c>
      <c r="R12">
        <v>36440.199961776656</v>
      </c>
      <c r="S12">
        <v>847</v>
      </c>
    </row>
    <row r="13" spans="1:19" x14ac:dyDescent="0.2">
      <c r="A13" t="s">
        <v>83</v>
      </c>
      <c r="B13">
        <v>10</v>
      </c>
      <c r="C13">
        <v>230425</v>
      </c>
      <c r="D13">
        <v>108962</v>
      </c>
      <c r="E13">
        <v>-3430173.6580720502</v>
      </c>
      <c r="F13">
        <v>100289.59137442401</v>
      </c>
      <c r="G13">
        <v>58709.125090000001</v>
      </c>
      <c r="H13">
        <v>769344.94811443111</v>
      </c>
      <c r="I13">
        <v>91</v>
      </c>
      <c r="K13" t="s">
        <v>99</v>
      </c>
      <c r="L13">
        <v>30</v>
      </c>
      <c r="M13">
        <v>238752</v>
      </c>
      <c r="N13">
        <v>116347</v>
      </c>
      <c r="O13">
        <v>8001819.4625559598</v>
      </c>
      <c r="P13">
        <v>117116.00745286167</v>
      </c>
      <c r="Q13">
        <v>0</v>
      </c>
      <c r="R13">
        <v>80236.996887393354</v>
      </c>
      <c r="S13">
        <v>761</v>
      </c>
    </row>
    <row r="14" spans="1:19" x14ac:dyDescent="0.2">
      <c r="A14" t="s">
        <v>85</v>
      </c>
      <c r="B14">
        <v>10</v>
      </c>
      <c r="C14">
        <v>232916</v>
      </c>
      <c r="D14">
        <v>116280</v>
      </c>
      <c r="E14">
        <v>-6325848.0947655402</v>
      </c>
      <c r="F14">
        <v>159574.76673925732</v>
      </c>
      <c r="G14">
        <v>0</v>
      </c>
      <c r="H14">
        <v>406076.59519534599</v>
      </c>
      <c r="I14">
        <v>250</v>
      </c>
      <c r="K14" t="s">
        <v>101</v>
      </c>
      <c r="L14">
        <v>30</v>
      </c>
      <c r="M14">
        <v>236800</v>
      </c>
      <c r="N14">
        <v>116898</v>
      </c>
      <c r="O14">
        <v>8876119.7743770704</v>
      </c>
      <c r="P14">
        <v>108369.05075124934</v>
      </c>
      <c r="Q14">
        <v>0</v>
      </c>
      <c r="R14">
        <v>-56318.264368901342</v>
      </c>
      <c r="S14">
        <v>1006</v>
      </c>
    </row>
    <row r="15" spans="1:19" x14ac:dyDescent="0.2">
      <c r="A15" t="s">
        <v>87</v>
      </c>
      <c r="B15">
        <v>10</v>
      </c>
      <c r="C15">
        <v>235202</v>
      </c>
      <c r="D15">
        <v>116550</v>
      </c>
      <c r="E15">
        <v>-4281703.1739495499</v>
      </c>
      <c r="F15">
        <v>91299.257006580665</v>
      </c>
      <c r="G15">
        <v>0</v>
      </c>
      <c r="H15">
        <v>762874.9093082411</v>
      </c>
      <c r="I15">
        <v>64</v>
      </c>
      <c r="K15" t="s">
        <v>103</v>
      </c>
      <c r="L15">
        <v>30</v>
      </c>
      <c r="M15">
        <v>237992</v>
      </c>
      <c r="N15">
        <v>116533</v>
      </c>
      <c r="O15">
        <v>7478490.4531686101</v>
      </c>
      <c r="P15">
        <v>63059.595452224334</v>
      </c>
      <c r="Q15">
        <v>0</v>
      </c>
      <c r="R15">
        <v>-3800.0394051047042</v>
      </c>
      <c r="S15">
        <v>804</v>
      </c>
    </row>
    <row r="16" spans="1:19" x14ac:dyDescent="0.2">
      <c r="A16" t="s">
        <v>89</v>
      </c>
      <c r="B16">
        <v>10</v>
      </c>
      <c r="C16">
        <v>234251</v>
      </c>
      <c r="D16">
        <v>116296</v>
      </c>
      <c r="E16">
        <v>-5713233.9113545902</v>
      </c>
      <c r="F16">
        <v>172963.38054390598</v>
      </c>
      <c r="G16">
        <v>0</v>
      </c>
      <c r="H16">
        <v>323170.14370510203</v>
      </c>
      <c r="I16">
        <v>202</v>
      </c>
      <c r="K16" t="s">
        <v>105</v>
      </c>
      <c r="L16">
        <v>30</v>
      </c>
      <c r="M16">
        <v>236638</v>
      </c>
      <c r="N16">
        <v>116218</v>
      </c>
      <c r="O16">
        <v>11203115.6601393</v>
      </c>
      <c r="P16">
        <v>137501.41859871533</v>
      </c>
      <c r="Q16">
        <v>0</v>
      </c>
      <c r="R16">
        <v>51108.602524846669</v>
      </c>
      <c r="S16">
        <v>930</v>
      </c>
    </row>
    <row r="17" spans="1:19" x14ac:dyDescent="0.2">
      <c r="A17" t="s">
        <v>91</v>
      </c>
      <c r="B17">
        <v>10</v>
      </c>
      <c r="C17">
        <v>228871</v>
      </c>
      <c r="D17">
        <v>108558</v>
      </c>
      <c r="E17">
        <v>998441.51873332204</v>
      </c>
      <c r="F17">
        <v>95631.468611435994</v>
      </c>
      <c r="G17">
        <v>8387.0178699999997</v>
      </c>
      <c r="H17">
        <v>770855.04453140101</v>
      </c>
      <c r="I17">
        <v>77</v>
      </c>
      <c r="K17" s="5" t="s">
        <v>107</v>
      </c>
      <c r="L17" s="5">
        <v>30</v>
      </c>
      <c r="M17">
        <v>236705</v>
      </c>
      <c r="N17">
        <v>116326</v>
      </c>
      <c r="O17" s="5">
        <v>11695457.623707499</v>
      </c>
      <c r="P17">
        <v>158322.13665198401</v>
      </c>
      <c r="Q17" s="5">
        <v>0</v>
      </c>
      <c r="R17" s="5">
        <v>205744.31965886001</v>
      </c>
      <c r="S17" s="5">
        <v>725</v>
      </c>
    </row>
    <row r="18" spans="1:19" x14ac:dyDescent="0.2">
      <c r="A18" t="s">
        <v>35</v>
      </c>
      <c r="B18" t="s">
        <v>285</v>
      </c>
      <c r="C18">
        <f>AVERAGE(C2:C17)</f>
        <v>232159.1875</v>
      </c>
      <c r="D18">
        <f t="shared" ref="D18:I18" si="0">AVERAGE(D2:D17)</f>
        <v>114020.5625</v>
      </c>
      <c r="E18">
        <f t="shared" si="0"/>
        <v>-11147474.48377228</v>
      </c>
      <c r="F18">
        <f t="shared" si="0"/>
        <v>119058.21053508527</v>
      </c>
      <c r="G18">
        <f t="shared" si="0"/>
        <v>15725.658506249989</v>
      </c>
      <c r="H18">
        <f t="shared" si="0"/>
        <v>327992.00425276911</v>
      </c>
      <c r="I18">
        <f t="shared" si="0"/>
        <v>149.875</v>
      </c>
      <c r="L18" t="s">
        <v>284</v>
      </c>
      <c r="M18">
        <f>AVERAGE(M2:M17)</f>
        <v>237045.9375</v>
      </c>
      <c r="N18">
        <f t="shared" ref="N18:S18" si="1">AVERAGE(N2:N17)</f>
        <v>116519</v>
      </c>
      <c r="O18">
        <f t="shared" si="1"/>
        <v>-2150479.0751768695</v>
      </c>
      <c r="P18">
        <f t="shared" si="1"/>
        <v>130290.75975819738</v>
      </c>
      <c r="Q18">
        <f t="shared" si="1"/>
        <v>0</v>
      </c>
      <c r="R18">
        <f t="shared" si="1"/>
        <v>-25992.433064402743</v>
      </c>
      <c r="S18">
        <f t="shared" si="1"/>
        <v>837.75</v>
      </c>
    </row>
    <row r="20" spans="1:19" x14ac:dyDescent="0.2">
      <c r="B20" t="s">
        <v>5</v>
      </c>
      <c r="C20" t="s">
        <v>27</v>
      </c>
      <c r="D20" t="s">
        <v>28</v>
      </c>
      <c r="E20" t="s">
        <v>59</v>
      </c>
      <c r="F20" t="s">
        <v>21</v>
      </c>
      <c r="G20" t="s">
        <v>282</v>
      </c>
      <c r="N20" t="s">
        <v>19</v>
      </c>
      <c r="O20" t="s">
        <v>25</v>
      </c>
    </row>
    <row r="21" spans="1:19" x14ac:dyDescent="0.2">
      <c r="B21" t="s">
        <v>285</v>
      </c>
      <c r="C21">
        <f>AVERAGE(C5:C20)</f>
        <v>232212.29910714287</v>
      </c>
      <c r="D21">
        <f t="shared" ref="D21:D22" si="2">AVERAGE(D5:D20)</f>
        <v>113769.25446428571</v>
      </c>
      <c r="E21">
        <f>AVERAGE(F5:F20)</f>
        <v>120481.40294264074</v>
      </c>
      <c r="F21">
        <f>AVERAGE(G5:G20)</f>
        <v>14901.933536874991</v>
      </c>
      <c r="G21">
        <f>AVERAGE(H5:H20)</f>
        <v>385692.19166973111</v>
      </c>
      <c r="N21">
        <f>AVERAGE(E5:E19)</f>
        <v>-9698678.98847856</v>
      </c>
      <c r="O21">
        <f>AVERAGE(I5:I20)</f>
        <v>144.63392857142858</v>
      </c>
    </row>
    <row r="22" spans="1:19" x14ac:dyDescent="0.2">
      <c r="B22" t="s">
        <v>284</v>
      </c>
      <c r="C22">
        <f>AVERAGE(C6:C21)</f>
        <v>232334.03475765305</v>
      </c>
      <c r="D22">
        <f t="shared" si="2"/>
        <v>114112.34406887754</v>
      </c>
      <c r="E22">
        <f>AVERAGE(F6:F21)</f>
        <v>114999.66629847977</v>
      </c>
      <c r="F22">
        <f>AVERAGE(G6:G21)</f>
        <v>38257.866863998643</v>
      </c>
      <c r="G22">
        <f>AVERAGE(H6:H21)</f>
        <v>398038.18102453981</v>
      </c>
      <c r="N22">
        <f>AVERAGE(E6:E19)</f>
        <v>-9065200.6631657667</v>
      </c>
      <c r="O22">
        <f>AVERAGE(I6:I21)</f>
        <v>148.91346153846155</v>
      </c>
    </row>
  </sheetData>
  <sortState xmlns:xlrd2="http://schemas.microsoft.com/office/spreadsheetml/2017/richdata2" ref="A2:I33">
    <sortCondition ref="B1:B3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3"/>
  <sheetViews>
    <sheetView workbookViewId="0">
      <selection activeCell="H25" sqref="H25"/>
    </sheetView>
  </sheetViews>
  <sheetFormatPr baseColWidth="10" defaultRowHeight="16" x14ac:dyDescent="0.2"/>
  <sheetData>
    <row r="1" spans="1:3" x14ac:dyDescent="0.2">
      <c r="A1" t="s">
        <v>76</v>
      </c>
      <c r="B1" t="s">
        <v>2</v>
      </c>
      <c r="C1" t="s">
        <v>21</v>
      </c>
    </row>
    <row r="2" spans="1:3" x14ac:dyDescent="0.2">
      <c r="A2" t="s">
        <v>77</v>
      </c>
      <c r="B2">
        <v>1</v>
      </c>
      <c r="C2">
        <v>0</v>
      </c>
    </row>
    <row r="3" spans="1:3" x14ac:dyDescent="0.2">
      <c r="A3" t="s">
        <v>79</v>
      </c>
      <c r="B3">
        <v>1</v>
      </c>
      <c r="C3">
        <v>58709.1250899999</v>
      </c>
    </row>
    <row r="4" spans="1:3" x14ac:dyDescent="0.2">
      <c r="A4" t="s">
        <v>81</v>
      </c>
      <c r="B4">
        <v>1</v>
      </c>
      <c r="C4">
        <v>0</v>
      </c>
    </row>
    <row r="5" spans="1:3" x14ac:dyDescent="0.2">
      <c r="A5" t="s">
        <v>82</v>
      </c>
      <c r="B5">
        <v>1</v>
      </c>
      <c r="C5">
        <v>58709.125090000001</v>
      </c>
    </row>
    <row r="6" spans="1:3" x14ac:dyDescent="0.2">
      <c r="A6" t="s">
        <v>92</v>
      </c>
      <c r="B6">
        <v>1</v>
      </c>
      <c r="C6">
        <v>0</v>
      </c>
    </row>
    <row r="7" spans="1:3" x14ac:dyDescent="0.2">
      <c r="A7" t="s">
        <v>94</v>
      </c>
      <c r="B7">
        <v>1</v>
      </c>
      <c r="C7">
        <v>0</v>
      </c>
    </row>
    <row r="8" spans="1:3" x14ac:dyDescent="0.2">
      <c r="A8" t="s">
        <v>96</v>
      </c>
      <c r="B8">
        <v>1</v>
      </c>
      <c r="C8">
        <v>0</v>
      </c>
    </row>
    <row r="9" spans="1:3" x14ac:dyDescent="0.2">
      <c r="A9" t="s">
        <v>98</v>
      </c>
      <c r="B9">
        <v>1</v>
      </c>
      <c r="C9">
        <v>0</v>
      </c>
    </row>
    <row r="10" spans="1:3" x14ac:dyDescent="0.2">
      <c r="A10" t="s">
        <v>78</v>
      </c>
      <c r="B10">
        <v>1</v>
      </c>
      <c r="C10">
        <v>0</v>
      </c>
    </row>
    <row r="11" spans="1:3" x14ac:dyDescent="0.2">
      <c r="A11" t="s">
        <v>80</v>
      </c>
      <c r="B11">
        <v>1</v>
      </c>
      <c r="C11">
        <v>58709.1250899999</v>
      </c>
    </row>
    <row r="12" spans="1:3" x14ac:dyDescent="0.2">
      <c r="A12" t="s">
        <v>42</v>
      </c>
      <c r="B12">
        <v>1</v>
      </c>
      <c r="C12">
        <v>0</v>
      </c>
    </row>
    <row r="13" spans="1:3" x14ac:dyDescent="0.2">
      <c r="A13" t="s">
        <v>83</v>
      </c>
      <c r="B13">
        <v>1</v>
      </c>
      <c r="C13">
        <v>58709.125090000001</v>
      </c>
    </row>
    <row r="14" spans="1:3" x14ac:dyDescent="0.2">
      <c r="A14" t="s">
        <v>93</v>
      </c>
      <c r="B14">
        <v>1</v>
      </c>
      <c r="C14">
        <v>0</v>
      </c>
    </row>
    <row r="15" spans="1:3" x14ac:dyDescent="0.2">
      <c r="A15" t="s">
        <v>95</v>
      </c>
      <c r="B15">
        <v>1</v>
      </c>
      <c r="C15">
        <v>0</v>
      </c>
    </row>
    <row r="16" spans="1:3" x14ac:dyDescent="0.2">
      <c r="A16" t="s">
        <v>97</v>
      </c>
      <c r="B16">
        <v>1</v>
      </c>
      <c r="C16">
        <v>0</v>
      </c>
    </row>
    <row r="17" spans="1:3" x14ac:dyDescent="0.2">
      <c r="A17" t="s">
        <v>99</v>
      </c>
      <c r="B17">
        <v>1</v>
      </c>
      <c r="C17">
        <v>0</v>
      </c>
    </row>
    <row r="18" spans="1:3" x14ac:dyDescent="0.2">
      <c r="A18" t="s">
        <v>84</v>
      </c>
      <c r="B18">
        <v>4</v>
      </c>
      <c r="C18">
        <v>0</v>
      </c>
    </row>
    <row r="19" spans="1:3" x14ac:dyDescent="0.2">
      <c r="A19" t="s">
        <v>86</v>
      </c>
      <c r="B19">
        <v>4</v>
      </c>
      <c r="C19">
        <v>0</v>
      </c>
    </row>
    <row r="20" spans="1:3" x14ac:dyDescent="0.2">
      <c r="A20" t="s">
        <v>88</v>
      </c>
      <c r="B20">
        <v>4</v>
      </c>
      <c r="C20">
        <v>0</v>
      </c>
    </row>
    <row r="21" spans="1:3" x14ac:dyDescent="0.2">
      <c r="A21" t="s">
        <v>90</v>
      </c>
      <c r="B21">
        <v>4</v>
      </c>
      <c r="C21">
        <v>8387.0178699999997</v>
      </c>
    </row>
    <row r="22" spans="1:3" x14ac:dyDescent="0.2">
      <c r="A22" t="s">
        <v>100</v>
      </c>
      <c r="B22">
        <v>4</v>
      </c>
      <c r="C22">
        <v>0</v>
      </c>
    </row>
    <row r="23" spans="1:3" x14ac:dyDescent="0.2">
      <c r="A23" t="s">
        <v>102</v>
      </c>
      <c r="B23">
        <v>4</v>
      </c>
      <c r="C23">
        <v>0</v>
      </c>
    </row>
    <row r="24" spans="1:3" x14ac:dyDescent="0.2">
      <c r="A24" t="s">
        <v>104</v>
      </c>
      <c r="B24">
        <v>4</v>
      </c>
      <c r="C24">
        <v>0</v>
      </c>
    </row>
    <row r="25" spans="1:3" x14ac:dyDescent="0.2">
      <c r="A25" t="s">
        <v>106</v>
      </c>
      <c r="B25">
        <v>4</v>
      </c>
      <c r="C25">
        <v>0</v>
      </c>
    </row>
    <row r="26" spans="1:3" x14ac:dyDescent="0.2">
      <c r="A26" t="s">
        <v>85</v>
      </c>
      <c r="B26">
        <v>4</v>
      </c>
      <c r="C26">
        <v>0</v>
      </c>
    </row>
    <row r="27" spans="1:3" x14ac:dyDescent="0.2">
      <c r="A27" t="s">
        <v>87</v>
      </c>
      <c r="B27">
        <v>4</v>
      </c>
      <c r="C27">
        <v>0</v>
      </c>
    </row>
    <row r="28" spans="1:3" x14ac:dyDescent="0.2">
      <c r="A28" t="s">
        <v>89</v>
      </c>
      <c r="B28">
        <v>4</v>
      </c>
      <c r="C28">
        <v>0</v>
      </c>
    </row>
    <row r="29" spans="1:3" x14ac:dyDescent="0.2">
      <c r="A29" t="s">
        <v>91</v>
      </c>
      <c r="B29">
        <v>4</v>
      </c>
      <c r="C29">
        <v>8387.0178699999997</v>
      </c>
    </row>
    <row r="30" spans="1:3" x14ac:dyDescent="0.2">
      <c r="A30" t="s">
        <v>101</v>
      </c>
      <c r="B30">
        <v>4</v>
      </c>
      <c r="C30">
        <v>0</v>
      </c>
    </row>
    <row r="31" spans="1:3" x14ac:dyDescent="0.2">
      <c r="A31" t="s">
        <v>103</v>
      </c>
      <c r="B31">
        <v>4</v>
      </c>
      <c r="C31">
        <v>0</v>
      </c>
    </row>
    <row r="32" spans="1:3" x14ac:dyDescent="0.2">
      <c r="A32" t="s">
        <v>105</v>
      </c>
      <c r="B32">
        <v>4</v>
      </c>
      <c r="C32">
        <v>0</v>
      </c>
    </row>
    <row r="33" spans="1:3" x14ac:dyDescent="0.2">
      <c r="A33" s="5" t="s">
        <v>107</v>
      </c>
      <c r="B33" s="5">
        <v>4</v>
      </c>
      <c r="C33" s="5">
        <v>0</v>
      </c>
    </row>
  </sheetData>
  <sortState xmlns:xlrd2="http://schemas.microsoft.com/office/spreadsheetml/2017/richdata2" ref="A2:C33">
    <sortCondition ref="B1:B33"/>
  </sortState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sqref="A1:B39"/>
    </sheetView>
  </sheetViews>
  <sheetFormatPr baseColWidth="10" defaultRowHeight="16" x14ac:dyDescent="0.2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/>
  </sheetViews>
  <sheetFormatPr baseColWidth="10" defaultRowHeight="16" x14ac:dyDescent="0.2"/>
  <sheetData>
    <row r="1" spans="1:2" x14ac:dyDescent="0.2">
      <c r="A1" t="s">
        <v>257</v>
      </c>
      <c r="B1">
        <v>-0.55229538345351825</v>
      </c>
    </row>
    <row r="2" spans="1:2" x14ac:dyDescent="0.2">
      <c r="A2" t="s">
        <v>258</v>
      </c>
      <c r="B2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topLeftCell="A4" workbookViewId="0">
      <selection activeCell="F29" sqref="F29"/>
    </sheetView>
  </sheetViews>
  <sheetFormatPr baseColWidth="10" defaultRowHeight="16" x14ac:dyDescent="0.2"/>
  <sheetData>
    <row r="1" spans="1:5" x14ac:dyDescent="0.2">
      <c r="A1" t="s">
        <v>76</v>
      </c>
      <c r="B1" t="s">
        <v>27</v>
      </c>
      <c r="C1" t="s">
        <v>28</v>
      </c>
      <c r="D1" t="s">
        <v>29</v>
      </c>
      <c r="E1" t="s">
        <v>25</v>
      </c>
    </row>
    <row r="2" spans="1:5" x14ac:dyDescent="0.2">
      <c r="A2" t="s">
        <v>77</v>
      </c>
      <c r="B2">
        <v>233027</v>
      </c>
      <c r="C2">
        <v>116922</v>
      </c>
      <c r="D2">
        <v>349949</v>
      </c>
      <c r="E2">
        <v>242</v>
      </c>
    </row>
    <row r="3" spans="1:5" x14ac:dyDescent="0.2">
      <c r="A3" t="s">
        <v>79</v>
      </c>
      <c r="B3">
        <v>230505</v>
      </c>
      <c r="C3">
        <v>111447</v>
      </c>
      <c r="D3">
        <v>341952</v>
      </c>
      <c r="E3">
        <v>57</v>
      </c>
    </row>
    <row r="4" spans="1:5" x14ac:dyDescent="0.2">
      <c r="A4" t="s">
        <v>81</v>
      </c>
      <c r="B4">
        <v>232202</v>
      </c>
      <c r="C4">
        <v>117211</v>
      </c>
      <c r="D4">
        <v>349413</v>
      </c>
      <c r="E4">
        <v>224</v>
      </c>
    </row>
    <row r="5" spans="1:5" x14ac:dyDescent="0.2">
      <c r="A5" t="s">
        <v>82</v>
      </c>
      <c r="B5">
        <v>230508</v>
      </c>
      <c r="C5">
        <v>108966</v>
      </c>
      <c r="D5">
        <v>339474</v>
      </c>
      <c r="E5">
        <v>89</v>
      </c>
    </row>
    <row r="6" spans="1:5" x14ac:dyDescent="0.2">
      <c r="A6" t="s">
        <v>84</v>
      </c>
      <c r="B6">
        <v>232684</v>
      </c>
      <c r="C6">
        <v>116330</v>
      </c>
      <c r="D6">
        <v>349014</v>
      </c>
      <c r="E6">
        <v>250</v>
      </c>
    </row>
    <row r="7" spans="1:5" x14ac:dyDescent="0.2">
      <c r="A7" t="s">
        <v>86</v>
      </c>
      <c r="B7">
        <v>235124</v>
      </c>
      <c r="C7">
        <v>116581</v>
      </c>
      <c r="D7">
        <v>351705</v>
      </c>
      <c r="E7">
        <v>64</v>
      </c>
    </row>
    <row r="8" spans="1:5" x14ac:dyDescent="0.2">
      <c r="A8" t="s">
        <v>88</v>
      </c>
      <c r="B8">
        <v>234120</v>
      </c>
      <c r="C8">
        <v>116241</v>
      </c>
      <c r="D8">
        <v>350361</v>
      </c>
      <c r="E8">
        <v>195</v>
      </c>
    </row>
    <row r="9" spans="1:5" x14ac:dyDescent="0.2">
      <c r="A9" t="s">
        <v>90</v>
      </c>
      <c r="B9">
        <v>228801</v>
      </c>
      <c r="C9">
        <v>108583</v>
      </c>
      <c r="D9">
        <v>337384</v>
      </c>
      <c r="E9">
        <v>70</v>
      </c>
    </row>
    <row r="10" spans="1:5" x14ac:dyDescent="0.2">
      <c r="A10" t="s">
        <v>92</v>
      </c>
      <c r="B10">
        <v>235900</v>
      </c>
      <c r="C10">
        <v>116393</v>
      </c>
      <c r="D10">
        <v>352293</v>
      </c>
      <c r="E10">
        <v>882</v>
      </c>
    </row>
    <row r="11" spans="1:5" x14ac:dyDescent="0.2">
      <c r="A11" t="s">
        <v>94</v>
      </c>
      <c r="B11">
        <v>237872</v>
      </c>
      <c r="C11">
        <v>116866</v>
      </c>
      <c r="D11">
        <v>354738</v>
      </c>
      <c r="E11">
        <v>805</v>
      </c>
    </row>
    <row r="12" spans="1:5" x14ac:dyDescent="0.2">
      <c r="A12" t="s">
        <v>96</v>
      </c>
      <c r="B12">
        <v>235802</v>
      </c>
      <c r="C12">
        <v>116378</v>
      </c>
      <c r="D12">
        <v>352180</v>
      </c>
      <c r="E12">
        <v>831</v>
      </c>
    </row>
    <row r="13" spans="1:5" x14ac:dyDescent="0.2">
      <c r="A13" t="s">
        <v>98</v>
      </c>
      <c r="B13">
        <v>237158</v>
      </c>
      <c r="C13">
        <v>116600</v>
      </c>
      <c r="D13">
        <v>353758</v>
      </c>
      <c r="E13">
        <v>754</v>
      </c>
    </row>
    <row r="14" spans="1:5" x14ac:dyDescent="0.2">
      <c r="A14" t="s">
        <v>100</v>
      </c>
      <c r="B14">
        <v>236342</v>
      </c>
      <c r="C14">
        <v>116480</v>
      </c>
      <c r="D14">
        <v>352822</v>
      </c>
      <c r="E14">
        <v>914</v>
      </c>
    </row>
    <row r="15" spans="1:5" x14ac:dyDescent="0.2">
      <c r="A15" t="s">
        <v>102</v>
      </c>
      <c r="B15">
        <v>237304</v>
      </c>
      <c r="C15">
        <v>116167</v>
      </c>
      <c r="D15">
        <v>353471</v>
      </c>
      <c r="E15">
        <v>623</v>
      </c>
    </row>
    <row r="16" spans="1:5" x14ac:dyDescent="0.2">
      <c r="A16" t="s">
        <v>104</v>
      </c>
      <c r="B16">
        <v>235732</v>
      </c>
      <c r="C16">
        <v>116966</v>
      </c>
      <c r="D16">
        <v>352698</v>
      </c>
      <c r="E16">
        <v>1032</v>
      </c>
    </row>
    <row r="17" spans="1:5" x14ac:dyDescent="0.2">
      <c r="A17" t="s">
        <v>106</v>
      </c>
      <c r="B17">
        <v>237501</v>
      </c>
      <c r="C17">
        <v>116380</v>
      </c>
      <c r="D17">
        <v>353881</v>
      </c>
      <c r="E17">
        <v>795</v>
      </c>
    </row>
    <row r="18" spans="1:5" x14ac:dyDescent="0.2">
      <c r="A18" t="s">
        <v>78</v>
      </c>
      <c r="B18">
        <v>233093</v>
      </c>
      <c r="C18">
        <v>116761</v>
      </c>
      <c r="D18">
        <v>349854</v>
      </c>
      <c r="E18">
        <v>242</v>
      </c>
    </row>
    <row r="19" spans="1:5" x14ac:dyDescent="0.2">
      <c r="A19" t="s">
        <v>80</v>
      </c>
      <c r="B19">
        <v>230671</v>
      </c>
      <c r="C19">
        <v>111431</v>
      </c>
      <c r="D19">
        <v>342102</v>
      </c>
      <c r="E19">
        <v>57</v>
      </c>
    </row>
    <row r="20" spans="1:5" x14ac:dyDescent="0.2">
      <c r="A20" t="s">
        <v>42</v>
      </c>
      <c r="B20">
        <v>232147</v>
      </c>
      <c r="C20">
        <v>117210</v>
      </c>
      <c r="D20">
        <v>349357</v>
      </c>
      <c r="E20">
        <v>224</v>
      </c>
    </row>
    <row r="21" spans="1:5" x14ac:dyDescent="0.2">
      <c r="A21" t="s">
        <v>83</v>
      </c>
      <c r="B21">
        <v>230425</v>
      </c>
      <c r="C21">
        <v>108962</v>
      </c>
      <c r="D21">
        <v>339387</v>
      </c>
      <c r="E21">
        <v>91</v>
      </c>
    </row>
    <row r="22" spans="1:5" x14ac:dyDescent="0.2">
      <c r="A22" t="s">
        <v>85</v>
      </c>
      <c r="B22">
        <v>232916</v>
      </c>
      <c r="C22">
        <v>116280</v>
      </c>
      <c r="D22">
        <v>349196</v>
      </c>
      <c r="E22">
        <v>250</v>
      </c>
    </row>
    <row r="23" spans="1:5" x14ac:dyDescent="0.2">
      <c r="A23" t="s">
        <v>87</v>
      </c>
      <c r="B23">
        <v>235202</v>
      </c>
      <c r="C23">
        <v>116550</v>
      </c>
      <c r="D23">
        <v>351752</v>
      </c>
      <c r="E23">
        <v>64</v>
      </c>
    </row>
    <row r="24" spans="1:5" x14ac:dyDescent="0.2">
      <c r="A24" t="s">
        <v>89</v>
      </c>
      <c r="B24">
        <v>234251</v>
      </c>
      <c r="C24">
        <v>116296</v>
      </c>
      <c r="D24">
        <v>350547</v>
      </c>
      <c r="E24">
        <v>202</v>
      </c>
    </row>
    <row r="25" spans="1:5" x14ac:dyDescent="0.2">
      <c r="A25" t="s">
        <v>91</v>
      </c>
      <c r="B25">
        <v>228871</v>
      </c>
      <c r="C25">
        <v>108558</v>
      </c>
      <c r="D25">
        <v>337429</v>
      </c>
      <c r="E25">
        <v>77</v>
      </c>
    </row>
    <row r="26" spans="1:5" x14ac:dyDescent="0.2">
      <c r="A26" t="s">
        <v>93</v>
      </c>
      <c r="B26">
        <v>236996</v>
      </c>
      <c r="C26">
        <v>116400</v>
      </c>
      <c r="D26">
        <v>353396</v>
      </c>
      <c r="E26">
        <v>887</v>
      </c>
    </row>
    <row r="27" spans="1:5" x14ac:dyDescent="0.2">
      <c r="A27" t="s">
        <v>95</v>
      </c>
      <c r="B27">
        <v>238054</v>
      </c>
      <c r="C27">
        <v>116794</v>
      </c>
      <c r="D27">
        <v>354848</v>
      </c>
      <c r="E27">
        <v>808</v>
      </c>
    </row>
    <row r="28" spans="1:5" x14ac:dyDescent="0.2">
      <c r="A28" t="s">
        <v>97</v>
      </c>
      <c r="B28">
        <v>237187</v>
      </c>
      <c r="C28">
        <v>116558</v>
      </c>
      <c r="D28">
        <v>353745</v>
      </c>
      <c r="E28">
        <v>847</v>
      </c>
    </row>
    <row r="29" spans="1:5" x14ac:dyDescent="0.2">
      <c r="A29" t="s">
        <v>99</v>
      </c>
      <c r="B29">
        <v>238752</v>
      </c>
      <c r="C29">
        <v>116347</v>
      </c>
      <c r="D29">
        <v>355099</v>
      </c>
      <c r="E29">
        <v>761</v>
      </c>
    </row>
    <row r="30" spans="1:5" x14ac:dyDescent="0.2">
      <c r="A30" t="s">
        <v>101</v>
      </c>
      <c r="B30">
        <v>236800</v>
      </c>
      <c r="C30">
        <v>116898</v>
      </c>
      <c r="D30">
        <v>353698</v>
      </c>
      <c r="E30">
        <v>1006</v>
      </c>
    </row>
    <row r="31" spans="1:5" x14ac:dyDescent="0.2">
      <c r="A31" t="s">
        <v>103</v>
      </c>
      <c r="B31">
        <v>237992</v>
      </c>
      <c r="C31">
        <v>116533</v>
      </c>
      <c r="D31">
        <v>354525</v>
      </c>
      <c r="E31">
        <v>804</v>
      </c>
    </row>
    <row r="32" spans="1:5" x14ac:dyDescent="0.2">
      <c r="A32" t="s">
        <v>105</v>
      </c>
      <c r="B32">
        <v>236638</v>
      </c>
      <c r="C32">
        <v>116218</v>
      </c>
      <c r="D32">
        <v>352856</v>
      </c>
      <c r="E32">
        <v>930</v>
      </c>
    </row>
    <row r="33" spans="1:5" x14ac:dyDescent="0.2">
      <c r="A33" s="5" t="s">
        <v>107</v>
      </c>
      <c r="B33">
        <v>236705</v>
      </c>
      <c r="C33">
        <v>116326</v>
      </c>
      <c r="D33">
        <v>353031</v>
      </c>
      <c r="E33" s="5">
        <v>725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33"/>
  <sheetViews>
    <sheetView topLeftCell="Q1" workbookViewId="0">
      <selection activeCell="E35" sqref="E35"/>
    </sheetView>
  </sheetViews>
  <sheetFormatPr baseColWidth="10" defaultRowHeight="16" x14ac:dyDescent="0.2"/>
  <cols>
    <col min="36" max="36" width="6.1640625" customWidth="1"/>
    <col min="37" max="37" width="12.6640625" bestFit="1" customWidth="1"/>
    <col min="39" max="39" width="13.6640625" bestFit="1" customWidth="1"/>
    <col min="40" max="40" width="13.1640625" bestFit="1" customWidth="1"/>
    <col min="41" max="41" width="13.6640625" bestFit="1" customWidth="1"/>
  </cols>
  <sheetData>
    <row r="1" spans="1:41" x14ac:dyDescent="0.2">
      <c r="A1" t="s">
        <v>76</v>
      </c>
      <c r="B1" t="s">
        <v>17</v>
      </c>
      <c r="C1" t="s">
        <v>18</v>
      </c>
      <c r="D1" t="s">
        <v>116</v>
      </c>
      <c r="E1" t="s">
        <v>22</v>
      </c>
      <c r="F1" t="s">
        <v>23</v>
      </c>
      <c r="G1" t="s">
        <v>115</v>
      </c>
      <c r="H1" t="s">
        <v>60</v>
      </c>
      <c r="I1" t="s">
        <v>6</v>
      </c>
    </row>
    <row r="2" spans="1:41" x14ac:dyDescent="0.2">
      <c r="A2" t="s">
        <v>77</v>
      </c>
      <c r="B2">
        <v>32013291.439649198</v>
      </c>
      <c r="C2">
        <v>13669087.935521601</v>
      </c>
      <c r="D2">
        <v>-18344203.504127599</v>
      </c>
      <c r="E2">
        <v>2854300.44741912</v>
      </c>
      <c r="F2">
        <v>3303475.8399999901</v>
      </c>
      <c r="G2">
        <v>-449175.39258087007</v>
      </c>
      <c r="H2">
        <v>-44917.53925808701</v>
      </c>
      <c r="I2">
        <v>45.06</v>
      </c>
    </row>
    <row r="3" spans="1:41" x14ac:dyDescent="0.2">
      <c r="A3" t="s">
        <v>79</v>
      </c>
      <c r="B3">
        <v>36017986.831419297</v>
      </c>
      <c r="C3">
        <v>18617268.7772009</v>
      </c>
      <c r="D3">
        <v>-17400718.0542183</v>
      </c>
      <c r="E3">
        <v>5276152.1540186601</v>
      </c>
      <c r="F3">
        <v>3303475.8399999901</v>
      </c>
      <c r="G3">
        <v>1972676.31401867</v>
      </c>
      <c r="H3">
        <v>197267.63140186699</v>
      </c>
      <c r="I3">
        <v>45.06</v>
      </c>
    </row>
    <row r="4" spans="1:41" x14ac:dyDescent="0.2">
      <c r="A4" t="s">
        <v>81</v>
      </c>
      <c r="B4">
        <v>32261388.9861346</v>
      </c>
      <c r="C4">
        <v>14280750.159051601</v>
      </c>
      <c r="D4">
        <v>-17980638.827082999</v>
      </c>
      <c r="E4">
        <v>3541708.8077705898</v>
      </c>
      <c r="F4">
        <v>3303475.8399999901</v>
      </c>
      <c r="G4">
        <v>238232.96777059976</v>
      </c>
      <c r="H4">
        <v>23823.296777059975</v>
      </c>
      <c r="I4">
        <v>45.06</v>
      </c>
    </row>
    <row r="5" spans="1:41" x14ac:dyDescent="0.2">
      <c r="A5" t="s">
        <v>82</v>
      </c>
      <c r="B5">
        <v>35208089.766689397</v>
      </c>
      <c r="C5">
        <v>17274192.549144398</v>
      </c>
      <c r="D5">
        <v>-17933897.217544898</v>
      </c>
      <c r="E5">
        <v>5555419.1405721698</v>
      </c>
      <c r="F5">
        <v>3303475.8399999901</v>
      </c>
      <c r="G5">
        <v>2251943.3005721797</v>
      </c>
      <c r="H5">
        <v>225194.33005721797</v>
      </c>
      <c r="I5">
        <v>45.06</v>
      </c>
    </row>
    <row r="6" spans="1:41" x14ac:dyDescent="0.2">
      <c r="A6" t="s">
        <v>84</v>
      </c>
      <c r="B6">
        <v>33502289.924249001</v>
      </c>
      <c r="C6">
        <v>15027102.4151637</v>
      </c>
      <c r="D6">
        <v>-18475187.509085301</v>
      </c>
      <c r="E6">
        <v>3739077.3759767199</v>
      </c>
      <c r="F6">
        <v>3303475.8399999901</v>
      </c>
      <c r="G6">
        <v>435601.53597672982</v>
      </c>
      <c r="H6">
        <v>43560.153597672979</v>
      </c>
      <c r="I6">
        <v>45.06</v>
      </c>
    </row>
    <row r="7" spans="1:41" x14ac:dyDescent="0.2">
      <c r="A7" t="s">
        <v>86</v>
      </c>
      <c r="B7">
        <v>38035410.462154403</v>
      </c>
      <c r="C7">
        <v>18188488.7728904</v>
      </c>
      <c r="D7">
        <v>-19846921.689263899</v>
      </c>
      <c r="E7">
        <v>5523068.9465412097</v>
      </c>
      <c r="F7">
        <v>3189562.8799999901</v>
      </c>
      <c r="G7">
        <v>2333506.0665412196</v>
      </c>
      <c r="H7">
        <v>233350.60665412195</v>
      </c>
      <c r="I7">
        <v>45.06</v>
      </c>
    </row>
    <row r="8" spans="1:41" x14ac:dyDescent="0.2">
      <c r="A8" t="s">
        <v>88</v>
      </c>
      <c r="B8">
        <v>33621428.798318103</v>
      </c>
      <c r="C8">
        <v>15396715.5530074</v>
      </c>
      <c r="D8">
        <v>-18224713.245310701</v>
      </c>
      <c r="E8">
        <v>3324545.1185254999</v>
      </c>
      <c r="F8">
        <v>3189562.8799999901</v>
      </c>
      <c r="G8">
        <v>134982.23852550983</v>
      </c>
      <c r="H8">
        <v>13498.223852550984</v>
      </c>
      <c r="I8">
        <v>45.06</v>
      </c>
    </row>
    <row r="9" spans="1:41" x14ac:dyDescent="0.2">
      <c r="A9" t="s">
        <v>90</v>
      </c>
      <c r="B9">
        <v>35753828.272347897</v>
      </c>
      <c r="C9">
        <v>20289222.3914482</v>
      </c>
      <c r="D9">
        <v>-15464605.880899699</v>
      </c>
      <c r="E9">
        <v>5562969.6226570401</v>
      </c>
      <c r="F9">
        <v>3417388.79999999</v>
      </c>
      <c r="G9">
        <v>2145580.8226570501</v>
      </c>
      <c r="H9">
        <v>214558.08226570502</v>
      </c>
      <c r="I9">
        <v>45.06</v>
      </c>
    </row>
    <row r="10" spans="1:41" x14ac:dyDescent="0.2">
      <c r="A10" t="s">
        <v>92</v>
      </c>
      <c r="B10">
        <v>44440757.1488363</v>
      </c>
      <c r="C10">
        <v>34444808.895708598</v>
      </c>
      <c r="D10">
        <v>-9995948.2531276699</v>
      </c>
      <c r="E10">
        <v>5860014.4728399199</v>
      </c>
      <c r="F10">
        <v>9796514.5600000005</v>
      </c>
      <c r="G10">
        <v>-3936500.0871600807</v>
      </c>
      <c r="H10">
        <v>-131216.66957200269</v>
      </c>
      <c r="I10">
        <v>45.06</v>
      </c>
      <c r="AK10" t="s">
        <v>118</v>
      </c>
      <c r="AL10" t="s">
        <v>118</v>
      </c>
      <c r="AM10" t="s">
        <v>118</v>
      </c>
      <c r="AN10" t="s">
        <v>117</v>
      </c>
      <c r="AO10" t="s">
        <v>117</v>
      </c>
    </row>
    <row r="11" spans="1:41" x14ac:dyDescent="0.2">
      <c r="A11" t="s">
        <v>94</v>
      </c>
      <c r="B11">
        <v>58553148.090120301</v>
      </c>
      <c r="C11">
        <v>37281556.479362503</v>
      </c>
      <c r="D11">
        <v>-21271591.610757701</v>
      </c>
      <c r="E11">
        <v>6890859.1300853696</v>
      </c>
      <c r="F11">
        <v>9682601.5999999996</v>
      </c>
      <c r="G11">
        <v>-2791742.4699146301</v>
      </c>
      <c r="H11">
        <v>-93058.082330487669</v>
      </c>
      <c r="I11">
        <v>45.06</v>
      </c>
      <c r="AJ11" t="s">
        <v>76</v>
      </c>
      <c r="AK11" t="s">
        <v>2</v>
      </c>
      <c r="AL11" t="s">
        <v>3</v>
      </c>
      <c r="AM11" t="s">
        <v>4</v>
      </c>
      <c r="AN11" t="s">
        <v>5</v>
      </c>
      <c r="AO11" t="s">
        <v>114</v>
      </c>
    </row>
    <row r="12" spans="1:41" x14ac:dyDescent="0.2">
      <c r="A12" t="s">
        <v>96</v>
      </c>
      <c r="B12">
        <v>44997606.2187014</v>
      </c>
      <c r="C12">
        <v>36258226.497209102</v>
      </c>
      <c r="D12">
        <v>-8739379.7214922309</v>
      </c>
      <c r="E12">
        <v>5583320.0365047902</v>
      </c>
      <c r="F12">
        <v>9796514.5600000005</v>
      </c>
      <c r="G12">
        <v>-4213194.5234952103</v>
      </c>
      <c r="H12">
        <v>-140439.81744984034</v>
      </c>
      <c r="I12">
        <v>45.06</v>
      </c>
      <c r="AJ12" t="s">
        <v>93</v>
      </c>
      <c r="AK12">
        <v>1</v>
      </c>
      <c r="AL12">
        <v>1</v>
      </c>
      <c r="AM12">
        <v>15</v>
      </c>
      <c r="AN12">
        <v>30</v>
      </c>
      <c r="AO12">
        <v>2</v>
      </c>
    </row>
    <row r="13" spans="1:41" x14ac:dyDescent="0.2">
      <c r="A13" t="s">
        <v>98</v>
      </c>
      <c r="B13">
        <v>58051610.443007402</v>
      </c>
      <c r="C13">
        <v>37963000.064385802</v>
      </c>
      <c r="D13">
        <v>-20088610.378621601</v>
      </c>
      <c r="E13">
        <v>6763097.8479180001</v>
      </c>
      <c r="F13">
        <v>9796514.5600000005</v>
      </c>
      <c r="G13">
        <v>-3033416.7120820004</v>
      </c>
      <c r="H13">
        <v>-101113.89040273335</v>
      </c>
      <c r="I13">
        <v>45.06</v>
      </c>
      <c r="AJ13" t="s">
        <v>95</v>
      </c>
      <c r="AK13">
        <v>1</v>
      </c>
      <c r="AL13">
        <v>1</v>
      </c>
      <c r="AM13">
        <v>30</v>
      </c>
      <c r="AN13">
        <v>30</v>
      </c>
      <c r="AO13">
        <v>2</v>
      </c>
    </row>
    <row r="14" spans="1:41" x14ac:dyDescent="0.2">
      <c r="A14" t="s">
        <v>100</v>
      </c>
      <c r="B14">
        <v>44198633.007532097</v>
      </c>
      <c r="C14">
        <v>33241507.350822099</v>
      </c>
      <c r="D14">
        <v>-10957125.6567099</v>
      </c>
      <c r="E14">
        <v>5208207.0322256703</v>
      </c>
      <c r="F14">
        <v>9568688.6399999894</v>
      </c>
      <c r="G14">
        <v>-4360481.6077743191</v>
      </c>
      <c r="H14">
        <v>-145349.38692581063</v>
      </c>
      <c r="I14">
        <v>45.06</v>
      </c>
      <c r="AJ14" t="s">
        <v>97</v>
      </c>
      <c r="AK14">
        <v>1</v>
      </c>
      <c r="AL14">
        <v>3</v>
      </c>
      <c r="AM14">
        <v>15</v>
      </c>
      <c r="AN14">
        <v>30</v>
      </c>
      <c r="AO14">
        <v>2</v>
      </c>
    </row>
    <row r="15" spans="1:41" x14ac:dyDescent="0.2">
      <c r="A15" t="s">
        <v>102</v>
      </c>
      <c r="B15">
        <v>59845621.974735603</v>
      </c>
      <c r="C15">
        <v>40547563.2628683</v>
      </c>
      <c r="D15">
        <v>-19298058.711867299</v>
      </c>
      <c r="E15">
        <v>9006970.76167983</v>
      </c>
      <c r="F15">
        <v>9682601.5999999996</v>
      </c>
      <c r="G15">
        <v>-675630.8383201696</v>
      </c>
      <c r="H15">
        <v>-22521.027944005655</v>
      </c>
      <c r="I15">
        <v>45.06</v>
      </c>
      <c r="AJ15" t="s">
        <v>99</v>
      </c>
      <c r="AK15">
        <v>1</v>
      </c>
      <c r="AL15">
        <v>3</v>
      </c>
      <c r="AM15">
        <v>30</v>
      </c>
      <c r="AN15">
        <v>30</v>
      </c>
      <c r="AO15">
        <v>2</v>
      </c>
    </row>
    <row r="16" spans="1:41" x14ac:dyDescent="0.2">
      <c r="A16" t="s">
        <v>104</v>
      </c>
      <c r="B16">
        <v>43443059.379594199</v>
      </c>
      <c r="C16">
        <v>29819495.686450001</v>
      </c>
      <c r="D16">
        <v>-13623563.6931441</v>
      </c>
      <c r="E16">
        <v>5524899.5580428503</v>
      </c>
      <c r="F16">
        <v>9568688.6399999894</v>
      </c>
      <c r="G16">
        <v>-4043789.0819571391</v>
      </c>
      <c r="H16">
        <v>-134792.96939857129</v>
      </c>
      <c r="I16">
        <v>45.06</v>
      </c>
      <c r="AJ16" t="s">
        <v>105</v>
      </c>
      <c r="AK16">
        <v>4</v>
      </c>
      <c r="AL16">
        <v>3</v>
      </c>
      <c r="AM16">
        <v>15</v>
      </c>
      <c r="AN16">
        <v>30</v>
      </c>
      <c r="AO16">
        <v>2</v>
      </c>
    </row>
    <row r="17" spans="1:43" x14ac:dyDescent="0.2">
      <c r="A17" t="s">
        <v>106</v>
      </c>
      <c r="B17">
        <v>58497245.573351704</v>
      </c>
      <c r="C17">
        <v>37801832.569196701</v>
      </c>
      <c r="D17">
        <v>-20695413.004154898</v>
      </c>
      <c r="E17">
        <v>5671163.8589687198</v>
      </c>
      <c r="F17">
        <v>9682601.5999999996</v>
      </c>
      <c r="G17">
        <v>-4011437.7410312798</v>
      </c>
      <c r="H17">
        <v>-133714.59136770933</v>
      </c>
      <c r="I17">
        <v>45.06</v>
      </c>
      <c r="AJ17" s="6" t="s">
        <v>107</v>
      </c>
      <c r="AK17" s="6">
        <v>4</v>
      </c>
      <c r="AL17" s="6">
        <v>3</v>
      </c>
      <c r="AM17" s="6">
        <v>30</v>
      </c>
      <c r="AN17" s="6">
        <v>30</v>
      </c>
      <c r="AO17">
        <v>2</v>
      </c>
      <c r="AP17" s="6"/>
      <c r="AQ17" s="6"/>
    </row>
    <row r="18" spans="1:43" x14ac:dyDescent="0.2">
      <c r="A18" t="s">
        <v>78</v>
      </c>
      <c r="B18">
        <v>32158330.651666999</v>
      </c>
      <c r="C18">
        <v>24334071.243900001</v>
      </c>
      <c r="D18">
        <v>-7824259.4077669401</v>
      </c>
      <c r="E18">
        <v>5708600.89483824</v>
      </c>
      <c r="F18">
        <v>3417388.79999999</v>
      </c>
      <c r="G18">
        <v>2291212.09483825</v>
      </c>
      <c r="H18">
        <v>229121.20948382499</v>
      </c>
      <c r="I18">
        <v>90.12</v>
      </c>
    </row>
    <row r="19" spans="1:43" x14ac:dyDescent="0.2">
      <c r="A19" t="s">
        <v>80</v>
      </c>
      <c r="B19">
        <v>35968086.221370302</v>
      </c>
      <c r="C19">
        <v>34552204.271637604</v>
      </c>
      <c r="D19">
        <v>-1415881.9497326899</v>
      </c>
      <c r="E19">
        <v>10552304.3080373</v>
      </c>
      <c r="F19">
        <v>3417388.79999999</v>
      </c>
      <c r="G19">
        <v>7134915.5080373101</v>
      </c>
      <c r="H19">
        <v>713491.55080373096</v>
      </c>
      <c r="I19">
        <v>90.12</v>
      </c>
    </row>
    <row r="20" spans="1:43" x14ac:dyDescent="0.2">
      <c r="A20" t="s">
        <v>42</v>
      </c>
      <c r="B20">
        <v>32270993.364936799</v>
      </c>
      <c r="C20">
        <v>25574946.229021698</v>
      </c>
      <c r="D20">
        <v>-6696047.13591504</v>
      </c>
      <c r="E20">
        <v>7083417.6155411899</v>
      </c>
      <c r="F20">
        <v>3417388.79999999</v>
      </c>
      <c r="G20">
        <v>3666028.8155411999</v>
      </c>
      <c r="H20">
        <v>366602.88155411999</v>
      </c>
      <c r="I20">
        <v>90.12</v>
      </c>
    </row>
    <row r="21" spans="1:43" x14ac:dyDescent="0.2">
      <c r="A21" t="s">
        <v>83</v>
      </c>
      <c r="B21">
        <v>35181414.376074404</v>
      </c>
      <c r="C21">
        <v>31751240.718002301</v>
      </c>
      <c r="D21">
        <v>-3430173.6580720502</v>
      </c>
      <c r="E21">
        <v>11110838.2811443</v>
      </c>
      <c r="F21">
        <v>3417388.79999999</v>
      </c>
      <c r="G21">
        <v>7693449.4811443109</v>
      </c>
      <c r="H21">
        <v>769344.94811443111</v>
      </c>
      <c r="I21">
        <v>90.12</v>
      </c>
    </row>
    <row r="22" spans="1:43" x14ac:dyDescent="0.2">
      <c r="A22" t="s">
        <v>85</v>
      </c>
      <c r="B22">
        <v>33580032.230374299</v>
      </c>
      <c r="C22">
        <v>27254184.135608699</v>
      </c>
      <c r="D22">
        <v>-6325848.0947655402</v>
      </c>
      <c r="E22">
        <v>7478154.75195345</v>
      </c>
      <c r="F22">
        <v>3417388.79999999</v>
      </c>
      <c r="G22">
        <v>4060765.95195346</v>
      </c>
      <c r="H22">
        <v>406076.59519534599</v>
      </c>
      <c r="I22">
        <v>90.12</v>
      </c>
    </row>
    <row r="23" spans="1:43" x14ac:dyDescent="0.2">
      <c r="A23" t="s">
        <v>87</v>
      </c>
      <c r="B23">
        <v>38101942.795548201</v>
      </c>
      <c r="C23">
        <v>33820239.621598698</v>
      </c>
      <c r="D23">
        <v>-4281703.1739495499</v>
      </c>
      <c r="E23">
        <v>11046137.893082401</v>
      </c>
      <c r="F23">
        <v>3417388.79999999</v>
      </c>
      <c r="G23">
        <v>7628749.0930824112</v>
      </c>
      <c r="H23">
        <v>762874.9093082411</v>
      </c>
      <c r="I23">
        <v>90.12</v>
      </c>
    </row>
    <row r="24" spans="1:43" x14ac:dyDescent="0.2">
      <c r="A24" t="s">
        <v>89</v>
      </c>
      <c r="B24">
        <v>33635657.664458998</v>
      </c>
      <c r="C24">
        <v>27922423.7531044</v>
      </c>
      <c r="D24">
        <v>-5713233.9113545902</v>
      </c>
      <c r="E24">
        <v>6649090.2370510101</v>
      </c>
      <c r="F24">
        <v>3417388.79999999</v>
      </c>
      <c r="G24">
        <v>3231701.4370510201</v>
      </c>
      <c r="H24">
        <v>323170.14370510203</v>
      </c>
      <c r="I24">
        <v>90.12</v>
      </c>
    </row>
    <row r="25" spans="1:43" x14ac:dyDescent="0.2">
      <c r="A25" t="s">
        <v>91</v>
      </c>
      <c r="B25">
        <v>35679512.108589202</v>
      </c>
      <c r="C25">
        <v>36677953.627322502</v>
      </c>
      <c r="D25">
        <v>998441.51873332204</v>
      </c>
      <c r="E25">
        <v>11125939.245314</v>
      </c>
      <c r="F25">
        <v>3417388.79999999</v>
      </c>
      <c r="G25">
        <v>7708550.4453140106</v>
      </c>
      <c r="H25">
        <v>770855.04453140101</v>
      </c>
      <c r="I25">
        <v>90.12</v>
      </c>
    </row>
    <row r="26" spans="1:43" x14ac:dyDescent="0.2">
      <c r="A26" t="s">
        <v>93</v>
      </c>
      <c r="B26">
        <v>44319108.751037501</v>
      </c>
      <c r="C26">
        <v>60406314.299913697</v>
      </c>
      <c r="D26">
        <v>16087205.5488762</v>
      </c>
      <c r="E26">
        <v>12197497.5760267</v>
      </c>
      <c r="F26">
        <v>10252166.4</v>
      </c>
      <c r="G26">
        <v>1945331.1760267001</v>
      </c>
      <c r="H26">
        <v>64844.372534223337</v>
      </c>
      <c r="I26">
        <v>90.12</v>
      </c>
    </row>
    <row r="27" spans="1:43" x14ac:dyDescent="0.2">
      <c r="A27" t="s">
        <v>95</v>
      </c>
      <c r="B27">
        <v>58611864.474740699</v>
      </c>
      <c r="C27">
        <v>66441135.748124801</v>
      </c>
      <c r="D27">
        <v>7829271.27338407</v>
      </c>
      <c r="E27">
        <v>13380392.997028699</v>
      </c>
      <c r="F27">
        <v>10138253.439999999</v>
      </c>
      <c r="G27">
        <v>3242139.5570286997</v>
      </c>
      <c r="H27">
        <v>108071.31856762333</v>
      </c>
      <c r="I27">
        <v>90.12</v>
      </c>
    </row>
    <row r="28" spans="1:43" x14ac:dyDescent="0.2">
      <c r="A28" t="s">
        <v>97</v>
      </c>
      <c r="B28">
        <v>44827668.225665703</v>
      </c>
      <c r="C28">
        <v>63918214.256502599</v>
      </c>
      <c r="D28">
        <v>19090546.030836798</v>
      </c>
      <c r="E28">
        <v>11345372.3988533</v>
      </c>
      <c r="F28">
        <v>10252166.4</v>
      </c>
      <c r="G28">
        <v>1093205.9988532998</v>
      </c>
      <c r="H28">
        <v>36440.199961776656</v>
      </c>
      <c r="I28">
        <v>90.12</v>
      </c>
    </row>
    <row r="29" spans="1:43" x14ac:dyDescent="0.2">
      <c r="A29" t="s">
        <v>99</v>
      </c>
      <c r="B29">
        <v>58774761.059560299</v>
      </c>
      <c r="C29">
        <v>66776580.522116199</v>
      </c>
      <c r="D29">
        <v>8001819.4625559598</v>
      </c>
      <c r="E29">
        <v>12545363.3466218</v>
      </c>
      <c r="F29">
        <v>10138253.439999999</v>
      </c>
      <c r="G29">
        <v>2407109.9066218007</v>
      </c>
      <c r="H29">
        <v>80236.996887393354</v>
      </c>
      <c r="I29">
        <v>90.12</v>
      </c>
    </row>
    <row r="30" spans="1:43" x14ac:dyDescent="0.2">
      <c r="A30" t="s">
        <v>101</v>
      </c>
      <c r="B30">
        <v>43133139.885631099</v>
      </c>
      <c r="C30">
        <v>52009259.660008103</v>
      </c>
      <c r="D30">
        <v>8876119.7743770704</v>
      </c>
      <c r="E30">
        <v>8448705.5089329593</v>
      </c>
      <c r="F30">
        <v>10138253.439999999</v>
      </c>
      <c r="G30">
        <v>-1689547.9310670402</v>
      </c>
      <c r="H30">
        <v>-56318.264368901342</v>
      </c>
      <c r="I30">
        <v>90.12</v>
      </c>
    </row>
    <row r="31" spans="1:43" x14ac:dyDescent="0.2">
      <c r="A31" t="s">
        <v>103</v>
      </c>
      <c r="B31">
        <v>57800714.602525301</v>
      </c>
      <c r="C31">
        <v>65279205.055693902</v>
      </c>
      <c r="D31">
        <v>7478490.4531686101</v>
      </c>
      <c r="E31">
        <v>9910339.2978468593</v>
      </c>
      <c r="F31">
        <v>10024340.48</v>
      </c>
      <c r="G31">
        <v>-114001.18215314113</v>
      </c>
      <c r="H31">
        <v>-3800.0394051047042</v>
      </c>
      <c r="I31">
        <v>90.12</v>
      </c>
    </row>
    <row r="32" spans="1:43" x14ac:dyDescent="0.2">
      <c r="A32" t="s">
        <v>105</v>
      </c>
      <c r="B32">
        <v>44093599.091592498</v>
      </c>
      <c r="C32">
        <v>55296714.751731902</v>
      </c>
      <c r="D32">
        <v>11203115.6601393</v>
      </c>
      <c r="E32">
        <v>11557598.5557454</v>
      </c>
      <c r="F32">
        <v>10024340.48</v>
      </c>
      <c r="G32">
        <v>1533258.0757454</v>
      </c>
      <c r="H32">
        <v>51108.602524846669</v>
      </c>
      <c r="I32">
        <v>90.12</v>
      </c>
    </row>
    <row r="33" spans="1:9" x14ac:dyDescent="0.2">
      <c r="A33" t="s">
        <v>107</v>
      </c>
      <c r="B33">
        <v>59739184.075714603</v>
      </c>
      <c r="C33">
        <v>71434641.699422106</v>
      </c>
      <c r="D33">
        <v>11695457.623707499</v>
      </c>
      <c r="E33">
        <v>16310583.0297658</v>
      </c>
      <c r="F33">
        <v>10138253.439999999</v>
      </c>
      <c r="G33">
        <v>6172329.5897658002</v>
      </c>
      <c r="H33">
        <v>205744.31965886001</v>
      </c>
      <c r="I33" s="5">
        <v>90.12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9"/>
  <sheetViews>
    <sheetView topLeftCell="E1" workbookViewId="0">
      <selection activeCell="I1" sqref="A1:I1"/>
    </sheetView>
  </sheetViews>
  <sheetFormatPr baseColWidth="10" defaultRowHeight="16" x14ac:dyDescent="0.2"/>
  <sheetData>
    <row r="1" spans="1:9" x14ac:dyDescent="0.2">
      <c r="A1" t="s">
        <v>76</v>
      </c>
      <c r="B1" t="s">
        <v>0</v>
      </c>
      <c r="C1" t="s">
        <v>2</v>
      </c>
      <c r="D1" t="s">
        <v>3</v>
      </c>
      <c r="E1" t="s">
        <v>4</v>
      </c>
      <c r="F1" t="s">
        <v>5</v>
      </c>
      <c r="G1" t="s">
        <v>114</v>
      </c>
      <c r="H1" t="s">
        <v>6</v>
      </c>
      <c r="I1" t="s">
        <v>7</v>
      </c>
    </row>
    <row r="2" spans="1:9" x14ac:dyDescent="0.2">
      <c r="A2" t="s">
        <v>77</v>
      </c>
      <c r="B2">
        <v>265</v>
      </c>
      <c r="C2">
        <v>1</v>
      </c>
      <c r="D2">
        <v>1</v>
      </c>
      <c r="E2">
        <v>15</v>
      </c>
      <c r="F2">
        <v>10</v>
      </c>
      <c r="G2">
        <v>1</v>
      </c>
      <c r="H2">
        <v>45.06</v>
      </c>
      <c r="I2">
        <v>49.35</v>
      </c>
    </row>
    <row r="3" spans="1:9" x14ac:dyDescent="0.2">
      <c r="A3" t="s">
        <v>79</v>
      </c>
      <c r="B3">
        <v>265</v>
      </c>
      <c r="C3">
        <v>1</v>
      </c>
      <c r="D3">
        <v>1</v>
      </c>
      <c r="E3">
        <v>30</v>
      </c>
      <c r="F3">
        <v>10</v>
      </c>
      <c r="G3">
        <v>1</v>
      </c>
      <c r="H3">
        <v>45.06</v>
      </c>
      <c r="I3">
        <v>49.35</v>
      </c>
    </row>
    <row r="4" spans="1:9" x14ac:dyDescent="0.2">
      <c r="A4" t="s">
        <v>81</v>
      </c>
      <c r="B4">
        <v>265</v>
      </c>
      <c r="C4">
        <v>1</v>
      </c>
      <c r="D4">
        <v>3</v>
      </c>
      <c r="E4">
        <v>15</v>
      </c>
      <c r="F4">
        <v>10</v>
      </c>
      <c r="G4">
        <v>1</v>
      </c>
      <c r="H4">
        <v>45.06</v>
      </c>
      <c r="I4">
        <v>49.35</v>
      </c>
    </row>
    <row r="5" spans="1:9" x14ac:dyDescent="0.2">
      <c r="A5" t="s">
        <v>82</v>
      </c>
      <c r="B5">
        <v>265</v>
      </c>
      <c r="C5">
        <v>1</v>
      </c>
      <c r="D5">
        <v>3</v>
      </c>
      <c r="E5">
        <v>30</v>
      </c>
      <c r="F5">
        <v>10</v>
      </c>
      <c r="G5">
        <v>1</v>
      </c>
      <c r="H5">
        <v>45.06</v>
      </c>
      <c r="I5">
        <v>49.35</v>
      </c>
    </row>
    <row r="6" spans="1:9" x14ac:dyDescent="0.2">
      <c r="A6" t="s">
        <v>84</v>
      </c>
      <c r="B6">
        <v>265</v>
      </c>
      <c r="C6">
        <v>4</v>
      </c>
      <c r="D6">
        <v>1</v>
      </c>
      <c r="E6">
        <v>15</v>
      </c>
      <c r="F6">
        <v>10</v>
      </c>
      <c r="G6">
        <v>1</v>
      </c>
      <c r="H6">
        <v>45.06</v>
      </c>
      <c r="I6">
        <v>49.35</v>
      </c>
    </row>
    <row r="7" spans="1:9" x14ac:dyDescent="0.2">
      <c r="A7" t="s">
        <v>86</v>
      </c>
      <c r="B7">
        <v>265</v>
      </c>
      <c r="C7">
        <v>4</v>
      </c>
      <c r="D7">
        <v>1</v>
      </c>
      <c r="E7">
        <v>30</v>
      </c>
      <c r="F7">
        <v>10</v>
      </c>
      <c r="G7">
        <v>1</v>
      </c>
      <c r="H7">
        <v>45.06</v>
      </c>
      <c r="I7">
        <v>49.35</v>
      </c>
    </row>
    <row r="8" spans="1:9" x14ac:dyDescent="0.2">
      <c r="A8" t="s">
        <v>88</v>
      </c>
      <c r="B8">
        <v>265</v>
      </c>
      <c r="C8">
        <v>4</v>
      </c>
      <c r="D8">
        <v>3</v>
      </c>
      <c r="E8">
        <v>15</v>
      </c>
      <c r="F8">
        <v>10</v>
      </c>
      <c r="G8">
        <v>1</v>
      </c>
      <c r="H8">
        <v>45.06</v>
      </c>
      <c r="I8">
        <v>49.35</v>
      </c>
    </row>
    <row r="9" spans="1:9" x14ac:dyDescent="0.2">
      <c r="A9" t="s">
        <v>90</v>
      </c>
      <c r="B9">
        <v>265</v>
      </c>
      <c r="C9">
        <v>4</v>
      </c>
      <c r="D9">
        <v>3</v>
      </c>
      <c r="E9">
        <v>30</v>
      </c>
      <c r="F9">
        <v>10</v>
      </c>
      <c r="G9">
        <v>1</v>
      </c>
      <c r="H9">
        <v>45.06</v>
      </c>
      <c r="I9">
        <v>49.35</v>
      </c>
    </row>
    <row r="10" spans="1:9" x14ac:dyDescent="0.2">
      <c r="A10" t="s">
        <v>92</v>
      </c>
      <c r="B10">
        <v>265</v>
      </c>
      <c r="C10">
        <v>1</v>
      </c>
      <c r="D10">
        <v>1</v>
      </c>
      <c r="E10">
        <v>15</v>
      </c>
      <c r="F10">
        <v>30</v>
      </c>
      <c r="G10">
        <v>1</v>
      </c>
      <c r="H10">
        <v>45.06</v>
      </c>
      <c r="I10">
        <v>49.35</v>
      </c>
    </row>
    <row r="11" spans="1:9" x14ac:dyDescent="0.2">
      <c r="A11" t="s">
        <v>94</v>
      </c>
      <c r="B11">
        <v>265</v>
      </c>
      <c r="C11">
        <v>1</v>
      </c>
      <c r="D11">
        <v>1</v>
      </c>
      <c r="E11">
        <v>30</v>
      </c>
      <c r="F11">
        <v>30</v>
      </c>
      <c r="G11">
        <v>1</v>
      </c>
      <c r="H11">
        <v>45.06</v>
      </c>
      <c r="I11">
        <v>49.35</v>
      </c>
    </row>
    <row r="12" spans="1:9" x14ac:dyDescent="0.2">
      <c r="A12" t="s">
        <v>96</v>
      </c>
      <c r="B12">
        <v>265</v>
      </c>
      <c r="C12">
        <v>1</v>
      </c>
      <c r="D12">
        <v>3</v>
      </c>
      <c r="E12">
        <v>15</v>
      </c>
      <c r="F12">
        <v>30</v>
      </c>
      <c r="G12">
        <v>1</v>
      </c>
      <c r="H12">
        <v>45.06</v>
      </c>
      <c r="I12">
        <v>49.35</v>
      </c>
    </row>
    <row r="13" spans="1:9" x14ac:dyDescent="0.2">
      <c r="A13" t="s">
        <v>98</v>
      </c>
      <c r="B13">
        <v>265</v>
      </c>
      <c r="C13">
        <v>1</v>
      </c>
      <c r="D13">
        <v>3</v>
      </c>
      <c r="E13">
        <v>30</v>
      </c>
      <c r="F13">
        <v>30</v>
      </c>
      <c r="G13">
        <v>1</v>
      </c>
      <c r="H13">
        <v>45.06</v>
      </c>
      <c r="I13">
        <v>49.35</v>
      </c>
    </row>
    <row r="14" spans="1:9" x14ac:dyDescent="0.2">
      <c r="A14" t="s">
        <v>100</v>
      </c>
      <c r="B14">
        <v>265</v>
      </c>
      <c r="C14">
        <v>4</v>
      </c>
      <c r="D14">
        <v>1</v>
      </c>
      <c r="E14">
        <v>15</v>
      </c>
      <c r="F14">
        <v>30</v>
      </c>
      <c r="G14">
        <v>1</v>
      </c>
      <c r="H14">
        <v>45.06</v>
      </c>
      <c r="I14">
        <v>49.35</v>
      </c>
    </row>
    <row r="15" spans="1:9" x14ac:dyDescent="0.2">
      <c r="A15" t="s">
        <v>102</v>
      </c>
      <c r="B15">
        <v>265</v>
      </c>
      <c r="C15">
        <v>4</v>
      </c>
      <c r="D15">
        <v>1</v>
      </c>
      <c r="E15">
        <v>30</v>
      </c>
      <c r="F15">
        <v>30</v>
      </c>
      <c r="G15">
        <v>1</v>
      </c>
      <c r="H15">
        <v>45.06</v>
      </c>
      <c r="I15">
        <v>49.35</v>
      </c>
    </row>
    <row r="16" spans="1:9" x14ac:dyDescent="0.2">
      <c r="A16" t="s">
        <v>104</v>
      </c>
      <c r="B16">
        <v>265</v>
      </c>
      <c r="C16">
        <v>4</v>
      </c>
      <c r="D16">
        <v>3</v>
      </c>
      <c r="E16">
        <v>15</v>
      </c>
      <c r="F16">
        <v>30</v>
      </c>
      <c r="G16">
        <v>1</v>
      </c>
      <c r="H16">
        <v>45.06</v>
      </c>
      <c r="I16">
        <v>49.35</v>
      </c>
    </row>
    <row r="17" spans="1:9" x14ac:dyDescent="0.2">
      <c r="A17" t="s">
        <v>106</v>
      </c>
      <c r="B17">
        <v>265</v>
      </c>
      <c r="C17">
        <v>4</v>
      </c>
      <c r="D17">
        <v>3</v>
      </c>
      <c r="E17">
        <v>30</v>
      </c>
      <c r="F17">
        <v>30</v>
      </c>
      <c r="G17">
        <v>1</v>
      </c>
      <c r="H17">
        <v>45.06</v>
      </c>
      <c r="I17">
        <v>49.35</v>
      </c>
    </row>
    <row r="18" spans="1:9" x14ac:dyDescent="0.2">
      <c r="A18" t="s">
        <v>108</v>
      </c>
      <c r="B18">
        <v>265</v>
      </c>
      <c r="C18">
        <v>1</v>
      </c>
      <c r="D18">
        <v>1</v>
      </c>
      <c r="E18">
        <v>15</v>
      </c>
      <c r="F18">
        <v>10</v>
      </c>
      <c r="G18">
        <v>1</v>
      </c>
      <c r="H18">
        <v>45.06</v>
      </c>
      <c r="I18">
        <v>49.35</v>
      </c>
    </row>
    <row r="19" spans="1:9" x14ac:dyDescent="0.2">
      <c r="A19" t="s">
        <v>109</v>
      </c>
      <c r="B19">
        <v>265</v>
      </c>
      <c r="C19">
        <v>1</v>
      </c>
      <c r="D19">
        <v>1</v>
      </c>
      <c r="E19">
        <v>30</v>
      </c>
      <c r="F19">
        <v>10</v>
      </c>
      <c r="G19">
        <v>1</v>
      </c>
      <c r="H19">
        <v>45.06</v>
      </c>
      <c r="I19">
        <v>49.35</v>
      </c>
    </row>
    <row r="20" spans="1:9" x14ac:dyDescent="0.2">
      <c r="A20" t="s">
        <v>110</v>
      </c>
      <c r="B20">
        <v>265</v>
      </c>
      <c r="C20">
        <v>1</v>
      </c>
      <c r="D20">
        <v>3</v>
      </c>
      <c r="E20">
        <v>15</v>
      </c>
      <c r="F20">
        <v>10</v>
      </c>
      <c r="G20">
        <v>1</v>
      </c>
      <c r="H20">
        <v>45.06</v>
      </c>
      <c r="I20">
        <v>49.35</v>
      </c>
    </row>
    <row r="21" spans="1:9" x14ac:dyDescent="0.2">
      <c r="A21" t="s">
        <v>111</v>
      </c>
      <c r="B21">
        <v>265</v>
      </c>
      <c r="C21">
        <v>1</v>
      </c>
      <c r="D21">
        <v>3</v>
      </c>
      <c r="E21">
        <v>30</v>
      </c>
      <c r="F21">
        <v>10</v>
      </c>
      <c r="G21">
        <v>1</v>
      </c>
      <c r="H21">
        <v>45.06</v>
      </c>
      <c r="I21">
        <v>49.35</v>
      </c>
    </row>
    <row r="22" spans="1:9" x14ac:dyDescent="0.2">
      <c r="A22" t="s">
        <v>112</v>
      </c>
      <c r="B22">
        <v>265</v>
      </c>
      <c r="C22">
        <v>4</v>
      </c>
      <c r="D22">
        <v>1</v>
      </c>
      <c r="E22">
        <v>15</v>
      </c>
      <c r="F22">
        <v>10</v>
      </c>
      <c r="G22">
        <v>1</v>
      </c>
      <c r="H22">
        <v>45.06</v>
      </c>
      <c r="I22">
        <v>49.35</v>
      </c>
    </row>
    <row r="23" spans="1:9" x14ac:dyDescent="0.2">
      <c r="A23" t="s">
        <v>113</v>
      </c>
      <c r="B23">
        <v>265</v>
      </c>
      <c r="C23">
        <v>4</v>
      </c>
      <c r="D23">
        <v>1</v>
      </c>
      <c r="E23">
        <v>30</v>
      </c>
      <c r="F23">
        <v>10</v>
      </c>
      <c r="G23">
        <v>1</v>
      </c>
      <c r="H23">
        <v>45.06</v>
      </c>
      <c r="I23">
        <v>49.35</v>
      </c>
    </row>
    <row r="24" spans="1:9" x14ac:dyDescent="0.2">
      <c r="A24" t="s">
        <v>78</v>
      </c>
      <c r="B24">
        <v>265</v>
      </c>
      <c r="C24">
        <v>1</v>
      </c>
      <c r="D24">
        <v>1</v>
      </c>
      <c r="E24">
        <v>15</v>
      </c>
      <c r="F24">
        <v>10</v>
      </c>
      <c r="G24">
        <v>2</v>
      </c>
      <c r="H24">
        <v>90.12</v>
      </c>
      <c r="I24">
        <v>98.7</v>
      </c>
    </row>
    <row r="25" spans="1:9" x14ac:dyDescent="0.2">
      <c r="A25" t="s">
        <v>80</v>
      </c>
      <c r="B25">
        <v>265</v>
      </c>
      <c r="C25">
        <v>1</v>
      </c>
      <c r="D25">
        <v>1</v>
      </c>
      <c r="E25">
        <v>30</v>
      </c>
      <c r="F25">
        <v>10</v>
      </c>
      <c r="G25">
        <v>2</v>
      </c>
      <c r="H25">
        <v>90.12</v>
      </c>
      <c r="I25">
        <v>98.7</v>
      </c>
    </row>
    <row r="26" spans="1:9" x14ac:dyDescent="0.2">
      <c r="A26" t="s">
        <v>42</v>
      </c>
      <c r="B26">
        <v>265</v>
      </c>
      <c r="C26">
        <v>1</v>
      </c>
      <c r="D26">
        <v>3</v>
      </c>
      <c r="E26">
        <v>15</v>
      </c>
      <c r="F26">
        <v>10</v>
      </c>
      <c r="G26">
        <v>2</v>
      </c>
      <c r="H26">
        <v>90.12</v>
      </c>
      <c r="I26">
        <v>98.7</v>
      </c>
    </row>
    <row r="27" spans="1:9" x14ac:dyDescent="0.2">
      <c r="A27" t="s">
        <v>83</v>
      </c>
      <c r="B27">
        <v>265</v>
      </c>
      <c r="C27">
        <v>1</v>
      </c>
      <c r="D27">
        <v>3</v>
      </c>
      <c r="E27">
        <v>30</v>
      </c>
      <c r="F27">
        <v>10</v>
      </c>
      <c r="G27">
        <v>2</v>
      </c>
      <c r="H27">
        <v>90.12</v>
      </c>
      <c r="I27">
        <v>98.7</v>
      </c>
    </row>
    <row r="28" spans="1:9" x14ac:dyDescent="0.2">
      <c r="A28" t="s">
        <v>85</v>
      </c>
      <c r="B28">
        <v>265</v>
      </c>
      <c r="C28">
        <v>4</v>
      </c>
      <c r="D28">
        <v>1</v>
      </c>
      <c r="E28">
        <v>15</v>
      </c>
      <c r="F28">
        <v>10</v>
      </c>
      <c r="G28">
        <v>2</v>
      </c>
      <c r="H28">
        <v>90.12</v>
      </c>
      <c r="I28">
        <v>98.7</v>
      </c>
    </row>
    <row r="29" spans="1:9" x14ac:dyDescent="0.2">
      <c r="A29" t="s">
        <v>87</v>
      </c>
      <c r="B29">
        <v>265</v>
      </c>
      <c r="C29">
        <v>4</v>
      </c>
      <c r="D29">
        <v>1</v>
      </c>
      <c r="E29">
        <v>30</v>
      </c>
      <c r="F29">
        <v>10</v>
      </c>
      <c r="G29">
        <v>2</v>
      </c>
      <c r="H29">
        <v>90.12</v>
      </c>
      <c r="I29">
        <v>98.7</v>
      </c>
    </row>
    <row r="30" spans="1:9" x14ac:dyDescent="0.2">
      <c r="A30" t="s">
        <v>89</v>
      </c>
      <c r="B30">
        <v>265</v>
      </c>
      <c r="C30">
        <v>4</v>
      </c>
      <c r="D30">
        <v>3</v>
      </c>
      <c r="E30">
        <v>15</v>
      </c>
      <c r="F30">
        <v>10</v>
      </c>
      <c r="G30">
        <v>2</v>
      </c>
      <c r="H30">
        <v>90.12</v>
      </c>
      <c r="I30">
        <v>98.7</v>
      </c>
    </row>
    <row r="31" spans="1:9" x14ac:dyDescent="0.2">
      <c r="A31" t="s">
        <v>91</v>
      </c>
      <c r="B31">
        <v>265</v>
      </c>
      <c r="C31">
        <v>4</v>
      </c>
      <c r="D31">
        <v>3</v>
      </c>
      <c r="E31">
        <v>30</v>
      </c>
      <c r="F31">
        <v>10</v>
      </c>
      <c r="G31">
        <v>2</v>
      </c>
      <c r="H31">
        <v>90.12</v>
      </c>
      <c r="I31">
        <v>98.7</v>
      </c>
    </row>
    <row r="32" spans="1:9" x14ac:dyDescent="0.2">
      <c r="A32" t="s">
        <v>93</v>
      </c>
      <c r="B32">
        <v>265</v>
      </c>
      <c r="C32">
        <v>1</v>
      </c>
      <c r="D32">
        <v>1</v>
      </c>
      <c r="E32">
        <v>15</v>
      </c>
      <c r="F32">
        <v>30</v>
      </c>
      <c r="G32">
        <v>2</v>
      </c>
      <c r="H32">
        <v>90.12</v>
      </c>
      <c r="I32">
        <v>98.7</v>
      </c>
    </row>
    <row r="33" spans="1:9" s="6" customFormat="1" x14ac:dyDescent="0.2">
      <c r="A33" t="s">
        <v>95</v>
      </c>
      <c r="B33">
        <v>265</v>
      </c>
      <c r="C33">
        <v>1</v>
      </c>
      <c r="D33">
        <v>1</v>
      </c>
      <c r="E33">
        <v>30</v>
      </c>
      <c r="F33">
        <v>30</v>
      </c>
      <c r="G33">
        <v>2</v>
      </c>
      <c r="H33">
        <v>90.12</v>
      </c>
      <c r="I33">
        <v>98.7</v>
      </c>
    </row>
    <row r="34" spans="1:9" x14ac:dyDescent="0.2">
      <c r="A34" t="s">
        <v>97</v>
      </c>
      <c r="B34">
        <v>265</v>
      </c>
      <c r="C34">
        <v>1</v>
      </c>
      <c r="D34">
        <v>3</v>
      </c>
      <c r="E34">
        <v>15</v>
      </c>
      <c r="F34">
        <v>30</v>
      </c>
      <c r="G34">
        <v>2</v>
      </c>
      <c r="H34">
        <v>90.12</v>
      </c>
      <c r="I34">
        <v>98.7</v>
      </c>
    </row>
    <row r="35" spans="1:9" x14ac:dyDescent="0.2">
      <c r="A35" t="s">
        <v>99</v>
      </c>
      <c r="B35">
        <v>265</v>
      </c>
      <c r="C35">
        <v>1</v>
      </c>
      <c r="D35">
        <v>3</v>
      </c>
      <c r="E35">
        <v>30</v>
      </c>
      <c r="F35">
        <v>30</v>
      </c>
      <c r="G35">
        <v>2</v>
      </c>
      <c r="H35">
        <v>90.12</v>
      </c>
      <c r="I35">
        <v>98.7</v>
      </c>
    </row>
    <row r="36" spans="1:9" x14ac:dyDescent="0.2">
      <c r="A36" t="s">
        <v>101</v>
      </c>
      <c r="B36">
        <v>265</v>
      </c>
      <c r="C36">
        <v>4</v>
      </c>
      <c r="D36">
        <v>1</v>
      </c>
      <c r="E36">
        <v>15</v>
      </c>
      <c r="F36">
        <v>30</v>
      </c>
      <c r="G36">
        <v>2</v>
      </c>
      <c r="H36">
        <v>90.12</v>
      </c>
      <c r="I36">
        <v>98.7</v>
      </c>
    </row>
    <row r="37" spans="1:9" x14ac:dyDescent="0.2">
      <c r="A37" t="s">
        <v>103</v>
      </c>
      <c r="B37">
        <v>265</v>
      </c>
      <c r="C37">
        <v>4</v>
      </c>
      <c r="D37">
        <v>1</v>
      </c>
      <c r="E37">
        <v>30</v>
      </c>
      <c r="F37">
        <v>30</v>
      </c>
      <c r="G37">
        <v>2</v>
      </c>
      <c r="H37">
        <v>90.12</v>
      </c>
      <c r="I37">
        <v>98.7</v>
      </c>
    </row>
    <row r="38" spans="1:9" x14ac:dyDescent="0.2">
      <c r="A38" t="s">
        <v>105</v>
      </c>
      <c r="B38">
        <v>265</v>
      </c>
      <c r="C38">
        <v>4</v>
      </c>
      <c r="D38">
        <v>3</v>
      </c>
      <c r="E38">
        <v>15</v>
      </c>
      <c r="F38">
        <v>30</v>
      </c>
      <c r="G38">
        <v>2</v>
      </c>
      <c r="H38">
        <v>90.12</v>
      </c>
      <c r="I38">
        <v>98.7</v>
      </c>
    </row>
    <row r="39" spans="1:9" x14ac:dyDescent="0.2">
      <c r="A39" s="6" t="s">
        <v>107</v>
      </c>
      <c r="B39" s="6">
        <v>265</v>
      </c>
      <c r="C39" s="6">
        <v>4</v>
      </c>
      <c r="D39" s="6">
        <v>3</v>
      </c>
      <c r="E39" s="6">
        <v>30</v>
      </c>
      <c r="F39" s="6">
        <v>30</v>
      </c>
      <c r="G39">
        <v>2</v>
      </c>
      <c r="H39" s="6">
        <v>90.12</v>
      </c>
      <c r="I39" s="6">
        <v>98.7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28"/>
  <sheetViews>
    <sheetView topLeftCell="A108" workbookViewId="0">
      <selection activeCell="A198" sqref="A198:C214"/>
    </sheetView>
  </sheetViews>
  <sheetFormatPr baseColWidth="10" defaultRowHeight="16" x14ac:dyDescent="0.2"/>
  <cols>
    <col min="2" max="2" width="23.5" bestFit="1" customWidth="1"/>
    <col min="3" max="3" width="12.6640625" bestFit="1" customWidth="1"/>
    <col min="4" max="4" width="18" bestFit="1" customWidth="1"/>
    <col min="5" max="5" width="13.6640625" bestFit="1" customWidth="1"/>
    <col min="6" max="6" width="13.1640625" bestFit="1" customWidth="1"/>
    <col min="9" max="9" width="28" bestFit="1" customWidth="1"/>
  </cols>
  <sheetData>
    <row r="1" spans="1:2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27</v>
      </c>
      <c r="K1" t="s">
        <v>28</v>
      </c>
      <c r="L1" t="s">
        <v>29</v>
      </c>
      <c r="M1" t="s">
        <v>17</v>
      </c>
      <c r="N1" t="s">
        <v>18</v>
      </c>
      <c r="O1" t="s">
        <v>19</v>
      </c>
      <c r="P1" t="s">
        <v>20</v>
      </c>
      <c r="Q1" t="s">
        <v>59</v>
      </c>
      <c r="R1" t="s">
        <v>21</v>
      </c>
      <c r="S1" t="s">
        <v>22</v>
      </c>
      <c r="T1" t="s">
        <v>23</v>
      </c>
      <c r="U1" t="s">
        <v>26</v>
      </c>
      <c r="V1" t="s">
        <v>60</v>
      </c>
      <c r="W1" t="s">
        <v>24</v>
      </c>
      <c r="X1" t="s">
        <v>25</v>
      </c>
    </row>
    <row r="2" spans="1:24" x14ac:dyDescent="0.2">
      <c r="A2">
        <v>265</v>
      </c>
      <c r="B2">
        <v>10</v>
      </c>
      <c r="C2">
        <v>1</v>
      </c>
      <c r="D2">
        <v>1</v>
      </c>
      <c r="E2">
        <v>15</v>
      </c>
      <c r="F2">
        <v>10</v>
      </c>
      <c r="G2">
        <v>45.06</v>
      </c>
      <c r="H2">
        <v>49.35</v>
      </c>
      <c r="I2">
        <v>0.3</v>
      </c>
      <c r="J2">
        <v>233027</v>
      </c>
      <c r="K2">
        <v>116922</v>
      </c>
      <c r="L2">
        <f>SUM(J2:K2)</f>
        <v>349949</v>
      </c>
      <c r="M2">
        <v>32013291.439649198</v>
      </c>
      <c r="N2">
        <v>13669087.935521601</v>
      </c>
      <c r="O2">
        <v>-18344203.504127599</v>
      </c>
      <c r="P2">
        <v>1929535.4806673899</v>
      </c>
      <c r="Q2">
        <f>P2/E2</f>
        <v>128635.69871115933</v>
      </c>
      <c r="R2">
        <v>0</v>
      </c>
      <c r="S2">
        <v>2854300.44741912</v>
      </c>
      <c r="T2">
        <v>3303475.8399999901</v>
      </c>
      <c r="U2">
        <f>S2-T2</f>
        <v>-449175.39258087007</v>
      </c>
      <c r="V2">
        <f>U2/F2</f>
        <v>-44917.53925808701</v>
      </c>
      <c r="W2">
        <v>29</v>
      </c>
      <c r="X2">
        <v>242</v>
      </c>
    </row>
    <row r="3" spans="1:24" x14ac:dyDescent="0.2">
      <c r="A3">
        <v>265</v>
      </c>
      <c r="B3">
        <v>10</v>
      </c>
      <c r="C3">
        <v>1</v>
      </c>
      <c r="D3">
        <v>1</v>
      </c>
      <c r="E3">
        <v>15</v>
      </c>
      <c r="F3">
        <v>10</v>
      </c>
      <c r="G3">
        <v>90.12</v>
      </c>
      <c r="H3">
        <v>98.7</v>
      </c>
      <c r="I3">
        <v>0.3</v>
      </c>
      <c r="J3">
        <v>233093</v>
      </c>
      <c r="K3">
        <v>116761</v>
      </c>
      <c r="L3">
        <f t="shared" ref="L3:L33" si="0">SUM(J3:K3)</f>
        <v>349854</v>
      </c>
      <c r="M3">
        <v>32158330.651666999</v>
      </c>
      <c r="N3">
        <v>24334071.243900001</v>
      </c>
      <c r="O3">
        <v>-7824259.4077669401</v>
      </c>
      <c r="P3">
        <v>2059643.6396972199</v>
      </c>
      <c r="Q3">
        <f t="shared" ref="Q3:Q33" si="1">P3/E3</f>
        <v>137309.57597981466</v>
      </c>
      <c r="R3">
        <v>0</v>
      </c>
      <c r="S3">
        <v>5708600.89483824</v>
      </c>
      <c r="T3">
        <v>3417388.79999999</v>
      </c>
      <c r="U3">
        <f t="shared" ref="U3:U33" si="2">S3-T3</f>
        <v>2291212.09483825</v>
      </c>
      <c r="V3">
        <f t="shared" ref="V3:V33" si="3">U3/F3</f>
        <v>229121.20948382499</v>
      </c>
      <c r="W3">
        <v>30</v>
      </c>
      <c r="X3">
        <v>242</v>
      </c>
    </row>
    <row r="4" spans="1:24" x14ac:dyDescent="0.2">
      <c r="A4">
        <v>265</v>
      </c>
      <c r="B4">
        <v>10</v>
      </c>
      <c r="C4">
        <v>1</v>
      </c>
      <c r="D4">
        <v>1</v>
      </c>
      <c r="E4">
        <v>30</v>
      </c>
      <c r="F4">
        <v>10</v>
      </c>
      <c r="G4">
        <v>45.06</v>
      </c>
      <c r="H4">
        <v>49.35</v>
      </c>
      <c r="I4">
        <v>0.3</v>
      </c>
      <c r="J4">
        <v>230505</v>
      </c>
      <c r="K4">
        <v>111447</v>
      </c>
      <c r="L4">
        <f t="shared" si="0"/>
        <v>341952</v>
      </c>
      <c r="M4">
        <v>36017986.831419297</v>
      </c>
      <c r="N4">
        <v>18617268.7772009</v>
      </c>
      <c r="O4">
        <v>-17400718.0542183</v>
      </c>
      <c r="P4">
        <v>1891800.60099817</v>
      </c>
      <c r="Q4">
        <f t="shared" si="1"/>
        <v>63060.020033272333</v>
      </c>
      <c r="R4">
        <v>58709.1250899999</v>
      </c>
      <c r="S4">
        <v>5276152.1540186601</v>
      </c>
      <c r="T4">
        <v>3303475.8399999901</v>
      </c>
      <c r="U4">
        <f t="shared" si="2"/>
        <v>1972676.31401867</v>
      </c>
      <c r="V4">
        <f t="shared" si="3"/>
        <v>197267.63140186699</v>
      </c>
      <c r="W4">
        <v>29</v>
      </c>
      <c r="X4">
        <v>57</v>
      </c>
    </row>
    <row r="5" spans="1:24" x14ac:dyDescent="0.2">
      <c r="A5">
        <v>265</v>
      </c>
      <c r="B5">
        <v>10</v>
      </c>
      <c r="C5">
        <v>1</v>
      </c>
      <c r="D5">
        <v>1</v>
      </c>
      <c r="E5">
        <v>30</v>
      </c>
      <c r="F5">
        <v>10</v>
      </c>
      <c r="G5">
        <v>90.12</v>
      </c>
      <c r="H5">
        <v>98.7</v>
      </c>
      <c r="I5">
        <v>0.3</v>
      </c>
      <c r="J5">
        <v>230671</v>
      </c>
      <c r="K5">
        <v>111431</v>
      </c>
      <c r="L5">
        <f t="shared" si="0"/>
        <v>342102</v>
      </c>
      <c r="M5">
        <v>35968086.221370302</v>
      </c>
      <c r="N5">
        <v>34552204.271637604</v>
      </c>
      <c r="O5">
        <v>-1415881.9497326899</v>
      </c>
      <c r="P5">
        <v>2204576.2840889199</v>
      </c>
      <c r="Q5">
        <f t="shared" si="1"/>
        <v>73485.876136297331</v>
      </c>
      <c r="R5">
        <v>58709.1250899999</v>
      </c>
      <c r="S5">
        <v>10552304.3080373</v>
      </c>
      <c r="T5">
        <v>3417388.79999999</v>
      </c>
      <c r="U5">
        <f t="shared" si="2"/>
        <v>7134915.5080373101</v>
      </c>
      <c r="V5">
        <f t="shared" si="3"/>
        <v>713491.55080373096</v>
      </c>
      <c r="W5">
        <v>30</v>
      </c>
      <c r="X5">
        <v>57</v>
      </c>
    </row>
    <row r="6" spans="1:24" x14ac:dyDescent="0.2">
      <c r="A6">
        <v>265</v>
      </c>
      <c r="B6">
        <v>10</v>
      </c>
      <c r="C6">
        <v>1</v>
      </c>
      <c r="D6">
        <v>3</v>
      </c>
      <c r="E6">
        <v>15</v>
      </c>
      <c r="F6">
        <v>10</v>
      </c>
      <c r="G6">
        <v>45.06</v>
      </c>
      <c r="H6">
        <v>49.35</v>
      </c>
      <c r="I6">
        <v>0.3</v>
      </c>
      <c r="J6">
        <v>232202</v>
      </c>
      <c r="K6">
        <v>117211</v>
      </c>
      <c r="L6">
        <f t="shared" si="0"/>
        <v>349413</v>
      </c>
      <c r="M6">
        <v>32261388.9861346</v>
      </c>
      <c r="N6">
        <v>14280750.159051601</v>
      </c>
      <c r="O6">
        <v>-17980638.827082999</v>
      </c>
      <c r="P6">
        <v>2183313.2873257101</v>
      </c>
      <c r="Q6">
        <f t="shared" si="1"/>
        <v>145554.21915504735</v>
      </c>
      <c r="R6">
        <v>0</v>
      </c>
      <c r="S6">
        <v>3541708.8077705898</v>
      </c>
      <c r="T6">
        <v>3303475.8399999901</v>
      </c>
      <c r="U6">
        <f t="shared" si="2"/>
        <v>238232.96777059976</v>
      </c>
      <c r="V6">
        <f t="shared" si="3"/>
        <v>23823.296777059975</v>
      </c>
      <c r="W6">
        <v>29</v>
      </c>
      <c r="X6">
        <v>224</v>
      </c>
    </row>
    <row r="7" spans="1:24" x14ac:dyDescent="0.2">
      <c r="A7">
        <v>265</v>
      </c>
      <c r="B7">
        <v>10</v>
      </c>
      <c r="C7">
        <v>1</v>
      </c>
      <c r="D7">
        <v>3</v>
      </c>
      <c r="E7">
        <v>15</v>
      </c>
      <c r="F7">
        <v>10</v>
      </c>
      <c r="G7">
        <v>90.12</v>
      </c>
      <c r="H7">
        <v>98.7</v>
      </c>
      <c r="I7">
        <v>0.3</v>
      </c>
      <c r="J7">
        <v>232147</v>
      </c>
      <c r="K7">
        <v>117210</v>
      </c>
      <c r="L7">
        <f t="shared" si="0"/>
        <v>349357</v>
      </c>
      <c r="M7">
        <v>32270993.364936799</v>
      </c>
      <c r="N7">
        <v>25574946.229021698</v>
      </c>
      <c r="O7">
        <v>-6696047.13591504</v>
      </c>
      <c r="P7">
        <v>2179119.7783907098</v>
      </c>
      <c r="Q7">
        <f t="shared" si="1"/>
        <v>145274.651892714</v>
      </c>
      <c r="R7">
        <v>0</v>
      </c>
      <c r="S7">
        <v>7083417.6155411899</v>
      </c>
      <c r="T7">
        <v>3417388.79999999</v>
      </c>
      <c r="U7">
        <f t="shared" si="2"/>
        <v>3666028.8155411999</v>
      </c>
      <c r="V7">
        <f t="shared" si="3"/>
        <v>366602.88155411999</v>
      </c>
      <c r="W7">
        <v>30</v>
      </c>
      <c r="X7">
        <v>224</v>
      </c>
    </row>
    <row r="8" spans="1:24" x14ac:dyDescent="0.2">
      <c r="A8">
        <v>265</v>
      </c>
      <c r="B8">
        <v>10</v>
      </c>
      <c r="C8">
        <v>1</v>
      </c>
      <c r="D8">
        <v>3</v>
      </c>
      <c r="E8">
        <v>30</v>
      </c>
      <c r="F8">
        <v>10</v>
      </c>
      <c r="G8">
        <v>45.06</v>
      </c>
      <c r="H8">
        <v>49.35</v>
      </c>
      <c r="I8">
        <v>0.3</v>
      </c>
      <c r="J8">
        <v>230508</v>
      </c>
      <c r="K8">
        <v>108966</v>
      </c>
      <c r="L8">
        <f t="shared" si="0"/>
        <v>339474</v>
      </c>
      <c r="M8">
        <v>35208089.766689397</v>
      </c>
      <c r="N8">
        <v>17274192.549144398</v>
      </c>
      <c r="O8">
        <v>-17933897.217544898</v>
      </c>
      <c r="P8">
        <v>2749387.3966538599</v>
      </c>
      <c r="Q8">
        <f t="shared" si="1"/>
        <v>91646.246555128659</v>
      </c>
      <c r="R8">
        <v>58709.125090000001</v>
      </c>
      <c r="S8">
        <v>5555419.1405721698</v>
      </c>
      <c r="T8">
        <v>3303475.8399999901</v>
      </c>
      <c r="U8">
        <f t="shared" si="2"/>
        <v>2251943.3005721797</v>
      </c>
      <c r="V8">
        <f t="shared" si="3"/>
        <v>225194.33005721797</v>
      </c>
      <c r="W8">
        <v>29</v>
      </c>
      <c r="X8">
        <v>89</v>
      </c>
    </row>
    <row r="9" spans="1:24" x14ac:dyDescent="0.2">
      <c r="A9">
        <v>265</v>
      </c>
      <c r="B9">
        <v>10</v>
      </c>
      <c r="C9">
        <v>1</v>
      </c>
      <c r="D9">
        <v>3</v>
      </c>
      <c r="E9">
        <v>30</v>
      </c>
      <c r="F9">
        <v>10</v>
      </c>
      <c r="G9">
        <v>90.12</v>
      </c>
      <c r="H9">
        <v>98.7</v>
      </c>
      <c r="I9">
        <v>0.3</v>
      </c>
      <c r="J9">
        <v>230425</v>
      </c>
      <c r="K9">
        <v>108962</v>
      </c>
      <c r="L9">
        <f t="shared" si="0"/>
        <v>339387</v>
      </c>
      <c r="M9">
        <v>35181414.376074404</v>
      </c>
      <c r="N9">
        <v>31751240.718002301</v>
      </c>
      <c r="O9">
        <v>-3430173.6580720502</v>
      </c>
      <c r="P9">
        <v>3008687.7412327202</v>
      </c>
      <c r="Q9">
        <f t="shared" si="1"/>
        <v>100289.59137442401</v>
      </c>
      <c r="R9">
        <v>58709.125090000001</v>
      </c>
      <c r="S9">
        <v>11110838.2811443</v>
      </c>
      <c r="T9">
        <v>3417388.79999999</v>
      </c>
      <c r="U9">
        <f t="shared" si="2"/>
        <v>7693449.4811443109</v>
      </c>
      <c r="V9">
        <f t="shared" si="3"/>
        <v>769344.94811443111</v>
      </c>
      <c r="W9">
        <v>30</v>
      </c>
      <c r="X9">
        <v>91</v>
      </c>
    </row>
    <row r="10" spans="1:24" x14ac:dyDescent="0.2">
      <c r="A10">
        <v>265</v>
      </c>
      <c r="B10">
        <v>10</v>
      </c>
      <c r="C10">
        <v>4</v>
      </c>
      <c r="D10">
        <v>1</v>
      </c>
      <c r="E10">
        <v>15</v>
      </c>
      <c r="F10">
        <v>10</v>
      </c>
      <c r="G10">
        <v>45.06</v>
      </c>
      <c r="H10">
        <v>49.35</v>
      </c>
      <c r="I10">
        <v>0.3</v>
      </c>
      <c r="J10">
        <v>232684</v>
      </c>
      <c r="K10">
        <v>116330</v>
      </c>
      <c r="L10">
        <f t="shared" si="0"/>
        <v>349014</v>
      </c>
      <c r="M10">
        <v>33502289.924249001</v>
      </c>
      <c r="N10">
        <v>15027102.4151637</v>
      </c>
      <c r="O10">
        <v>-18475187.509085301</v>
      </c>
      <c r="P10">
        <v>2393621.50108886</v>
      </c>
      <c r="Q10">
        <f t="shared" si="1"/>
        <v>159574.76673925732</v>
      </c>
      <c r="R10">
        <v>0</v>
      </c>
      <c r="S10">
        <v>3739077.3759767199</v>
      </c>
      <c r="T10">
        <v>3303475.8399999901</v>
      </c>
      <c r="U10">
        <f t="shared" si="2"/>
        <v>435601.53597672982</v>
      </c>
      <c r="V10">
        <f t="shared" si="3"/>
        <v>43560.153597672979</v>
      </c>
      <c r="W10">
        <v>29</v>
      </c>
      <c r="X10">
        <v>250</v>
      </c>
    </row>
    <row r="11" spans="1:24" x14ac:dyDescent="0.2">
      <c r="A11">
        <v>265</v>
      </c>
      <c r="B11">
        <v>10</v>
      </c>
      <c r="C11">
        <v>4</v>
      </c>
      <c r="D11">
        <v>1</v>
      </c>
      <c r="E11">
        <v>15</v>
      </c>
      <c r="F11">
        <v>10</v>
      </c>
      <c r="G11">
        <v>90.12</v>
      </c>
      <c r="H11">
        <v>98.7</v>
      </c>
      <c r="I11">
        <v>0.3</v>
      </c>
      <c r="J11">
        <v>232916</v>
      </c>
      <c r="K11">
        <v>116280</v>
      </c>
      <c r="L11">
        <f t="shared" si="0"/>
        <v>349196</v>
      </c>
      <c r="M11">
        <v>33580032.230374299</v>
      </c>
      <c r="N11">
        <v>27254184.135608699</v>
      </c>
      <c r="O11">
        <v>-6325848.0947655402</v>
      </c>
      <c r="P11">
        <v>2393621.50108886</v>
      </c>
      <c r="Q11">
        <f t="shared" si="1"/>
        <v>159574.76673925732</v>
      </c>
      <c r="R11">
        <v>0</v>
      </c>
      <c r="S11">
        <v>7478154.75195345</v>
      </c>
      <c r="T11">
        <v>3417388.79999999</v>
      </c>
      <c r="U11">
        <f t="shared" si="2"/>
        <v>4060765.95195346</v>
      </c>
      <c r="V11">
        <f t="shared" si="3"/>
        <v>406076.59519534599</v>
      </c>
      <c r="W11">
        <v>30</v>
      </c>
      <c r="X11">
        <v>250</v>
      </c>
    </row>
    <row r="12" spans="1:24" x14ac:dyDescent="0.2">
      <c r="A12">
        <v>265</v>
      </c>
      <c r="B12">
        <v>10</v>
      </c>
      <c r="C12">
        <v>4</v>
      </c>
      <c r="D12">
        <v>1</v>
      </c>
      <c r="E12">
        <v>30</v>
      </c>
      <c r="F12">
        <v>10</v>
      </c>
      <c r="G12">
        <v>45.06</v>
      </c>
      <c r="H12">
        <v>49.35</v>
      </c>
      <c r="I12">
        <v>0.3</v>
      </c>
      <c r="J12">
        <v>235124</v>
      </c>
      <c r="K12">
        <v>116581</v>
      </c>
      <c r="L12">
        <f t="shared" si="0"/>
        <v>351705</v>
      </c>
      <c r="M12">
        <v>38035410.462154403</v>
      </c>
      <c r="N12">
        <v>18188488.7728904</v>
      </c>
      <c r="O12">
        <v>-19846921.689263899</v>
      </c>
      <c r="P12">
        <v>2580610.77446971</v>
      </c>
      <c r="Q12">
        <f t="shared" si="1"/>
        <v>86020.359148990334</v>
      </c>
      <c r="R12">
        <v>0</v>
      </c>
      <c r="S12">
        <v>5523068.9465412097</v>
      </c>
      <c r="T12">
        <v>3189562.8799999901</v>
      </c>
      <c r="U12">
        <f t="shared" si="2"/>
        <v>2333506.0665412196</v>
      </c>
      <c r="V12">
        <f t="shared" si="3"/>
        <v>233350.60665412195</v>
      </c>
      <c r="W12">
        <v>28</v>
      </c>
      <c r="X12">
        <v>64</v>
      </c>
    </row>
    <row r="13" spans="1:24" x14ac:dyDescent="0.2">
      <c r="A13">
        <v>265</v>
      </c>
      <c r="B13">
        <v>10</v>
      </c>
      <c r="C13">
        <v>4</v>
      </c>
      <c r="D13">
        <v>1</v>
      </c>
      <c r="E13">
        <v>30</v>
      </c>
      <c r="F13">
        <v>10</v>
      </c>
      <c r="G13">
        <v>90.12</v>
      </c>
      <c r="H13">
        <v>98.7</v>
      </c>
      <c r="I13">
        <v>0.3</v>
      </c>
      <c r="J13">
        <v>235202</v>
      </c>
      <c r="K13">
        <v>116550</v>
      </c>
      <c r="L13">
        <f t="shared" si="0"/>
        <v>351752</v>
      </c>
      <c r="M13">
        <v>38101942.795548201</v>
      </c>
      <c r="N13">
        <v>33820239.621598698</v>
      </c>
      <c r="O13">
        <v>-4281703.1739495499</v>
      </c>
      <c r="P13">
        <v>2738977.7101974199</v>
      </c>
      <c r="Q13">
        <f t="shared" si="1"/>
        <v>91299.257006580665</v>
      </c>
      <c r="R13">
        <v>0</v>
      </c>
      <c r="S13">
        <v>11046137.893082401</v>
      </c>
      <c r="T13">
        <v>3417388.79999999</v>
      </c>
      <c r="U13">
        <f t="shared" si="2"/>
        <v>7628749.0930824112</v>
      </c>
      <c r="V13">
        <f t="shared" si="3"/>
        <v>762874.9093082411</v>
      </c>
      <c r="W13">
        <v>30</v>
      </c>
      <c r="X13">
        <v>64</v>
      </c>
    </row>
    <row r="14" spans="1:24" x14ac:dyDescent="0.2">
      <c r="A14">
        <v>265</v>
      </c>
      <c r="B14">
        <v>10</v>
      </c>
      <c r="C14">
        <v>4</v>
      </c>
      <c r="D14">
        <v>3</v>
      </c>
      <c r="E14">
        <v>15</v>
      </c>
      <c r="F14">
        <v>10</v>
      </c>
      <c r="G14">
        <v>45.06</v>
      </c>
      <c r="H14">
        <v>49.35</v>
      </c>
      <c r="I14">
        <v>0.3</v>
      </c>
      <c r="J14">
        <v>234120</v>
      </c>
      <c r="K14">
        <v>116241</v>
      </c>
      <c r="L14">
        <f t="shared" si="0"/>
        <v>350361</v>
      </c>
      <c r="M14">
        <v>33621428.798318103</v>
      </c>
      <c r="N14">
        <v>15396715.5530074</v>
      </c>
      <c r="O14">
        <v>-18224713.245310701</v>
      </c>
      <c r="P14">
        <v>2531026.7322946098</v>
      </c>
      <c r="Q14">
        <f t="shared" si="1"/>
        <v>168735.11548630733</v>
      </c>
      <c r="R14">
        <v>0</v>
      </c>
      <c r="S14">
        <v>3324545.1185254999</v>
      </c>
      <c r="T14">
        <v>3189562.8799999901</v>
      </c>
      <c r="U14">
        <f t="shared" si="2"/>
        <v>134982.23852550983</v>
      </c>
      <c r="V14">
        <f t="shared" si="3"/>
        <v>13498.223852550984</v>
      </c>
      <c r="W14">
        <v>28</v>
      </c>
      <c r="X14">
        <v>195</v>
      </c>
    </row>
    <row r="15" spans="1:24" x14ac:dyDescent="0.2">
      <c r="A15">
        <v>265</v>
      </c>
      <c r="B15">
        <v>10</v>
      </c>
      <c r="C15">
        <v>4</v>
      </c>
      <c r="D15">
        <v>3</v>
      </c>
      <c r="E15">
        <v>15</v>
      </c>
      <c r="F15">
        <v>10</v>
      </c>
      <c r="G15">
        <v>90.12</v>
      </c>
      <c r="H15">
        <v>98.7</v>
      </c>
      <c r="I15">
        <v>0.3</v>
      </c>
      <c r="J15">
        <v>234251</v>
      </c>
      <c r="K15">
        <v>116296</v>
      </c>
      <c r="L15">
        <f t="shared" si="0"/>
        <v>350547</v>
      </c>
      <c r="M15">
        <v>33635657.664458998</v>
      </c>
      <c r="N15">
        <v>27922423.7531044</v>
      </c>
      <c r="O15">
        <v>-5713233.9113545902</v>
      </c>
      <c r="P15">
        <v>2594450.7081585899</v>
      </c>
      <c r="Q15">
        <f t="shared" si="1"/>
        <v>172963.38054390598</v>
      </c>
      <c r="R15">
        <v>0</v>
      </c>
      <c r="S15">
        <v>6649090.2370510101</v>
      </c>
      <c r="T15">
        <v>3417388.79999999</v>
      </c>
      <c r="U15">
        <f t="shared" si="2"/>
        <v>3231701.4370510201</v>
      </c>
      <c r="V15">
        <f t="shared" si="3"/>
        <v>323170.14370510203</v>
      </c>
      <c r="W15">
        <v>30</v>
      </c>
      <c r="X15">
        <v>202</v>
      </c>
    </row>
    <row r="16" spans="1:24" x14ac:dyDescent="0.2">
      <c r="A16">
        <v>265</v>
      </c>
      <c r="B16">
        <v>10</v>
      </c>
      <c r="C16">
        <v>4</v>
      </c>
      <c r="D16">
        <v>3</v>
      </c>
      <c r="E16">
        <v>30</v>
      </c>
      <c r="F16">
        <v>10</v>
      </c>
      <c r="G16">
        <v>45.06</v>
      </c>
      <c r="H16">
        <v>49.35</v>
      </c>
      <c r="I16">
        <v>0.3</v>
      </c>
      <c r="J16">
        <v>228801</v>
      </c>
      <c r="K16">
        <v>108583</v>
      </c>
      <c r="L16">
        <f t="shared" si="0"/>
        <v>337384</v>
      </c>
      <c r="M16">
        <v>35753828.272347897</v>
      </c>
      <c r="N16">
        <v>20289222.3914482</v>
      </c>
      <c r="O16">
        <v>-15464605.880899699</v>
      </c>
      <c r="P16">
        <v>2576291.23343314</v>
      </c>
      <c r="Q16">
        <f t="shared" si="1"/>
        <v>85876.374447771334</v>
      </c>
      <c r="R16">
        <v>8387.0178699999997</v>
      </c>
      <c r="S16">
        <v>5562969.6226570401</v>
      </c>
      <c r="T16">
        <v>3417388.79999999</v>
      </c>
      <c r="U16">
        <f t="shared" si="2"/>
        <v>2145580.8226570501</v>
      </c>
      <c r="V16">
        <f t="shared" si="3"/>
        <v>214558.08226570502</v>
      </c>
      <c r="W16">
        <v>30</v>
      </c>
      <c r="X16">
        <v>70</v>
      </c>
    </row>
    <row r="17" spans="1:24" x14ac:dyDescent="0.2">
      <c r="A17">
        <v>265</v>
      </c>
      <c r="B17">
        <v>10</v>
      </c>
      <c r="C17">
        <v>4</v>
      </c>
      <c r="D17">
        <v>3</v>
      </c>
      <c r="E17">
        <v>30</v>
      </c>
      <c r="F17">
        <v>10</v>
      </c>
      <c r="G17">
        <v>90.12</v>
      </c>
      <c r="H17">
        <v>98.7</v>
      </c>
      <c r="I17">
        <v>0.3</v>
      </c>
      <c r="J17">
        <v>228871</v>
      </c>
      <c r="K17">
        <v>108558</v>
      </c>
      <c r="L17">
        <f t="shared" si="0"/>
        <v>337429</v>
      </c>
      <c r="M17">
        <v>35679512.108589202</v>
      </c>
      <c r="N17">
        <v>36677953.627322502</v>
      </c>
      <c r="O17">
        <v>998441.51873332204</v>
      </c>
      <c r="P17">
        <v>2868944.0583430799</v>
      </c>
      <c r="Q17">
        <f t="shared" si="1"/>
        <v>95631.468611435994</v>
      </c>
      <c r="R17">
        <v>8387.0178699999997</v>
      </c>
      <c r="S17">
        <v>11125939.245314</v>
      </c>
      <c r="T17">
        <v>3417388.79999999</v>
      </c>
      <c r="U17">
        <f t="shared" si="2"/>
        <v>7708550.4453140106</v>
      </c>
      <c r="V17">
        <f t="shared" si="3"/>
        <v>770855.04453140101</v>
      </c>
      <c r="W17">
        <v>30</v>
      </c>
      <c r="X17">
        <v>77</v>
      </c>
    </row>
    <row r="18" spans="1:24" x14ac:dyDescent="0.2">
      <c r="A18">
        <v>265</v>
      </c>
      <c r="B18">
        <v>10</v>
      </c>
      <c r="C18">
        <v>1</v>
      </c>
      <c r="D18">
        <v>1</v>
      </c>
      <c r="E18">
        <v>15</v>
      </c>
      <c r="F18">
        <v>30</v>
      </c>
      <c r="G18">
        <v>45.06</v>
      </c>
      <c r="H18">
        <v>49.35</v>
      </c>
      <c r="I18">
        <v>0.3</v>
      </c>
      <c r="J18">
        <v>235900</v>
      </c>
      <c r="K18">
        <v>116393</v>
      </c>
      <c r="L18">
        <f t="shared" si="0"/>
        <v>352293</v>
      </c>
      <c r="M18">
        <v>44440757.1488363</v>
      </c>
      <c r="N18">
        <v>34444808.895708598</v>
      </c>
      <c r="O18">
        <v>-9995948.2531276699</v>
      </c>
      <c r="P18">
        <v>2462721.96832792</v>
      </c>
      <c r="Q18">
        <f t="shared" si="1"/>
        <v>164181.46455519466</v>
      </c>
      <c r="R18">
        <v>0</v>
      </c>
      <c r="S18">
        <v>5860014.4728399199</v>
      </c>
      <c r="T18">
        <v>9796514.5600000005</v>
      </c>
      <c r="U18">
        <f t="shared" si="2"/>
        <v>-3936500.0871600807</v>
      </c>
      <c r="V18">
        <f t="shared" si="3"/>
        <v>-131216.66957200269</v>
      </c>
      <c r="W18">
        <v>86</v>
      </c>
      <c r="X18">
        <v>882</v>
      </c>
    </row>
    <row r="19" spans="1:24" x14ac:dyDescent="0.2">
      <c r="A19">
        <v>265</v>
      </c>
      <c r="B19">
        <v>10</v>
      </c>
      <c r="C19">
        <v>1</v>
      </c>
      <c r="D19">
        <v>1</v>
      </c>
      <c r="E19">
        <v>15</v>
      </c>
      <c r="F19">
        <v>30</v>
      </c>
      <c r="G19">
        <v>90.12</v>
      </c>
      <c r="H19">
        <v>98.7</v>
      </c>
      <c r="I19">
        <v>0.3</v>
      </c>
      <c r="J19">
        <v>236996</v>
      </c>
      <c r="K19">
        <v>116400</v>
      </c>
      <c r="L19">
        <f t="shared" si="0"/>
        <v>353396</v>
      </c>
      <c r="M19">
        <v>44319108.751037501</v>
      </c>
      <c r="N19">
        <v>60406314.299913697</v>
      </c>
      <c r="O19">
        <v>16087205.5488762</v>
      </c>
      <c r="P19">
        <v>2430123.07462984</v>
      </c>
      <c r="Q19">
        <f t="shared" si="1"/>
        <v>162008.20497532267</v>
      </c>
      <c r="R19">
        <v>0</v>
      </c>
      <c r="S19">
        <v>12197497.5760267</v>
      </c>
      <c r="T19">
        <v>10252166.4</v>
      </c>
      <c r="U19">
        <f t="shared" si="2"/>
        <v>1945331.1760267001</v>
      </c>
      <c r="V19">
        <f t="shared" si="3"/>
        <v>64844.372534223337</v>
      </c>
      <c r="W19">
        <v>90</v>
      </c>
      <c r="X19">
        <v>887</v>
      </c>
    </row>
    <row r="20" spans="1:24" x14ac:dyDescent="0.2">
      <c r="A20">
        <v>265</v>
      </c>
      <c r="B20">
        <v>10</v>
      </c>
      <c r="C20">
        <v>1</v>
      </c>
      <c r="D20">
        <v>1</v>
      </c>
      <c r="E20">
        <v>30</v>
      </c>
      <c r="F20">
        <v>30</v>
      </c>
      <c r="G20">
        <v>45.06</v>
      </c>
      <c r="H20">
        <v>49.35</v>
      </c>
      <c r="I20">
        <v>0.3</v>
      </c>
      <c r="J20">
        <v>237872</v>
      </c>
      <c r="K20">
        <v>116866</v>
      </c>
      <c r="L20">
        <f t="shared" si="0"/>
        <v>354738</v>
      </c>
      <c r="M20">
        <v>58553148.090120301</v>
      </c>
      <c r="N20">
        <v>37281556.479362503</v>
      </c>
      <c r="O20">
        <v>-21271591.610757701</v>
      </c>
      <c r="P20">
        <v>2746097.4743952202</v>
      </c>
      <c r="Q20">
        <f t="shared" si="1"/>
        <v>91536.582479840668</v>
      </c>
      <c r="R20">
        <v>0</v>
      </c>
      <c r="S20">
        <v>6890859.1300853696</v>
      </c>
      <c r="T20">
        <v>9682601.5999999996</v>
      </c>
      <c r="U20">
        <f t="shared" si="2"/>
        <v>-2791742.4699146301</v>
      </c>
      <c r="V20">
        <f t="shared" si="3"/>
        <v>-93058.082330487669</v>
      </c>
      <c r="W20">
        <v>86</v>
      </c>
      <c r="X20">
        <v>805</v>
      </c>
    </row>
    <row r="21" spans="1:24" x14ac:dyDescent="0.2">
      <c r="A21">
        <v>265</v>
      </c>
      <c r="B21">
        <v>10</v>
      </c>
      <c r="C21">
        <v>1</v>
      </c>
      <c r="D21">
        <v>1</v>
      </c>
      <c r="E21">
        <v>30</v>
      </c>
      <c r="F21">
        <v>30</v>
      </c>
      <c r="G21">
        <v>90.12</v>
      </c>
      <c r="H21">
        <v>98.7</v>
      </c>
      <c r="I21">
        <v>0.3</v>
      </c>
      <c r="J21">
        <v>238054</v>
      </c>
      <c r="K21">
        <v>116794</v>
      </c>
      <c r="L21">
        <f t="shared" si="0"/>
        <v>354848</v>
      </c>
      <c r="M21">
        <v>58611864.474740699</v>
      </c>
      <c r="N21">
        <v>66441135.748124801</v>
      </c>
      <c r="O21">
        <v>7829271.27338407</v>
      </c>
      <c r="P21">
        <v>2551720.9161584899</v>
      </c>
      <c r="Q21">
        <f t="shared" si="1"/>
        <v>85057.363871949667</v>
      </c>
      <c r="R21">
        <v>0</v>
      </c>
      <c r="S21">
        <v>13380392.997028699</v>
      </c>
      <c r="T21">
        <v>10138253.439999999</v>
      </c>
      <c r="U21">
        <f t="shared" si="2"/>
        <v>3242139.5570286997</v>
      </c>
      <c r="V21">
        <f t="shared" si="3"/>
        <v>108071.31856762333</v>
      </c>
      <c r="W21">
        <v>90</v>
      </c>
      <c r="X21">
        <v>808</v>
      </c>
    </row>
    <row r="22" spans="1:24" x14ac:dyDescent="0.2">
      <c r="A22">
        <v>265</v>
      </c>
      <c r="B22">
        <v>10</v>
      </c>
      <c r="C22">
        <v>1</v>
      </c>
      <c r="D22">
        <v>3</v>
      </c>
      <c r="E22">
        <v>15</v>
      </c>
      <c r="F22">
        <v>30</v>
      </c>
      <c r="G22">
        <v>45.06</v>
      </c>
      <c r="H22">
        <v>49.35</v>
      </c>
      <c r="I22">
        <v>0.3</v>
      </c>
      <c r="J22">
        <v>235802</v>
      </c>
      <c r="K22">
        <v>116378</v>
      </c>
      <c r="L22">
        <f t="shared" si="0"/>
        <v>352180</v>
      </c>
      <c r="M22">
        <v>44997606.2187014</v>
      </c>
      <c r="N22">
        <v>36258226.497209102</v>
      </c>
      <c r="O22">
        <v>-8739379.7214922309</v>
      </c>
      <c r="P22">
        <v>2444089.6358730001</v>
      </c>
      <c r="Q22">
        <f t="shared" si="1"/>
        <v>162939.30905820001</v>
      </c>
      <c r="R22">
        <v>0</v>
      </c>
      <c r="S22">
        <v>5583320.0365047902</v>
      </c>
      <c r="T22">
        <v>9796514.5600000005</v>
      </c>
      <c r="U22">
        <f t="shared" si="2"/>
        <v>-4213194.5234952103</v>
      </c>
      <c r="V22">
        <f t="shared" si="3"/>
        <v>-140439.81744984034</v>
      </c>
      <c r="W22">
        <v>87</v>
      </c>
      <c r="X22">
        <v>831</v>
      </c>
    </row>
    <row r="23" spans="1:24" x14ac:dyDescent="0.2">
      <c r="A23">
        <v>265</v>
      </c>
      <c r="B23">
        <v>10</v>
      </c>
      <c r="C23">
        <v>1</v>
      </c>
      <c r="D23">
        <v>3</v>
      </c>
      <c r="E23">
        <v>15</v>
      </c>
      <c r="F23">
        <v>30</v>
      </c>
      <c r="G23">
        <v>90.12</v>
      </c>
      <c r="H23">
        <v>98.7</v>
      </c>
      <c r="I23">
        <v>0.3</v>
      </c>
      <c r="J23">
        <v>237187</v>
      </c>
      <c r="K23">
        <v>116558</v>
      </c>
      <c r="L23">
        <f t="shared" si="0"/>
        <v>353745</v>
      </c>
      <c r="M23">
        <v>44827668.225665703</v>
      </c>
      <c r="N23">
        <v>63918214.256502599</v>
      </c>
      <c r="O23">
        <v>19090546.030836798</v>
      </c>
      <c r="P23">
        <v>2219072.23063904</v>
      </c>
      <c r="Q23">
        <f t="shared" si="1"/>
        <v>147938.14870926933</v>
      </c>
      <c r="R23">
        <v>0</v>
      </c>
      <c r="S23">
        <v>11345372.3988533</v>
      </c>
      <c r="T23">
        <v>10252166.4</v>
      </c>
      <c r="U23">
        <f t="shared" si="2"/>
        <v>1093205.9988532998</v>
      </c>
      <c r="V23">
        <f t="shared" si="3"/>
        <v>36440.199961776656</v>
      </c>
      <c r="W23">
        <v>90</v>
      </c>
      <c r="X23">
        <v>847</v>
      </c>
    </row>
    <row r="24" spans="1:24" x14ac:dyDescent="0.2">
      <c r="A24">
        <v>265</v>
      </c>
      <c r="B24">
        <v>10</v>
      </c>
      <c r="C24">
        <v>1</v>
      </c>
      <c r="D24">
        <v>3</v>
      </c>
      <c r="E24">
        <v>30</v>
      </c>
      <c r="F24">
        <v>30</v>
      </c>
      <c r="G24">
        <v>45.06</v>
      </c>
      <c r="H24">
        <v>49.35</v>
      </c>
      <c r="I24">
        <v>0.3</v>
      </c>
      <c r="J24">
        <v>237158</v>
      </c>
      <c r="K24">
        <v>116600</v>
      </c>
      <c r="L24">
        <f t="shared" si="0"/>
        <v>353758</v>
      </c>
      <c r="M24">
        <v>58051610.443007402</v>
      </c>
      <c r="N24">
        <v>37963000.064385802</v>
      </c>
      <c r="O24">
        <v>-20088610.378621601</v>
      </c>
      <c r="P24">
        <v>4193682.7510948102</v>
      </c>
      <c r="Q24">
        <f t="shared" si="1"/>
        <v>139789.42503649366</v>
      </c>
      <c r="R24">
        <v>0</v>
      </c>
      <c r="S24">
        <v>6763097.8479180001</v>
      </c>
      <c r="T24">
        <v>9796514.5600000005</v>
      </c>
      <c r="U24">
        <f t="shared" si="2"/>
        <v>-3033416.7120820004</v>
      </c>
      <c r="V24">
        <f t="shared" si="3"/>
        <v>-101113.89040273335</v>
      </c>
      <c r="W24">
        <v>87</v>
      </c>
      <c r="X24">
        <v>754</v>
      </c>
    </row>
    <row r="25" spans="1:24" x14ac:dyDescent="0.2">
      <c r="A25">
        <v>265</v>
      </c>
      <c r="B25">
        <v>10</v>
      </c>
      <c r="C25">
        <v>1</v>
      </c>
      <c r="D25">
        <v>3</v>
      </c>
      <c r="E25">
        <v>30</v>
      </c>
      <c r="F25">
        <v>30</v>
      </c>
      <c r="G25">
        <v>90.12</v>
      </c>
      <c r="H25">
        <v>98.7</v>
      </c>
      <c r="I25">
        <v>0.3</v>
      </c>
      <c r="J25">
        <v>238752</v>
      </c>
      <c r="K25">
        <v>116347</v>
      </c>
      <c r="L25">
        <f t="shared" si="0"/>
        <v>355099</v>
      </c>
      <c r="M25">
        <v>58774761.059560299</v>
      </c>
      <c r="N25">
        <v>66776580.522116199</v>
      </c>
      <c r="O25">
        <v>8001819.4625559598</v>
      </c>
      <c r="P25">
        <v>3513480.2235858501</v>
      </c>
      <c r="Q25">
        <f t="shared" si="1"/>
        <v>117116.00745286167</v>
      </c>
      <c r="R25">
        <v>0</v>
      </c>
      <c r="S25">
        <v>12545363.3466218</v>
      </c>
      <c r="T25">
        <v>10138253.439999999</v>
      </c>
      <c r="U25">
        <f t="shared" si="2"/>
        <v>2407109.9066218007</v>
      </c>
      <c r="V25">
        <f t="shared" si="3"/>
        <v>80236.996887393354</v>
      </c>
      <c r="W25">
        <v>90</v>
      </c>
      <c r="X25">
        <v>761</v>
      </c>
    </row>
    <row r="26" spans="1:24" x14ac:dyDescent="0.2">
      <c r="A26">
        <v>265</v>
      </c>
      <c r="B26">
        <v>10</v>
      </c>
      <c r="C26">
        <v>4</v>
      </c>
      <c r="D26">
        <v>1</v>
      </c>
      <c r="E26">
        <v>15</v>
      </c>
      <c r="F26">
        <v>30</v>
      </c>
      <c r="G26">
        <v>45.06</v>
      </c>
      <c r="H26">
        <v>49.35</v>
      </c>
      <c r="I26">
        <v>0.3</v>
      </c>
      <c r="J26">
        <v>236342</v>
      </c>
      <c r="K26">
        <v>116480</v>
      </c>
      <c r="L26">
        <f t="shared" si="0"/>
        <v>352822</v>
      </c>
      <c r="M26">
        <v>44198633.007532097</v>
      </c>
      <c r="N26">
        <v>33241507.350822099</v>
      </c>
      <c r="O26">
        <v>-10957125.6567099</v>
      </c>
      <c r="P26">
        <v>1606068.2466788201</v>
      </c>
      <c r="Q26">
        <f t="shared" si="1"/>
        <v>107071.21644525467</v>
      </c>
      <c r="R26">
        <v>0</v>
      </c>
      <c r="S26">
        <v>5208207.0322256703</v>
      </c>
      <c r="T26">
        <v>9568688.6399999894</v>
      </c>
      <c r="U26">
        <f t="shared" si="2"/>
        <v>-4360481.6077743191</v>
      </c>
      <c r="V26">
        <f t="shared" si="3"/>
        <v>-145349.38692581063</v>
      </c>
      <c r="W26">
        <v>85</v>
      </c>
      <c r="X26">
        <v>914</v>
      </c>
    </row>
    <row r="27" spans="1:24" x14ac:dyDescent="0.2">
      <c r="A27">
        <v>265</v>
      </c>
      <c r="B27">
        <v>10</v>
      </c>
      <c r="C27">
        <v>4</v>
      </c>
      <c r="D27">
        <v>1</v>
      </c>
      <c r="E27">
        <v>15</v>
      </c>
      <c r="F27">
        <v>30</v>
      </c>
      <c r="G27">
        <v>90.12</v>
      </c>
      <c r="H27">
        <v>98.7</v>
      </c>
      <c r="I27">
        <v>0.3</v>
      </c>
      <c r="J27">
        <v>236800</v>
      </c>
      <c r="K27">
        <v>116898</v>
      </c>
      <c r="L27">
        <f t="shared" si="0"/>
        <v>353698</v>
      </c>
      <c r="M27">
        <v>43133139.885631099</v>
      </c>
      <c r="N27">
        <v>52009259.660008103</v>
      </c>
      <c r="O27">
        <v>8876119.7743770704</v>
      </c>
      <c r="P27">
        <v>1625535.7612687401</v>
      </c>
      <c r="Q27">
        <f t="shared" si="1"/>
        <v>108369.05075124934</v>
      </c>
      <c r="R27">
        <v>0</v>
      </c>
      <c r="S27">
        <v>8448705.5089329593</v>
      </c>
      <c r="T27">
        <v>10138253.439999999</v>
      </c>
      <c r="U27">
        <f t="shared" si="2"/>
        <v>-1689547.9310670402</v>
      </c>
      <c r="V27">
        <f t="shared" si="3"/>
        <v>-56318.264368901342</v>
      </c>
      <c r="W27">
        <v>89</v>
      </c>
      <c r="X27">
        <v>1006</v>
      </c>
    </row>
    <row r="28" spans="1:24" x14ac:dyDescent="0.2">
      <c r="A28">
        <v>265</v>
      </c>
      <c r="B28">
        <v>10</v>
      </c>
      <c r="C28">
        <v>4</v>
      </c>
      <c r="D28">
        <v>1</v>
      </c>
      <c r="E28">
        <v>30</v>
      </c>
      <c r="F28">
        <v>30</v>
      </c>
      <c r="G28">
        <v>45.06</v>
      </c>
      <c r="H28">
        <v>49.35</v>
      </c>
      <c r="I28">
        <v>0.3</v>
      </c>
      <c r="J28">
        <v>237304</v>
      </c>
      <c r="K28">
        <v>116167</v>
      </c>
      <c r="L28">
        <f t="shared" si="0"/>
        <v>353471</v>
      </c>
      <c r="M28">
        <v>59845621.974735603</v>
      </c>
      <c r="N28">
        <v>40547563.2628683</v>
      </c>
      <c r="O28">
        <v>-19298058.711867299</v>
      </c>
      <c r="P28">
        <v>4894857.9470986295</v>
      </c>
      <c r="Q28">
        <f t="shared" si="1"/>
        <v>163161.93156995432</v>
      </c>
      <c r="R28">
        <v>0</v>
      </c>
      <c r="S28">
        <v>9006970.76167983</v>
      </c>
      <c r="T28">
        <v>9682601.5999999996</v>
      </c>
      <c r="U28">
        <f t="shared" si="2"/>
        <v>-675630.8383201696</v>
      </c>
      <c r="V28">
        <f t="shared" si="3"/>
        <v>-22521.027944005655</v>
      </c>
      <c r="W28">
        <v>86</v>
      </c>
      <c r="X28">
        <v>623</v>
      </c>
    </row>
    <row r="29" spans="1:24" x14ac:dyDescent="0.2">
      <c r="A29">
        <v>265</v>
      </c>
      <c r="B29">
        <v>10</v>
      </c>
      <c r="C29">
        <v>4</v>
      </c>
      <c r="D29">
        <v>1</v>
      </c>
      <c r="E29">
        <v>30</v>
      </c>
      <c r="F29">
        <v>30</v>
      </c>
      <c r="G29">
        <v>90.12</v>
      </c>
      <c r="H29">
        <v>98.7</v>
      </c>
      <c r="I29">
        <v>0.3</v>
      </c>
      <c r="J29">
        <v>237992</v>
      </c>
      <c r="K29">
        <v>116533</v>
      </c>
      <c r="L29">
        <f t="shared" si="0"/>
        <v>354525</v>
      </c>
      <c r="M29">
        <v>57800714.602525301</v>
      </c>
      <c r="N29">
        <v>65279205.055693902</v>
      </c>
      <c r="O29">
        <v>7478490.4531686101</v>
      </c>
      <c r="P29">
        <v>1891787.8635667299</v>
      </c>
      <c r="Q29">
        <f t="shared" si="1"/>
        <v>63059.595452224334</v>
      </c>
      <c r="R29">
        <v>0</v>
      </c>
      <c r="S29">
        <v>9910339.2978468593</v>
      </c>
      <c r="T29">
        <v>10024340.48</v>
      </c>
      <c r="U29">
        <f t="shared" si="2"/>
        <v>-114001.18215314113</v>
      </c>
      <c r="V29">
        <f t="shared" si="3"/>
        <v>-3800.0394051047042</v>
      </c>
      <c r="W29">
        <v>90</v>
      </c>
      <c r="X29">
        <v>804</v>
      </c>
    </row>
    <row r="30" spans="1:24" x14ac:dyDescent="0.2">
      <c r="A30">
        <v>265</v>
      </c>
      <c r="B30">
        <v>10</v>
      </c>
      <c r="C30">
        <v>4</v>
      </c>
      <c r="D30">
        <v>3</v>
      </c>
      <c r="E30">
        <v>15</v>
      </c>
      <c r="F30">
        <v>30</v>
      </c>
      <c r="G30">
        <v>45.06</v>
      </c>
      <c r="H30">
        <v>49.35</v>
      </c>
      <c r="I30">
        <v>0.3</v>
      </c>
      <c r="J30">
        <v>235732</v>
      </c>
      <c r="K30">
        <v>116966</v>
      </c>
      <c r="L30">
        <f t="shared" si="0"/>
        <v>352698</v>
      </c>
      <c r="M30">
        <v>43443059.379594199</v>
      </c>
      <c r="N30">
        <v>29819495.686450001</v>
      </c>
      <c r="O30">
        <v>-13623563.6931441</v>
      </c>
      <c r="P30">
        <v>2432693.9040871202</v>
      </c>
      <c r="Q30">
        <f t="shared" si="1"/>
        <v>162179.59360580801</v>
      </c>
      <c r="R30">
        <v>0</v>
      </c>
      <c r="S30">
        <v>5524899.5580428503</v>
      </c>
      <c r="T30">
        <v>9568688.6399999894</v>
      </c>
      <c r="U30">
        <f t="shared" si="2"/>
        <v>-4043789.0819571391</v>
      </c>
      <c r="V30">
        <f t="shared" si="3"/>
        <v>-134792.96939857129</v>
      </c>
      <c r="W30">
        <v>85</v>
      </c>
      <c r="X30">
        <v>1032</v>
      </c>
    </row>
    <row r="31" spans="1:24" x14ac:dyDescent="0.2">
      <c r="A31">
        <v>265</v>
      </c>
      <c r="B31">
        <v>10</v>
      </c>
      <c r="C31">
        <v>4</v>
      </c>
      <c r="D31">
        <v>3</v>
      </c>
      <c r="E31">
        <v>15</v>
      </c>
      <c r="F31">
        <v>30</v>
      </c>
      <c r="G31">
        <v>90.12</v>
      </c>
      <c r="H31">
        <v>98.7</v>
      </c>
      <c r="I31">
        <v>0.3</v>
      </c>
      <c r="J31">
        <v>236638</v>
      </c>
      <c r="K31">
        <v>116218</v>
      </c>
      <c r="L31">
        <f t="shared" si="0"/>
        <v>352856</v>
      </c>
      <c r="M31">
        <v>44093599.091592498</v>
      </c>
      <c r="N31">
        <v>55296714.751731902</v>
      </c>
      <c r="O31">
        <v>11203115.6601393</v>
      </c>
      <c r="P31">
        <v>2062521.2789807301</v>
      </c>
      <c r="Q31">
        <f t="shared" si="1"/>
        <v>137501.41859871533</v>
      </c>
      <c r="R31">
        <v>0</v>
      </c>
      <c r="S31">
        <v>11557598.5557454</v>
      </c>
      <c r="T31">
        <v>10024340.48</v>
      </c>
      <c r="U31">
        <f t="shared" si="2"/>
        <v>1533258.0757454</v>
      </c>
      <c r="V31">
        <f t="shared" si="3"/>
        <v>51108.602524846669</v>
      </c>
      <c r="W31">
        <v>88</v>
      </c>
      <c r="X31">
        <v>930</v>
      </c>
    </row>
    <row r="32" spans="1:24" x14ac:dyDescent="0.2">
      <c r="A32">
        <v>265</v>
      </c>
      <c r="B32">
        <v>10</v>
      </c>
      <c r="C32">
        <v>4</v>
      </c>
      <c r="D32">
        <v>3</v>
      </c>
      <c r="E32">
        <v>30</v>
      </c>
      <c r="F32">
        <v>30</v>
      </c>
      <c r="G32">
        <v>45.06</v>
      </c>
      <c r="H32">
        <v>49.35</v>
      </c>
      <c r="I32">
        <v>0.3</v>
      </c>
      <c r="J32">
        <v>237501</v>
      </c>
      <c r="K32">
        <v>116380</v>
      </c>
      <c r="L32">
        <f t="shared" si="0"/>
        <v>353881</v>
      </c>
      <c r="M32">
        <v>58497245.573351704</v>
      </c>
      <c r="N32">
        <v>37801832.569196701</v>
      </c>
      <c r="O32">
        <v>-20695413.004154898</v>
      </c>
      <c r="P32">
        <v>3432621.2075050799</v>
      </c>
      <c r="Q32">
        <f t="shared" si="1"/>
        <v>114420.706916836</v>
      </c>
      <c r="R32">
        <v>0</v>
      </c>
      <c r="S32">
        <v>5671163.8589687198</v>
      </c>
      <c r="T32">
        <v>9682601.5999999996</v>
      </c>
      <c r="U32">
        <f t="shared" si="2"/>
        <v>-4011437.7410312798</v>
      </c>
      <c r="V32">
        <f t="shared" si="3"/>
        <v>-133714.59136770933</v>
      </c>
      <c r="W32">
        <v>87</v>
      </c>
      <c r="X32">
        <v>795</v>
      </c>
    </row>
    <row r="33" spans="1:24" x14ac:dyDescent="0.2">
      <c r="A33">
        <v>265</v>
      </c>
      <c r="B33">
        <v>10</v>
      </c>
      <c r="C33">
        <v>4</v>
      </c>
      <c r="D33">
        <v>3</v>
      </c>
      <c r="E33">
        <v>30</v>
      </c>
      <c r="F33">
        <v>30</v>
      </c>
      <c r="G33">
        <v>90.12</v>
      </c>
      <c r="H33">
        <v>98.7</v>
      </c>
      <c r="I33">
        <v>0.3</v>
      </c>
      <c r="J33">
        <v>236705</v>
      </c>
      <c r="K33">
        <v>116326</v>
      </c>
      <c r="L33">
        <f t="shared" si="0"/>
        <v>353031</v>
      </c>
      <c r="M33">
        <v>59739184.075714603</v>
      </c>
      <c r="N33">
        <v>71434641.699422106</v>
      </c>
      <c r="O33">
        <v>11695457.623707499</v>
      </c>
      <c r="P33">
        <v>4749664.0995595204</v>
      </c>
      <c r="Q33">
        <f t="shared" si="1"/>
        <v>158322.13665198401</v>
      </c>
      <c r="R33">
        <v>0</v>
      </c>
      <c r="S33">
        <v>16310583.0297658</v>
      </c>
      <c r="T33">
        <v>10138253.439999999</v>
      </c>
      <c r="U33">
        <f t="shared" si="2"/>
        <v>6172329.5897658002</v>
      </c>
      <c r="V33">
        <f t="shared" si="3"/>
        <v>205744.31965886001</v>
      </c>
      <c r="W33">
        <v>89</v>
      </c>
      <c r="X33">
        <v>725</v>
      </c>
    </row>
    <row r="35" spans="1:24" x14ac:dyDescent="0.2">
      <c r="A35" t="s">
        <v>62</v>
      </c>
    </row>
    <row r="36" spans="1:24" x14ac:dyDescent="0.2">
      <c r="A36">
        <v>1</v>
      </c>
      <c r="B36">
        <v>4</v>
      </c>
      <c r="D36" t="s">
        <v>30</v>
      </c>
    </row>
    <row r="37" spans="1:24" x14ac:dyDescent="0.2">
      <c r="A37">
        <v>233027</v>
      </c>
      <c r="B37">
        <v>232684</v>
      </c>
    </row>
    <row r="38" spans="1:24" ht="17" thickBot="1" x14ac:dyDescent="0.25">
      <c r="A38">
        <v>233093</v>
      </c>
      <c r="B38">
        <v>232916</v>
      </c>
      <c r="D38" t="s">
        <v>31</v>
      </c>
    </row>
    <row r="39" spans="1:24" x14ac:dyDescent="0.2">
      <c r="A39">
        <v>230505</v>
      </c>
      <c r="B39">
        <v>235124</v>
      </c>
      <c r="D39" s="3" t="s">
        <v>32</v>
      </c>
      <c r="E39" s="3" t="s">
        <v>33</v>
      </c>
      <c r="F39" s="3" t="s">
        <v>34</v>
      </c>
      <c r="G39" s="3" t="s">
        <v>35</v>
      </c>
      <c r="H39" s="3" t="s">
        <v>36</v>
      </c>
    </row>
    <row r="40" spans="1:24" x14ac:dyDescent="0.2">
      <c r="A40">
        <v>230671</v>
      </c>
      <c r="B40">
        <v>235202</v>
      </c>
      <c r="D40" s="1">
        <v>1</v>
      </c>
      <c r="E40" s="1">
        <v>16</v>
      </c>
      <c r="F40" s="1">
        <v>3750299</v>
      </c>
      <c r="G40" s="1">
        <v>234393.6875</v>
      </c>
      <c r="H40" s="1">
        <v>9613324.3625000007</v>
      </c>
    </row>
    <row r="41" spans="1:24" ht="17" thickBot="1" x14ac:dyDescent="0.25">
      <c r="A41">
        <v>232202</v>
      </c>
      <c r="B41">
        <v>234120</v>
      </c>
      <c r="D41" s="2">
        <v>4</v>
      </c>
      <c r="E41" s="2">
        <v>16</v>
      </c>
      <c r="F41" s="2">
        <v>3756983</v>
      </c>
      <c r="G41" s="2">
        <v>234811.4375</v>
      </c>
      <c r="H41" s="2">
        <v>7880278.6624999996</v>
      </c>
    </row>
    <row r="42" spans="1:24" x14ac:dyDescent="0.2">
      <c r="A42">
        <v>232147</v>
      </c>
      <c r="B42">
        <v>234251</v>
      </c>
    </row>
    <row r="43" spans="1:24" x14ac:dyDescent="0.2">
      <c r="A43">
        <v>230508</v>
      </c>
      <c r="B43">
        <v>228801</v>
      </c>
    </row>
    <row r="44" spans="1:24" ht="17" thickBot="1" x14ac:dyDescent="0.25">
      <c r="A44">
        <v>230425</v>
      </c>
      <c r="B44">
        <v>228871</v>
      </c>
      <c r="D44" t="s">
        <v>37</v>
      </c>
    </row>
    <row r="45" spans="1:24" x14ac:dyDescent="0.2">
      <c r="A45">
        <v>235900</v>
      </c>
      <c r="B45">
        <v>236342</v>
      </c>
      <c r="D45" s="3" t="s">
        <v>38</v>
      </c>
      <c r="E45" s="3" t="s">
        <v>39</v>
      </c>
      <c r="F45" s="3" t="s">
        <v>40</v>
      </c>
      <c r="G45" s="3" t="s">
        <v>41</v>
      </c>
      <c r="H45" s="3" t="s">
        <v>42</v>
      </c>
      <c r="I45" s="3" t="s">
        <v>43</v>
      </c>
      <c r="J45" s="3" t="s">
        <v>44</v>
      </c>
    </row>
    <row r="46" spans="1:24" x14ac:dyDescent="0.2">
      <c r="A46">
        <v>236996</v>
      </c>
      <c r="B46">
        <v>236800</v>
      </c>
      <c r="D46" s="1" t="s">
        <v>45</v>
      </c>
      <c r="E46" s="1">
        <v>1396120.5</v>
      </c>
      <c r="F46" s="1">
        <v>1</v>
      </c>
      <c r="G46" s="1">
        <v>1396120.5</v>
      </c>
      <c r="H46" s="1">
        <v>0.15961497445721307</v>
      </c>
      <c r="I46" s="1">
        <v>0.69234144560613098</v>
      </c>
      <c r="J46" s="1">
        <v>4.1708767857666915</v>
      </c>
    </row>
    <row r="47" spans="1:24" x14ac:dyDescent="0.2">
      <c r="A47">
        <v>237872</v>
      </c>
      <c r="B47">
        <v>237304</v>
      </c>
      <c r="D47" s="1" t="s">
        <v>46</v>
      </c>
      <c r="E47" s="1">
        <v>262404045.375</v>
      </c>
      <c r="F47" s="1">
        <v>30</v>
      </c>
      <c r="G47" s="1">
        <v>8746801.5124999993</v>
      </c>
      <c r="H47" s="1"/>
      <c r="I47" s="1"/>
      <c r="J47" s="1"/>
    </row>
    <row r="48" spans="1:24" x14ac:dyDescent="0.2">
      <c r="A48">
        <v>238054</v>
      </c>
      <c r="B48">
        <v>237992</v>
      </c>
      <c r="D48" s="1"/>
      <c r="E48" s="1"/>
      <c r="F48" s="1"/>
      <c r="G48" s="1"/>
      <c r="H48" s="1"/>
      <c r="I48" s="1"/>
      <c r="J48" s="1"/>
    </row>
    <row r="49" spans="1:20" ht="17" thickBot="1" x14ac:dyDescent="0.25">
      <c r="A49">
        <v>235802</v>
      </c>
      <c r="B49">
        <v>235732</v>
      </c>
      <c r="D49" s="2" t="s">
        <v>29</v>
      </c>
      <c r="E49" s="2">
        <v>263800165.875</v>
      </c>
      <c r="F49" s="2">
        <v>31</v>
      </c>
      <c r="G49" s="2"/>
      <c r="H49" s="2"/>
      <c r="I49" s="2"/>
      <c r="J49" s="2"/>
    </row>
    <row r="50" spans="1:20" x14ac:dyDescent="0.2">
      <c r="A50">
        <v>237187</v>
      </c>
      <c r="B50">
        <v>236638</v>
      </c>
    </row>
    <row r="51" spans="1:20" x14ac:dyDescent="0.2">
      <c r="A51">
        <v>237158</v>
      </c>
      <c r="B51">
        <v>237501</v>
      </c>
    </row>
    <row r="52" spans="1:20" x14ac:dyDescent="0.2">
      <c r="A52">
        <v>238752</v>
      </c>
      <c r="B52">
        <v>236705</v>
      </c>
    </row>
    <row r="53" spans="1:20" x14ac:dyDescent="0.2">
      <c r="A53" t="s">
        <v>58</v>
      </c>
    </row>
    <row r="54" spans="1:20" x14ac:dyDescent="0.2">
      <c r="A54" t="s">
        <v>47</v>
      </c>
      <c r="B54">
        <v>15</v>
      </c>
      <c r="C54">
        <v>30</v>
      </c>
      <c r="E54" t="s">
        <v>48</v>
      </c>
    </row>
    <row r="55" spans="1:20" x14ac:dyDescent="0.2">
      <c r="A55">
        <v>1</v>
      </c>
      <c r="B55">
        <v>0</v>
      </c>
      <c r="C55">
        <v>58709.1250899999</v>
      </c>
      <c r="M55" t="s">
        <v>157</v>
      </c>
      <c r="Q55" t="s">
        <v>48</v>
      </c>
    </row>
    <row r="56" spans="1:20" x14ac:dyDescent="0.2">
      <c r="B56">
        <v>0</v>
      </c>
      <c r="C56">
        <v>58709.1250899999</v>
      </c>
      <c r="E56" t="s">
        <v>31</v>
      </c>
      <c r="F56">
        <v>15</v>
      </c>
      <c r="G56">
        <v>30</v>
      </c>
      <c r="H56" t="s">
        <v>29</v>
      </c>
      <c r="M56" t="s">
        <v>68</v>
      </c>
      <c r="N56">
        <v>10</v>
      </c>
      <c r="O56">
        <v>30</v>
      </c>
    </row>
    <row r="57" spans="1:20" ht="17" thickBot="1" x14ac:dyDescent="0.25">
      <c r="B57">
        <v>0</v>
      </c>
      <c r="C57">
        <v>0</v>
      </c>
      <c r="E57" s="4">
        <v>1</v>
      </c>
      <c r="F57" s="4"/>
      <c r="G57" s="4"/>
      <c r="H57" s="4"/>
      <c r="M57">
        <v>15</v>
      </c>
      <c r="N57">
        <v>0</v>
      </c>
      <c r="O57">
        <v>0</v>
      </c>
      <c r="Q57" t="s">
        <v>31</v>
      </c>
      <c r="R57">
        <v>10</v>
      </c>
      <c r="S57">
        <v>30</v>
      </c>
      <c r="T57" t="s">
        <v>29</v>
      </c>
    </row>
    <row r="58" spans="1:20" ht="17" thickBot="1" x14ac:dyDescent="0.25">
      <c r="B58">
        <v>0</v>
      </c>
      <c r="C58">
        <v>0</v>
      </c>
      <c r="E58" s="1" t="s">
        <v>33</v>
      </c>
      <c r="F58" s="1">
        <v>8</v>
      </c>
      <c r="G58" s="1">
        <v>8</v>
      </c>
      <c r="H58" s="1">
        <v>16</v>
      </c>
      <c r="N58">
        <v>0</v>
      </c>
      <c r="O58">
        <v>0</v>
      </c>
      <c r="Q58" s="4">
        <v>15</v>
      </c>
      <c r="R58" s="4"/>
      <c r="S58" s="4"/>
      <c r="T58" s="4"/>
    </row>
    <row r="59" spans="1:20" x14ac:dyDescent="0.2">
      <c r="B59">
        <v>0</v>
      </c>
      <c r="C59">
        <v>0</v>
      </c>
      <c r="E59" s="1" t="s">
        <v>34</v>
      </c>
      <c r="F59" s="1">
        <v>0</v>
      </c>
      <c r="G59" s="1">
        <v>117418.2501799998</v>
      </c>
      <c r="H59" s="1">
        <v>117418.2501799998</v>
      </c>
      <c r="N59">
        <v>0</v>
      </c>
      <c r="O59">
        <v>0</v>
      </c>
      <c r="Q59" s="1" t="s">
        <v>33</v>
      </c>
      <c r="R59" s="1">
        <v>8</v>
      </c>
      <c r="S59" s="1">
        <v>8</v>
      </c>
      <c r="T59" s="1">
        <v>16</v>
      </c>
    </row>
    <row r="60" spans="1:20" x14ac:dyDescent="0.2">
      <c r="B60">
        <v>0</v>
      </c>
      <c r="C60">
        <v>0</v>
      </c>
      <c r="E60" s="1" t="s">
        <v>35</v>
      </c>
      <c r="F60" s="1">
        <v>0</v>
      </c>
      <c r="G60" s="1">
        <v>14677.281272499975</v>
      </c>
      <c r="H60" s="1">
        <v>7338.6406362499874</v>
      </c>
      <c r="N60">
        <v>0</v>
      </c>
      <c r="O60">
        <v>0</v>
      </c>
      <c r="Q60" s="1" t="s">
        <v>34</v>
      </c>
      <c r="R60" s="1">
        <v>0</v>
      </c>
      <c r="S60" s="1">
        <v>0</v>
      </c>
      <c r="T60" s="1">
        <v>0</v>
      </c>
    </row>
    <row r="61" spans="1:20" x14ac:dyDescent="0.2">
      <c r="B61">
        <v>0</v>
      </c>
      <c r="C61">
        <v>0</v>
      </c>
      <c r="E61" s="1" t="s">
        <v>36</v>
      </c>
      <c r="F61" s="1">
        <v>0</v>
      </c>
      <c r="G61" s="1">
        <v>738591721.8928405</v>
      </c>
      <c r="H61" s="1">
        <v>402122159.69721317</v>
      </c>
      <c r="N61">
        <v>0</v>
      </c>
      <c r="O61">
        <v>0</v>
      </c>
      <c r="Q61" s="1" t="s">
        <v>35</v>
      </c>
      <c r="R61" s="1">
        <v>0</v>
      </c>
      <c r="S61" s="1">
        <v>0</v>
      </c>
      <c r="T61" s="1">
        <v>0</v>
      </c>
    </row>
    <row r="62" spans="1:20" x14ac:dyDescent="0.2">
      <c r="B62">
        <v>0</v>
      </c>
      <c r="C62">
        <v>0</v>
      </c>
      <c r="E62" s="1"/>
      <c r="F62" s="1"/>
      <c r="G62" s="1"/>
      <c r="H62" s="1"/>
      <c r="N62">
        <v>0</v>
      </c>
      <c r="O62">
        <v>0</v>
      </c>
      <c r="Q62" s="1" t="s">
        <v>36</v>
      </c>
      <c r="R62" s="1">
        <v>0</v>
      </c>
      <c r="S62" s="1">
        <v>0</v>
      </c>
      <c r="T62" s="1">
        <v>0</v>
      </c>
    </row>
    <row r="63" spans="1:20" ht="17" thickBot="1" x14ac:dyDescent="0.25">
      <c r="A63">
        <v>3</v>
      </c>
      <c r="B63">
        <v>0</v>
      </c>
      <c r="C63">
        <v>58709.125090000001</v>
      </c>
      <c r="E63" s="4">
        <v>3</v>
      </c>
      <c r="F63" s="4"/>
      <c r="G63" s="4"/>
      <c r="H63" s="4"/>
      <c r="N63">
        <v>0</v>
      </c>
      <c r="O63">
        <v>0</v>
      </c>
      <c r="Q63" s="1"/>
      <c r="R63" s="1"/>
      <c r="S63" s="1"/>
      <c r="T63" s="1"/>
    </row>
    <row r="64" spans="1:20" ht="17" thickBot="1" x14ac:dyDescent="0.25">
      <c r="B64">
        <v>0</v>
      </c>
      <c r="C64">
        <v>58709.125090000001</v>
      </c>
      <c r="E64" s="1" t="s">
        <v>33</v>
      </c>
      <c r="F64" s="1">
        <v>8</v>
      </c>
      <c r="G64" s="1">
        <v>8</v>
      </c>
      <c r="H64" s="1">
        <v>16</v>
      </c>
      <c r="N64">
        <v>0</v>
      </c>
      <c r="O64">
        <v>0</v>
      </c>
      <c r="Q64" s="4">
        <v>30</v>
      </c>
      <c r="R64" s="4"/>
      <c r="S64" s="4"/>
      <c r="T64" s="4"/>
    </row>
    <row r="65" spans="2:23" x14ac:dyDescent="0.2">
      <c r="B65">
        <v>0</v>
      </c>
      <c r="C65">
        <v>8387.0178699999997</v>
      </c>
      <c r="E65" s="1" t="s">
        <v>34</v>
      </c>
      <c r="F65" s="1">
        <v>0</v>
      </c>
      <c r="G65" s="1">
        <v>134192.28591999999</v>
      </c>
      <c r="H65" s="1">
        <v>134192.28591999999</v>
      </c>
      <c r="M65">
        <v>30</v>
      </c>
      <c r="N65">
        <v>58709.1250899999</v>
      </c>
      <c r="O65">
        <v>0</v>
      </c>
      <c r="Q65" s="1" t="s">
        <v>33</v>
      </c>
      <c r="R65" s="1">
        <v>8</v>
      </c>
      <c r="S65" s="1">
        <v>8</v>
      </c>
      <c r="T65" s="1">
        <v>16</v>
      </c>
    </row>
    <row r="66" spans="2:23" x14ac:dyDescent="0.2">
      <c r="B66">
        <v>0</v>
      </c>
      <c r="C66">
        <v>8387.0178699999997</v>
      </c>
      <c r="E66" s="1" t="s">
        <v>35</v>
      </c>
      <c r="F66" s="1">
        <v>0</v>
      </c>
      <c r="G66" s="1">
        <v>16774.035739999999</v>
      </c>
      <c r="H66" s="1">
        <v>8387.0178699999997</v>
      </c>
      <c r="N66">
        <v>58709.1250899999</v>
      </c>
      <c r="O66">
        <v>0</v>
      </c>
      <c r="Q66" s="1" t="s">
        <v>34</v>
      </c>
      <c r="R66" s="1">
        <v>251610.53609999979</v>
      </c>
      <c r="S66" s="1">
        <v>0</v>
      </c>
      <c r="T66" s="1">
        <v>251610.53609999979</v>
      </c>
    </row>
    <row r="67" spans="2:23" x14ac:dyDescent="0.2">
      <c r="B67">
        <v>0</v>
      </c>
      <c r="C67">
        <v>0</v>
      </c>
      <c r="E67" s="1" t="s">
        <v>36</v>
      </c>
      <c r="F67" s="1">
        <v>0</v>
      </c>
      <c r="G67" s="1">
        <v>683322953.58793652</v>
      </c>
      <c r="H67" s="1">
        <v>393915585.00951636</v>
      </c>
      <c r="N67">
        <v>58709.125090000001</v>
      </c>
      <c r="O67">
        <v>0</v>
      </c>
      <c r="Q67" s="1" t="s">
        <v>35</v>
      </c>
      <c r="R67" s="1">
        <v>31451.317012499974</v>
      </c>
      <c r="S67" s="1">
        <v>0</v>
      </c>
      <c r="T67" s="1">
        <v>15725.658506249987</v>
      </c>
    </row>
    <row r="68" spans="2:23" x14ac:dyDescent="0.2">
      <c r="B68">
        <v>0</v>
      </c>
      <c r="C68">
        <v>0</v>
      </c>
      <c r="E68" s="1"/>
      <c r="F68" s="1"/>
      <c r="G68" s="1"/>
      <c r="H68" s="1"/>
      <c r="N68">
        <v>58709.125090000001</v>
      </c>
      <c r="O68">
        <v>0</v>
      </c>
      <c r="Q68" s="1" t="s">
        <v>36</v>
      </c>
      <c r="R68" s="1">
        <v>859178125.46718323</v>
      </c>
      <c r="S68" s="1">
        <v>0</v>
      </c>
      <c r="T68" s="1">
        <v>664732549.70355761</v>
      </c>
    </row>
    <row r="69" spans="2:23" ht="17" thickBot="1" x14ac:dyDescent="0.25">
      <c r="B69">
        <v>0</v>
      </c>
      <c r="C69">
        <v>0</v>
      </c>
      <c r="E69" s="4" t="s">
        <v>29</v>
      </c>
      <c r="F69" s="4"/>
      <c r="G69" s="4"/>
      <c r="H69" s="4"/>
      <c r="N69">
        <v>0</v>
      </c>
      <c r="O69">
        <v>0</v>
      </c>
      <c r="Q69" s="1"/>
      <c r="R69" s="1"/>
      <c r="S69" s="1"/>
      <c r="T69" s="1"/>
    </row>
    <row r="70" spans="2:23" ht="17" thickBot="1" x14ac:dyDescent="0.25">
      <c r="B70">
        <v>0</v>
      </c>
      <c r="C70">
        <v>0</v>
      </c>
      <c r="E70" s="1" t="s">
        <v>33</v>
      </c>
      <c r="F70" s="1">
        <v>16</v>
      </c>
      <c r="G70" s="1">
        <v>16</v>
      </c>
      <c r="H70" s="1"/>
      <c r="N70">
        <v>0</v>
      </c>
      <c r="O70">
        <v>0</v>
      </c>
      <c r="Q70" s="4" t="s">
        <v>29</v>
      </c>
      <c r="R70" s="4"/>
      <c r="S70" s="4"/>
      <c r="T70" s="4"/>
    </row>
    <row r="71" spans="2:23" x14ac:dyDescent="0.2">
      <c r="E71" s="1" t="s">
        <v>34</v>
      </c>
      <c r="F71" s="1">
        <v>0</v>
      </c>
      <c r="G71" s="1">
        <v>251610.53609999979</v>
      </c>
      <c r="H71" s="1"/>
      <c r="N71">
        <v>8387.0178699999997</v>
      </c>
      <c r="O71">
        <v>0</v>
      </c>
      <c r="Q71" s="1" t="s">
        <v>33</v>
      </c>
      <c r="R71" s="1">
        <v>16</v>
      </c>
      <c r="S71" s="1">
        <v>16</v>
      </c>
      <c r="T71" s="1"/>
    </row>
    <row r="72" spans="2:23" x14ac:dyDescent="0.2">
      <c r="E72" s="1" t="s">
        <v>35</v>
      </c>
      <c r="F72" s="1">
        <v>0</v>
      </c>
      <c r="G72" s="1">
        <v>15725.658506249987</v>
      </c>
      <c r="H72" s="1"/>
      <c r="N72">
        <v>8387.0178699999997</v>
      </c>
      <c r="O72">
        <v>0</v>
      </c>
      <c r="Q72" s="1" t="s">
        <v>34</v>
      </c>
      <c r="R72" s="1">
        <v>251610.53609999979</v>
      </c>
      <c r="S72" s="1">
        <v>0</v>
      </c>
      <c r="T72" s="1"/>
    </row>
    <row r="73" spans="2:23" x14ac:dyDescent="0.2">
      <c r="E73" s="1" t="s">
        <v>36</v>
      </c>
      <c r="F73" s="1">
        <v>0</v>
      </c>
      <c r="G73" s="1">
        <v>664732549.70355761</v>
      </c>
      <c r="H73" s="1"/>
      <c r="Q73" s="1" t="s">
        <v>35</v>
      </c>
      <c r="R73" s="1">
        <v>15725.658506249987</v>
      </c>
      <c r="S73" s="1">
        <v>0</v>
      </c>
      <c r="T73" s="1"/>
    </row>
    <row r="74" spans="2:23" x14ac:dyDescent="0.2">
      <c r="E74" s="1"/>
      <c r="F74" s="1"/>
      <c r="G74" s="1"/>
      <c r="H74" s="1"/>
      <c r="Q74" s="1" t="s">
        <v>36</v>
      </c>
      <c r="R74" s="1">
        <v>664732549.70355761</v>
      </c>
      <c r="S74" s="1">
        <v>0</v>
      </c>
      <c r="T74" s="1"/>
    </row>
    <row r="75" spans="2:23" x14ac:dyDescent="0.2">
      <c r="Q75" s="1"/>
      <c r="R75" s="1"/>
      <c r="S75" s="1"/>
      <c r="T75" s="1"/>
    </row>
    <row r="76" spans="2:23" ht="17" thickBot="1" x14ac:dyDescent="0.25">
      <c r="E76" t="s">
        <v>37</v>
      </c>
    </row>
    <row r="77" spans="2:23" ht="17" thickBot="1" x14ac:dyDescent="0.25">
      <c r="E77" s="3" t="s">
        <v>38</v>
      </c>
      <c r="F77" s="3" t="s">
        <v>39</v>
      </c>
      <c r="G77" s="3" t="s">
        <v>40</v>
      </c>
      <c r="H77" s="3" t="s">
        <v>41</v>
      </c>
      <c r="I77" s="3" t="s">
        <v>42</v>
      </c>
      <c r="J77" s="3" t="s">
        <v>43</v>
      </c>
      <c r="K77" s="3" t="s">
        <v>44</v>
      </c>
      <c r="Q77" t="s">
        <v>37</v>
      </c>
    </row>
    <row r="78" spans="2:23" x14ac:dyDescent="0.2">
      <c r="E78" s="1" t="s">
        <v>53</v>
      </c>
      <c r="F78" s="1">
        <v>8792758.5939598083</v>
      </c>
      <c r="G78" s="1">
        <v>1</v>
      </c>
      <c r="H78" s="1">
        <v>8792758.5939598083</v>
      </c>
      <c r="I78" s="1">
        <v>2.473498233214819E-2</v>
      </c>
      <c r="J78" s="1">
        <v>0.87615787628272135</v>
      </c>
      <c r="K78" s="1">
        <v>4.195971818557763</v>
      </c>
      <c r="Q78" s="3" t="s">
        <v>38</v>
      </c>
      <c r="R78" s="3" t="s">
        <v>39</v>
      </c>
      <c r="S78" s="3" t="s">
        <v>40</v>
      </c>
      <c r="T78" s="3" t="s">
        <v>41</v>
      </c>
      <c r="U78" s="3" t="s">
        <v>42</v>
      </c>
      <c r="V78" s="3" t="s">
        <v>43</v>
      </c>
      <c r="W78" s="3" t="s">
        <v>44</v>
      </c>
    </row>
    <row r="79" spans="2:23" x14ac:dyDescent="0.2">
      <c r="E79" s="1" t="s">
        <v>54</v>
      </c>
      <c r="F79" s="1">
        <v>1978370683.6415405</v>
      </c>
      <c r="G79" s="1">
        <v>1</v>
      </c>
      <c r="H79" s="1">
        <v>1978370683.6415405</v>
      </c>
      <c r="I79" s="1">
        <v>5.5653710247349846</v>
      </c>
      <c r="J79" s="1">
        <v>2.5528454718139519E-2</v>
      </c>
      <c r="K79" s="1">
        <v>4.195971818557763</v>
      </c>
      <c r="Q79" s="1" t="s">
        <v>158</v>
      </c>
      <c r="R79" s="1">
        <v>1978370683.6415405</v>
      </c>
      <c r="S79" s="1">
        <v>1</v>
      </c>
      <c r="T79" s="1">
        <v>1978370683.6415405</v>
      </c>
      <c r="U79" s="1">
        <v>9.2105263157894761</v>
      </c>
      <c r="V79" s="1">
        <v>5.1519818422453957E-3</v>
      </c>
      <c r="W79" s="1">
        <v>4.195971818557763</v>
      </c>
    </row>
    <row r="80" spans="2:23" x14ac:dyDescent="0.2">
      <c r="E80" s="1" t="s">
        <v>51</v>
      </c>
      <c r="F80" s="1">
        <v>8792758.5939674377</v>
      </c>
      <c r="G80" s="1">
        <v>1</v>
      </c>
      <c r="H80" s="1">
        <v>8792758.5939674377</v>
      </c>
      <c r="I80" s="1">
        <v>2.4734982332169652E-2</v>
      </c>
      <c r="J80" s="1">
        <v>0.87615787628266806</v>
      </c>
      <c r="K80" s="1">
        <v>4.195971818557763</v>
      </c>
      <c r="Q80" s="1" t="s">
        <v>73</v>
      </c>
      <c r="R80" s="1">
        <v>1978370683.6415405</v>
      </c>
      <c r="S80" s="1">
        <v>1</v>
      </c>
      <c r="T80" s="1">
        <v>1978370683.6415405</v>
      </c>
      <c r="U80" s="1">
        <v>9.2105263157894761</v>
      </c>
      <c r="V80" s="1">
        <v>5.1519818422453957E-3</v>
      </c>
      <c r="W80" s="1">
        <v>4.195971818557763</v>
      </c>
    </row>
    <row r="81" spans="1:26" x14ac:dyDescent="0.2">
      <c r="E81" s="1" t="s">
        <v>52</v>
      </c>
      <c r="F81" s="1">
        <v>9953402728.3654366</v>
      </c>
      <c r="G81" s="1">
        <v>28</v>
      </c>
      <c r="H81" s="1">
        <v>355478668.87019414</v>
      </c>
      <c r="I81" s="1"/>
      <c r="J81" s="1"/>
      <c r="K81" s="1"/>
      <c r="Q81" s="1" t="s">
        <v>51</v>
      </c>
      <c r="R81" s="1">
        <v>1978370683.6415415</v>
      </c>
      <c r="S81" s="1">
        <v>1</v>
      </c>
      <c r="T81" s="1">
        <v>1978370683.6415415</v>
      </c>
      <c r="U81" s="1">
        <v>9.2105263157894797</v>
      </c>
      <c r="V81" s="1">
        <v>5.1519818422453975E-3</v>
      </c>
      <c r="W81" s="1">
        <v>4.195971818557763</v>
      </c>
    </row>
    <row r="82" spans="1:26" x14ac:dyDescent="0.2">
      <c r="E82" s="1"/>
      <c r="F82" s="1"/>
      <c r="G82" s="1"/>
      <c r="H82" s="1"/>
      <c r="I82" s="1"/>
      <c r="J82" s="1"/>
      <c r="K82" s="1"/>
      <c r="Q82" s="1" t="s">
        <v>52</v>
      </c>
      <c r="R82" s="1">
        <v>6014246878.2702818</v>
      </c>
      <c r="S82" s="1">
        <v>28</v>
      </c>
      <c r="T82" s="1">
        <v>214794531.36679578</v>
      </c>
      <c r="U82" s="1"/>
      <c r="V82" s="1"/>
      <c r="W82" s="1"/>
    </row>
    <row r="83" spans="1:26" ht="17" thickBot="1" x14ac:dyDescent="0.25">
      <c r="E83" s="2" t="s">
        <v>29</v>
      </c>
      <c r="F83" s="2">
        <v>11949358929.194904</v>
      </c>
      <c r="G83" s="2">
        <v>31</v>
      </c>
      <c r="H83" s="2"/>
      <c r="I83" s="2"/>
      <c r="J83" s="2"/>
      <c r="K83" s="2"/>
      <c r="Q83" s="1"/>
      <c r="R83" s="1"/>
      <c r="S83" s="1"/>
      <c r="T83" s="1"/>
      <c r="U83" s="1"/>
      <c r="V83" s="1"/>
      <c r="W83" s="1"/>
    </row>
    <row r="84" spans="1:26" ht="17" thickBot="1" x14ac:dyDescent="0.25">
      <c r="A84" t="s">
        <v>61</v>
      </c>
      <c r="Q84" s="2" t="s">
        <v>29</v>
      </c>
      <c r="R84" s="2">
        <v>11949358929.194904</v>
      </c>
      <c r="S84" s="2">
        <v>31</v>
      </c>
      <c r="T84" s="2"/>
      <c r="U84" s="2"/>
      <c r="V84" s="2"/>
      <c r="W84" s="2"/>
    </row>
    <row r="85" spans="1:26" x14ac:dyDescent="0.2">
      <c r="A85" t="s">
        <v>55</v>
      </c>
      <c r="B85">
        <v>10</v>
      </c>
      <c r="C85">
        <v>30</v>
      </c>
      <c r="E85" t="s">
        <v>48</v>
      </c>
    </row>
    <row r="86" spans="1:26" x14ac:dyDescent="0.2">
      <c r="A86">
        <v>1</v>
      </c>
      <c r="B86">
        <v>-18344203.504127599</v>
      </c>
      <c r="C86">
        <v>-9995948.2531276699</v>
      </c>
    </row>
    <row r="87" spans="1:26" x14ac:dyDescent="0.2">
      <c r="B87">
        <v>-7824259.4077669401</v>
      </c>
      <c r="C87">
        <v>16087205.5488762</v>
      </c>
      <c r="E87" t="s">
        <v>31</v>
      </c>
      <c r="F87">
        <v>10</v>
      </c>
      <c r="G87">
        <v>30</v>
      </c>
      <c r="H87" t="s">
        <v>29</v>
      </c>
      <c r="M87" t="s">
        <v>5</v>
      </c>
      <c r="N87" t="s">
        <v>6</v>
      </c>
      <c r="O87" t="s">
        <v>7</v>
      </c>
      <c r="P87" t="s">
        <v>19</v>
      </c>
      <c r="S87" t="s">
        <v>223</v>
      </c>
      <c r="T87">
        <v>1</v>
      </c>
      <c r="U87">
        <v>2</v>
      </c>
      <c r="W87" t="s">
        <v>48</v>
      </c>
    </row>
    <row r="88" spans="1:26" ht="17" thickBot="1" x14ac:dyDescent="0.25">
      <c r="B88">
        <v>-17400718.0542183</v>
      </c>
      <c r="C88">
        <v>-21271591.610757701</v>
      </c>
      <c r="E88" s="4">
        <v>1</v>
      </c>
      <c r="F88" s="4"/>
      <c r="G88" s="4"/>
      <c r="H88" s="4"/>
      <c r="M88">
        <v>10</v>
      </c>
      <c r="N88">
        <v>45.06</v>
      </c>
      <c r="O88">
        <v>49.35</v>
      </c>
      <c r="S88">
        <v>10</v>
      </c>
      <c r="T88">
        <v>-18344203.504127599</v>
      </c>
      <c r="U88">
        <v>-7824259.4077669401</v>
      </c>
    </row>
    <row r="89" spans="1:26" x14ac:dyDescent="0.2">
      <c r="B89">
        <v>-1415881.9497326899</v>
      </c>
      <c r="C89">
        <v>7829271.27338407</v>
      </c>
      <c r="E89" s="1" t="s">
        <v>33</v>
      </c>
      <c r="F89" s="1">
        <v>8</v>
      </c>
      <c r="G89" s="1">
        <v>8</v>
      </c>
      <c r="H89" s="1">
        <v>16</v>
      </c>
      <c r="M89">
        <v>10</v>
      </c>
      <c r="N89">
        <v>45.06</v>
      </c>
      <c r="O89">
        <v>49.35</v>
      </c>
      <c r="T89">
        <v>-17400718.0542183</v>
      </c>
      <c r="U89">
        <v>-1415881.9497326899</v>
      </c>
      <c r="W89" t="s">
        <v>31</v>
      </c>
      <c r="X89">
        <v>1</v>
      </c>
      <c r="Y89">
        <v>2</v>
      </c>
      <c r="Z89" t="s">
        <v>29</v>
      </c>
    </row>
    <row r="90" spans="1:26" ht="17" thickBot="1" x14ac:dyDescent="0.25">
      <c r="B90">
        <v>-17980638.827082999</v>
      </c>
      <c r="C90">
        <v>-8739379.7214922309</v>
      </c>
      <c r="E90" s="1" t="s">
        <v>34</v>
      </c>
      <c r="F90" s="1">
        <v>-91025819.754460514</v>
      </c>
      <c r="G90" s="1">
        <v>-9086687.6483461745</v>
      </c>
      <c r="H90" s="1">
        <v>-100112507.40280668</v>
      </c>
      <c r="M90">
        <v>10</v>
      </c>
      <c r="N90">
        <v>45.06</v>
      </c>
      <c r="O90">
        <v>49.35</v>
      </c>
      <c r="T90">
        <v>-17980638.827082999</v>
      </c>
      <c r="U90">
        <v>-6696047.13591504</v>
      </c>
      <c r="W90" s="4">
        <v>10</v>
      </c>
      <c r="X90" s="4"/>
      <c r="Y90" s="4"/>
      <c r="Z90" s="4"/>
    </row>
    <row r="91" spans="1:26" x14ac:dyDescent="0.2">
      <c r="B91">
        <v>-6696047.13591504</v>
      </c>
      <c r="C91">
        <v>19090546.030836798</v>
      </c>
      <c r="E91" s="1" t="s">
        <v>35</v>
      </c>
      <c r="F91" s="1">
        <v>-11378227.469307564</v>
      </c>
      <c r="G91" s="1">
        <v>-1135835.9560432718</v>
      </c>
      <c r="H91" s="1">
        <v>-6257031.7126754178</v>
      </c>
      <c r="M91">
        <v>10</v>
      </c>
      <c r="N91">
        <v>45.06</v>
      </c>
      <c r="O91">
        <v>49.35</v>
      </c>
      <c r="T91">
        <v>-17933897.217544898</v>
      </c>
      <c r="U91">
        <v>-3430173.6580720502</v>
      </c>
      <c r="W91" s="1" t="s">
        <v>33</v>
      </c>
      <c r="X91" s="1">
        <v>8</v>
      </c>
      <c r="Y91" s="1">
        <v>8</v>
      </c>
      <c r="Z91" s="1">
        <v>16</v>
      </c>
    </row>
    <row r="92" spans="1:26" x14ac:dyDescent="0.2">
      <c r="B92">
        <v>-17933897.217544898</v>
      </c>
      <c r="C92">
        <v>-20088610.378621601</v>
      </c>
      <c r="E92" s="1" t="s">
        <v>36</v>
      </c>
      <c r="F92" s="1">
        <v>52619606548972.75</v>
      </c>
      <c r="G92" s="1">
        <v>252940194707585.56</v>
      </c>
      <c r="H92" s="1">
        <v>170569662962657.47</v>
      </c>
      <c r="M92">
        <v>10</v>
      </c>
      <c r="N92">
        <v>45.06</v>
      </c>
      <c r="O92">
        <v>49.35</v>
      </c>
      <c r="T92">
        <v>-18475187.509085301</v>
      </c>
      <c r="U92">
        <v>-6325848.0947655402</v>
      </c>
      <c r="W92" s="1" t="s">
        <v>34</v>
      </c>
      <c r="X92" s="1">
        <v>-143670885.92753339</v>
      </c>
      <c r="Y92" s="1">
        <v>-34688705.81282308</v>
      </c>
      <c r="Z92" s="1">
        <v>-178359591.74035648</v>
      </c>
    </row>
    <row r="93" spans="1:26" x14ac:dyDescent="0.2">
      <c r="B93">
        <v>-3430173.6580720502</v>
      </c>
      <c r="C93">
        <v>8001819.4625559598</v>
      </c>
      <c r="E93" s="1"/>
      <c r="F93" s="1"/>
      <c r="G93" s="1"/>
      <c r="H93" s="1"/>
      <c r="M93">
        <v>10</v>
      </c>
      <c r="N93">
        <v>45.06</v>
      </c>
      <c r="O93">
        <v>49.35</v>
      </c>
      <c r="T93">
        <v>-19846921.689263899</v>
      </c>
      <c r="U93">
        <v>-4281703.1739495499</v>
      </c>
      <c r="W93" s="1" t="s">
        <v>35</v>
      </c>
      <c r="X93" s="1">
        <v>-17958860.740941674</v>
      </c>
      <c r="Y93" s="1">
        <v>-4336088.2266028849</v>
      </c>
      <c r="Z93" s="1">
        <v>-11147474.48377228</v>
      </c>
    </row>
    <row r="94" spans="1:26" ht="17" thickBot="1" x14ac:dyDescent="0.25">
      <c r="A94">
        <v>4</v>
      </c>
      <c r="B94">
        <v>-18475187.509085301</v>
      </c>
      <c r="C94">
        <v>-10957125.6567099</v>
      </c>
      <c r="E94" s="4">
        <v>4</v>
      </c>
      <c r="F94" s="4"/>
      <c r="G94" s="4"/>
      <c r="H94" s="4"/>
      <c r="M94">
        <v>10</v>
      </c>
      <c r="N94">
        <v>45.06</v>
      </c>
      <c r="O94">
        <v>49.35</v>
      </c>
      <c r="T94">
        <v>-18224713.245310701</v>
      </c>
      <c r="U94">
        <v>-5713233.9113545902</v>
      </c>
      <c r="W94" s="1" t="s">
        <v>36</v>
      </c>
      <c r="X94" s="1">
        <v>1512066014774.6096</v>
      </c>
      <c r="Y94" s="1">
        <v>8771552865071.9287</v>
      </c>
      <c r="Z94" s="1">
        <v>54287003737908.219</v>
      </c>
    </row>
    <row r="95" spans="1:26" x14ac:dyDescent="0.2">
      <c r="B95">
        <v>-6325848.0947655402</v>
      </c>
      <c r="C95">
        <v>8876119.7743770704</v>
      </c>
      <c r="E95" s="1" t="s">
        <v>33</v>
      </c>
      <c r="F95" s="1">
        <v>8</v>
      </c>
      <c r="G95" s="1">
        <v>8</v>
      </c>
      <c r="H95" s="1">
        <v>16</v>
      </c>
      <c r="M95">
        <v>10</v>
      </c>
      <c r="N95">
        <v>45.06</v>
      </c>
      <c r="O95">
        <v>49.35</v>
      </c>
      <c r="T95">
        <v>-15464605.880899699</v>
      </c>
      <c r="U95">
        <v>998441.51873332204</v>
      </c>
      <c r="W95" s="1"/>
      <c r="X95" s="1"/>
      <c r="Y95" s="1"/>
      <c r="Z95" s="1"/>
    </row>
    <row r="96" spans="1:26" ht="17" thickBot="1" x14ac:dyDescent="0.25">
      <c r="B96">
        <v>-19846921.689263899</v>
      </c>
      <c r="C96">
        <v>-19298058.711867299</v>
      </c>
      <c r="E96" s="1" t="s">
        <v>34</v>
      </c>
      <c r="F96" s="1">
        <v>-87333771.985895947</v>
      </c>
      <c r="G96" s="1">
        <v>-25320977.554483715</v>
      </c>
      <c r="H96" s="1">
        <v>-112654749.54037967</v>
      </c>
      <c r="M96">
        <v>30</v>
      </c>
      <c r="N96">
        <v>45.06</v>
      </c>
      <c r="O96">
        <v>49.35</v>
      </c>
      <c r="S96">
        <v>30</v>
      </c>
      <c r="T96">
        <v>-9995948.2531276699</v>
      </c>
      <c r="U96">
        <v>16087205.5488762</v>
      </c>
      <c r="W96" s="4">
        <v>30</v>
      </c>
      <c r="X96" s="4"/>
      <c r="Y96" s="4"/>
      <c r="Z96" s="4"/>
    </row>
    <row r="97" spans="2:29" x14ac:dyDescent="0.2">
      <c r="B97">
        <v>-4281703.1739495499</v>
      </c>
      <c r="C97">
        <v>7478490.4531686101</v>
      </c>
      <c r="E97" s="1" t="s">
        <v>35</v>
      </c>
      <c r="F97" s="1">
        <v>-10916721.498236993</v>
      </c>
      <c r="G97" s="1">
        <v>-3165122.1943104644</v>
      </c>
      <c r="H97" s="1">
        <v>-7040921.8462737296</v>
      </c>
      <c r="M97">
        <v>30</v>
      </c>
      <c r="N97">
        <v>45.06</v>
      </c>
      <c r="O97">
        <v>49.35</v>
      </c>
      <c r="T97">
        <v>-21271591.610757701</v>
      </c>
      <c r="U97">
        <v>7829271.27338407</v>
      </c>
      <c r="W97" s="1" t="s">
        <v>33</v>
      </c>
      <c r="X97" s="1">
        <v>8</v>
      </c>
      <c r="Y97" s="1">
        <v>8</v>
      </c>
      <c r="Z97" s="1">
        <v>16</v>
      </c>
    </row>
    <row r="98" spans="2:29" x14ac:dyDescent="0.2">
      <c r="B98">
        <v>-18224713.245310701</v>
      </c>
      <c r="C98">
        <v>-13623563.6931441</v>
      </c>
      <c r="E98" s="1" t="s">
        <v>36</v>
      </c>
      <c r="F98" s="1">
        <v>63587979882925.57</v>
      </c>
      <c r="G98" s="1">
        <v>203319734715370</v>
      </c>
      <c r="H98" s="1">
        <v>140580211284173.73</v>
      </c>
      <c r="M98">
        <v>30</v>
      </c>
      <c r="N98">
        <v>45.06</v>
      </c>
      <c r="O98">
        <v>49.35</v>
      </c>
      <c r="T98">
        <v>-8739379.7214922309</v>
      </c>
      <c r="U98">
        <v>19090546.030836798</v>
      </c>
      <c r="W98" s="1" t="s">
        <v>34</v>
      </c>
      <c r="X98" s="1">
        <v>-124669691.0298754</v>
      </c>
      <c r="Y98" s="1">
        <v>90262025.8270455</v>
      </c>
      <c r="Z98" s="1">
        <v>-34407665.202829883</v>
      </c>
    </row>
    <row r="99" spans="2:29" x14ac:dyDescent="0.2">
      <c r="B99">
        <v>-5713233.9113545902</v>
      </c>
      <c r="C99">
        <v>11203115.6601393</v>
      </c>
      <c r="E99" s="1"/>
      <c r="F99" s="1"/>
      <c r="G99" s="1"/>
      <c r="H99" s="1"/>
      <c r="M99">
        <v>30</v>
      </c>
      <c r="N99">
        <v>45.06</v>
      </c>
      <c r="O99">
        <v>49.35</v>
      </c>
      <c r="T99">
        <v>-20088610.378621601</v>
      </c>
      <c r="U99">
        <v>8001819.4625559598</v>
      </c>
      <c r="W99" s="1" t="s">
        <v>35</v>
      </c>
      <c r="X99" s="1">
        <v>-15583711.378734425</v>
      </c>
      <c r="Y99" s="1">
        <v>11282753.228380688</v>
      </c>
      <c r="Z99" s="1">
        <v>-2150479.0751768677</v>
      </c>
    </row>
    <row r="100" spans="2:29" ht="17" thickBot="1" x14ac:dyDescent="0.25">
      <c r="B100">
        <v>-15464605.880899699</v>
      </c>
      <c r="C100">
        <v>-20695413.004154898</v>
      </c>
      <c r="E100" s="4" t="s">
        <v>29</v>
      </c>
      <c r="F100" s="4"/>
      <c r="G100" s="4"/>
      <c r="H100" s="4"/>
      <c r="M100">
        <v>30</v>
      </c>
      <c r="N100">
        <v>45.06</v>
      </c>
      <c r="O100">
        <v>49.35</v>
      </c>
      <c r="T100">
        <v>-10957125.6567099</v>
      </c>
      <c r="U100">
        <v>8876119.7743770704</v>
      </c>
      <c r="W100" s="1" t="s">
        <v>36</v>
      </c>
      <c r="X100" s="1">
        <v>27983916160898.285</v>
      </c>
      <c r="Y100" s="1">
        <v>18168060205743.91</v>
      </c>
      <c r="Z100" s="1">
        <v>214019434433864.72</v>
      </c>
    </row>
    <row r="101" spans="2:29" x14ac:dyDescent="0.2">
      <c r="B101">
        <v>998441.51873332204</v>
      </c>
      <c r="C101">
        <v>11695457.623707499</v>
      </c>
      <c r="E101" s="1" t="s">
        <v>33</v>
      </c>
      <c r="F101" s="1">
        <v>16</v>
      </c>
      <c r="G101" s="1">
        <v>16</v>
      </c>
      <c r="H101" s="1"/>
      <c r="M101">
        <v>30</v>
      </c>
      <c r="N101">
        <v>45.06</v>
      </c>
      <c r="O101">
        <v>49.35</v>
      </c>
      <c r="T101">
        <v>-19298058.711867299</v>
      </c>
      <c r="U101">
        <v>7478490.4531686101</v>
      </c>
      <c r="W101" s="1"/>
      <c r="X101" s="1"/>
      <c r="Y101" s="1"/>
      <c r="Z101" s="1"/>
    </row>
    <row r="102" spans="2:29" ht="17" thickBot="1" x14ac:dyDescent="0.25">
      <c r="E102" s="1" t="s">
        <v>34</v>
      </c>
      <c r="F102" s="1">
        <v>-178359591.74035645</v>
      </c>
      <c r="G102" s="1">
        <v>-34407665.20282989</v>
      </c>
      <c r="H102" s="1"/>
      <c r="M102">
        <v>30</v>
      </c>
      <c r="N102">
        <v>45.06</v>
      </c>
      <c r="O102">
        <v>49.35</v>
      </c>
      <c r="T102">
        <v>-13623563.6931441</v>
      </c>
      <c r="U102">
        <v>11203115.6601393</v>
      </c>
      <c r="W102" s="4" t="s">
        <v>29</v>
      </c>
      <c r="X102" s="4"/>
      <c r="Y102" s="4"/>
      <c r="Z102" s="4"/>
    </row>
    <row r="103" spans="2:29" x14ac:dyDescent="0.2">
      <c r="E103" s="1" t="s">
        <v>35</v>
      </c>
      <c r="F103" s="1">
        <v>-11147474.48377228</v>
      </c>
      <c r="G103" s="1">
        <v>-2150479.0751768677</v>
      </c>
      <c r="H103" s="1"/>
      <c r="M103">
        <v>30</v>
      </c>
      <c r="N103">
        <v>45.06</v>
      </c>
      <c r="O103">
        <v>49.35</v>
      </c>
      <c r="T103">
        <v>-20695413.004154898</v>
      </c>
      <c r="U103" s="5">
        <v>11695457.623707499</v>
      </c>
      <c r="W103" s="1" t="s">
        <v>33</v>
      </c>
      <c r="X103" s="1">
        <v>16</v>
      </c>
      <c r="Y103" s="1">
        <v>16</v>
      </c>
      <c r="Z103" s="1"/>
    </row>
    <row r="104" spans="2:29" x14ac:dyDescent="0.2">
      <c r="E104" s="1" t="s">
        <v>36</v>
      </c>
      <c r="F104" s="1">
        <v>54287003737908.219</v>
      </c>
      <c r="G104" s="1">
        <v>214019434433864.72</v>
      </c>
      <c r="H104" s="1"/>
      <c r="M104">
        <v>10</v>
      </c>
      <c r="N104">
        <v>90.12</v>
      </c>
      <c r="O104">
        <v>98.7</v>
      </c>
      <c r="W104" s="1" t="s">
        <v>34</v>
      </c>
      <c r="X104" s="1">
        <v>-268340576.95740879</v>
      </c>
      <c r="Y104" s="1">
        <v>55573320.014222421</v>
      </c>
      <c r="Z104" s="1"/>
    </row>
    <row r="105" spans="2:29" x14ac:dyDescent="0.2">
      <c r="E105" s="1"/>
      <c r="F105" s="1"/>
      <c r="G105" s="1"/>
      <c r="H105" s="1"/>
      <c r="M105">
        <v>10</v>
      </c>
      <c r="N105">
        <v>90.12</v>
      </c>
      <c r="O105">
        <v>98.7</v>
      </c>
      <c r="W105" s="1" t="s">
        <v>35</v>
      </c>
      <c r="X105" s="1">
        <v>-16771286.059838051</v>
      </c>
      <c r="Y105" s="1">
        <v>3473332.5008889018</v>
      </c>
      <c r="Z105" s="1"/>
    </row>
    <row r="106" spans="2:29" x14ac:dyDescent="0.2">
      <c r="M106">
        <v>10</v>
      </c>
      <c r="N106">
        <v>90.12</v>
      </c>
      <c r="O106">
        <v>98.7</v>
      </c>
      <c r="W106" s="1" t="s">
        <v>36</v>
      </c>
      <c r="X106" s="1">
        <v>15269147546725.6</v>
      </c>
      <c r="Y106" s="1">
        <v>77624675005290.969</v>
      </c>
      <c r="Z106" s="1"/>
    </row>
    <row r="107" spans="2:29" ht="17" thickBot="1" x14ac:dyDescent="0.25">
      <c r="E107" t="s">
        <v>37</v>
      </c>
      <c r="M107">
        <v>10</v>
      </c>
      <c r="N107">
        <v>90.12</v>
      </c>
      <c r="O107">
        <v>98.7</v>
      </c>
      <c r="W107" s="1"/>
      <c r="X107" s="1"/>
      <c r="Y107" s="1"/>
      <c r="Z107" s="1"/>
    </row>
    <row r="108" spans="2:29" x14ac:dyDescent="0.2">
      <c r="E108" s="3" t="s">
        <v>38</v>
      </c>
      <c r="F108" s="3" t="s">
        <v>39</v>
      </c>
      <c r="G108" s="3" t="s">
        <v>40</v>
      </c>
      <c r="H108" s="3" t="s">
        <v>41</v>
      </c>
      <c r="I108" s="3" t="s">
        <v>42</v>
      </c>
      <c r="J108" s="3" t="s">
        <v>43</v>
      </c>
      <c r="K108" s="3" t="s">
        <v>44</v>
      </c>
      <c r="M108">
        <v>10</v>
      </c>
      <c r="N108">
        <v>90.12</v>
      </c>
      <c r="O108">
        <v>98.7</v>
      </c>
    </row>
    <row r="109" spans="2:29" ht="17" thickBot="1" x14ac:dyDescent="0.25">
      <c r="E109" s="1" t="s">
        <v>56</v>
      </c>
      <c r="F109" s="1">
        <v>4915869932423</v>
      </c>
      <c r="G109" s="1">
        <v>1</v>
      </c>
      <c r="H109" s="1">
        <v>4915869932423</v>
      </c>
      <c r="I109" s="1">
        <v>3.4348638455631728E-2</v>
      </c>
      <c r="J109" s="1">
        <v>0.85430319504110652</v>
      </c>
      <c r="K109" s="1">
        <v>4.195971818557763</v>
      </c>
      <c r="M109">
        <v>10</v>
      </c>
      <c r="N109">
        <v>90.12</v>
      </c>
      <c r="O109">
        <v>98.7</v>
      </c>
      <c r="W109" t="s">
        <v>37</v>
      </c>
    </row>
    <row r="110" spans="2:29" x14ac:dyDescent="0.2">
      <c r="E110" s="1" t="s">
        <v>57</v>
      </c>
      <c r="F110" s="1">
        <v>647567411058296.5</v>
      </c>
      <c r="G110" s="1">
        <v>1</v>
      </c>
      <c r="H110" s="1">
        <v>647567411058296.5</v>
      </c>
      <c r="I110" s="1">
        <v>4.5247451994986827</v>
      </c>
      <c r="J110" s="1">
        <v>4.2353458784392992E-2</v>
      </c>
      <c r="K110" s="1">
        <v>4.195971818557763</v>
      </c>
      <c r="M110">
        <v>10</v>
      </c>
      <c r="N110">
        <v>90.12</v>
      </c>
      <c r="O110">
        <v>98.7</v>
      </c>
      <c r="W110" s="3" t="s">
        <v>38</v>
      </c>
      <c r="X110" s="3" t="s">
        <v>39</v>
      </c>
      <c r="Y110" s="3" t="s">
        <v>40</v>
      </c>
      <c r="Z110" s="3" t="s">
        <v>41</v>
      </c>
      <c r="AA110" s="3" t="s">
        <v>42</v>
      </c>
      <c r="AB110" s="3" t="s">
        <v>43</v>
      </c>
      <c r="AC110" s="3" t="s">
        <v>44</v>
      </c>
    </row>
    <row r="111" spans="2:29" x14ac:dyDescent="0.2">
      <c r="E111" s="1" t="s">
        <v>51</v>
      </c>
      <c r="F111" s="1">
        <v>12408091660194.5</v>
      </c>
      <c r="G111" s="1">
        <v>1</v>
      </c>
      <c r="H111" s="1">
        <v>12408091660194.5</v>
      </c>
      <c r="I111" s="1">
        <v>8.6699009579020422E-2</v>
      </c>
      <c r="J111" s="1">
        <v>0.7705883654239587</v>
      </c>
      <c r="K111" s="1">
        <v>4.195971818557763</v>
      </c>
      <c r="M111">
        <v>10</v>
      </c>
      <c r="N111">
        <v>90.12</v>
      </c>
      <c r="O111">
        <v>98.7</v>
      </c>
      <c r="W111" s="1" t="s">
        <v>49</v>
      </c>
      <c r="X111" s="1">
        <v>647567411058295.5</v>
      </c>
      <c r="Y111" s="1">
        <v>1</v>
      </c>
      <c r="Z111" s="1">
        <v>647567411058295.5</v>
      </c>
      <c r="AA111" s="1">
        <v>45.897799658529209</v>
      </c>
      <c r="AB111" s="1">
        <v>2.3379048938767881E-7</v>
      </c>
      <c r="AC111" s="1">
        <v>4.195971818557763</v>
      </c>
    </row>
    <row r="112" spans="2:29" x14ac:dyDescent="0.2">
      <c r="E112" s="1" t="s">
        <v>52</v>
      </c>
      <c r="F112" s="1">
        <v>4007272610983977</v>
      </c>
      <c r="G112" s="1">
        <v>28</v>
      </c>
      <c r="H112" s="1">
        <v>143116878963713.47</v>
      </c>
      <c r="I112" s="1"/>
      <c r="J112" s="1"/>
      <c r="K112" s="1"/>
      <c r="M112">
        <v>30</v>
      </c>
      <c r="N112">
        <v>90.12</v>
      </c>
      <c r="O112">
        <v>98.7</v>
      </c>
      <c r="W112" s="1" t="s">
        <v>50</v>
      </c>
      <c r="X112" s="1">
        <v>3278756645354641.5</v>
      </c>
      <c r="Y112" s="1">
        <v>1</v>
      </c>
      <c r="Z112" s="1">
        <v>3278756645354641.5</v>
      </c>
      <c r="AA112" s="1">
        <v>232.38926645740577</v>
      </c>
      <c r="AB112" s="1">
        <v>4.354605156282609E-15</v>
      </c>
      <c r="AC112" s="1">
        <v>4.195971818557763</v>
      </c>
    </row>
    <row r="113" spans="1:29" x14ac:dyDescent="0.2">
      <c r="E113" s="1"/>
      <c r="F113" s="1"/>
      <c r="G113" s="1"/>
      <c r="H113" s="1"/>
      <c r="I113" s="1"/>
      <c r="J113" s="1"/>
      <c r="K113" s="1"/>
      <c r="M113">
        <v>30</v>
      </c>
      <c r="N113">
        <v>90.12</v>
      </c>
      <c r="O113">
        <v>98.7</v>
      </c>
      <c r="W113" s="1" t="s">
        <v>51</v>
      </c>
      <c r="X113" s="1">
        <v>350790760496532.06</v>
      </c>
      <c r="Y113" s="1">
        <v>1</v>
      </c>
      <c r="Z113" s="1">
        <v>350790760496532.06</v>
      </c>
      <c r="AA113" s="1">
        <v>24.863085714922622</v>
      </c>
      <c r="AB113" s="1">
        <v>2.8792837582710212E-5</v>
      </c>
      <c r="AC113" s="1">
        <v>4.195971818557763</v>
      </c>
    </row>
    <row r="114" spans="1:29" ht="17" thickBot="1" x14ac:dyDescent="0.25">
      <c r="E114" s="2" t="s">
        <v>29</v>
      </c>
      <c r="F114" s="2">
        <v>4672163983634891</v>
      </c>
      <c r="G114" s="2">
        <v>31</v>
      </c>
      <c r="H114" s="2"/>
      <c r="I114" s="2"/>
      <c r="J114" s="2"/>
      <c r="K114" s="2"/>
      <c r="M114">
        <v>30</v>
      </c>
      <c r="N114">
        <v>90.12</v>
      </c>
      <c r="O114">
        <v>98.7</v>
      </c>
      <c r="W114" s="1" t="s">
        <v>52</v>
      </c>
      <c r="X114" s="1">
        <v>395049166725420.94</v>
      </c>
      <c r="Y114" s="1">
        <v>28</v>
      </c>
      <c r="Z114" s="1">
        <v>14108898811622.176</v>
      </c>
      <c r="AA114" s="1"/>
      <c r="AB114" s="1"/>
      <c r="AC114" s="1"/>
    </row>
    <row r="115" spans="1:29" x14ac:dyDescent="0.2">
      <c r="M115">
        <v>30</v>
      </c>
      <c r="N115">
        <v>90.12</v>
      </c>
      <c r="O115">
        <v>98.7</v>
      </c>
      <c r="W115" s="1"/>
      <c r="X115" s="1"/>
      <c r="Y115" s="1"/>
      <c r="Z115" s="1"/>
      <c r="AA115" s="1"/>
      <c r="AB115" s="1"/>
      <c r="AC115" s="1"/>
    </row>
    <row r="116" spans="1:29" ht="17" thickBot="1" x14ac:dyDescent="0.25">
      <c r="M116">
        <v>30</v>
      </c>
      <c r="N116">
        <v>90.12</v>
      </c>
      <c r="O116">
        <v>98.7</v>
      </c>
      <c r="W116" s="2" t="s">
        <v>29</v>
      </c>
      <c r="X116" s="2">
        <v>4672163983634890</v>
      </c>
      <c r="Y116" s="2">
        <v>31</v>
      </c>
      <c r="Z116" s="2"/>
      <c r="AA116" s="2"/>
      <c r="AB116" s="2"/>
      <c r="AC116" s="2"/>
    </row>
    <row r="117" spans="1:29" x14ac:dyDescent="0.2">
      <c r="M117">
        <v>30</v>
      </c>
      <c r="N117">
        <v>90.12</v>
      </c>
      <c r="O117">
        <v>98.7</v>
      </c>
    </row>
    <row r="118" spans="1:29" x14ac:dyDescent="0.2">
      <c r="A118" t="s">
        <v>63</v>
      </c>
      <c r="E118" t="s">
        <v>30</v>
      </c>
      <c r="M118">
        <v>30</v>
      </c>
      <c r="N118">
        <v>90.12</v>
      </c>
      <c r="O118">
        <v>98.7</v>
      </c>
    </row>
    <row r="119" spans="1:29" x14ac:dyDescent="0.2">
      <c r="A119" t="s">
        <v>64</v>
      </c>
      <c r="B119" t="s">
        <v>65</v>
      </c>
      <c r="C119" t="s">
        <v>66</v>
      </c>
      <c r="M119" s="5">
        <v>30</v>
      </c>
      <c r="N119" s="5">
        <v>90.12</v>
      </c>
      <c r="O119" s="5">
        <v>98.7</v>
      </c>
    </row>
    <row r="120" spans="1:29" ht="17" thickBot="1" x14ac:dyDescent="0.25">
      <c r="B120">
        <v>-18344203.504127599</v>
      </c>
      <c r="C120">
        <v>-7824259.4077669401</v>
      </c>
      <c r="E120" t="s">
        <v>31</v>
      </c>
    </row>
    <row r="121" spans="1:29" x14ac:dyDescent="0.2">
      <c r="B121">
        <v>-17400718.0542183</v>
      </c>
      <c r="C121">
        <v>-1415881.9497326899</v>
      </c>
      <c r="E121" s="3" t="s">
        <v>32</v>
      </c>
      <c r="F121" s="3" t="s">
        <v>33</v>
      </c>
      <c r="G121" s="3" t="s">
        <v>34</v>
      </c>
      <c r="H121" s="3" t="s">
        <v>35</v>
      </c>
      <c r="I121" s="3" t="s">
        <v>36</v>
      </c>
    </row>
    <row r="122" spans="1:29" x14ac:dyDescent="0.2">
      <c r="B122">
        <v>-17980638.827082999</v>
      </c>
      <c r="C122">
        <v>-6696047.13591504</v>
      </c>
      <c r="E122" s="1" t="s">
        <v>65</v>
      </c>
      <c r="F122" s="1">
        <v>16</v>
      </c>
      <c r="G122" s="1">
        <v>-268340576.95740882</v>
      </c>
      <c r="H122" s="1">
        <v>-16771286.059838051</v>
      </c>
      <c r="I122" s="1">
        <v>15269147546725.6</v>
      </c>
    </row>
    <row r="123" spans="1:29" ht="17" thickBot="1" x14ac:dyDescent="0.25">
      <c r="B123">
        <v>-17933897.217544898</v>
      </c>
      <c r="C123">
        <v>-3430173.6580720502</v>
      </c>
      <c r="E123" s="2" t="s">
        <v>66</v>
      </c>
      <c r="F123" s="2">
        <v>16</v>
      </c>
      <c r="G123" s="2">
        <v>55573320.014222428</v>
      </c>
      <c r="H123" s="2">
        <v>3473332.5008889018</v>
      </c>
      <c r="I123" s="2">
        <v>77624675005290.969</v>
      </c>
    </row>
    <row r="124" spans="1:29" x14ac:dyDescent="0.2">
      <c r="B124">
        <v>-18475187.509085301</v>
      </c>
      <c r="C124">
        <v>-6325848.0947655402</v>
      </c>
    </row>
    <row r="125" spans="1:29" x14ac:dyDescent="0.2">
      <c r="B125">
        <v>-19846921.689263899</v>
      </c>
      <c r="C125">
        <v>-4281703.1739495499</v>
      </c>
      <c r="M125" s="5"/>
      <c r="N125" s="5"/>
      <c r="O125" s="5"/>
    </row>
    <row r="126" spans="1:29" ht="17" thickBot="1" x14ac:dyDescent="0.25">
      <c r="B126">
        <v>-18224713.245310701</v>
      </c>
      <c r="C126">
        <v>-5713233.9113545902</v>
      </c>
      <c r="E126" t="s">
        <v>37</v>
      </c>
    </row>
    <row r="127" spans="1:29" x14ac:dyDescent="0.2">
      <c r="B127">
        <v>-15464605.880899699</v>
      </c>
      <c r="C127">
        <v>998441.51873332204</v>
      </c>
      <c r="E127" s="3" t="s">
        <v>38</v>
      </c>
      <c r="F127" s="3" t="s">
        <v>39</v>
      </c>
      <c r="G127" s="3" t="s">
        <v>40</v>
      </c>
      <c r="H127" s="3" t="s">
        <v>41</v>
      </c>
      <c r="I127" s="3" t="s">
        <v>42</v>
      </c>
      <c r="J127" s="3" t="s">
        <v>43</v>
      </c>
      <c r="K127" s="3" t="s">
        <v>44</v>
      </c>
    </row>
    <row r="128" spans="1:29" x14ac:dyDescent="0.2">
      <c r="B128">
        <v>-9995948.2531276699</v>
      </c>
      <c r="C128">
        <v>16087205.5488762</v>
      </c>
      <c r="E128" s="1" t="s">
        <v>45</v>
      </c>
      <c r="F128" s="1">
        <v>3278756645354641.5</v>
      </c>
      <c r="G128" s="1">
        <v>1</v>
      </c>
      <c r="H128" s="1">
        <v>3278756645354641.5</v>
      </c>
      <c r="I128" s="1">
        <v>70.591489407569128</v>
      </c>
      <c r="J128" s="1">
        <v>2.2359724620267322E-9</v>
      </c>
      <c r="K128" s="1">
        <v>4.1708767857666915</v>
      </c>
    </row>
    <row r="129" spans="1:11" x14ac:dyDescent="0.2">
      <c r="B129">
        <v>-21271591.610757701</v>
      </c>
      <c r="C129">
        <v>7829271.27338407</v>
      </c>
      <c r="E129" s="1" t="s">
        <v>46</v>
      </c>
      <c r="F129" s="1">
        <v>1393407338280248.5</v>
      </c>
      <c r="G129" s="1">
        <v>30</v>
      </c>
      <c r="H129" s="1">
        <v>46446911276008.281</v>
      </c>
      <c r="I129" s="1"/>
      <c r="J129" s="1"/>
      <c r="K129" s="1"/>
    </row>
    <row r="130" spans="1:11" x14ac:dyDescent="0.2">
      <c r="B130">
        <v>-8739379.7214922309</v>
      </c>
      <c r="C130">
        <v>19090546.030836798</v>
      </c>
      <c r="E130" s="1"/>
      <c r="F130" s="1"/>
      <c r="G130" s="1"/>
      <c r="H130" s="1"/>
      <c r="I130" s="1"/>
      <c r="J130" s="1"/>
      <c r="K130" s="1"/>
    </row>
    <row r="131" spans="1:11" ht="17" thickBot="1" x14ac:dyDescent="0.25">
      <c r="B131">
        <v>-20088610.378621601</v>
      </c>
      <c r="C131">
        <v>8001819.4625559598</v>
      </c>
      <c r="E131" s="2" t="s">
        <v>29</v>
      </c>
      <c r="F131" s="2">
        <v>4672163983634890</v>
      </c>
      <c r="G131" s="2">
        <v>31</v>
      </c>
      <c r="H131" s="2"/>
      <c r="I131" s="2"/>
      <c r="J131" s="2"/>
      <c r="K131" s="2"/>
    </row>
    <row r="132" spans="1:11" x14ac:dyDescent="0.2">
      <c r="B132">
        <v>-10957125.6567099</v>
      </c>
      <c r="C132">
        <v>8876119.7743770704</v>
      </c>
    </row>
    <row r="133" spans="1:11" x14ac:dyDescent="0.2">
      <c r="B133">
        <v>-19298058.711867299</v>
      </c>
      <c r="C133">
        <v>7478490.4531686101</v>
      </c>
    </row>
    <row r="134" spans="1:11" x14ac:dyDescent="0.2">
      <c r="B134">
        <v>-13623563.6931441</v>
      </c>
      <c r="C134">
        <v>11203115.6601393</v>
      </c>
    </row>
    <row r="135" spans="1:11" x14ac:dyDescent="0.2">
      <c r="B135">
        <v>-20695413.004154898</v>
      </c>
      <c r="C135">
        <v>11695457.623707499</v>
      </c>
    </row>
    <row r="136" spans="1:11" x14ac:dyDescent="0.2">
      <c r="A136" t="s">
        <v>256</v>
      </c>
      <c r="E136" t="s">
        <v>48</v>
      </c>
    </row>
    <row r="137" spans="1:11" x14ac:dyDescent="0.2">
      <c r="A137" t="s">
        <v>68</v>
      </c>
      <c r="B137">
        <v>10</v>
      </c>
      <c r="C137">
        <v>30</v>
      </c>
    </row>
    <row r="138" spans="1:11" x14ac:dyDescent="0.2">
      <c r="A138">
        <v>15</v>
      </c>
      <c r="B138">
        <v>128635.698711159</v>
      </c>
      <c r="C138">
        <v>164181.46455519466</v>
      </c>
      <c r="E138" t="s">
        <v>31</v>
      </c>
      <c r="F138">
        <v>10</v>
      </c>
      <c r="G138">
        <v>30</v>
      </c>
      <c r="H138" t="s">
        <v>29</v>
      </c>
    </row>
    <row r="139" spans="1:11" ht="17" thickBot="1" x14ac:dyDescent="0.25">
      <c r="B139">
        <v>137309.57597981466</v>
      </c>
      <c r="C139">
        <v>162008.20497532267</v>
      </c>
      <c r="E139" s="4">
        <v>15</v>
      </c>
      <c r="F139" s="4"/>
      <c r="G139" s="4"/>
      <c r="H139" s="4"/>
    </row>
    <row r="140" spans="1:11" x14ac:dyDescent="0.2">
      <c r="B140">
        <v>145554.21915504735</v>
      </c>
      <c r="C140">
        <v>162939.30905820001</v>
      </c>
      <c r="E140" s="1" t="s">
        <v>33</v>
      </c>
      <c r="F140" s="1">
        <v>8</v>
      </c>
      <c r="G140" s="1">
        <v>8</v>
      </c>
      <c r="H140" s="1">
        <v>16</v>
      </c>
    </row>
    <row r="141" spans="1:11" x14ac:dyDescent="0.2">
      <c r="B141">
        <v>145274.651892714</v>
      </c>
      <c r="C141">
        <v>147938.14870926933</v>
      </c>
      <c r="E141" s="1" t="s">
        <v>34</v>
      </c>
      <c r="F141" s="1">
        <v>1217622.1752474634</v>
      </c>
      <c r="G141" s="1">
        <v>1152188.4066990139</v>
      </c>
      <c r="H141" s="1">
        <v>2369810.5819464768</v>
      </c>
    </row>
    <row r="142" spans="1:11" x14ac:dyDescent="0.2">
      <c r="B142">
        <v>159574.76673925732</v>
      </c>
      <c r="C142">
        <v>107071.21644525467</v>
      </c>
      <c r="E142" s="1" t="s">
        <v>35</v>
      </c>
      <c r="F142" s="1">
        <v>152202.77190593292</v>
      </c>
      <c r="G142" s="1">
        <v>144023.55083737674</v>
      </c>
      <c r="H142" s="1">
        <v>148113.1613716548</v>
      </c>
    </row>
    <row r="143" spans="1:11" x14ac:dyDescent="0.2">
      <c r="B143">
        <v>159574.76673925732</v>
      </c>
      <c r="C143">
        <v>108369.05075124934</v>
      </c>
      <c r="E143" s="1" t="s">
        <v>36</v>
      </c>
      <c r="F143" s="1">
        <v>240347170.76916939</v>
      </c>
      <c r="G143" s="1">
        <v>587402535.26434326</v>
      </c>
      <c r="H143" s="1">
        <v>404123104.75919598</v>
      </c>
    </row>
    <row r="144" spans="1:11" x14ac:dyDescent="0.2">
      <c r="B144">
        <v>168735.11548630733</v>
      </c>
      <c r="C144">
        <v>162179.59360580801</v>
      </c>
      <c r="E144" s="1"/>
      <c r="F144" s="1"/>
      <c r="G144" s="1"/>
      <c r="H144" s="1"/>
    </row>
    <row r="145" spans="1:11" ht="17" thickBot="1" x14ac:dyDescent="0.25">
      <c r="B145">
        <v>172963.38054390598</v>
      </c>
      <c r="C145">
        <v>137501.41859871533</v>
      </c>
      <c r="E145" s="4">
        <v>30</v>
      </c>
      <c r="F145" s="4"/>
      <c r="G145" s="4"/>
      <c r="H145" s="4"/>
    </row>
    <row r="146" spans="1:11" x14ac:dyDescent="0.2">
      <c r="A146">
        <v>30</v>
      </c>
      <c r="B146">
        <v>63060.020033272333</v>
      </c>
      <c r="C146">
        <v>91536.582479840668</v>
      </c>
      <c r="E146" s="1" t="s">
        <v>33</v>
      </c>
      <c r="F146" s="1">
        <v>8</v>
      </c>
      <c r="G146" s="1">
        <v>8</v>
      </c>
      <c r="H146" s="1">
        <v>16</v>
      </c>
    </row>
    <row r="147" spans="1:11" x14ac:dyDescent="0.2">
      <c r="B147">
        <v>73485.876136297331</v>
      </c>
      <c r="C147">
        <v>85057.363871949667</v>
      </c>
      <c r="E147" s="1" t="s">
        <v>34</v>
      </c>
      <c r="F147" s="1">
        <v>687309.19331390061</v>
      </c>
      <c r="G147" s="1">
        <v>932463.74943214445</v>
      </c>
      <c r="H147" s="1">
        <v>1619772.9427460451</v>
      </c>
    </row>
    <row r="148" spans="1:11" x14ac:dyDescent="0.2">
      <c r="B148">
        <v>91646.246555128659</v>
      </c>
      <c r="C148">
        <v>139789.42503649366</v>
      </c>
      <c r="E148" s="1" t="s">
        <v>35</v>
      </c>
      <c r="F148" s="1">
        <v>85913.649164237577</v>
      </c>
      <c r="G148" s="1">
        <v>116557.96867901806</v>
      </c>
      <c r="H148" s="1">
        <v>101235.80892162782</v>
      </c>
    </row>
    <row r="149" spans="1:11" x14ac:dyDescent="0.2">
      <c r="B149">
        <v>100289.59137442401</v>
      </c>
      <c r="C149">
        <v>117116.00745286167</v>
      </c>
      <c r="E149" s="1" t="s">
        <v>36</v>
      </c>
      <c r="F149" s="1">
        <v>148531693.89022392</v>
      </c>
      <c r="G149" s="1">
        <v>1277312678.8098776</v>
      </c>
      <c r="H149" s="1">
        <v>915813858.86643672</v>
      </c>
    </row>
    <row r="150" spans="1:11" x14ac:dyDescent="0.2">
      <c r="B150">
        <v>86020.359148990334</v>
      </c>
      <c r="C150">
        <v>163161.93156995432</v>
      </c>
      <c r="E150" s="1"/>
      <c r="F150" s="1"/>
      <c r="G150" s="1"/>
      <c r="H150" s="1"/>
    </row>
    <row r="151" spans="1:11" ht="17" thickBot="1" x14ac:dyDescent="0.25">
      <c r="B151">
        <v>91299.257006580665</v>
      </c>
      <c r="C151">
        <v>63059.595452224334</v>
      </c>
      <c r="E151" s="4" t="s">
        <v>29</v>
      </c>
      <c r="F151" s="4"/>
      <c r="G151" s="4"/>
      <c r="H151" s="4"/>
    </row>
    <row r="152" spans="1:11" x14ac:dyDescent="0.2">
      <c r="B152">
        <v>85876.374447771334</v>
      </c>
      <c r="C152">
        <v>114420.706916836</v>
      </c>
      <c r="E152" s="1" t="s">
        <v>33</v>
      </c>
      <c r="F152" s="1">
        <v>16</v>
      </c>
      <c r="G152" s="1">
        <v>16</v>
      </c>
      <c r="H152" s="1"/>
    </row>
    <row r="153" spans="1:11" x14ac:dyDescent="0.2">
      <c r="B153">
        <v>95631.468611435994</v>
      </c>
      <c r="C153">
        <v>158322.13665198401</v>
      </c>
      <c r="E153" s="1" t="s">
        <v>34</v>
      </c>
      <c r="F153" s="1">
        <v>1904931.368561364</v>
      </c>
      <c r="G153" s="1">
        <v>2084652.1561311584</v>
      </c>
      <c r="H153" s="1"/>
    </row>
    <row r="154" spans="1:11" x14ac:dyDescent="0.2">
      <c r="E154" s="1" t="s">
        <v>35</v>
      </c>
      <c r="F154" s="1">
        <v>119058.21053508527</v>
      </c>
      <c r="G154" s="1">
        <v>130290.7597581974</v>
      </c>
      <c r="H154" s="1"/>
    </row>
    <row r="155" spans="1:11" x14ac:dyDescent="0.2">
      <c r="E155" s="1" t="s">
        <v>36</v>
      </c>
      <c r="F155" s="1">
        <v>1353276215.2046549</v>
      </c>
      <c r="G155" s="1">
        <v>1071362620.7806538</v>
      </c>
      <c r="H155" s="1"/>
    </row>
    <row r="156" spans="1:11" x14ac:dyDescent="0.2">
      <c r="E156" s="1"/>
      <c r="F156" s="1"/>
      <c r="G156" s="1"/>
      <c r="H156" s="1"/>
    </row>
    <row r="158" spans="1:11" ht="17" thickBot="1" x14ac:dyDescent="0.25">
      <c r="E158" t="s">
        <v>37</v>
      </c>
    </row>
    <row r="159" spans="1:11" x14ac:dyDescent="0.2">
      <c r="E159" s="3" t="s">
        <v>38</v>
      </c>
      <c r="F159" s="3" t="s">
        <v>39</v>
      </c>
      <c r="G159" s="3" t="s">
        <v>40</v>
      </c>
      <c r="H159" s="3" t="s">
        <v>41</v>
      </c>
      <c r="I159" s="3" t="s">
        <v>42</v>
      </c>
      <c r="J159" s="3" t="s">
        <v>43</v>
      </c>
      <c r="K159" s="3" t="s">
        <v>44</v>
      </c>
    </row>
    <row r="160" spans="1:11" x14ac:dyDescent="0.2">
      <c r="E160" s="1" t="s">
        <v>69</v>
      </c>
      <c r="F160" s="1">
        <v>17579889381.792431</v>
      </c>
      <c r="G160" s="1">
        <v>1</v>
      </c>
      <c r="H160" s="1">
        <v>17579889381.792431</v>
      </c>
      <c r="I160" s="1">
        <v>31.203293525995253</v>
      </c>
      <c r="J160" s="1">
        <v>5.6070815087987626E-6</v>
      </c>
      <c r="K160" s="1">
        <v>4.195971818557763</v>
      </c>
    </row>
    <row r="161" spans="1:11" x14ac:dyDescent="0.2">
      <c r="E161" s="1" t="s">
        <v>57</v>
      </c>
      <c r="F161" s="1">
        <v>1009361296.3970947</v>
      </c>
      <c r="G161" s="1">
        <v>1</v>
      </c>
      <c r="H161" s="1">
        <v>1009361296.3970947</v>
      </c>
      <c r="I161" s="1">
        <v>1.7915583039946521</v>
      </c>
      <c r="J161" s="1">
        <v>0.19150421182700592</v>
      </c>
      <c r="K161" s="1">
        <v>4.195971818557763</v>
      </c>
    </row>
    <row r="162" spans="1:11" x14ac:dyDescent="0.2">
      <c r="E162" s="1" t="s">
        <v>51</v>
      </c>
      <c r="F162" s="1">
        <v>3014534606.8519764</v>
      </c>
      <c r="G162" s="1">
        <v>1</v>
      </c>
      <c r="H162" s="1">
        <v>3014534606.8519764</v>
      </c>
      <c r="I162" s="1">
        <v>5.3506257143628453</v>
      </c>
      <c r="J162" s="1">
        <v>2.8277849794886456E-2</v>
      </c>
      <c r="K162" s="1">
        <v>4.195971818557763</v>
      </c>
    </row>
    <row r="163" spans="1:11" x14ac:dyDescent="0.2">
      <c r="E163" s="1" t="s">
        <v>52</v>
      </c>
      <c r="F163" s="1">
        <v>15775158551.135279</v>
      </c>
      <c r="G163" s="1">
        <v>28</v>
      </c>
      <c r="H163" s="1">
        <v>563398519.68340278</v>
      </c>
      <c r="I163" s="1"/>
      <c r="J163" s="1"/>
      <c r="K163" s="1"/>
    </row>
    <row r="164" spans="1:11" x14ac:dyDescent="0.2">
      <c r="E164" s="1"/>
      <c r="F164" s="1"/>
      <c r="G164" s="1"/>
      <c r="H164" s="1"/>
      <c r="I164" s="1"/>
      <c r="J164" s="1"/>
      <c r="K164" s="1"/>
    </row>
    <row r="165" spans="1:11" ht="17" thickBot="1" x14ac:dyDescent="0.25">
      <c r="E165" s="2" t="s">
        <v>29</v>
      </c>
      <c r="F165" s="2">
        <v>37378943836.176781</v>
      </c>
      <c r="G165" s="2">
        <v>31</v>
      </c>
      <c r="H165" s="2"/>
      <c r="I165" s="2"/>
      <c r="J165" s="2"/>
      <c r="K165" s="2"/>
    </row>
    <row r="166" spans="1:11" x14ac:dyDescent="0.2">
      <c r="A166" t="s">
        <v>67</v>
      </c>
    </row>
    <row r="167" spans="1:11" x14ac:dyDescent="0.2">
      <c r="A167" t="s">
        <v>68</v>
      </c>
      <c r="B167">
        <v>10</v>
      </c>
      <c r="C167">
        <v>30</v>
      </c>
      <c r="E167" t="s">
        <v>48</v>
      </c>
    </row>
    <row r="168" spans="1:11" x14ac:dyDescent="0.2">
      <c r="A168">
        <v>15</v>
      </c>
      <c r="B168">
        <v>-44917.53925808701</v>
      </c>
      <c r="C168">
        <v>-131216.66957200269</v>
      </c>
    </row>
    <row r="169" spans="1:11" x14ac:dyDescent="0.2">
      <c r="B169">
        <v>229121.20948382499</v>
      </c>
      <c r="C169">
        <v>64844.372534223337</v>
      </c>
      <c r="E169" t="s">
        <v>31</v>
      </c>
      <c r="F169">
        <v>10</v>
      </c>
      <c r="G169">
        <v>30</v>
      </c>
      <c r="H169" t="s">
        <v>29</v>
      </c>
    </row>
    <row r="170" spans="1:11" ht="17" thickBot="1" x14ac:dyDescent="0.25">
      <c r="B170">
        <v>23823.296777059975</v>
      </c>
      <c r="C170">
        <v>-140439.81744984034</v>
      </c>
      <c r="E170" s="4">
        <v>15</v>
      </c>
      <c r="F170" s="4"/>
      <c r="G170" s="4"/>
      <c r="H170" s="4"/>
    </row>
    <row r="171" spans="1:11" x14ac:dyDescent="0.2">
      <c r="B171">
        <v>366602.88155411999</v>
      </c>
      <c r="C171">
        <v>36440.199961776656</v>
      </c>
      <c r="E171" s="1" t="s">
        <v>33</v>
      </c>
      <c r="F171" s="1">
        <v>8</v>
      </c>
      <c r="G171" s="1">
        <v>8</v>
      </c>
      <c r="H171" s="1">
        <v>16</v>
      </c>
    </row>
    <row r="172" spans="1:11" x14ac:dyDescent="0.2">
      <c r="B172">
        <v>43560.153597672979</v>
      </c>
      <c r="C172">
        <v>-145349.38692581063</v>
      </c>
      <c r="E172" s="1" t="s">
        <v>34</v>
      </c>
      <c r="F172" s="1">
        <v>1360934.9649075898</v>
      </c>
      <c r="G172" s="1">
        <v>-455723.93269427965</v>
      </c>
      <c r="H172" s="1">
        <v>905211.03221331036</v>
      </c>
    </row>
    <row r="173" spans="1:11" x14ac:dyDescent="0.2">
      <c r="B173">
        <v>406076.59519534599</v>
      </c>
      <c r="C173">
        <v>-56318.264368901342</v>
      </c>
      <c r="E173" s="1" t="s">
        <v>35</v>
      </c>
      <c r="F173" s="1">
        <v>170116.87061344873</v>
      </c>
      <c r="G173" s="1">
        <v>-56965.491586784956</v>
      </c>
      <c r="H173" s="1">
        <v>56575.689513331898</v>
      </c>
    </row>
    <row r="174" spans="1:11" x14ac:dyDescent="0.2">
      <c r="B174">
        <v>13498.223852550984</v>
      </c>
      <c r="C174">
        <v>-134792.96939857129</v>
      </c>
      <c r="E174" s="1" t="s">
        <v>36</v>
      </c>
      <c r="F174" s="1">
        <v>32768310119.912769</v>
      </c>
      <c r="G174" s="1">
        <v>8798960671.4704132</v>
      </c>
      <c r="H174" s="1">
        <v>33149099495.29565</v>
      </c>
    </row>
    <row r="175" spans="1:11" x14ac:dyDescent="0.2">
      <c r="B175">
        <v>323170.14370510203</v>
      </c>
      <c r="C175">
        <v>51108.602524846669</v>
      </c>
      <c r="E175" s="1"/>
      <c r="F175" s="1"/>
      <c r="G175" s="1"/>
      <c r="H175" s="1"/>
    </row>
    <row r="176" spans="1:11" ht="17" thickBot="1" x14ac:dyDescent="0.25">
      <c r="A176">
        <v>30</v>
      </c>
      <c r="B176">
        <v>197267.63140186699</v>
      </c>
      <c r="C176">
        <v>-93058.082330487669</v>
      </c>
      <c r="E176" s="4">
        <v>30</v>
      </c>
      <c r="F176" s="4"/>
      <c r="G176" s="4"/>
      <c r="H176" s="4"/>
    </row>
    <row r="177" spans="2:11" x14ac:dyDescent="0.2">
      <c r="B177">
        <v>713491.55080373096</v>
      </c>
      <c r="C177">
        <v>108071.31856762333</v>
      </c>
      <c r="E177" s="1" t="s">
        <v>33</v>
      </c>
      <c r="F177" s="1">
        <v>8</v>
      </c>
      <c r="G177" s="1">
        <v>8</v>
      </c>
      <c r="H177" s="1">
        <v>16</v>
      </c>
    </row>
    <row r="178" spans="2:11" x14ac:dyDescent="0.2">
      <c r="B178">
        <v>225194.33005721797</v>
      </c>
      <c r="C178">
        <v>-101113.89040273335</v>
      </c>
      <c r="E178" s="1" t="s">
        <v>34</v>
      </c>
      <c r="F178" s="1">
        <v>3886937.1031367164</v>
      </c>
      <c r="G178" s="1">
        <v>39845.003663835989</v>
      </c>
      <c r="H178" s="1">
        <v>3926782.106800552</v>
      </c>
    </row>
    <row r="179" spans="2:11" x14ac:dyDescent="0.2">
      <c r="B179">
        <v>769344.94811443111</v>
      </c>
      <c r="C179">
        <v>80236.996887393354</v>
      </c>
      <c r="E179" s="1" t="s">
        <v>35</v>
      </c>
      <c r="F179" s="1">
        <v>485867.13789208955</v>
      </c>
      <c r="G179" s="1">
        <v>4980.6254579794986</v>
      </c>
      <c r="H179" s="1">
        <v>245423.8816750345</v>
      </c>
    </row>
    <row r="180" spans="2:11" x14ac:dyDescent="0.2">
      <c r="B180">
        <v>233350.60665412195</v>
      </c>
      <c r="C180">
        <v>-22521.027944005655</v>
      </c>
      <c r="E180" s="1" t="s">
        <v>36</v>
      </c>
      <c r="F180" s="1">
        <v>82676734957.38208</v>
      </c>
      <c r="G180" s="1">
        <v>13933530294.555771</v>
      </c>
      <c r="H180" s="1">
        <v>106751947208.51543</v>
      </c>
    </row>
    <row r="181" spans="2:11" x14ac:dyDescent="0.2">
      <c r="B181">
        <v>762874.9093082411</v>
      </c>
      <c r="C181">
        <v>-3800.0394051047042</v>
      </c>
      <c r="E181" s="1"/>
      <c r="F181" s="1"/>
      <c r="G181" s="1"/>
      <c r="H181" s="1"/>
    </row>
    <row r="182" spans="2:11" ht="17" thickBot="1" x14ac:dyDescent="0.25">
      <c r="B182">
        <v>214558.08226570502</v>
      </c>
      <c r="C182">
        <v>-133714.59136770933</v>
      </c>
      <c r="E182" s="4" t="s">
        <v>29</v>
      </c>
      <c r="F182" s="4"/>
      <c r="G182" s="4"/>
      <c r="H182" s="4"/>
    </row>
    <row r="183" spans="2:11" x14ac:dyDescent="0.2">
      <c r="B183">
        <v>770855.04453140101</v>
      </c>
      <c r="C183">
        <v>205744.31965886001</v>
      </c>
      <c r="E183" s="1" t="s">
        <v>33</v>
      </c>
      <c r="F183" s="1">
        <v>16</v>
      </c>
      <c r="G183" s="1">
        <v>16</v>
      </c>
      <c r="H183" s="1"/>
    </row>
    <row r="184" spans="2:11" x14ac:dyDescent="0.2">
      <c r="E184" s="1" t="s">
        <v>34</v>
      </c>
      <c r="F184" s="1">
        <v>5247872.0680443067</v>
      </c>
      <c r="G184" s="1">
        <v>-415878.92903044366</v>
      </c>
      <c r="H184" s="1"/>
    </row>
    <row r="185" spans="2:11" x14ac:dyDescent="0.2">
      <c r="E185" s="1" t="s">
        <v>35</v>
      </c>
      <c r="F185" s="1">
        <v>327992.00425276911</v>
      </c>
      <c r="G185" s="1">
        <v>-25992.433064402729</v>
      </c>
      <c r="H185" s="1"/>
    </row>
    <row r="186" spans="2:11" x14ac:dyDescent="0.2">
      <c r="E186" s="1" t="s">
        <v>36</v>
      </c>
      <c r="F186" s="1">
        <v>80460549379.146484</v>
      </c>
      <c r="G186" s="1">
        <v>11631781495.325195</v>
      </c>
      <c r="H186" s="1"/>
    </row>
    <row r="187" spans="2:11" x14ac:dyDescent="0.2">
      <c r="E187" s="1"/>
      <c r="F187" s="1"/>
      <c r="G187" s="1"/>
      <c r="H187" s="1"/>
    </row>
    <row r="189" spans="2:11" ht="17" thickBot="1" x14ac:dyDescent="0.25">
      <c r="E189" t="s">
        <v>37</v>
      </c>
    </row>
    <row r="190" spans="2:11" x14ac:dyDescent="0.2">
      <c r="E190" s="3" t="s">
        <v>38</v>
      </c>
      <c r="F190" s="3" t="s">
        <v>39</v>
      </c>
      <c r="G190" s="3" t="s">
        <v>40</v>
      </c>
      <c r="H190" s="3" t="s">
        <v>41</v>
      </c>
      <c r="I190" s="3" t="s">
        <v>42</v>
      </c>
      <c r="J190" s="3" t="s">
        <v>43</v>
      </c>
      <c r="K190" s="3" t="s">
        <v>44</v>
      </c>
    </row>
    <row r="191" spans="2:11" x14ac:dyDescent="0.2">
      <c r="E191" s="1" t="s">
        <v>70</v>
      </c>
      <c r="F191" s="1">
        <v>285309117461.94629</v>
      </c>
      <c r="G191" s="1">
        <v>1</v>
      </c>
      <c r="H191" s="1">
        <v>285309117461.94629</v>
      </c>
      <c r="I191" s="1">
        <v>8.2592040828545912</v>
      </c>
      <c r="J191" s="1">
        <v>7.6552811269727334E-3</v>
      </c>
      <c r="K191" s="1">
        <v>4.195971818557763</v>
      </c>
    </row>
    <row r="192" spans="2:11" x14ac:dyDescent="0.2">
      <c r="E192" s="1" t="s">
        <v>57</v>
      </c>
      <c r="F192" s="1">
        <v>1002439854902.0376</v>
      </c>
      <c r="G192" s="1">
        <v>1</v>
      </c>
      <c r="H192" s="1">
        <v>1002439854902.0376</v>
      </c>
      <c r="I192" s="1">
        <v>29.018895070983316</v>
      </c>
      <c r="J192" s="1">
        <v>9.6394428155525437E-6</v>
      </c>
      <c r="K192" s="1">
        <v>4.195971818557763</v>
      </c>
    </row>
    <row r="193" spans="1:11" x14ac:dyDescent="0.2">
      <c r="E193" s="1" t="s">
        <v>51</v>
      </c>
      <c r="F193" s="1">
        <v>128833093351.88074</v>
      </c>
      <c r="G193" s="1">
        <v>1</v>
      </c>
      <c r="H193" s="1">
        <v>128833093351.88074</v>
      </c>
      <c r="I193" s="1">
        <v>3.7294945919860454</v>
      </c>
      <c r="J193" s="1">
        <v>6.3640376852231839E-2</v>
      </c>
      <c r="K193" s="1">
        <v>4.195971818557763</v>
      </c>
    </row>
    <row r="194" spans="1:11" x14ac:dyDescent="0.2">
      <c r="E194" s="1" t="s">
        <v>52</v>
      </c>
      <c r="F194" s="1">
        <v>967242752303.24768</v>
      </c>
      <c r="G194" s="1">
        <v>28</v>
      </c>
      <c r="H194" s="1">
        <v>34544384010.830276</v>
      </c>
      <c r="I194" s="1"/>
      <c r="J194" s="1"/>
      <c r="K194" s="1"/>
    </row>
    <row r="195" spans="1:11" x14ac:dyDescent="0.2">
      <c r="E195" s="1"/>
      <c r="F195" s="1"/>
      <c r="G195" s="1"/>
      <c r="H195" s="1"/>
      <c r="I195" s="1"/>
      <c r="J195" s="1"/>
      <c r="K195" s="1"/>
    </row>
    <row r="196" spans="1:11" ht="17" thickBot="1" x14ac:dyDescent="0.25">
      <c r="E196" s="2" t="s">
        <v>29</v>
      </c>
      <c r="F196" s="2">
        <v>2383824818019.1123</v>
      </c>
      <c r="G196" s="2">
        <v>31</v>
      </c>
      <c r="H196" s="2"/>
      <c r="I196" s="2"/>
      <c r="J196" s="2"/>
      <c r="K196" s="2"/>
    </row>
    <row r="197" spans="1:11" x14ac:dyDescent="0.2">
      <c r="A197" t="s">
        <v>72</v>
      </c>
    </row>
    <row r="198" spans="1:11" x14ac:dyDescent="0.2">
      <c r="A198" t="s">
        <v>71</v>
      </c>
      <c r="B198" t="s">
        <v>65</v>
      </c>
      <c r="C198" t="s">
        <v>66</v>
      </c>
    </row>
    <row r="199" spans="1:11" x14ac:dyDescent="0.2">
      <c r="A199">
        <v>10</v>
      </c>
      <c r="B199">
        <v>-44917.53925808701</v>
      </c>
      <c r="C199">
        <v>229121.20948382499</v>
      </c>
      <c r="E199" t="s">
        <v>48</v>
      </c>
    </row>
    <row r="200" spans="1:11" x14ac:dyDescent="0.2">
      <c r="B200">
        <v>197267.63140186699</v>
      </c>
      <c r="C200">
        <v>713491.55080373096</v>
      </c>
    </row>
    <row r="201" spans="1:11" x14ac:dyDescent="0.2">
      <c r="B201">
        <v>23823.296777059975</v>
      </c>
      <c r="C201">
        <v>366602.88155411999</v>
      </c>
      <c r="E201" t="s">
        <v>31</v>
      </c>
      <c r="F201" t="s">
        <v>65</v>
      </c>
      <c r="G201" t="s">
        <v>66</v>
      </c>
      <c r="H201" t="s">
        <v>29</v>
      </c>
    </row>
    <row r="202" spans="1:11" ht="17" thickBot="1" x14ac:dyDescent="0.25">
      <c r="B202">
        <v>225194.33005721797</v>
      </c>
      <c r="C202">
        <v>769344.94811443111</v>
      </c>
      <c r="E202" s="4">
        <v>10</v>
      </c>
      <c r="F202" s="4"/>
      <c r="G202" s="4"/>
      <c r="H202" s="4"/>
    </row>
    <row r="203" spans="1:11" x14ac:dyDescent="0.2">
      <c r="B203">
        <v>43560.153597672979</v>
      </c>
      <c r="C203">
        <v>406076.59519534599</v>
      </c>
      <c r="E203" s="1" t="s">
        <v>33</v>
      </c>
      <c r="F203" s="1">
        <v>8</v>
      </c>
      <c r="G203" s="1">
        <v>8</v>
      </c>
      <c r="H203" s="1">
        <v>16</v>
      </c>
    </row>
    <row r="204" spans="1:11" x14ac:dyDescent="0.2">
      <c r="B204">
        <v>233350.60665412195</v>
      </c>
      <c r="C204">
        <v>762874.9093082411</v>
      </c>
      <c r="E204" s="1" t="s">
        <v>34</v>
      </c>
      <c r="F204" s="1">
        <v>906334.78534810874</v>
      </c>
      <c r="G204" s="1">
        <v>4341537.2826961977</v>
      </c>
      <c r="H204" s="1">
        <v>5247872.0680443067</v>
      </c>
    </row>
    <row r="205" spans="1:11" x14ac:dyDescent="0.2">
      <c r="B205">
        <v>13498.223852550984</v>
      </c>
      <c r="C205">
        <v>323170.14370510203</v>
      </c>
      <c r="E205" s="1" t="s">
        <v>35</v>
      </c>
      <c r="F205" s="1">
        <v>113291.84816851359</v>
      </c>
      <c r="G205" s="1">
        <v>542692.16033702472</v>
      </c>
      <c r="H205" s="1">
        <v>327992.00425276917</v>
      </c>
    </row>
    <row r="206" spans="1:11" x14ac:dyDescent="0.2">
      <c r="B206">
        <v>214558.08226570502</v>
      </c>
      <c r="C206">
        <v>770855.04453140101</v>
      </c>
      <c r="E206" s="1" t="s">
        <v>36</v>
      </c>
      <c r="F206" s="1">
        <v>13157023131.380243</v>
      </c>
      <c r="G206" s="1">
        <v>53895795200.839287</v>
      </c>
      <c r="H206" s="1">
        <v>80460549379.146439</v>
      </c>
    </row>
    <row r="207" spans="1:11" x14ac:dyDescent="0.2">
      <c r="A207">
        <v>30</v>
      </c>
      <c r="B207">
        <v>-131216.66957200269</v>
      </c>
      <c r="C207">
        <v>64844.372534223337</v>
      </c>
      <c r="E207" s="1"/>
      <c r="F207" s="1"/>
      <c r="G207" s="1"/>
      <c r="H207" s="1"/>
    </row>
    <row r="208" spans="1:11" ht="17" thickBot="1" x14ac:dyDescent="0.25">
      <c r="B208">
        <v>-93058.082330487669</v>
      </c>
      <c r="C208">
        <v>108071.31856762333</v>
      </c>
      <c r="E208" s="4">
        <v>30</v>
      </c>
      <c r="F208" s="4"/>
      <c r="G208" s="4"/>
      <c r="H208" s="4"/>
    </row>
    <row r="209" spans="2:11" x14ac:dyDescent="0.2">
      <c r="B209">
        <v>-140439.81744984034</v>
      </c>
      <c r="C209">
        <v>36440.199961776656</v>
      </c>
      <c r="E209" s="1" t="s">
        <v>33</v>
      </c>
      <c r="F209" s="1">
        <v>8</v>
      </c>
      <c r="G209" s="1">
        <v>8</v>
      </c>
      <c r="H209" s="1">
        <v>16</v>
      </c>
    </row>
    <row r="210" spans="2:11" x14ac:dyDescent="0.2">
      <c r="B210">
        <v>-101113.89040273335</v>
      </c>
      <c r="C210">
        <v>80236.996887393354</v>
      </c>
      <c r="E210" s="1" t="s">
        <v>34</v>
      </c>
      <c r="F210" s="1">
        <v>-902206.43539116101</v>
      </c>
      <c r="G210" s="1">
        <v>486327.50636071723</v>
      </c>
      <c r="H210" s="1">
        <v>-415878.92903044366</v>
      </c>
    </row>
    <row r="211" spans="2:11" x14ac:dyDescent="0.2">
      <c r="B211">
        <v>-145349.38692581063</v>
      </c>
      <c r="C211">
        <v>-56318.264368901342</v>
      </c>
      <c r="E211" s="1" t="s">
        <v>35</v>
      </c>
      <c r="F211" s="1">
        <v>-112775.80442389513</v>
      </c>
      <c r="G211" s="1">
        <v>60790.938295089654</v>
      </c>
      <c r="H211" s="1">
        <v>-25992.433064402729</v>
      </c>
    </row>
    <row r="212" spans="2:11" x14ac:dyDescent="0.2">
      <c r="B212">
        <v>-22521.027944005655</v>
      </c>
      <c r="C212">
        <v>-3800.0394051047042</v>
      </c>
      <c r="E212" s="1" t="s">
        <v>36</v>
      </c>
      <c r="F212" s="1">
        <v>1680043319.1349444</v>
      </c>
      <c r="G212" s="1">
        <v>6030680354.8028955</v>
      </c>
      <c r="H212" s="1">
        <v>11631781495.325195</v>
      </c>
    </row>
    <row r="213" spans="2:11" x14ac:dyDescent="0.2">
      <c r="B213">
        <v>-134792.96939857129</v>
      </c>
      <c r="C213">
        <v>51108.602524846669</v>
      </c>
      <c r="E213" s="1"/>
      <c r="F213" s="1"/>
      <c r="G213" s="1"/>
      <c r="H213" s="1"/>
    </row>
    <row r="214" spans="2:11" ht="17" thickBot="1" x14ac:dyDescent="0.25">
      <c r="B214">
        <v>-133714.59136770933</v>
      </c>
      <c r="C214">
        <v>205744.31965886001</v>
      </c>
      <c r="E214" s="4" t="s">
        <v>29</v>
      </c>
      <c r="F214" s="4"/>
      <c r="G214" s="4"/>
      <c r="H214" s="4"/>
    </row>
    <row r="215" spans="2:11" x14ac:dyDescent="0.2">
      <c r="E215" s="1" t="s">
        <v>33</v>
      </c>
      <c r="F215" s="1">
        <v>16</v>
      </c>
      <c r="G215" s="1">
        <v>16</v>
      </c>
      <c r="H215" s="1"/>
    </row>
    <row r="216" spans="2:11" x14ac:dyDescent="0.2">
      <c r="E216" s="1" t="s">
        <v>34</v>
      </c>
      <c r="F216" s="1">
        <v>4128.3499569477281</v>
      </c>
      <c r="G216" s="1">
        <v>4827864.7890569149</v>
      </c>
      <c r="H216" s="1"/>
    </row>
    <row r="217" spans="2:11" x14ac:dyDescent="0.2">
      <c r="E217" s="1" t="s">
        <v>35</v>
      </c>
      <c r="F217" s="1">
        <v>258.021872309233</v>
      </c>
      <c r="G217" s="1">
        <v>301741.54931605718</v>
      </c>
      <c r="H217" s="1"/>
    </row>
    <row r="218" spans="2:11" x14ac:dyDescent="0.2">
      <c r="E218" s="1" t="s">
        <v>36</v>
      </c>
      <c r="F218" s="1">
        <v>20552386623.21162</v>
      </c>
      <c r="G218" s="1">
        <v>89893365340.76918</v>
      </c>
      <c r="H218" s="1"/>
    </row>
    <row r="219" spans="2:11" x14ac:dyDescent="0.2">
      <c r="E219" s="1"/>
      <c r="F219" s="1"/>
      <c r="G219" s="1"/>
      <c r="H219" s="1"/>
    </row>
    <row r="221" spans="2:11" ht="17" thickBot="1" x14ac:dyDescent="0.25">
      <c r="E221" t="s">
        <v>37</v>
      </c>
    </row>
    <row r="222" spans="2:11" x14ac:dyDescent="0.2">
      <c r="E222" s="3" t="s">
        <v>38</v>
      </c>
      <c r="F222" s="3" t="s">
        <v>39</v>
      </c>
      <c r="G222" s="3" t="s">
        <v>40</v>
      </c>
      <c r="H222" s="3" t="s">
        <v>41</v>
      </c>
      <c r="I222" s="3" t="s">
        <v>42</v>
      </c>
      <c r="J222" s="3" t="s">
        <v>43</v>
      </c>
      <c r="K222" s="3" t="s">
        <v>44</v>
      </c>
    </row>
    <row r="223" spans="2:11" x14ac:dyDescent="0.2">
      <c r="E223" s="1" t="s">
        <v>73</v>
      </c>
      <c r="F223" s="1">
        <v>1002439854902.0388</v>
      </c>
      <c r="G223" s="1">
        <v>1</v>
      </c>
      <c r="H223" s="1">
        <v>1002439854902.0388</v>
      </c>
      <c r="I223" s="1">
        <v>53.632550197767678</v>
      </c>
      <c r="J223" s="1">
        <v>5.6565650345736395E-8</v>
      </c>
      <c r="K223" s="1">
        <v>4.195971818557763</v>
      </c>
    </row>
    <row r="224" spans="2:11" x14ac:dyDescent="0.2">
      <c r="E224" s="1" t="s">
        <v>74</v>
      </c>
      <c r="F224" s="1">
        <v>727138538559.40063</v>
      </c>
      <c r="G224" s="1">
        <v>1</v>
      </c>
      <c r="H224" s="1">
        <v>727138538559.40063</v>
      </c>
      <c r="I224" s="1">
        <v>38.903375578407648</v>
      </c>
      <c r="J224" s="1">
        <v>9.6886027270944498E-7</v>
      </c>
      <c r="K224" s="1">
        <v>4.195971818557763</v>
      </c>
    </row>
    <row r="225" spans="5:11" x14ac:dyDescent="0.2">
      <c r="E225" s="1" t="s">
        <v>51</v>
      </c>
      <c r="F225" s="1">
        <v>130901630514.57117</v>
      </c>
      <c r="G225" s="1">
        <v>1</v>
      </c>
      <c r="H225" s="1">
        <v>130901630514.57117</v>
      </c>
      <c r="I225" s="1">
        <v>7.0035007439208874</v>
      </c>
      <c r="J225" s="1">
        <v>1.3198660298072434E-2</v>
      </c>
      <c r="K225" s="1">
        <v>4.195971818557763</v>
      </c>
    </row>
    <row r="226" spans="5:11" x14ac:dyDescent="0.2">
      <c r="E226" s="1" t="s">
        <v>52</v>
      </c>
      <c r="F226" s="1">
        <v>523344794043.10266</v>
      </c>
      <c r="G226" s="1">
        <v>28</v>
      </c>
      <c r="H226" s="1">
        <v>18690885501.539379</v>
      </c>
      <c r="I226" s="1"/>
      <c r="J226" s="1"/>
      <c r="K226" s="1"/>
    </row>
    <row r="227" spans="5:11" x14ac:dyDescent="0.2">
      <c r="E227" s="1"/>
      <c r="F227" s="1"/>
      <c r="G227" s="1"/>
      <c r="H227" s="1"/>
      <c r="I227" s="1"/>
      <c r="J227" s="1"/>
      <c r="K227" s="1"/>
    </row>
    <row r="228" spans="5:11" ht="17" thickBot="1" x14ac:dyDescent="0.25">
      <c r="E228" s="2" t="s">
        <v>29</v>
      </c>
      <c r="F228" s="2">
        <v>2383824818019.1133</v>
      </c>
      <c r="G228" s="2">
        <v>31</v>
      </c>
      <c r="H228" s="2"/>
      <c r="I228" s="2"/>
      <c r="J228" s="2"/>
      <c r="K2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9"/>
  <sheetViews>
    <sheetView workbookViewId="0">
      <selection activeCell="AL10" sqref="AL10"/>
    </sheetView>
  </sheetViews>
  <sheetFormatPr baseColWidth="10" defaultRowHeight="16" x14ac:dyDescent="0.2"/>
  <cols>
    <col min="16" max="16" width="13.1640625" bestFit="1" customWidth="1"/>
  </cols>
  <sheetData>
    <row r="1" spans="1:30" x14ac:dyDescent="0.2">
      <c r="A1" t="s">
        <v>76</v>
      </c>
      <c r="B1" t="s">
        <v>21</v>
      </c>
      <c r="C1" t="s">
        <v>4</v>
      </c>
      <c r="E1" t="s">
        <v>76</v>
      </c>
      <c r="F1" t="s">
        <v>4</v>
      </c>
      <c r="G1" t="s">
        <v>5</v>
      </c>
      <c r="H1" t="s">
        <v>21</v>
      </c>
      <c r="O1" t="s">
        <v>76</v>
      </c>
      <c r="P1" t="s">
        <v>5</v>
      </c>
      <c r="Q1" t="s">
        <v>19</v>
      </c>
      <c r="Z1" t="s">
        <v>76</v>
      </c>
      <c r="AA1" t="s">
        <v>5</v>
      </c>
      <c r="AB1" t="s">
        <v>6</v>
      </c>
      <c r="AC1" t="s">
        <v>7</v>
      </c>
      <c r="AD1" t="s">
        <v>19</v>
      </c>
    </row>
    <row r="2" spans="1:30" x14ac:dyDescent="0.2">
      <c r="A2" t="s">
        <v>119</v>
      </c>
      <c r="B2">
        <v>0</v>
      </c>
      <c r="C2">
        <v>15</v>
      </c>
      <c r="E2" t="s">
        <v>167</v>
      </c>
      <c r="F2">
        <v>30</v>
      </c>
      <c r="G2">
        <v>30</v>
      </c>
      <c r="H2">
        <v>0</v>
      </c>
      <c r="O2" t="s">
        <v>191</v>
      </c>
      <c r="P2">
        <v>10</v>
      </c>
      <c r="Q2">
        <v>-18344203.504127599</v>
      </c>
      <c r="Z2" t="s">
        <v>248</v>
      </c>
      <c r="AA2">
        <v>30</v>
      </c>
      <c r="AB2">
        <v>90.12</v>
      </c>
      <c r="AC2">
        <v>98.7</v>
      </c>
      <c r="AD2">
        <v>16087205.5488762</v>
      </c>
    </row>
    <row r="3" spans="1:30" x14ac:dyDescent="0.2">
      <c r="A3" t="s">
        <v>120</v>
      </c>
      <c r="B3">
        <v>0</v>
      </c>
      <c r="C3">
        <v>15</v>
      </c>
      <c r="E3" t="s">
        <v>168</v>
      </c>
      <c r="F3">
        <v>30</v>
      </c>
      <c r="G3">
        <v>30</v>
      </c>
      <c r="H3">
        <v>0</v>
      </c>
      <c r="O3" t="s">
        <v>192</v>
      </c>
      <c r="P3">
        <v>10</v>
      </c>
      <c r="Q3">
        <v>-17400718.0542183</v>
      </c>
      <c r="Z3" t="s">
        <v>249</v>
      </c>
      <c r="AA3">
        <v>30</v>
      </c>
      <c r="AB3">
        <v>90.12</v>
      </c>
      <c r="AC3">
        <v>98.7</v>
      </c>
      <c r="AD3">
        <v>7829271.27338407</v>
      </c>
    </row>
    <row r="4" spans="1:30" x14ac:dyDescent="0.2">
      <c r="A4" t="s">
        <v>121</v>
      </c>
      <c r="B4">
        <v>0</v>
      </c>
      <c r="C4">
        <v>15</v>
      </c>
      <c r="E4" t="s">
        <v>169</v>
      </c>
      <c r="F4">
        <v>30</v>
      </c>
      <c r="G4">
        <v>30</v>
      </c>
      <c r="H4">
        <v>0</v>
      </c>
      <c r="O4" t="s">
        <v>193</v>
      </c>
      <c r="P4">
        <v>10</v>
      </c>
      <c r="Q4">
        <v>-17980638.827082999</v>
      </c>
      <c r="Z4" t="s">
        <v>250</v>
      </c>
      <c r="AA4">
        <v>30</v>
      </c>
      <c r="AB4">
        <v>90.12</v>
      </c>
      <c r="AC4">
        <v>98.7</v>
      </c>
      <c r="AD4">
        <v>19090546.030836798</v>
      </c>
    </row>
    <row r="5" spans="1:30" x14ac:dyDescent="0.2">
      <c r="A5" t="s">
        <v>122</v>
      </c>
      <c r="B5">
        <v>0</v>
      </c>
      <c r="C5">
        <v>15</v>
      </c>
      <c r="E5" t="s">
        <v>170</v>
      </c>
      <c r="F5">
        <v>30</v>
      </c>
      <c r="G5">
        <v>30</v>
      </c>
      <c r="H5">
        <v>0</v>
      </c>
      <c r="O5" t="s">
        <v>194</v>
      </c>
      <c r="P5">
        <v>10</v>
      </c>
      <c r="Q5">
        <v>-17933897.217544898</v>
      </c>
      <c r="Z5" t="s">
        <v>251</v>
      </c>
      <c r="AA5">
        <v>30</v>
      </c>
      <c r="AB5">
        <v>90.12</v>
      </c>
      <c r="AC5">
        <v>98.7</v>
      </c>
      <c r="AD5">
        <v>8001819.4625559598</v>
      </c>
    </row>
    <row r="6" spans="1:30" ht="17" x14ac:dyDescent="0.2">
      <c r="A6" t="s">
        <v>124</v>
      </c>
      <c r="B6">
        <v>0</v>
      </c>
      <c r="C6">
        <v>15</v>
      </c>
      <c r="E6" t="s">
        <v>171</v>
      </c>
      <c r="F6">
        <v>30</v>
      </c>
      <c r="G6">
        <v>30</v>
      </c>
      <c r="H6">
        <v>0</v>
      </c>
      <c r="O6" s="7" t="s">
        <v>195</v>
      </c>
      <c r="P6">
        <v>10</v>
      </c>
      <c r="Q6">
        <v>-18475187.509085301</v>
      </c>
      <c r="Z6" t="s">
        <v>252</v>
      </c>
      <c r="AA6">
        <v>30</v>
      </c>
      <c r="AB6">
        <v>90.12</v>
      </c>
      <c r="AC6">
        <v>98.7</v>
      </c>
      <c r="AD6">
        <v>8876119.7743770704</v>
      </c>
    </row>
    <row r="7" spans="1:30" x14ac:dyDescent="0.2">
      <c r="A7" t="s">
        <v>123</v>
      </c>
      <c r="B7">
        <v>0</v>
      </c>
      <c r="C7">
        <v>15</v>
      </c>
      <c r="E7" t="s">
        <v>172</v>
      </c>
      <c r="F7">
        <v>30</v>
      </c>
      <c r="G7">
        <v>30</v>
      </c>
      <c r="H7">
        <v>0</v>
      </c>
      <c r="O7" t="s">
        <v>196</v>
      </c>
      <c r="P7">
        <v>10</v>
      </c>
      <c r="Q7">
        <v>-19846921.689263899</v>
      </c>
      <c r="Z7" t="s">
        <v>253</v>
      </c>
      <c r="AA7">
        <v>30</v>
      </c>
      <c r="AB7">
        <v>90.12</v>
      </c>
      <c r="AC7">
        <v>98.7</v>
      </c>
      <c r="AD7">
        <v>7478490.4531686101</v>
      </c>
    </row>
    <row r="8" spans="1:30" x14ac:dyDescent="0.2">
      <c r="A8" t="s">
        <v>125</v>
      </c>
      <c r="B8">
        <v>0</v>
      </c>
      <c r="C8">
        <v>15</v>
      </c>
      <c r="E8" t="s">
        <v>190</v>
      </c>
      <c r="F8">
        <v>30</v>
      </c>
      <c r="G8">
        <v>30</v>
      </c>
      <c r="H8">
        <v>0</v>
      </c>
      <c r="O8" t="s">
        <v>197</v>
      </c>
      <c r="P8">
        <v>10</v>
      </c>
      <c r="Q8">
        <v>-18224713.245310701</v>
      </c>
      <c r="Z8" t="s">
        <v>254</v>
      </c>
      <c r="AA8">
        <v>30</v>
      </c>
      <c r="AB8">
        <v>90.12</v>
      </c>
      <c r="AC8">
        <v>98.7</v>
      </c>
      <c r="AD8">
        <v>11203115.6601393</v>
      </c>
    </row>
    <row r="9" spans="1:30" x14ac:dyDescent="0.2">
      <c r="A9" t="s">
        <v>127</v>
      </c>
      <c r="B9">
        <v>0</v>
      </c>
      <c r="C9">
        <v>15</v>
      </c>
      <c r="E9" s="5" t="s">
        <v>173</v>
      </c>
      <c r="F9" s="5">
        <v>30</v>
      </c>
      <c r="G9" s="5">
        <v>30</v>
      </c>
      <c r="H9" s="5">
        <v>0</v>
      </c>
      <c r="O9" t="s">
        <v>198</v>
      </c>
      <c r="P9">
        <v>10</v>
      </c>
      <c r="Q9">
        <v>-15464605.880899699</v>
      </c>
      <c r="Z9" s="5" t="s">
        <v>255</v>
      </c>
      <c r="AA9" s="5">
        <v>30</v>
      </c>
      <c r="AB9" s="5">
        <v>90.12</v>
      </c>
      <c r="AC9" s="5">
        <v>98.7</v>
      </c>
      <c r="AD9" s="5">
        <v>11695457.623707499</v>
      </c>
    </row>
    <row r="10" spans="1:30" x14ac:dyDescent="0.2">
      <c r="A10" t="s">
        <v>126</v>
      </c>
      <c r="B10">
        <v>0</v>
      </c>
      <c r="C10">
        <v>15</v>
      </c>
      <c r="E10" t="s">
        <v>159</v>
      </c>
      <c r="F10">
        <v>30</v>
      </c>
      <c r="G10">
        <v>10</v>
      </c>
      <c r="H10">
        <v>58709.1250899999</v>
      </c>
      <c r="O10" t="s">
        <v>199</v>
      </c>
      <c r="P10">
        <v>10</v>
      </c>
      <c r="Q10">
        <v>-7824259.4077669401</v>
      </c>
      <c r="Z10" t="s">
        <v>232</v>
      </c>
      <c r="AA10">
        <v>30</v>
      </c>
      <c r="AB10">
        <v>45.06</v>
      </c>
      <c r="AC10">
        <v>49.35</v>
      </c>
      <c r="AD10">
        <v>-9995948.2531276699</v>
      </c>
    </row>
    <row r="11" spans="1:30" x14ac:dyDescent="0.2">
      <c r="A11" t="s">
        <v>128</v>
      </c>
      <c r="B11">
        <v>0</v>
      </c>
      <c r="C11">
        <v>15</v>
      </c>
      <c r="E11" t="s">
        <v>160</v>
      </c>
      <c r="F11">
        <v>30</v>
      </c>
      <c r="G11">
        <v>10</v>
      </c>
      <c r="H11">
        <v>58709.125090000001</v>
      </c>
      <c r="O11" t="s">
        <v>200</v>
      </c>
      <c r="P11">
        <v>10</v>
      </c>
      <c r="Q11">
        <v>-1415881.9497326899</v>
      </c>
      <c r="Z11" t="s">
        <v>233</v>
      </c>
      <c r="AA11">
        <v>30</v>
      </c>
      <c r="AB11">
        <v>45.06</v>
      </c>
      <c r="AC11">
        <v>49.35</v>
      </c>
      <c r="AD11">
        <v>-21271591.610757701</v>
      </c>
    </row>
    <row r="12" spans="1:30" x14ac:dyDescent="0.2">
      <c r="A12" t="s">
        <v>130</v>
      </c>
      <c r="B12">
        <v>0</v>
      </c>
      <c r="C12">
        <v>15</v>
      </c>
      <c r="E12" t="s">
        <v>161</v>
      </c>
      <c r="F12">
        <v>30</v>
      </c>
      <c r="G12">
        <v>10</v>
      </c>
      <c r="H12">
        <v>0</v>
      </c>
      <c r="O12" t="s">
        <v>201</v>
      </c>
      <c r="P12">
        <v>10</v>
      </c>
      <c r="Q12">
        <v>-6696047.13591504</v>
      </c>
      <c r="Z12" t="s">
        <v>234</v>
      </c>
      <c r="AA12">
        <v>30</v>
      </c>
      <c r="AB12">
        <v>45.06</v>
      </c>
      <c r="AC12">
        <v>49.35</v>
      </c>
      <c r="AD12">
        <v>-8739379.7214922309</v>
      </c>
    </row>
    <row r="13" spans="1:30" x14ac:dyDescent="0.2">
      <c r="A13" t="s">
        <v>129</v>
      </c>
      <c r="B13">
        <v>0</v>
      </c>
      <c r="C13">
        <v>15</v>
      </c>
      <c r="E13" t="s">
        <v>162</v>
      </c>
      <c r="F13">
        <v>30</v>
      </c>
      <c r="G13">
        <v>10</v>
      </c>
      <c r="H13">
        <v>8387.0178699999997</v>
      </c>
      <c r="O13" t="s">
        <v>202</v>
      </c>
      <c r="P13">
        <v>10</v>
      </c>
      <c r="Q13">
        <v>-3430173.6580720502</v>
      </c>
      <c r="Z13" t="s">
        <v>235</v>
      </c>
      <c r="AA13">
        <v>30</v>
      </c>
      <c r="AB13">
        <v>45.06</v>
      </c>
      <c r="AC13">
        <v>49.35</v>
      </c>
      <c r="AD13">
        <v>-20088610.378621601</v>
      </c>
    </row>
    <row r="14" spans="1:30" x14ac:dyDescent="0.2">
      <c r="A14" t="s">
        <v>131</v>
      </c>
      <c r="B14">
        <v>0</v>
      </c>
      <c r="C14">
        <v>15</v>
      </c>
      <c r="E14" t="s">
        <v>163</v>
      </c>
      <c r="F14">
        <v>30</v>
      </c>
      <c r="G14">
        <v>10</v>
      </c>
      <c r="H14">
        <v>58709.1250899999</v>
      </c>
      <c r="O14" t="s">
        <v>203</v>
      </c>
      <c r="P14">
        <v>10</v>
      </c>
      <c r="Q14">
        <v>-6325848.0947655402</v>
      </c>
      <c r="Z14" t="s">
        <v>236</v>
      </c>
      <c r="AA14">
        <v>30</v>
      </c>
      <c r="AB14">
        <v>45.06</v>
      </c>
      <c r="AC14">
        <v>49.35</v>
      </c>
      <c r="AD14">
        <v>-10957125.6567099</v>
      </c>
    </row>
    <row r="15" spans="1:30" x14ac:dyDescent="0.2">
      <c r="A15" t="s">
        <v>132</v>
      </c>
      <c r="B15">
        <v>0</v>
      </c>
      <c r="C15">
        <v>15</v>
      </c>
      <c r="E15" t="s">
        <v>164</v>
      </c>
      <c r="F15">
        <v>30</v>
      </c>
      <c r="G15">
        <v>10</v>
      </c>
      <c r="H15">
        <v>58709.125090000001</v>
      </c>
      <c r="O15" t="s">
        <v>204</v>
      </c>
      <c r="P15">
        <v>10</v>
      </c>
      <c r="Q15">
        <v>-4281703.1739495499</v>
      </c>
      <c r="Z15" t="s">
        <v>237</v>
      </c>
      <c r="AA15">
        <v>30</v>
      </c>
      <c r="AB15">
        <v>45.06</v>
      </c>
      <c r="AC15">
        <v>49.35</v>
      </c>
      <c r="AD15">
        <v>-19298058.711867299</v>
      </c>
    </row>
    <row r="16" spans="1:30" x14ac:dyDescent="0.2">
      <c r="A16" t="s">
        <v>133</v>
      </c>
      <c r="B16">
        <v>0</v>
      </c>
      <c r="C16">
        <v>15</v>
      </c>
      <c r="E16" t="s">
        <v>165</v>
      </c>
      <c r="F16">
        <v>30</v>
      </c>
      <c r="G16">
        <v>10</v>
      </c>
      <c r="H16">
        <v>0</v>
      </c>
      <c r="O16" t="s">
        <v>205</v>
      </c>
      <c r="P16">
        <v>10</v>
      </c>
      <c r="Q16">
        <v>-5713233.9113545902</v>
      </c>
      <c r="Z16" t="s">
        <v>238</v>
      </c>
      <c r="AA16">
        <v>30</v>
      </c>
      <c r="AB16">
        <v>45.06</v>
      </c>
      <c r="AC16">
        <v>49.35</v>
      </c>
      <c r="AD16">
        <v>-13623563.6931441</v>
      </c>
    </row>
    <row r="17" spans="1:30" x14ac:dyDescent="0.2">
      <c r="A17" t="s">
        <v>134</v>
      </c>
      <c r="B17">
        <v>0</v>
      </c>
      <c r="C17">
        <v>15</v>
      </c>
      <c r="E17" t="s">
        <v>166</v>
      </c>
      <c r="F17">
        <v>30</v>
      </c>
      <c r="G17">
        <v>10</v>
      </c>
      <c r="H17">
        <v>8387.0178699999997</v>
      </c>
      <c r="O17" t="s">
        <v>206</v>
      </c>
      <c r="P17">
        <v>10</v>
      </c>
      <c r="Q17">
        <v>998441.51873332204</v>
      </c>
      <c r="Z17" t="s">
        <v>239</v>
      </c>
      <c r="AA17">
        <v>30</v>
      </c>
      <c r="AB17">
        <v>45.06</v>
      </c>
      <c r="AC17">
        <v>49.35</v>
      </c>
      <c r="AD17">
        <v>-20695413.004154898</v>
      </c>
    </row>
    <row r="18" spans="1:30" x14ac:dyDescent="0.2">
      <c r="A18" t="s">
        <v>135</v>
      </c>
      <c r="B18">
        <v>0</v>
      </c>
      <c r="C18">
        <v>15</v>
      </c>
      <c r="E18" t="s">
        <v>182</v>
      </c>
      <c r="F18">
        <v>15</v>
      </c>
      <c r="G18">
        <v>30</v>
      </c>
      <c r="H18">
        <v>0</v>
      </c>
      <c r="O18" t="s">
        <v>207</v>
      </c>
      <c r="P18">
        <v>30</v>
      </c>
      <c r="Q18">
        <v>-9995948.2531276699</v>
      </c>
      <c r="Z18" t="s">
        <v>240</v>
      </c>
      <c r="AA18">
        <v>10</v>
      </c>
      <c r="AB18">
        <v>90.12</v>
      </c>
      <c r="AC18">
        <v>98.7</v>
      </c>
      <c r="AD18">
        <v>-7824259.4077669401</v>
      </c>
    </row>
    <row r="19" spans="1:30" x14ac:dyDescent="0.2">
      <c r="A19" t="s">
        <v>136</v>
      </c>
      <c r="B19">
        <v>0</v>
      </c>
      <c r="C19">
        <v>15</v>
      </c>
      <c r="E19" t="s">
        <v>183</v>
      </c>
      <c r="F19">
        <v>15</v>
      </c>
      <c r="G19">
        <v>30</v>
      </c>
      <c r="H19">
        <v>0</v>
      </c>
      <c r="O19" t="s">
        <v>208</v>
      </c>
      <c r="P19">
        <v>30</v>
      </c>
      <c r="Q19">
        <v>-21271591.610757701</v>
      </c>
      <c r="Z19" t="s">
        <v>241</v>
      </c>
      <c r="AA19">
        <v>10</v>
      </c>
      <c r="AB19">
        <v>90.12</v>
      </c>
      <c r="AC19">
        <v>98.7</v>
      </c>
      <c r="AD19">
        <v>-1415881.9497326899</v>
      </c>
    </row>
    <row r="20" spans="1:30" x14ac:dyDescent="0.2">
      <c r="A20" t="s">
        <v>137</v>
      </c>
      <c r="B20">
        <v>0</v>
      </c>
      <c r="C20">
        <v>15</v>
      </c>
      <c r="E20" t="s">
        <v>184</v>
      </c>
      <c r="F20">
        <v>15</v>
      </c>
      <c r="G20">
        <v>30</v>
      </c>
      <c r="H20">
        <v>0</v>
      </c>
      <c r="O20" t="s">
        <v>209</v>
      </c>
      <c r="P20">
        <v>30</v>
      </c>
      <c r="Q20">
        <v>-8739379.7214922309</v>
      </c>
      <c r="Z20" t="s">
        <v>242</v>
      </c>
      <c r="AA20">
        <v>10</v>
      </c>
      <c r="AB20">
        <v>90.12</v>
      </c>
      <c r="AC20">
        <v>98.7</v>
      </c>
      <c r="AD20">
        <v>-6696047.13591504</v>
      </c>
    </row>
    <row r="21" spans="1:30" x14ac:dyDescent="0.2">
      <c r="A21" t="s">
        <v>138</v>
      </c>
      <c r="B21">
        <v>58709.1250899999</v>
      </c>
      <c r="C21">
        <v>30</v>
      </c>
      <c r="E21" t="s">
        <v>185</v>
      </c>
      <c r="F21">
        <v>15</v>
      </c>
      <c r="G21">
        <v>30</v>
      </c>
      <c r="H21">
        <v>0</v>
      </c>
      <c r="O21" t="s">
        <v>210</v>
      </c>
      <c r="P21">
        <v>30</v>
      </c>
      <c r="Q21">
        <v>-20088610.378621601</v>
      </c>
      <c r="Z21" t="s">
        <v>243</v>
      </c>
      <c r="AA21">
        <v>10</v>
      </c>
      <c r="AB21">
        <v>90.12</v>
      </c>
      <c r="AC21">
        <v>98.7</v>
      </c>
      <c r="AD21">
        <v>-3430173.6580720502</v>
      </c>
    </row>
    <row r="22" spans="1:30" x14ac:dyDescent="0.2">
      <c r="A22" t="s">
        <v>139</v>
      </c>
      <c r="B22">
        <v>58709.125090000001</v>
      </c>
      <c r="C22">
        <v>30</v>
      </c>
      <c r="E22" t="s">
        <v>186</v>
      </c>
      <c r="F22">
        <v>15</v>
      </c>
      <c r="G22">
        <v>30</v>
      </c>
      <c r="H22">
        <v>0</v>
      </c>
      <c r="O22" t="s">
        <v>211</v>
      </c>
      <c r="P22">
        <v>30</v>
      </c>
      <c r="Q22">
        <v>-10957125.6567099</v>
      </c>
      <c r="Z22" t="s">
        <v>244</v>
      </c>
      <c r="AA22">
        <v>10</v>
      </c>
      <c r="AB22">
        <v>90.12</v>
      </c>
      <c r="AC22">
        <v>98.7</v>
      </c>
      <c r="AD22">
        <v>-6325848.0947655402</v>
      </c>
    </row>
    <row r="23" spans="1:30" x14ac:dyDescent="0.2">
      <c r="A23" t="s">
        <v>140</v>
      </c>
      <c r="B23">
        <v>0</v>
      </c>
      <c r="C23">
        <v>30</v>
      </c>
      <c r="E23" t="s">
        <v>187</v>
      </c>
      <c r="F23">
        <v>15</v>
      </c>
      <c r="G23">
        <v>30</v>
      </c>
      <c r="H23">
        <v>0</v>
      </c>
      <c r="O23" t="s">
        <v>212</v>
      </c>
      <c r="P23">
        <v>30</v>
      </c>
      <c r="Q23">
        <v>-19298058.711867299</v>
      </c>
      <c r="Z23" t="s">
        <v>245</v>
      </c>
      <c r="AA23">
        <v>10</v>
      </c>
      <c r="AB23">
        <v>90.12</v>
      </c>
      <c r="AC23">
        <v>98.7</v>
      </c>
      <c r="AD23">
        <v>-4281703.1739495499</v>
      </c>
    </row>
    <row r="24" spans="1:30" x14ac:dyDescent="0.2">
      <c r="A24" t="s">
        <v>141</v>
      </c>
      <c r="B24">
        <v>8387.0178699999997</v>
      </c>
      <c r="C24">
        <v>30</v>
      </c>
      <c r="E24" t="s">
        <v>188</v>
      </c>
      <c r="F24">
        <v>15</v>
      </c>
      <c r="G24">
        <v>30</v>
      </c>
      <c r="H24">
        <v>0</v>
      </c>
      <c r="O24" t="s">
        <v>213</v>
      </c>
      <c r="P24">
        <v>30</v>
      </c>
      <c r="Q24">
        <v>-13623563.6931441</v>
      </c>
      <c r="Z24" t="s">
        <v>246</v>
      </c>
      <c r="AA24">
        <v>10</v>
      </c>
      <c r="AB24">
        <v>90.12</v>
      </c>
      <c r="AC24">
        <v>98.7</v>
      </c>
      <c r="AD24">
        <v>-5713233.9113545902</v>
      </c>
    </row>
    <row r="25" spans="1:30" x14ac:dyDescent="0.2">
      <c r="A25" t="s">
        <v>142</v>
      </c>
      <c r="B25">
        <v>0</v>
      </c>
      <c r="C25">
        <v>30</v>
      </c>
      <c r="E25" t="s">
        <v>189</v>
      </c>
      <c r="F25">
        <v>15</v>
      </c>
      <c r="G25">
        <v>30</v>
      </c>
      <c r="H25">
        <v>0</v>
      </c>
      <c r="O25" t="s">
        <v>214</v>
      </c>
      <c r="P25">
        <v>30</v>
      </c>
      <c r="Q25">
        <v>-20695413.004154898</v>
      </c>
      <c r="Z25" t="s">
        <v>247</v>
      </c>
      <c r="AA25">
        <v>10</v>
      </c>
      <c r="AB25">
        <v>90.12</v>
      </c>
      <c r="AC25">
        <v>98.7</v>
      </c>
      <c r="AD25">
        <v>998441.51873332204</v>
      </c>
    </row>
    <row r="26" spans="1:30" x14ac:dyDescent="0.2">
      <c r="A26" t="s">
        <v>143</v>
      </c>
      <c r="B26">
        <v>0</v>
      </c>
      <c r="C26">
        <v>30</v>
      </c>
      <c r="E26" t="s">
        <v>174</v>
      </c>
      <c r="F26">
        <v>15</v>
      </c>
      <c r="G26">
        <v>10</v>
      </c>
      <c r="H26">
        <v>0</v>
      </c>
      <c r="O26" t="s">
        <v>215</v>
      </c>
      <c r="P26">
        <v>30</v>
      </c>
      <c r="Q26">
        <v>16087205.5488762</v>
      </c>
      <c r="Z26" t="s">
        <v>224</v>
      </c>
      <c r="AA26">
        <v>10</v>
      </c>
      <c r="AB26">
        <v>45.06</v>
      </c>
      <c r="AC26">
        <v>49.35</v>
      </c>
      <c r="AD26">
        <v>-18344203.504127599</v>
      </c>
    </row>
    <row r="27" spans="1:30" x14ac:dyDescent="0.2">
      <c r="A27" t="s">
        <v>144</v>
      </c>
      <c r="B27">
        <v>0</v>
      </c>
      <c r="C27">
        <v>30</v>
      </c>
      <c r="E27" t="s">
        <v>175</v>
      </c>
      <c r="F27">
        <v>15</v>
      </c>
      <c r="G27">
        <v>10</v>
      </c>
      <c r="H27">
        <v>0</v>
      </c>
      <c r="O27" t="s">
        <v>216</v>
      </c>
      <c r="P27">
        <v>30</v>
      </c>
      <c r="Q27">
        <v>7829271.27338407</v>
      </c>
      <c r="Z27" t="s">
        <v>225</v>
      </c>
      <c r="AA27">
        <v>10</v>
      </c>
      <c r="AB27">
        <v>45.06</v>
      </c>
      <c r="AC27">
        <v>49.35</v>
      </c>
      <c r="AD27">
        <v>-17400718.0542183</v>
      </c>
    </row>
    <row r="28" spans="1:30" x14ac:dyDescent="0.2">
      <c r="A28" t="s">
        <v>145</v>
      </c>
      <c r="B28">
        <v>0</v>
      </c>
      <c r="C28">
        <v>30</v>
      </c>
      <c r="E28" t="s">
        <v>176</v>
      </c>
      <c r="F28">
        <v>15</v>
      </c>
      <c r="G28">
        <v>10</v>
      </c>
      <c r="H28">
        <v>0</v>
      </c>
      <c r="O28" t="s">
        <v>217</v>
      </c>
      <c r="P28">
        <v>30</v>
      </c>
      <c r="Q28">
        <v>19090546.030836798</v>
      </c>
      <c r="Z28" t="s">
        <v>226</v>
      </c>
      <c r="AA28">
        <v>10</v>
      </c>
      <c r="AB28">
        <v>45.06</v>
      </c>
      <c r="AC28">
        <v>49.35</v>
      </c>
      <c r="AD28">
        <v>-17980638.827082999</v>
      </c>
    </row>
    <row r="29" spans="1:30" x14ac:dyDescent="0.2">
      <c r="A29" t="s">
        <v>146</v>
      </c>
      <c r="B29">
        <v>4193.5089349999998</v>
      </c>
      <c r="C29">
        <v>30</v>
      </c>
      <c r="E29" t="s">
        <v>177</v>
      </c>
      <c r="F29">
        <v>15</v>
      </c>
      <c r="G29">
        <v>10</v>
      </c>
      <c r="H29">
        <v>0</v>
      </c>
      <c r="O29" t="s">
        <v>218</v>
      </c>
      <c r="P29">
        <v>30</v>
      </c>
      <c r="Q29">
        <v>8001819.4625559598</v>
      </c>
      <c r="Z29" t="s">
        <v>227</v>
      </c>
      <c r="AA29">
        <v>10</v>
      </c>
      <c r="AB29">
        <v>45.06</v>
      </c>
      <c r="AC29">
        <v>49.35</v>
      </c>
      <c r="AD29">
        <v>-17933897.217544898</v>
      </c>
    </row>
    <row r="30" spans="1:30" x14ac:dyDescent="0.2">
      <c r="A30" t="s">
        <v>147</v>
      </c>
      <c r="B30">
        <v>8387.0178699999997</v>
      </c>
      <c r="C30">
        <v>30</v>
      </c>
      <c r="E30" t="s">
        <v>178</v>
      </c>
      <c r="F30">
        <v>15</v>
      </c>
      <c r="G30">
        <v>10</v>
      </c>
      <c r="H30">
        <v>0</v>
      </c>
      <c r="O30" t="s">
        <v>219</v>
      </c>
      <c r="P30">
        <v>30</v>
      </c>
      <c r="Q30">
        <v>8876119.7743770704</v>
      </c>
      <c r="Z30" t="s">
        <v>228</v>
      </c>
      <c r="AA30">
        <v>10</v>
      </c>
      <c r="AB30">
        <v>45.06</v>
      </c>
      <c r="AC30">
        <v>49.35</v>
      </c>
      <c r="AD30">
        <v>-18475187.509085301</v>
      </c>
    </row>
    <row r="31" spans="1:30" x14ac:dyDescent="0.2">
      <c r="A31" t="s">
        <v>148</v>
      </c>
      <c r="B31">
        <v>12580.526805</v>
      </c>
      <c r="C31">
        <v>30</v>
      </c>
      <c r="E31" t="s">
        <v>179</v>
      </c>
      <c r="F31">
        <v>15</v>
      </c>
      <c r="G31">
        <v>10</v>
      </c>
      <c r="H31">
        <v>0</v>
      </c>
      <c r="O31" t="s">
        <v>220</v>
      </c>
      <c r="P31">
        <v>30</v>
      </c>
      <c r="Q31">
        <v>7478490.4531686101</v>
      </c>
      <c r="Z31" t="s">
        <v>229</v>
      </c>
      <c r="AA31">
        <v>10</v>
      </c>
      <c r="AB31">
        <v>45.06</v>
      </c>
      <c r="AC31">
        <v>49.35</v>
      </c>
      <c r="AD31">
        <v>-19846921.689263899</v>
      </c>
    </row>
    <row r="32" spans="1:30" x14ac:dyDescent="0.2">
      <c r="A32" t="s">
        <v>149</v>
      </c>
      <c r="B32">
        <v>58709.1250899999</v>
      </c>
      <c r="C32">
        <v>30</v>
      </c>
      <c r="E32" t="s">
        <v>180</v>
      </c>
      <c r="F32">
        <v>15</v>
      </c>
      <c r="G32">
        <v>10</v>
      </c>
      <c r="H32">
        <v>0</v>
      </c>
      <c r="O32" t="s">
        <v>221</v>
      </c>
      <c r="P32">
        <v>30</v>
      </c>
      <c r="Q32">
        <v>11203115.6601393</v>
      </c>
      <c r="Z32" t="s">
        <v>230</v>
      </c>
      <c r="AA32">
        <v>10</v>
      </c>
      <c r="AB32">
        <v>45.06</v>
      </c>
      <c r="AC32">
        <v>49.35</v>
      </c>
      <c r="AD32">
        <v>-18224713.245310701</v>
      </c>
    </row>
    <row r="33" spans="1:30" x14ac:dyDescent="0.2">
      <c r="A33" t="s">
        <v>150</v>
      </c>
      <c r="B33">
        <v>58709.125090000001</v>
      </c>
      <c r="C33">
        <v>30</v>
      </c>
      <c r="E33" t="s">
        <v>181</v>
      </c>
      <c r="F33">
        <v>15</v>
      </c>
      <c r="G33">
        <v>10</v>
      </c>
      <c r="H33">
        <v>0</v>
      </c>
      <c r="O33" s="5" t="s">
        <v>222</v>
      </c>
      <c r="P33" s="5">
        <v>30</v>
      </c>
      <c r="Q33" s="5">
        <v>11695457.623707499</v>
      </c>
      <c r="Z33" t="s">
        <v>231</v>
      </c>
      <c r="AA33">
        <v>10</v>
      </c>
      <c r="AB33">
        <v>45.06</v>
      </c>
      <c r="AC33">
        <v>49.35</v>
      </c>
      <c r="AD33">
        <v>-15464605.880899699</v>
      </c>
    </row>
    <row r="34" spans="1:30" x14ac:dyDescent="0.2">
      <c r="A34" t="s">
        <v>151</v>
      </c>
      <c r="B34">
        <v>0</v>
      </c>
      <c r="C34">
        <v>30</v>
      </c>
    </row>
    <row r="35" spans="1:30" x14ac:dyDescent="0.2">
      <c r="A35" t="s">
        <v>152</v>
      </c>
      <c r="B35">
        <v>8387.0178699999997</v>
      </c>
      <c r="C35">
        <v>30</v>
      </c>
    </row>
    <row r="36" spans="1:30" x14ac:dyDescent="0.2">
      <c r="A36" t="s">
        <v>153</v>
      </c>
      <c r="B36">
        <v>0</v>
      </c>
      <c r="C36">
        <v>30</v>
      </c>
    </row>
    <row r="37" spans="1:30" x14ac:dyDescent="0.2">
      <c r="A37" t="s">
        <v>154</v>
      </c>
      <c r="B37">
        <v>0</v>
      </c>
      <c r="C37">
        <v>30</v>
      </c>
    </row>
    <row r="38" spans="1:30" x14ac:dyDescent="0.2">
      <c r="A38" t="s">
        <v>155</v>
      </c>
      <c r="B38">
        <v>0</v>
      </c>
      <c r="C38">
        <v>30</v>
      </c>
    </row>
    <row r="39" spans="1:30" x14ac:dyDescent="0.2">
      <c r="A39" s="5" t="s">
        <v>156</v>
      </c>
      <c r="B39" s="5">
        <v>0</v>
      </c>
      <c r="C39" s="5">
        <v>30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6"/>
  <sheetViews>
    <sheetView workbookViewId="0">
      <selection activeCell="P14" sqref="P14"/>
    </sheetView>
  </sheetViews>
  <sheetFormatPr baseColWidth="10" defaultRowHeight="16" x14ac:dyDescent="0.2"/>
  <cols>
    <col min="2" max="2" width="13.6640625" bestFit="1" customWidth="1"/>
  </cols>
  <sheetData>
    <row r="1" spans="1:12" x14ac:dyDescent="0.2">
      <c r="A1" t="s">
        <v>76</v>
      </c>
      <c r="B1" t="s">
        <v>4</v>
      </c>
      <c r="C1" t="s">
        <v>28</v>
      </c>
      <c r="D1" t="s">
        <v>59</v>
      </c>
      <c r="E1" t="s">
        <v>21</v>
      </c>
      <c r="F1" t="s">
        <v>60</v>
      </c>
    </row>
    <row r="2" spans="1:12" x14ac:dyDescent="0.2">
      <c r="A2" t="s">
        <v>77</v>
      </c>
      <c r="B2">
        <v>15</v>
      </c>
      <c r="C2">
        <v>116922</v>
      </c>
      <c r="D2">
        <v>128635.69871115933</v>
      </c>
      <c r="E2">
        <v>0</v>
      </c>
      <c r="F2">
        <v>-44917.53925808701</v>
      </c>
      <c r="H2" t="s">
        <v>4</v>
      </c>
      <c r="I2" t="s">
        <v>28</v>
      </c>
      <c r="J2" t="s">
        <v>279</v>
      </c>
      <c r="K2" t="s">
        <v>278</v>
      </c>
      <c r="L2" t="s">
        <v>283</v>
      </c>
    </row>
    <row r="3" spans="1:12" x14ac:dyDescent="0.2">
      <c r="A3" t="s">
        <v>81</v>
      </c>
      <c r="B3">
        <v>15</v>
      </c>
      <c r="C3">
        <v>117211</v>
      </c>
      <c r="D3">
        <v>145554.21915504735</v>
      </c>
      <c r="E3">
        <v>0</v>
      </c>
      <c r="F3">
        <v>23823.296777059975</v>
      </c>
      <c r="H3" t="s">
        <v>280</v>
      </c>
      <c r="I3">
        <v>116596.375</v>
      </c>
      <c r="J3">
        <v>148113.16137165483</v>
      </c>
      <c r="K3">
        <v>0</v>
      </c>
      <c r="L3">
        <v>56575.68951333189</v>
      </c>
    </row>
    <row r="4" spans="1:12" x14ac:dyDescent="0.2">
      <c r="A4" t="s">
        <v>84</v>
      </c>
      <c r="B4">
        <v>15</v>
      </c>
      <c r="C4">
        <v>116330</v>
      </c>
      <c r="D4">
        <v>159574.76673925732</v>
      </c>
      <c r="E4">
        <v>0</v>
      </c>
      <c r="F4">
        <v>43560.153597672979</v>
      </c>
      <c r="H4" t="s">
        <v>281</v>
      </c>
      <c r="I4">
        <v>113943.1875</v>
      </c>
      <c r="J4">
        <v>101235.8089216278</v>
      </c>
      <c r="K4">
        <v>15725.658506249989</v>
      </c>
      <c r="L4">
        <v>245423.8816750345</v>
      </c>
    </row>
    <row r="5" spans="1:12" x14ac:dyDescent="0.2">
      <c r="A5" t="s">
        <v>88</v>
      </c>
      <c r="B5">
        <v>15</v>
      </c>
      <c r="C5">
        <v>116241</v>
      </c>
      <c r="D5">
        <v>168735.11548630733</v>
      </c>
      <c r="E5">
        <v>0</v>
      </c>
      <c r="F5">
        <v>13498.223852550984</v>
      </c>
    </row>
    <row r="6" spans="1:12" x14ac:dyDescent="0.2">
      <c r="A6" t="s">
        <v>92</v>
      </c>
      <c r="B6">
        <v>15</v>
      </c>
      <c r="C6">
        <v>116393</v>
      </c>
      <c r="D6">
        <v>164181.46455519466</v>
      </c>
      <c r="E6">
        <v>0</v>
      </c>
      <c r="F6">
        <v>-131216.66957200269</v>
      </c>
    </row>
    <row r="7" spans="1:12" x14ac:dyDescent="0.2">
      <c r="A7" t="s">
        <v>96</v>
      </c>
      <c r="B7">
        <v>15</v>
      </c>
      <c r="C7">
        <v>116378</v>
      </c>
      <c r="D7">
        <v>162939.30905820001</v>
      </c>
      <c r="E7">
        <v>0</v>
      </c>
      <c r="F7">
        <v>-140439.81744984034</v>
      </c>
    </row>
    <row r="8" spans="1:12" x14ac:dyDescent="0.2">
      <c r="A8" t="s">
        <v>100</v>
      </c>
      <c r="B8">
        <v>15</v>
      </c>
      <c r="C8">
        <v>116480</v>
      </c>
      <c r="D8">
        <v>107071.21644525467</v>
      </c>
      <c r="E8">
        <v>0</v>
      </c>
      <c r="F8">
        <v>-145349.38692581063</v>
      </c>
    </row>
    <row r="9" spans="1:12" x14ac:dyDescent="0.2">
      <c r="A9" t="s">
        <v>104</v>
      </c>
      <c r="B9">
        <v>15</v>
      </c>
      <c r="C9">
        <v>116966</v>
      </c>
      <c r="D9">
        <v>162179.59360580801</v>
      </c>
      <c r="E9">
        <v>0</v>
      </c>
      <c r="F9">
        <v>-134792.96939857129</v>
      </c>
    </row>
    <row r="10" spans="1:12" x14ac:dyDescent="0.2">
      <c r="A10" t="s">
        <v>78</v>
      </c>
      <c r="B10">
        <v>15</v>
      </c>
      <c r="C10">
        <v>116761</v>
      </c>
      <c r="D10">
        <v>137309.57597981466</v>
      </c>
      <c r="E10">
        <v>0</v>
      </c>
      <c r="F10">
        <v>229121.20948382499</v>
      </c>
    </row>
    <row r="11" spans="1:12" x14ac:dyDescent="0.2">
      <c r="A11" t="s">
        <v>42</v>
      </c>
      <c r="B11">
        <v>15</v>
      </c>
      <c r="C11">
        <v>117210</v>
      </c>
      <c r="D11">
        <v>145274.651892714</v>
      </c>
      <c r="E11">
        <v>0</v>
      </c>
      <c r="F11">
        <v>366602.88155411999</v>
      </c>
    </row>
    <row r="12" spans="1:12" x14ac:dyDescent="0.2">
      <c r="A12" t="s">
        <v>85</v>
      </c>
      <c r="B12">
        <v>15</v>
      </c>
      <c r="C12">
        <v>116280</v>
      </c>
      <c r="D12">
        <v>159574.76673925732</v>
      </c>
      <c r="E12">
        <v>0</v>
      </c>
      <c r="F12">
        <v>406076.59519534599</v>
      </c>
    </row>
    <row r="13" spans="1:12" x14ac:dyDescent="0.2">
      <c r="A13" t="s">
        <v>89</v>
      </c>
      <c r="B13">
        <v>15</v>
      </c>
      <c r="C13">
        <v>116296</v>
      </c>
      <c r="D13">
        <v>172963.38054390598</v>
      </c>
      <c r="E13">
        <v>0</v>
      </c>
      <c r="F13">
        <v>323170.14370510203</v>
      </c>
    </row>
    <row r="14" spans="1:12" x14ac:dyDescent="0.2">
      <c r="A14" t="s">
        <v>93</v>
      </c>
      <c r="B14">
        <v>15</v>
      </c>
      <c r="C14">
        <v>116400</v>
      </c>
      <c r="D14">
        <v>162008.20497532267</v>
      </c>
      <c r="E14">
        <v>0</v>
      </c>
      <c r="F14">
        <v>64844.372534223337</v>
      </c>
    </row>
    <row r="15" spans="1:12" x14ac:dyDescent="0.2">
      <c r="A15" t="s">
        <v>97</v>
      </c>
      <c r="B15">
        <v>15</v>
      </c>
      <c r="C15">
        <v>116558</v>
      </c>
      <c r="D15">
        <v>147938.14870926933</v>
      </c>
      <c r="E15">
        <v>0</v>
      </c>
      <c r="F15">
        <v>36440.199961776656</v>
      </c>
    </row>
    <row r="16" spans="1:12" x14ac:dyDescent="0.2">
      <c r="A16" t="s">
        <v>101</v>
      </c>
      <c r="B16">
        <v>15</v>
      </c>
      <c r="C16">
        <v>116898</v>
      </c>
      <c r="D16">
        <v>108369.05075124934</v>
      </c>
      <c r="E16">
        <v>0</v>
      </c>
      <c r="F16">
        <v>-56318.264368901342</v>
      </c>
    </row>
    <row r="17" spans="1:6" x14ac:dyDescent="0.2">
      <c r="A17" t="s">
        <v>105</v>
      </c>
      <c r="B17">
        <v>15</v>
      </c>
      <c r="C17">
        <v>116218</v>
      </c>
      <c r="D17">
        <v>137501.41859871533</v>
      </c>
      <c r="E17">
        <v>0</v>
      </c>
      <c r="F17">
        <v>51108.602524846669</v>
      </c>
    </row>
    <row r="18" spans="1:6" x14ac:dyDescent="0.2">
      <c r="A18" t="s">
        <v>35</v>
      </c>
      <c r="B18">
        <v>15</v>
      </c>
      <c r="C18">
        <f>AVERAGE(C2:C17)</f>
        <v>116596.375</v>
      </c>
      <c r="D18">
        <f>AVERAGE(D2:D17)</f>
        <v>148113.16137165483</v>
      </c>
      <c r="E18">
        <f>AVERAGE(E2:E17)</f>
        <v>0</v>
      </c>
      <c r="F18">
        <f>AVERAGE(F2:F17)</f>
        <v>56575.68951333189</v>
      </c>
    </row>
    <row r="19" spans="1:6" x14ac:dyDescent="0.2">
      <c r="A19" t="s">
        <v>76</v>
      </c>
      <c r="B19" t="s">
        <v>4</v>
      </c>
      <c r="C19" t="s">
        <v>28</v>
      </c>
      <c r="D19" t="s">
        <v>59</v>
      </c>
      <c r="E19" t="s">
        <v>21</v>
      </c>
      <c r="F19" t="s">
        <v>60</v>
      </c>
    </row>
    <row r="20" spans="1:6" x14ac:dyDescent="0.2">
      <c r="A20" t="s">
        <v>79</v>
      </c>
      <c r="B20">
        <v>30</v>
      </c>
      <c r="C20">
        <v>111447</v>
      </c>
      <c r="D20">
        <v>63060.020033272333</v>
      </c>
      <c r="E20">
        <v>58709.1250899999</v>
      </c>
      <c r="F20">
        <v>197267.63140186699</v>
      </c>
    </row>
    <row r="21" spans="1:6" x14ac:dyDescent="0.2">
      <c r="A21" t="s">
        <v>82</v>
      </c>
      <c r="B21">
        <v>30</v>
      </c>
      <c r="C21">
        <v>108966</v>
      </c>
      <c r="D21">
        <v>91646.246555128659</v>
      </c>
      <c r="E21">
        <v>58709.125090000001</v>
      </c>
      <c r="F21">
        <v>225194.33005721797</v>
      </c>
    </row>
    <row r="22" spans="1:6" x14ac:dyDescent="0.2">
      <c r="A22" t="s">
        <v>86</v>
      </c>
      <c r="B22">
        <v>30</v>
      </c>
      <c r="C22">
        <v>116581</v>
      </c>
      <c r="D22">
        <v>86020.359148990334</v>
      </c>
      <c r="E22">
        <v>0</v>
      </c>
      <c r="F22">
        <v>233350.60665412195</v>
      </c>
    </row>
    <row r="23" spans="1:6" x14ac:dyDescent="0.2">
      <c r="A23" t="s">
        <v>90</v>
      </c>
      <c r="B23">
        <v>30</v>
      </c>
      <c r="C23">
        <v>108583</v>
      </c>
      <c r="D23">
        <v>85876.374447771334</v>
      </c>
      <c r="E23">
        <v>8387.0178699999997</v>
      </c>
      <c r="F23">
        <v>214558.08226570502</v>
      </c>
    </row>
    <row r="24" spans="1:6" x14ac:dyDescent="0.2">
      <c r="A24" t="s">
        <v>94</v>
      </c>
      <c r="B24">
        <v>30</v>
      </c>
      <c r="C24">
        <v>116866</v>
      </c>
      <c r="D24">
        <v>91536.582479840668</v>
      </c>
      <c r="E24">
        <v>0</v>
      </c>
      <c r="F24">
        <v>-93058.082330487669</v>
      </c>
    </row>
    <row r="25" spans="1:6" x14ac:dyDescent="0.2">
      <c r="A25" t="s">
        <v>98</v>
      </c>
      <c r="B25">
        <v>30</v>
      </c>
      <c r="C25">
        <v>116600</v>
      </c>
      <c r="D25">
        <v>139789.42503649366</v>
      </c>
      <c r="E25">
        <v>0</v>
      </c>
      <c r="F25">
        <v>-101113.89040273335</v>
      </c>
    </row>
    <row r="26" spans="1:6" x14ac:dyDescent="0.2">
      <c r="A26" t="s">
        <v>102</v>
      </c>
      <c r="B26">
        <v>30</v>
      </c>
      <c r="C26">
        <v>116167</v>
      </c>
      <c r="D26">
        <v>163161.93156995432</v>
      </c>
      <c r="E26">
        <v>0</v>
      </c>
      <c r="F26">
        <v>-22521.027944005655</v>
      </c>
    </row>
    <row r="27" spans="1:6" x14ac:dyDescent="0.2">
      <c r="A27" t="s">
        <v>106</v>
      </c>
      <c r="B27">
        <v>30</v>
      </c>
      <c r="C27">
        <v>116380</v>
      </c>
      <c r="D27">
        <v>114420.706916836</v>
      </c>
      <c r="E27">
        <v>0</v>
      </c>
      <c r="F27">
        <v>-133714.59136770933</v>
      </c>
    </row>
    <row r="28" spans="1:6" x14ac:dyDescent="0.2">
      <c r="A28" t="s">
        <v>80</v>
      </c>
      <c r="B28">
        <v>30</v>
      </c>
      <c r="C28">
        <v>111431</v>
      </c>
      <c r="D28">
        <v>73485.876136297331</v>
      </c>
      <c r="E28">
        <v>58709.1250899999</v>
      </c>
      <c r="F28">
        <v>713491.55080373096</v>
      </c>
    </row>
    <row r="29" spans="1:6" x14ac:dyDescent="0.2">
      <c r="A29" t="s">
        <v>83</v>
      </c>
      <c r="B29">
        <v>30</v>
      </c>
      <c r="C29">
        <v>108962</v>
      </c>
      <c r="D29">
        <v>100289.59137442401</v>
      </c>
      <c r="E29">
        <v>58709.125090000001</v>
      </c>
      <c r="F29">
        <v>769344.94811443111</v>
      </c>
    </row>
    <row r="30" spans="1:6" x14ac:dyDescent="0.2">
      <c r="A30" t="s">
        <v>87</v>
      </c>
      <c r="B30">
        <v>30</v>
      </c>
      <c r="C30">
        <v>116550</v>
      </c>
      <c r="D30">
        <v>91299.257006580665</v>
      </c>
      <c r="E30">
        <v>0</v>
      </c>
      <c r="F30">
        <v>762874.9093082411</v>
      </c>
    </row>
    <row r="31" spans="1:6" x14ac:dyDescent="0.2">
      <c r="A31" t="s">
        <v>91</v>
      </c>
      <c r="B31">
        <v>30</v>
      </c>
      <c r="C31">
        <v>108558</v>
      </c>
      <c r="D31">
        <v>95631.468611435994</v>
      </c>
      <c r="E31">
        <v>8387.0178699999997</v>
      </c>
      <c r="F31">
        <v>770855.04453140101</v>
      </c>
    </row>
    <row r="32" spans="1:6" x14ac:dyDescent="0.2">
      <c r="A32" t="s">
        <v>95</v>
      </c>
      <c r="B32">
        <v>30</v>
      </c>
      <c r="C32">
        <v>116794</v>
      </c>
      <c r="D32">
        <v>85057.363871949667</v>
      </c>
      <c r="E32">
        <v>0</v>
      </c>
      <c r="F32">
        <v>108071.31856762333</v>
      </c>
    </row>
    <row r="33" spans="1:6" x14ac:dyDescent="0.2">
      <c r="A33" t="s">
        <v>99</v>
      </c>
      <c r="B33">
        <v>30</v>
      </c>
      <c r="C33">
        <v>116347</v>
      </c>
      <c r="D33">
        <v>117116.00745286167</v>
      </c>
      <c r="E33">
        <v>0</v>
      </c>
      <c r="F33">
        <v>80236.996887393354</v>
      </c>
    </row>
    <row r="34" spans="1:6" x14ac:dyDescent="0.2">
      <c r="A34" t="s">
        <v>103</v>
      </c>
      <c r="B34">
        <v>30</v>
      </c>
      <c r="C34">
        <v>116533</v>
      </c>
      <c r="D34">
        <v>63059.595452224334</v>
      </c>
      <c r="E34">
        <v>0</v>
      </c>
      <c r="F34">
        <v>-3800.0394051047042</v>
      </c>
    </row>
    <row r="35" spans="1:6" x14ac:dyDescent="0.2">
      <c r="A35" s="5" t="s">
        <v>107</v>
      </c>
      <c r="B35" s="5">
        <v>30</v>
      </c>
      <c r="C35">
        <v>116326</v>
      </c>
      <c r="D35">
        <v>158322.13665198401</v>
      </c>
      <c r="E35" s="5">
        <v>0</v>
      </c>
      <c r="F35" s="5">
        <v>205744.31965886001</v>
      </c>
    </row>
    <row r="36" spans="1:6" x14ac:dyDescent="0.2">
      <c r="A36" t="s">
        <v>35</v>
      </c>
      <c r="B36">
        <v>30</v>
      </c>
      <c r="C36">
        <f>AVERAGE(C20:C35)</f>
        <v>113943.1875</v>
      </c>
      <c r="D36">
        <f>AVERAGE(D20:D35)</f>
        <v>101235.8089216278</v>
      </c>
      <c r="E36">
        <f>AVERAGE(E20:E35)</f>
        <v>15725.658506249989</v>
      </c>
      <c r="F36">
        <f>AVERAGE(F20:F35)</f>
        <v>245423.8816750345</v>
      </c>
    </row>
  </sheetData>
  <sortState xmlns:xlrd2="http://schemas.microsoft.com/office/spreadsheetml/2017/richdata2" ref="A2:F35">
    <sortCondition ref="B1:B35"/>
  </sortState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workbookViewId="0">
      <selection activeCell="F4" sqref="F4"/>
    </sheetView>
  </sheetViews>
  <sheetFormatPr baseColWidth="10" defaultRowHeight="16" x14ac:dyDescent="0.2"/>
  <cols>
    <col min="1" max="1" width="21" bestFit="1" customWidth="1"/>
    <col min="4" max="4" width="12.1640625" bestFit="1" customWidth="1"/>
    <col min="5" max="5" width="18" bestFit="1" customWidth="1"/>
    <col min="6" max="6" width="22" bestFit="1" customWidth="1"/>
    <col min="7" max="7" width="18.1640625" bestFit="1" customWidth="1"/>
    <col min="8" max="8" width="13.83203125" bestFit="1" customWidth="1"/>
  </cols>
  <sheetData>
    <row r="1" spans="1:8" x14ac:dyDescent="0.2">
      <c r="A1" s="8"/>
      <c r="B1" s="8" t="s">
        <v>264</v>
      </c>
      <c r="C1" s="8" t="s">
        <v>265</v>
      </c>
      <c r="D1" s="8" t="s">
        <v>266</v>
      </c>
      <c r="E1" s="8" t="s">
        <v>267</v>
      </c>
      <c r="F1" s="8" t="s">
        <v>268</v>
      </c>
      <c r="G1" s="8" t="s">
        <v>269</v>
      </c>
      <c r="H1" s="8" t="s">
        <v>270</v>
      </c>
    </row>
    <row r="2" spans="1:8" x14ac:dyDescent="0.2">
      <c r="A2" s="8" t="s">
        <v>276</v>
      </c>
      <c r="B2" s="8" t="s">
        <v>27</v>
      </c>
      <c r="C2" s="8" t="s">
        <v>28</v>
      </c>
      <c r="D2" s="8" t="s">
        <v>260</v>
      </c>
      <c r="E2" s="8" t="s">
        <v>261</v>
      </c>
      <c r="F2" s="8" t="s">
        <v>277</v>
      </c>
      <c r="G2" s="8" t="s">
        <v>262</v>
      </c>
      <c r="H2" s="8" t="s">
        <v>263</v>
      </c>
    </row>
    <row r="3" spans="1:8" x14ac:dyDescent="0.2">
      <c r="A3" s="8" t="s">
        <v>271</v>
      </c>
      <c r="B3" s="8">
        <v>0.39169999999999999</v>
      </c>
      <c r="C3" s="8">
        <v>0.40760000000000002</v>
      </c>
      <c r="D3" s="8">
        <v>0.83589999999999998</v>
      </c>
      <c r="E3" s="8">
        <v>0.8165</v>
      </c>
      <c r="F3" s="8">
        <v>0.43080000000000002</v>
      </c>
      <c r="G3" s="9">
        <v>6.7449999999999996E-2</v>
      </c>
      <c r="H3" s="8">
        <v>0.70589999999999997</v>
      </c>
    </row>
    <row r="4" spans="1:8" x14ac:dyDescent="0.2">
      <c r="A4" s="8" t="s">
        <v>272</v>
      </c>
      <c r="B4" s="8">
        <v>0.35489999999999999</v>
      </c>
      <c r="C4" s="8">
        <v>0.1986</v>
      </c>
      <c r="D4" s="8">
        <v>0.68920000000000003</v>
      </c>
      <c r="E4" s="8">
        <v>0.7712</v>
      </c>
      <c r="F4" s="9">
        <v>0.11360000000000001</v>
      </c>
      <c r="G4" s="8">
        <v>0.84030000000000005</v>
      </c>
      <c r="H4" s="8">
        <v>0.8407</v>
      </c>
    </row>
    <row r="5" spans="1:8" x14ac:dyDescent="0.2">
      <c r="A5" s="8" t="s">
        <v>273</v>
      </c>
      <c r="B5" s="8">
        <v>0.47689999999999999</v>
      </c>
      <c r="C5" s="9">
        <v>4.9739999999999995E-4</v>
      </c>
      <c r="D5" s="8">
        <v>0.65480000000000005</v>
      </c>
      <c r="E5" s="9">
        <v>2.1440000000000001E-2</v>
      </c>
      <c r="F5" s="9">
        <v>5.3680000000000004E-3</v>
      </c>
      <c r="G5" s="9">
        <v>1.1169999999999999E-2</v>
      </c>
      <c r="H5" s="10">
        <v>0.20100000000000001</v>
      </c>
    </row>
    <row r="6" spans="1:8" x14ac:dyDescent="0.2">
      <c r="A6" s="8" t="s">
        <v>274</v>
      </c>
      <c r="B6" s="11">
        <v>2.8359999999999998E-10</v>
      </c>
      <c r="C6" s="9">
        <v>1.5049999999999999E-2</v>
      </c>
      <c r="D6" s="9">
        <v>1.737E-2</v>
      </c>
      <c r="E6" s="9">
        <v>5.3569999999999996E-4</v>
      </c>
      <c r="F6" s="9">
        <v>1.005E-2</v>
      </c>
      <c r="G6" s="9">
        <v>3.2669999999999998E-2</v>
      </c>
      <c r="H6" s="11">
        <v>2.2E-16</v>
      </c>
    </row>
    <row r="7" spans="1:8" x14ac:dyDescent="0.2">
      <c r="A7" s="8" t="s">
        <v>275</v>
      </c>
      <c r="B7" s="8">
        <v>0.4385</v>
      </c>
      <c r="C7" s="8">
        <v>0.64710000000000001</v>
      </c>
      <c r="D7" s="11">
        <v>0.56869999999999998</v>
      </c>
      <c r="E7" s="9">
        <v>2.9839999999999999E-4</v>
      </c>
      <c r="F7" s="10">
        <v>0.28549999999999998</v>
      </c>
      <c r="G7" s="12">
        <v>0.86919999999999997</v>
      </c>
      <c r="H7" s="10">
        <v>0.38229999999999997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batch_experiment</vt:lpstr>
      <vt:lpstr>Sheet13</vt:lpstr>
      <vt:lpstr>Sheet12</vt:lpstr>
      <vt:lpstr>Sheet10</vt:lpstr>
      <vt:lpstr>Sheet9</vt:lpstr>
      <vt:lpstr>zGnNL</vt:lpstr>
      <vt:lpstr>Sheet4</vt:lpstr>
      <vt:lpstr>Sheet2</vt:lpstr>
      <vt:lpstr>Sheet3</vt:lpstr>
      <vt:lpstr>Sheet1</vt:lpstr>
      <vt:lpstr>Sheet5</vt:lpstr>
      <vt:lpstr>Sheet11</vt:lpstr>
      <vt:lpstr>Sheet8</vt:lpstr>
      <vt:lpstr>zGnNL!qyXAU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Zenith Arnejo</dc:creator>
  <cp:lastModifiedBy>Zenith Arnejo</cp:lastModifiedBy>
  <dcterms:created xsi:type="dcterms:W3CDTF">2024-06-16T18:26:53Z</dcterms:created>
  <dcterms:modified xsi:type="dcterms:W3CDTF">2024-06-17T10:07:40Z</dcterms:modified>
</cp:coreProperties>
</file>